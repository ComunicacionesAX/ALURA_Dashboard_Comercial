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i unidad\DIRECCION COMERCIAL 2026\SERVICLIENTE\OTIFF\"/>
    </mc:Choice>
  </mc:AlternateContent>
  <xr:revisionPtr revIDLastSave="0" documentId="13_ncr:1_{E5B3339A-B54B-4611-A4DE-2972218F4ADD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Hoja3" sheetId="5" state="hidden" r:id="rId1"/>
    <sheet name="Resumén Enero 2026" sheetId="17" r:id="rId2"/>
    <sheet name="Base" sheetId="25" r:id="rId3"/>
    <sheet name="Pedidos1" sheetId="23" state="hidden" r:id="rId4"/>
    <sheet name="Novedades" sheetId="28" state="hidden" r:id="rId5"/>
    <sheet name="Entregas a tiempo" sheetId="29" state="hidden" r:id="rId6"/>
    <sheet name="Hoja1" sheetId="21" state="hidden" r:id="rId7"/>
    <sheet name="Pedidos" sheetId="20" state="hidden" r:id="rId8"/>
  </sheets>
  <definedNames>
    <definedName name="_xlnm._FilterDatabase" localSheetId="2" hidden="1">Base!$A$1:$S$421</definedName>
    <definedName name="_xlnm._FilterDatabase" localSheetId="6" hidden="1">Hoja1!$A$1:$K$459</definedName>
    <definedName name="_xlnm._FilterDatabase" localSheetId="1" hidden="1">'Resumén Enero 2026'!$B$38:$N$38</definedName>
  </definedNames>
  <calcPr calcId="191029"/>
  <pivotCaches>
    <pivotCache cacheId="17" r:id="rId9"/>
    <pivotCache cacheId="18" r:id="rId10"/>
    <pivotCache cacheId="1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7" l="1"/>
  <c r="D21" i="17"/>
  <c r="J46" i="17"/>
  <c r="D17" i="17" s="1"/>
  <c r="J40" i="17" l="1"/>
  <c r="D16" i="17" l="1"/>
  <c r="D26" i="17"/>
  <c r="D22" i="17"/>
  <c r="D20" i="17"/>
  <c r="D19" i="17"/>
  <c r="D28" i="17"/>
  <c r="O372" i="25"/>
  <c r="O122" i="25"/>
  <c r="D29" i="17" l="1"/>
  <c r="D15" i="17"/>
  <c r="D33" i="17" s="1"/>
  <c r="C8" i="17"/>
  <c r="C30" i="17"/>
  <c r="G9" i="29" l="1"/>
  <c r="G7" i="29"/>
  <c r="E8" i="29"/>
  <c r="G8" i="29" l="1"/>
  <c r="D30" i="17"/>
  <c r="C10" i="17" l="1"/>
  <c r="D7" i="17" l="1"/>
  <c r="D8" i="17" l="1"/>
  <c r="D9" i="17"/>
</calcChain>
</file>

<file path=xl/sharedStrings.xml><?xml version="1.0" encoding="utf-8"?>
<sst xmlns="http://schemas.openxmlformats.org/spreadsheetml/2006/main" count="6495" uniqueCount="1902">
  <si>
    <t>Etiquetas de fila</t>
  </si>
  <si>
    <t>Cuenta de O.C.</t>
  </si>
  <si>
    <t>Suma de Pedido</t>
  </si>
  <si>
    <t>ACEBEDO SILVA S.A.</t>
  </si>
  <si>
    <t>ADITIVOS Y QUIMICOS SAS</t>
  </si>
  <si>
    <t>AGRICOLA COLOMBIANA S.A.</t>
  </si>
  <si>
    <t>AGRIFEED</t>
  </si>
  <si>
    <t>AGRIFEED SAS</t>
  </si>
  <si>
    <t>AGROAVICOLA SAN MARINO S A</t>
  </si>
  <si>
    <t>AGROINDUSTRIAL SAN JOSE SA</t>
  </si>
  <si>
    <t>AGROPECARIA DE OCCIDENTE S.A.</t>
  </si>
  <si>
    <t>AGROPECUARIA ALFA SAS</t>
  </si>
  <si>
    <t>AGROPECUARIA DE OCCIDENTE</t>
  </si>
  <si>
    <t>AGROPECUARIA DE OCCIDENTE S.A.</t>
  </si>
  <si>
    <t>AGROPECUARIA GOLOSO DEL VALLE S.A.</t>
  </si>
  <si>
    <t>ALIMENTOS ALDUQUE S.A.S.</t>
  </si>
  <si>
    <t>ALIMENTOS CONCENTRADOS DEL CARIBE S.A.</t>
  </si>
  <si>
    <t>AVECER S.A.S.</t>
  </si>
  <si>
    <t>AVICOLA LA DOMINGA</t>
  </si>
  <si>
    <t>AVICOLA LA DOMINGA S.A.S.</t>
  </si>
  <si>
    <t>AVICOLA LOS CAMBULOS SA</t>
  </si>
  <si>
    <t>AVIDESA DE OCCIDENTE S.A.</t>
  </si>
  <si>
    <t>AVIMOL S.A.S.</t>
  </si>
  <si>
    <t>AYORA PEREZ CARLOS AUGUSTO</t>
  </si>
  <si>
    <t>BALANCEADOS ALIANZA</t>
  </si>
  <si>
    <t>CARDONA RESTREPO JAIME DE JESUS</t>
  </si>
  <si>
    <t>CERDOS DEL VALLE SA</t>
  </si>
  <si>
    <t>COLOMBIANA DE INCUBACION SAS INCUBACOL</t>
  </si>
  <si>
    <t>COMPAÑIA INDUSTRIAL DE PRODUCTOS AGROPECUARIOS S.A.</t>
  </si>
  <si>
    <t>CONCENTRADOS ESPARTACO</t>
  </si>
  <si>
    <t>CONTEGRAL</t>
  </si>
  <si>
    <t>COOPERATIVA COLANTA</t>
  </si>
  <si>
    <t>COOPERATIVA DE PORCICULTORES DEL EJE CAFETERO</t>
  </si>
  <si>
    <t>CUERVO &amp; CIA SAS</t>
  </si>
  <si>
    <t>DISTRIBUCIONES AGRALBA S.A.</t>
  </si>
  <si>
    <t>DISTRIBUIDORA AVICOLA S.A.S.</t>
  </si>
  <si>
    <t>DON POLLO</t>
  </si>
  <si>
    <t>EMPOLLADORA COLOMBIANA S.A.</t>
  </si>
  <si>
    <t>FINCA</t>
  </si>
  <si>
    <t>GVM CORPORATION GLOBAL VETERINARY MEDICINE S A S</t>
  </si>
  <si>
    <t>INCUBADORA SANTANDER S.A.</t>
  </si>
  <si>
    <t>INSUMOS AGROPECUARIOS DEL CAFE S.A.S</t>
  </si>
  <si>
    <t>INVERSIONES J.V. S.A.S.</t>
  </si>
  <si>
    <t>ITALCOL DE OCCIDENTE S.A.</t>
  </si>
  <si>
    <t>ITALCOL S.A.</t>
  </si>
  <si>
    <t>MARIA JOSE ORTIZ</t>
  </si>
  <si>
    <t>MEJIA &amp; CIA. S.A.</t>
  </si>
  <si>
    <t>NUTRICION EXPERTA DE COLOMBIA S.A.S</t>
  </si>
  <si>
    <t>NUTRITEC SAS</t>
  </si>
  <si>
    <t>O TAFUR Z Y CIA S EN C</t>
  </si>
  <si>
    <t>OMAR CHICAIZA</t>
  </si>
  <si>
    <t>OPERADORA AVICOLA</t>
  </si>
  <si>
    <t>POLLOS EL BUCANERO</t>
  </si>
  <si>
    <t>PORCICOLA EMMANUEL</t>
  </si>
  <si>
    <t>PORCICOLA PRADERA</t>
  </si>
  <si>
    <t>PORCICULTORES APA S.A.S.</t>
  </si>
  <si>
    <t>PORICOLA EMMANUEL</t>
  </si>
  <si>
    <t>PREMEX</t>
  </si>
  <si>
    <t>PREMEX S.A.S</t>
  </si>
  <si>
    <t>PRO FARM DE LOS ANDES SAS</t>
  </si>
  <si>
    <t>PROVIMI S.A.</t>
  </si>
  <si>
    <t>PROVIMI SA</t>
  </si>
  <si>
    <t>REVEEX NUTRICION SAS</t>
  </si>
  <si>
    <t>SOCIEDAD AVICOLA EL TABACAL SAS</t>
  </si>
  <si>
    <t>SOLLA S.A.</t>
  </si>
  <si>
    <t>VITAOVO S.A.S.</t>
  </si>
  <si>
    <t>PORCICOLA PRADERA S.A.</t>
  </si>
  <si>
    <t>Total general</t>
  </si>
  <si>
    <t>O.C.</t>
  </si>
  <si>
    <t>Hora recepción</t>
  </si>
  <si>
    <t>Pedido</t>
  </si>
  <si>
    <t>N° de Factura</t>
  </si>
  <si>
    <t>Fecha de generación del pedido</t>
  </si>
  <si>
    <t>Hora generación</t>
  </si>
  <si>
    <t>Ciudad</t>
  </si>
  <si>
    <t>MANIZALES</t>
  </si>
  <si>
    <t>BELLO</t>
  </si>
  <si>
    <t>NEIVA</t>
  </si>
  <si>
    <t>BUCARAMANGA</t>
  </si>
  <si>
    <t>CARTAGO</t>
  </si>
  <si>
    <t>BOGOTA</t>
  </si>
  <si>
    <t>LEBRIJA</t>
  </si>
  <si>
    <t>ITAGUI</t>
  </si>
  <si>
    <t>MEDELLIN</t>
  </si>
  <si>
    <t>ENVIGADO</t>
  </si>
  <si>
    <t>CIENAGA</t>
  </si>
  <si>
    <t>TULUA</t>
  </si>
  <si>
    <t>N.A. 11</t>
  </si>
  <si>
    <t>RICAURTE</t>
  </si>
  <si>
    <t>Informe de despachos</t>
  </si>
  <si>
    <t>PRODUCTO</t>
  </si>
  <si>
    <t>KILOS AUT</t>
  </si>
  <si>
    <t>VALOR</t>
  </si>
  <si>
    <t>Item</t>
  </si>
  <si>
    <t>Cantidad</t>
  </si>
  <si>
    <t>Part. %</t>
  </si>
  <si>
    <t>Inventario disponible sin FC</t>
  </si>
  <si>
    <t>NUMERO DE PEDIDOS</t>
  </si>
  <si>
    <t>HITS</t>
  </si>
  <si>
    <t>MISSES</t>
  </si>
  <si>
    <t>TOTAL LINEAS</t>
  </si>
  <si>
    <t>CAUSAL MISSES**</t>
  </si>
  <si>
    <t>Valor</t>
  </si>
  <si>
    <t>Cartera (Demoras por gestion comercial de cartera)</t>
  </si>
  <si>
    <t>Cancelado</t>
  </si>
  <si>
    <t>Total misses</t>
  </si>
  <si>
    <t>DETALLE MISSES:</t>
  </si>
  <si>
    <t>Nombre del producto</t>
  </si>
  <si>
    <t>Fecha Requerida Por el Cliente</t>
  </si>
  <si>
    <t>CANCELADO</t>
  </si>
  <si>
    <t>VIVET X 25 KG</t>
  </si>
  <si>
    <t>FRACTAL P X 25 KG</t>
  </si>
  <si>
    <t>CIPROFLOX X 5 KG</t>
  </si>
  <si>
    <t>ACCUREMAX X 25 KG</t>
  </si>
  <si>
    <t>NUTRITEC</t>
  </si>
  <si>
    <t>HALQUINOX 800 X 25 KG</t>
  </si>
  <si>
    <t>MONECYL X 25 KG</t>
  </si>
  <si>
    <t>INVENTARIO</t>
  </si>
  <si>
    <t>CELERITY NP X 25KG</t>
  </si>
  <si>
    <t>AGRICOLA COLOMBIANA</t>
  </si>
  <si>
    <t>TILCOMIX PREMIX S X 5 KG</t>
  </si>
  <si>
    <t>FRACTAL H X 20 KG</t>
  </si>
  <si>
    <t>N.A. 2</t>
  </si>
  <si>
    <t>OC PENDIENTE</t>
  </si>
  <si>
    <t>N.A.5</t>
  </si>
  <si>
    <t>N.A.6</t>
  </si>
  <si>
    <t>N.A.7</t>
  </si>
  <si>
    <t>N.A.9</t>
  </si>
  <si>
    <t>N.A. 3</t>
  </si>
  <si>
    <t>N.A.14</t>
  </si>
  <si>
    <t>Fecha recepción O.C.</t>
  </si>
  <si>
    <t>Cantidad Requerida</t>
  </si>
  <si>
    <t>Valor total</t>
  </si>
  <si>
    <t>ALIMENTOS POLAR COLOMBIA SAS</t>
  </si>
  <si>
    <t>MICRO AID</t>
  </si>
  <si>
    <t>CAVASA</t>
  </si>
  <si>
    <t>TILOMIX 250 PREMIX X 25 KG</t>
  </si>
  <si>
    <t>GIRON</t>
  </si>
  <si>
    <t>ADITIVOS Y QUIMICOS</t>
  </si>
  <si>
    <t>GUARNE</t>
  </si>
  <si>
    <t>EXOLUTION X 10 KG</t>
  </si>
  <si>
    <t>MOSQUERA</t>
  </si>
  <si>
    <t>BUGA</t>
  </si>
  <si>
    <t>FENIFLOR PREMIX X 25 KG</t>
  </si>
  <si>
    <t>AGROPECUARIA ALFA</t>
  </si>
  <si>
    <t>CLORTETRAX 20% x 25Kg Granular</t>
  </si>
  <si>
    <t>PORCICULTORES APA</t>
  </si>
  <si>
    <t>GIRARDOTA</t>
  </si>
  <si>
    <t>AVICOLA LOS CAMBULOS</t>
  </si>
  <si>
    <t>AVICOLA SAN MARTIN</t>
  </si>
  <si>
    <t>NUTREXCOL</t>
  </si>
  <si>
    <t>NEOCYN X 25 KG</t>
  </si>
  <si>
    <t>AGROINDUSTRIAL SAN JOSE</t>
  </si>
  <si>
    <t>HALQUINOX 500 X 25 KG</t>
  </si>
  <si>
    <t>NUTRICION EXPERTA DE COLOMBIA</t>
  </si>
  <si>
    <t>ARMENIA</t>
  </si>
  <si>
    <t>SALINOMIX 12% X 25 KG</t>
  </si>
  <si>
    <t>INVERSIONES J.V.</t>
  </si>
  <si>
    <t>ESPELIN 88 X 25 KG</t>
  </si>
  <si>
    <t>SOLLA</t>
  </si>
  <si>
    <t>AVECER</t>
  </si>
  <si>
    <t>TRIMBAC X 5 KG</t>
  </si>
  <si>
    <t>AVINOVA X 25 KG</t>
  </si>
  <si>
    <t>GVM</t>
  </si>
  <si>
    <t>PUERTO GAITAN</t>
  </si>
  <si>
    <t>NICARBAZINA</t>
  </si>
  <si>
    <t>NEOCYN X 1 KG</t>
  </si>
  <si>
    <t>MEZCLAS BIOMIX</t>
  </si>
  <si>
    <t>SABANETA</t>
  </si>
  <si>
    <t>ITALCOL DE OCCIDENTE</t>
  </si>
  <si>
    <t>PALMIRA</t>
  </si>
  <si>
    <t>DINAMIX 200 PREMIX X 25</t>
  </si>
  <si>
    <t>CERCALDAS</t>
  </si>
  <si>
    <t>ALIMENTOS ALDUQUE</t>
  </si>
  <si>
    <t>AVIDESA DE OCCIDENTE</t>
  </si>
  <si>
    <t>RIVERA</t>
  </si>
  <si>
    <t>CALI</t>
  </si>
  <si>
    <t>REVEEX</t>
  </si>
  <si>
    <t>CUCUTA</t>
  </si>
  <si>
    <t>INCUBADORA SANTANDER</t>
  </si>
  <si>
    <t>CALOTO</t>
  </si>
  <si>
    <t>AGROPECUARIA ALIAR</t>
  </si>
  <si>
    <t>AGROBOX</t>
  </si>
  <si>
    <t>INVERSIONES TRIBILIN</t>
  </si>
  <si>
    <t>CARLOS AYORA</t>
  </si>
  <si>
    <t>ACEBEDO SILVA</t>
  </si>
  <si>
    <t>DISTRIBUIDORA AVICOLA</t>
  </si>
  <si>
    <t>PIEDECUESTA</t>
  </si>
  <si>
    <t>CIPROFLOX X 1 KG</t>
  </si>
  <si>
    <t>ROFLOX</t>
  </si>
  <si>
    <t>11;38</t>
  </si>
  <si>
    <t>REFRILOGISTICA</t>
  </si>
  <si>
    <t>005-OSC-00007264</t>
  </si>
  <si>
    <t>COMPAÑIA DE PRODUCTOS INDUSTRIALES</t>
  </si>
  <si>
    <t>DMB 11 X 25 KG</t>
  </si>
  <si>
    <t>PROVIMI</t>
  </si>
  <si>
    <t>100-CON-00016615</t>
  </si>
  <si>
    <t>24/4/20324</t>
  </si>
  <si>
    <t>001-SC-014115</t>
  </si>
  <si>
    <t>001-SC-014136</t>
  </si>
  <si>
    <t>001-SC-014112</t>
  </si>
  <si>
    <t>001-OC -00037148</t>
  </si>
  <si>
    <t>FRACTAL L X 20 KG</t>
  </si>
  <si>
    <t>001-OSC-00057930</t>
  </si>
  <si>
    <t>001-OC -00037195</t>
  </si>
  <si>
    <t>DISTRIBUCIONES AGRALBA</t>
  </si>
  <si>
    <t>AMOXIN 600 X 1 KG</t>
  </si>
  <si>
    <t>FOSMYCINA 90 X 500 GR</t>
  </si>
  <si>
    <t>A02-COC-193389</t>
  </si>
  <si>
    <t>DINAMIX 800 X 25 KG</t>
  </si>
  <si>
    <t>TECNOCAMPO</t>
  </si>
  <si>
    <t>PC-022943</t>
  </si>
  <si>
    <t>DINAMIX PREMIX X 25 KG</t>
  </si>
  <si>
    <t>ORC-2404038</t>
  </si>
  <si>
    <t>FENIFLOR PREMIX X 5 KG</t>
  </si>
  <si>
    <t>CELMANAX X 25 KG</t>
  </si>
  <si>
    <t>103-OCC-31377</t>
  </si>
  <si>
    <t>OC-COMPR-10096</t>
  </si>
  <si>
    <t>CIGNUS X 20 KILOS</t>
  </si>
  <si>
    <t>AVIMOL</t>
  </si>
  <si>
    <t>SAGAH X 25 KG</t>
  </si>
  <si>
    <t>DQCICLIN X 1 KG</t>
  </si>
  <si>
    <t>004-OSC-00045286</t>
  </si>
  <si>
    <t>004-OSC-00045306</t>
  </si>
  <si>
    <t>004-OSC-00045230</t>
  </si>
  <si>
    <t>IBAGUE</t>
  </si>
  <si>
    <t>DINAMIX 200 PREMIX X 25 KG</t>
  </si>
  <si>
    <t>999-OCN-00010148</t>
  </si>
  <si>
    <t>001-OSC-00057997</t>
  </si>
  <si>
    <t>670 P</t>
  </si>
  <si>
    <t>FENIFLOR ORAL X 500 GR</t>
  </si>
  <si>
    <t>CERDOS DEL VALLE</t>
  </si>
  <si>
    <t>NORFLOX 20 X 1 L</t>
  </si>
  <si>
    <t>484-R</t>
  </si>
  <si>
    <t>INDUSTRIA NUTRICIONAL AVICOLA S.A.S.</t>
  </si>
  <si>
    <t>FRESNO</t>
  </si>
  <si>
    <t>MPN-4,707</t>
  </si>
  <si>
    <t>COOPERATIVA DE PORCICULTORES</t>
  </si>
  <si>
    <t>MPN-4,708</t>
  </si>
  <si>
    <t>MED-5750</t>
  </si>
  <si>
    <t>MERCASA</t>
  </si>
  <si>
    <t>0532-A</t>
  </si>
  <si>
    <t>UBAQUE</t>
  </si>
  <si>
    <t>679 P</t>
  </si>
  <si>
    <t>001-OSC-00058026</t>
  </si>
  <si>
    <t>Y - 001 - 2258</t>
  </si>
  <si>
    <t>PUERTO TEJADA</t>
  </si>
  <si>
    <t>OCO-35432</t>
  </si>
  <si>
    <t>005-OSC-00007317</t>
  </si>
  <si>
    <t>004-OSC-00045350</t>
  </si>
  <si>
    <t>META</t>
  </si>
  <si>
    <t>001-OC -00037333</t>
  </si>
  <si>
    <t>AGROPECURIA GOLOSO</t>
  </si>
  <si>
    <t>ORC-2405005</t>
  </si>
  <si>
    <t>681 P</t>
  </si>
  <si>
    <t>LA SORIA</t>
  </si>
  <si>
    <t>ESPELIN X 5 KG</t>
  </si>
  <si>
    <t>001-OC -00006364</t>
  </si>
  <si>
    <t>PROFARM</t>
  </si>
  <si>
    <t>005-OSC-00007340</t>
  </si>
  <si>
    <t>101-OCC-00030468</t>
  </si>
  <si>
    <t>SMOOT SWEET</t>
  </si>
  <si>
    <t>A02-COC-195500</t>
  </si>
  <si>
    <t>CTCZYME X 20 KILOS</t>
  </si>
  <si>
    <t>498-R</t>
  </si>
  <si>
    <t>686-P</t>
  </si>
  <si>
    <t>001-OSC-00058085</t>
  </si>
  <si>
    <t>101-OCC-30485</t>
  </si>
  <si>
    <t>O TAFUR</t>
  </si>
  <si>
    <t>ORC-2405012</t>
  </si>
  <si>
    <t>001-OSC-00058106</t>
  </si>
  <si>
    <t>BRUJAL</t>
  </si>
  <si>
    <t>005-OSC-00007358</t>
  </si>
  <si>
    <t>001-OC -00037474</t>
  </si>
  <si>
    <t>COC-00000206</t>
  </si>
  <si>
    <t>001-OC -00037478</t>
  </si>
  <si>
    <t>OC-COMPR-10292</t>
  </si>
  <si>
    <t>004-OSC-00045406</t>
  </si>
  <si>
    <t>PC-022998</t>
  </si>
  <si>
    <t>ESPECIAL EXOLUTION</t>
  </si>
  <si>
    <t>MPN - 4,734</t>
  </si>
  <si>
    <t>NEOCYX X 1 KG</t>
  </si>
  <si>
    <t>PC-023003</t>
  </si>
  <si>
    <t>Y - 001 - 2272</t>
  </si>
  <si>
    <t>OCO-35602</t>
  </si>
  <si>
    <t>MESA</t>
  </si>
  <si>
    <t>696 P</t>
  </si>
  <si>
    <t>CESAR PATIÑO</t>
  </si>
  <si>
    <t>DOVIO</t>
  </si>
  <si>
    <t>001-OC -00037555</t>
  </si>
  <si>
    <t>004-OSC-00045436</t>
  </si>
  <si>
    <t>001-OSC-00058148</t>
  </si>
  <si>
    <t>001-OC -00037570</t>
  </si>
  <si>
    <t>PUERTO LOPEZ</t>
  </si>
  <si>
    <t>PRO FARM</t>
  </si>
  <si>
    <t>TILCOMIX ORAL</t>
  </si>
  <si>
    <t>MEJIA Y CIA</t>
  </si>
  <si>
    <t>103-OCC-31579</t>
  </si>
  <si>
    <t>001-OC-067042</t>
  </si>
  <si>
    <t>(en blanco)</t>
  </si>
  <si>
    <t>N.A. 1</t>
  </si>
  <si>
    <t>N.A.3</t>
  </si>
  <si>
    <t>N.A. 4</t>
  </si>
  <si>
    <t>N.A. 8</t>
  </si>
  <si>
    <t>N.A. 10</t>
  </si>
  <si>
    <t>N.A. 12</t>
  </si>
  <si>
    <t>N.A.13</t>
  </si>
  <si>
    <t>N.A. 15</t>
  </si>
  <si>
    <t>N.A. 16</t>
  </si>
  <si>
    <t>N.E. 17</t>
  </si>
  <si>
    <t>N,A 18</t>
  </si>
  <si>
    <t>N.A. 20</t>
  </si>
  <si>
    <t>N,A 21</t>
  </si>
  <si>
    <t>N,T 21</t>
  </si>
  <si>
    <t>N.A. 21</t>
  </si>
  <si>
    <t>N.A. 22</t>
  </si>
  <si>
    <t>N.E. 21</t>
  </si>
  <si>
    <t>Nombre del Cliente.</t>
  </si>
  <si>
    <t>999-OCN-00010637</t>
  </si>
  <si>
    <t>AVICOLA EL GUAMITO</t>
  </si>
  <si>
    <t xml:space="preserve">999-OCN-00010639 
</t>
  </si>
  <si>
    <t>18289 -18331</t>
  </si>
  <si>
    <t>001-OCN-00011872</t>
  </si>
  <si>
    <t>AGROAVICOLA SAN MARINO</t>
  </si>
  <si>
    <t>OC-COMP-10356</t>
  </si>
  <si>
    <t>004-OSC-00045465</t>
  </si>
  <si>
    <t>ORC-2405023</t>
  </si>
  <si>
    <t>G&amp;M</t>
  </si>
  <si>
    <t>002-OCC-59178</t>
  </si>
  <si>
    <t>005-OSC-00007390</t>
  </si>
  <si>
    <t>007-OM-000469</t>
  </si>
  <si>
    <t>PEREIRA</t>
  </si>
  <si>
    <t>001-OC -00006395</t>
  </si>
  <si>
    <t>YUMBO</t>
  </si>
  <si>
    <t>101-OCC-30540</t>
  </si>
  <si>
    <t>OC-COMPR-10406</t>
  </si>
  <si>
    <t>TABACAL</t>
  </si>
  <si>
    <t>Y - 001 - 2283</t>
  </si>
  <si>
    <t>CFMP-270</t>
  </si>
  <si>
    <t>CELMANAX SCP X 25 KG</t>
  </si>
  <si>
    <t>CFMP-277</t>
  </si>
  <si>
    <t>001-OSC-00058205</t>
  </si>
  <si>
    <t>CFMP-280</t>
  </si>
  <si>
    <t>CALDAS ANTIOQUIA</t>
  </si>
  <si>
    <t>004-OSC-00045501</t>
  </si>
  <si>
    <t>GRANJAS PARAISO</t>
  </si>
  <si>
    <t>No. OC-1-133</t>
  </si>
  <si>
    <t>CUERVO Y CIA</t>
  </si>
  <si>
    <t>AGRALBA</t>
  </si>
  <si>
    <t>001-OSC-00058228</t>
  </si>
  <si>
    <t>525-R</t>
  </si>
  <si>
    <t>INDUSTRIA NUTRICIONAL AVICOLA</t>
  </si>
  <si>
    <t>FENIFLOR ORAL X 500G</t>
  </si>
  <si>
    <t>ORC-2405031</t>
  </si>
  <si>
    <t>OCO-35757</t>
  </si>
  <si>
    <t>AGROPECUARIA GOLOSO</t>
  </si>
  <si>
    <t>CFMP-285</t>
  </si>
  <si>
    <t>ROFLOX 20 X 1L DECNO</t>
  </si>
  <si>
    <t>711 P</t>
  </si>
  <si>
    <t>AGROPECURIA DE OCCIDENTE</t>
  </si>
  <si>
    <t>FOSMYCINA 90 X 500 G</t>
  </si>
  <si>
    <t>CLORURO DE COLINA</t>
  </si>
  <si>
    <t>CLORTETRAX 200 x 25Kg Granular</t>
  </si>
  <si>
    <t>005-OSC-00007433</t>
  </si>
  <si>
    <t>005-OSC-00007436</t>
  </si>
  <si>
    <t>EXOLUTION 10 KG</t>
  </si>
  <si>
    <t>DON MATIAS</t>
  </si>
  <si>
    <t>SERVICIO AL CLIENTE</t>
  </si>
  <si>
    <t>ALCON DE COLOMBIA</t>
  </si>
  <si>
    <t>POLLO FIESTA</t>
  </si>
  <si>
    <t>PRO FARM DE LOS ANDES</t>
  </si>
  <si>
    <t>INSUMOS Y ADITIVOS VETERINARIOS</t>
  </si>
  <si>
    <t>DISTRAVES</t>
  </si>
  <si>
    <t>Cuenta de N° de Factura</t>
  </si>
  <si>
    <t>SAC</t>
  </si>
  <si>
    <t>CELTA</t>
  </si>
  <si>
    <t>CERDON</t>
  </si>
  <si>
    <t>RECOGE EN BODEGA</t>
  </si>
  <si>
    <t>AVICOLA LA AURORA</t>
  </si>
  <si>
    <t>PREMEX MEDELLIN</t>
  </si>
  <si>
    <t>AVSA</t>
  </si>
  <si>
    <t>INVERSIONES ESCALA</t>
  </si>
  <si>
    <t>Kg. Solicitados</t>
  </si>
  <si>
    <t>GRUPO AGROBOX</t>
  </si>
  <si>
    <t>** Datos tomados del OTIF</t>
  </si>
  <si>
    <t>MESAGE</t>
  </si>
  <si>
    <t>COMPAÑIA INDUSTRIAL DE PRODUCTOS AGROPECUARIOS</t>
  </si>
  <si>
    <t>S07257</t>
  </si>
  <si>
    <t>MICRO AID X 25 KG</t>
  </si>
  <si>
    <t>S07292</t>
  </si>
  <si>
    <t>POLLOS SAVICOL</t>
  </si>
  <si>
    <t>AVICOLA TRIPLE A</t>
  </si>
  <si>
    <t>JAIME CARDONA</t>
  </si>
  <si>
    <t>COMERCIALIZADORA G&amp;M</t>
  </si>
  <si>
    <t>VITALESCO</t>
  </si>
  <si>
    <t>ENTRERIOS</t>
  </si>
  <si>
    <t>ECUADPREMEX</t>
  </si>
  <si>
    <t>ECUADOR</t>
  </si>
  <si>
    <t>PLANTA</t>
  </si>
  <si>
    <t>PREMEZCLAS LATINOAMERICANAS PRALSA</t>
  </si>
  <si>
    <t>GUATEMALA</t>
  </si>
  <si>
    <t>AGROSIGO</t>
  </si>
  <si>
    <t>S07203</t>
  </si>
  <si>
    <t>S08172</t>
  </si>
  <si>
    <t>AGROINDUSTRIA BIOMANANTIALES</t>
  </si>
  <si>
    <t>Observaciones</t>
  </si>
  <si>
    <t>Hora reQ</t>
  </si>
  <si>
    <t>Cliente</t>
  </si>
  <si>
    <t>S08516</t>
  </si>
  <si>
    <t xml:space="preserve">PREMEX S.A. </t>
  </si>
  <si>
    <t>S08929</t>
  </si>
  <si>
    <t>S08928</t>
  </si>
  <si>
    <t>S08358</t>
  </si>
  <si>
    <t>ALIMENTOS POLAR</t>
  </si>
  <si>
    <t>S07503</t>
  </si>
  <si>
    <t>S07893</t>
  </si>
  <si>
    <t>S07931</t>
  </si>
  <si>
    <t>S07990</t>
  </si>
  <si>
    <t>S07958</t>
  </si>
  <si>
    <t>S08000</t>
  </si>
  <si>
    <t>S08061</t>
  </si>
  <si>
    <t>S08084</t>
  </si>
  <si>
    <t>S08085</t>
  </si>
  <si>
    <t>S08086</t>
  </si>
  <si>
    <t>S08087</t>
  </si>
  <si>
    <t>S08092</t>
  </si>
  <si>
    <t>S07770</t>
  </si>
  <si>
    <t>S07774</t>
  </si>
  <si>
    <t>S08047</t>
  </si>
  <si>
    <t>S08109</t>
  </si>
  <si>
    <t>S08120</t>
  </si>
  <si>
    <t>S08119</t>
  </si>
  <si>
    <t>S08124</t>
  </si>
  <si>
    <t>S08125</t>
  </si>
  <si>
    <t>S08127</t>
  </si>
  <si>
    <t>S08128</t>
  </si>
  <si>
    <t>S08129</t>
  </si>
  <si>
    <t>S08144</t>
  </si>
  <si>
    <t>PROCESADORA  NACIONAL DE ALIMENTOS (PRONACA)</t>
  </si>
  <si>
    <t>S08145</t>
  </si>
  <si>
    <t>S08158</t>
  </si>
  <si>
    <t>S08160</t>
  </si>
  <si>
    <t>S08161</t>
  </si>
  <si>
    <t>S08162</t>
  </si>
  <si>
    <t>S08163</t>
  </si>
  <si>
    <t>S08165</t>
  </si>
  <si>
    <t>S08164</t>
  </si>
  <si>
    <t xml:space="preserve"> S08170</t>
  </si>
  <si>
    <t>S08191</t>
  </si>
  <si>
    <t>S08192</t>
  </si>
  <si>
    <t>S08195</t>
  </si>
  <si>
    <t>S08194</t>
  </si>
  <si>
    <t>INVERSIONES FEED</t>
  </si>
  <si>
    <t>S08196</t>
  </si>
  <si>
    <t>S08198</t>
  </si>
  <si>
    <t>S08199</t>
  </si>
  <si>
    <t>S08210</t>
  </si>
  <si>
    <t>LERIDA</t>
  </si>
  <si>
    <t>S08214</t>
  </si>
  <si>
    <t>S08201</t>
  </si>
  <si>
    <t>S08213</t>
  </si>
  <si>
    <t>S08230</t>
  </si>
  <si>
    <t>S08231</t>
  </si>
  <si>
    <t>S08233</t>
  </si>
  <si>
    <t>S08235</t>
  </si>
  <si>
    <t>ITALCOL IBAGUE</t>
  </si>
  <si>
    <t>S08236</t>
  </si>
  <si>
    <t>S08237</t>
  </si>
  <si>
    <t>S08239</t>
  </si>
  <si>
    <t>S08240</t>
  </si>
  <si>
    <t>S08241</t>
  </si>
  <si>
    <t>COMERCIALIZADORA CAMPO FERTIL</t>
  </si>
  <si>
    <t>S08242</t>
  </si>
  <si>
    <t>S08243</t>
  </si>
  <si>
    <t>S08193</t>
  </si>
  <si>
    <t>S08244</t>
  </si>
  <si>
    <t>S08250</t>
  </si>
  <si>
    <t>S08251</t>
  </si>
  <si>
    <t>S08253</t>
  </si>
  <si>
    <t>S08259</t>
  </si>
  <si>
    <t>S08270</t>
  </si>
  <si>
    <t>DISTRIBUIDORA AGRO-PLUS</t>
  </si>
  <si>
    <t>S08272</t>
  </si>
  <si>
    <t>S08273</t>
  </si>
  <si>
    <t>S08274</t>
  </si>
  <si>
    <t>CONCENTRADOS CONSUIZA</t>
  </si>
  <si>
    <t>S08275</t>
  </si>
  <si>
    <t>S08276</t>
  </si>
  <si>
    <t>-</t>
  </si>
  <si>
    <t>S08101</t>
  </si>
  <si>
    <t>S08278</t>
  </si>
  <si>
    <t>S08283</t>
  </si>
  <si>
    <t>S08284</t>
  </si>
  <si>
    <t>S08286</t>
  </si>
  <si>
    <t>CELERITY NP X 25 KG</t>
  </si>
  <si>
    <t>S08288</t>
  </si>
  <si>
    <t>S08289</t>
  </si>
  <si>
    <t>S08290</t>
  </si>
  <si>
    <t>S08291</t>
  </si>
  <si>
    <t>S08292</t>
  </si>
  <si>
    <t>S08293</t>
  </si>
  <si>
    <t>S08294</t>
  </si>
  <si>
    <t>S08298</t>
  </si>
  <si>
    <t>S08303</t>
  </si>
  <si>
    <t>S08306</t>
  </si>
  <si>
    <t>S08308</t>
  </si>
  <si>
    <t>S08312</t>
  </si>
  <si>
    <t>S08314</t>
  </si>
  <si>
    <t>S08315</t>
  </si>
  <si>
    <t>S08316</t>
  </si>
  <si>
    <t>S08318</t>
  </si>
  <si>
    <t>S08319</t>
  </si>
  <si>
    <t>S08321</t>
  </si>
  <si>
    <t>S08322</t>
  </si>
  <si>
    <t>S08323</t>
  </si>
  <si>
    <t>S08325</t>
  </si>
  <si>
    <t>S08326</t>
  </si>
  <si>
    <t>S08327</t>
  </si>
  <si>
    <t>IMP- AGRO</t>
  </si>
  <si>
    <t>S08328</t>
  </si>
  <si>
    <t>S08329</t>
  </si>
  <si>
    <t xml:space="preserve">GARCIA GOMEZ AGROINVERSIONES </t>
  </si>
  <si>
    <t>S08331</t>
  </si>
  <si>
    <t>INTEGRACIONES PORCINAS</t>
  </si>
  <si>
    <t>S08332</t>
  </si>
  <si>
    <t>S08333</t>
  </si>
  <si>
    <t>S08334</t>
  </si>
  <si>
    <t>S08335</t>
  </si>
  <si>
    <t>COLOMBIANA DE INCUBACION</t>
  </si>
  <si>
    <t>S08337</t>
  </si>
  <si>
    <t>S08353</t>
  </si>
  <si>
    <t>S08354</t>
  </si>
  <si>
    <t>S08355</t>
  </si>
  <si>
    <t>S08359</t>
  </si>
  <si>
    <t>S08360</t>
  </si>
  <si>
    <t>S08361</t>
  </si>
  <si>
    <t>S08363</t>
  </si>
  <si>
    <t>S08364</t>
  </si>
  <si>
    <t>S08367</t>
  </si>
  <si>
    <t>EMPOLLADORA COLOMBIANA</t>
  </si>
  <si>
    <t>S08371</t>
  </si>
  <si>
    <t>S08382</t>
  </si>
  <si>
    <t>S08383</t>
  </si>
  <si>
    <t>ALIMENTOS NUTRAL</t>
  </si>
  <si>
    <t>S08384</t>
  </si>
  <si>
    <t>S08386</t>
  </si>
  <si>
    <t>S08387</t>
  </si>
  <si>
    <t>S08392</t>
  </si>
  <si>
    <t>S08317</t>
  </si>
  <si>
    <t>S08399</t>
  </si>
  <si>
    <t>S08402</t>
  </si>
  <si>
    <t>S08324</t>
  </si>
  <si>
    <t>S08404</t>
  </si>
  <si>
    <t>S08406</t>
  </si>
  <si>
    <t>S08389</t>
  </si>
  <si>
    <t>S08407</t>
  </si>
  <si>
    <t>S08405</t>
  </si>
  <si>
    <t>S08409</t>
  </si>
  <si>
    <t>S08410</t>
  </si>
  <si>
    <t>S08411</t>
  </si>
  <si>
    <t>S08412</t>
  </si>
  <si>
    <t>ELKIN NORIEL SANCHEZ</t>
  </si>
  <si>
    <t>S08414</t>
  </si>
  <si>
    <t>S08445</t>
  </si>
  <si>
    <t>S08446</t>
  </si>
  <si>
    <t>S08447</t>
  </si>
  <si>
    <t>S08448</t>
  </si>
  <si>
    <t>S08450</t>
  </si>
  <si>
    <t>S08451</t>
  </si>
  <si>
    <t>S08452</t>
  </si>
  <si>
    <t>S08462</t>
  </si>
  <si>
    <t>S08463</t>
  </si>
  <si>
    <t>S08464</t>
  </si>
  <si>
    <t>S08465</t>
  </si>
  <si>
    <t>S08466</t>
  </si>
  <si>
    <t>S08475</t>
  </si>
  <si>
    <t>S08476</t>
  </si>
  <si>
    <t>S08482</t>
  </si>
  <si>
    <t>S08483</t>
  </si>
  <si>
    <t>S08485</t>
  </si>
  <si>
    <t>S08486</t>
  </si>
  <si>
    <t>S08487</t>
  </si>
  <si>
    <t>S08488</t>
  </si>
  <si>
    <t>S08489</t>
  </si>
  <si>
    <t>S08490</t>
  </si>
  <si>
    <t>S08491</t>
  </si>
  <si>
    <t>S08495</t>
  </si>
  <si>
    <t>S08496</t>
  </si>
  <si>
    <t>S08497</t>
  </si>
  <si>
    <t>S08498</t>
  </si>
  <si>
    <t>S08499</t>
  </si>
  <si>
    <t>S08500</t>
  </si>
  <si>
    <t>INVERSIONES AGROPORC</t>
  </si>
  <si>
    <t>ROFLOX X 1 LITRO</t>
  </si>
  <si>
    <t>S08501</t>
  </si>
  <si>
    <t>S08504</t>
  </si>
  <si>
    <t>S08505</t>
  </si>
  <si>
    <t>S08506</t>
  </si>
  <si>
    <t>S08507</t>
  </si>
  <si>
    <t>S08509</t>
  </si>
  <si>
    <t>S08515</t>
  </si>
  <si>
    <t>S08523</t>
  </si>
  <si>
    <t>S08528</t>
  </si>
  <si>
    <t>S08529</t>
  </si>
  <si>
    <t>S08530</t>
  </si>
  <si>
    <t>S08531</t>
  </si>
  <si>
    <t>S08532</t>
  </si>
  <si>
    <t>S08538</t>
  </si>
  <si>
    <t>S08540</t>
  </si>
  <si>
    <t>S08541</t>
  </si>
  <si>
    <t>S08543</t>
  </si>
  <si>
    <t>S08546</t>
  </si>
  <si>
    <t>S08565</t>
  </si>
  <si>
    <t>S08566</t>
  </si>
  <si>
    <t>S08632</t>
  </si>
  <si>
    <t>S08605</t>
  </si>
  <si>
    <t>S08576</t>
  </si>
  <si>
    <t>S08577</t>
  </si>
  <si>
    <t>S08578</t>
  </si>
  <si>
    <t>S08580</t>
  </si>
  <si>
    <t>S08584</t>
  </si>
  <si>
    <t>S08585</t>
  </si>
  <si>
    <t>S08592</t>
  </si>
  <si>
    <t>S08593</t>
  </si>
  <si>
    <t>S08595</t>
  </si>
  <si>
    <t>S08596</t>
  </si>
  <si>
    <t>S08603</t>
  </si>
  <si>
    <t>S08601</t>
  </si>
  <si>
    <t>S08762</t>
  </si>
  <si>
    <t>S08780</t>
  </si>
  <si>
    <t>S08614</t>
  </si>
  <si>
    <t>S08615</t>
  </si>
  <si>
    <t>S08616</t>
  </si>
  <si>
    <t>S08618</t>
  </si>
  <si>
    <t>S08622</t>
  </si>
  <si>
    <t>S08608</t>
  </si>
  <si>
    <t>S08624</t>
  </si>
  <si>
    <t>S08612</t>
  </si>
  <si>
    <t>S08647</t>
  </si>
  <si>
    <t>S08653</t>
  </si>
  <si>
    <t>S08655</t>
  </si>
  <si>
    <t>S08662</t>
  </si>
  <si>
    <t>S08663</t>
  </si>
  <si>
    <t>S08665</t>
  </si>
  <si>
    <t>S08667</t>
  </si>
  <si>
    <t>S08668</t>
  </si>
  <si>
    <t>S08669</t>
  </si>
  <si>
    <t>S08670</t>
  </si>
  <si>
    <t>S08671</t>
  </si>
  <si>
    <t>S08673</t>
  </si>
  <si>
    <t>S08675</t>
  </si>
  <si>
    <t>S08685</t>
  </si>
  <si>
    <t>INSUMOS AGROPECUARIOS</t>
  </si>
  <si>
    <t>S08713</t>
  </si>
  <si>
    <t>S08714</t>
  </si>
  <si>
    <t>S08715</t>
  </si>
  <si>
    <t>S08720</t>
  </si>
  <si>
    <t>S08721</t>
  </si>
  <si>
    <t>S08722</t>
  </si>
  <si>
    <t>S08716</t>
  </si>
  <si>
    <t>S08726</t>
  </si>
  <si>
    <t>S08727</t>
  </si>
  <si>
    <t>S08728</t>
  </si>
  <si>
    <t>S08729</t>
  </si>
  <si>
    <t>VIVIANA CARMONA</t>
  </si>
  <si>
    <t>S08730</t>
  </si>
  <si>
    <t>S08732</t>
  </si>
  <si>
    <t>S08734</t>
  </si>
  <si>
    <t>HERMANOS ARANGO</t>
  </si>
  <si>
    <t>S08735</t>
  </si>
  <si>
    <t>S08736</t>
  </si>
  <si>
    <t>PECUARY SUPPLIER SAS</t>
  </si>
  <si>
    <t>S08738</t>
  </si>
  <si>
    <t>S08741</t>
  </si>
  <si>
    <t>PORCICOLA EMMMANUEL</t>
  </si>
  <si>
    <t>S08742</t>
  </si>
  <si>
    <t>S08743</t>
  </si>
  <si>
    <t>S08744</t>
  </si>
  <si>
    <t>S08748</t>
  </si>
  <si>
    <t>LOTUS X 25 KG</t>
  </si>
  <si>
    <t>S08752</t>
  </si>
  <si>
    <t>S08757</t>
  </si>
  <si>
    <t>S08827</t>
  </si>
  <si>
    <t>S08733</t>
  </si>
  <si>
    <t>S08763</t>
  </si>
  <si>
    <t>S08764</t>
  </si>
  <si>
    <t>S08756</t>
  </si>
  <si>
    <t>SUPERCERDO PAISA</t>
  </si>
  <si>
    <t>S08770</t>
  </si>
  <si>
    <t>S08771</t>
  </si>
  <si>
    <t>S08772</t>
  </si>
  <si>
    <t>S08775</t>
  </si>
  <si>
    <t>S08776</t>
  </si>
  <si>
    <t>S08785</t>
  </si>
  <si>
    <t>S08786</t>
  </si>
  <si>
    <t>S08787</t>
  </si>
  <si>
    <t>S08788</t>
  </si>
  <si>
    <t>S08789</t>
  </si>
  <si>
    <t>S08597</t>
  </si>
  <si>
    <t>S08790</t>
  </si>
  <si>
    <t>S08791</t>
  </si>
  <si>
    <t>S08796</t>
  </si>
  <si>
    <t>S08797</t>
  </si>
  <si>
    <t>S08798</t>
  </si>
  <si>
    <t>S08811</t>
  </si>
  <si>
    <t>S08819</t>
  </si>
  <si>
    <t>S08820</t>
  </si>
  <si>
    <t>S08866</t>
  </si>
  <si>
    <t>S08821</t>
  </si>
  <si>
    <t>S08822</t>
  </si>
  <si>
    <t>S08823</t>
  </si>
  <si>
    <t>S08824</t>
  </si>
  <si>
    <t>S08828</t>
  </si>
  <si>
    <t>S08831</t>
  </si>
  <si>
    <t>VITAOVO</t>
  </si>
  <si>
    <t>S08832</t>
  </si>
  <si>
    <t>S08833</t>
  </si>
  <si>
    <t>S08849</t>
  </si>
  <si>
    <t>BIOINDUSTRIA MANANTIALES</t>
  </si>
  <si>
    <t>S08865</t>
  </si>
  <si>
    <t>S08856</t>
  </si>
  <si>
    <t>S08868</t>
  </si>
  <si>
    <t>S08870</t>
  </si>
  <si>
    <t>S08871</t>
  </si>
  <si>
    <t>S08873</t>
  </si>
  <si>
    <t>S08887</t>
  </si>
  <si>
    <t>S08888</t>
  </si>
  <si>
    <t>S08895</t>
  </si>
  <si>
    <t>CARTERA</t>
  </si>
  <si>
    <t>S08897</t>
  </si>
  <si>
    <t>S08898</t>
  </si>
  <si>
    <t>S08901</t>
  </si>
  <si>
    <t>S08902</t>
  </si>
  <si>
    <t>S08906</t>
  </si>
  <si>
    <t>PROFARM DE LOS ANDES</t>
  </si>
  <si>
    <t>S08908</t>
  </si>
  <si>
    <t>S08915</t>
  </si>
  <si>
    <t>S08926</t>
  </si>
  <si>
    <t>S08931</t>
  </si>
  <si>
    <t>S08938</t>
  </si>
  <si>
    <t>S08932</t>
  </si>
  <si>
    <t>S08944</t>
  </si>
  <si>
    <t>S08949</t>
  </si>
  <si>
    <t>S08980</t>
  </si>
  <si>
    <t>INVERSIONES AGROPECUARIAS FC SAS</t>
  </si>
  <si>
    <t>S08981</t>
  </si>
  <si>
    <t>S08985</t>
  </si>
  <si>
    <t>P&amp;P INVERSIONES SAS</t>
  </si>
  <si>
    <t>S08964</t>
  </si>
  <si>
    <t>S08953</t>
  </si>
  <si>
    <t>S08930</t>
  </si>
  <si>
    <t>CONTEGRAL S.A.S.</t>
  </si>
  <si>
    <t>S08896</t>
  </si>
  <si>
    <t>Suma de Valor total</t>
  </si>
  <si>
    <t>Cuenta de Cliente</t>
  </si>
  <si>
    <t>Antes de la fecha</t>
  </si>
  <si>
    <t>a tiempo</t>
  </si>
  <si>
    <t>Fuera de tiempo</t>
  </si>
  <si>
    <t>Lineas</t>
  </si>
  <si>
    <t>Total Lineas</t>
  </si>
  <si>
    <t>%</t>
  </si>
  <si>
    <t>ESTATUS DE ENTREGA</t>
  </si>
  <si>
    <t>PREMEX S.A.S.</t>
  </si>
  <si>
    <t>COMPAÑIA INDUSTRIAL DE PRODUCTOS AGROPECUARIOS S.A</t>
  </si>
  <si>
    <t>ACCUREMAX 10% X 25 KG</t>
  </si>
  <si>
    <t>MEJIA &amp; CIA</t>
  </si>
  <si>
    <t>AMOXIN 600 BOLSA X 1 KG</t>
  </si>
  <si>
    <t>FENIFLOR PREMIX X 25 Kg</t>
  </si>
  <si>
    <t>TILCOMIX PREMIX S X 5KG</t>
  </si>
  <si>
    <t>TRIMBAC X 5KG</t>
  </si>
  <si>
    <t>GARAGOA</t>
  </si>
  <si>
    <t>DINAMIX 600 X 250 GR</t>
  </si>
  <si>
    <t>NORFLOX X 1 LITRO</t>
  </si>
  <si>
    <t>TRANSPORTE</t>
  </si>
  <si>
    <t>AGROBUITRON</t>
  </si>
  <si>
    <t>N/A</t>
  </si>
  <si>
    <t>GRUPO PORCINO</t>
  </si>
  <si>
    <t>RIO FRIO</t>
  </si>
  <si>
    <t>TILVASYYN x 25 KG</t>
  </si>
  <si>
    <t>SAGAH X 25 KILOS</t>
  </si>
  <si>
    <t>ARANGO HERMANOS</t>
  </si>
  <si>
    <t>ALBATEC</t>
  </si>
  <si>
    <t>MALAMBO</t>
  </si>
  <si>
    <t>BIMMU X 25 KG</t>
  </si>
  <si>
    <t>FINCA S.A.S.</t>
  </si>
  <si>
    <t>AVSA S.A.</t>
  </si>
  <si>
    <t>OPERADORA AVICOLA COLOMBIA S.A.S.</t>
  </si>
  <si>
    <t>PROMOTORA PORCINA</t>
  </si>
  <si>
    <t>CIGNUS X 20 kg</t>
  </si>
  <si>
    <t>PROYECTO TILVASYYN x 5 KG</t>
  </si>
  <si>
    <t>CONCENTRADOS JUDEVAL</t>
  </si>
  <si>
    <t>HUEVO DELICIA GROUP</t>
  </si>
  <si>
    <t>FENIFLOR ORAL X 500 GR P</t>
  </si>
  <si>
    <t>EN RUTA</t>
  </si>
  <si>
    <t>S12027</t>
  </si>
  <si>
    <t>CLORTETRAX 20 X 25 KG</t>
  </si>
  <si>
    <t>S12458</t>
  </si>
  <si>
    <t>S12246</t>
  </si>
  <si>
    <t>S11684</t>
  </si>
  <si>
    <t>S11685</t>
  </si>
  <si>
    <t>S11202</t>
  </si>
  <si>
    <t>COLANTA</t>
  </si>
  <si>
    <t>S11421</t>
  </si>
  <si>
    <t>S11422</t>
  </si>
  <si>
    <t>S11432</t>
  </si>
  <si>
    <t>S11433</t>
  </si>
  <si>
    <t>S11441</t>
  </si>
  <si>
    <t>DMB 110 X 25 KG</t>
  </si>
  <si>
    <t>S11443</t>
  </si>
  <si>
    <t>S11450</t>
  </si>
  <si>
    <t>SMOOT SWEET X 75 GR</t>
  </si>
  <si>
    <t>S11457</t>
  </si>
  <si>
    <t>S11458</t>
  </si>
  <si>
    <t>S11459</t>
  </si>
  <si>
    <t>NEOCYN X 1KG</t>
  </si>
  <si>
    <t>S11460</t>
  </si>
  <si>
    <t>S11461</t>
  </si>
  <si>
    <t>S11462</t>
  </si>
  <si>
    <t>S11464</t>
  </si>
  <si>
    <t>S11465</t>
  </si>
  <si>
    <t>S11466</t>
  </si>
  <si>
    <t>S11513</t>
  </si>
  <si>
    <t>S11859</t>
  </si>
  <si>
    <t>S11925</t>
  </si>
  <si>
    <t>S11825</t>
  </si>
  <si>
    <t>S11519</t>
  </si>
  <si>
    <t>S11521</t>
  </si>
  <si>
    <t>S11524</t>
  </si>
  <si>
    <t>S11507</t>
  </si>
  <si>
    <t>S11527</t>
  </si>
  <si>
    <t>S11529</t>
  </si>
  <si>
    <t>INDUSTRIAS PUROPOLLO</t>
  </si>
  <si>
    <t>S11560</t>
  </si>
  <si>
    <t>S11562</t>
  </si>
  <si>
    <t>S11570</t>
  </si>
  <si>
    <t>S11575</t>
  </si>
  <si>
    <t>S11576</t>
  </si>
  <si>
    <t>S11577</t>
  </si>
  <si>
    <t>S11579</t>
  </si>
  <si>
    <t>S11580</t>
  </si>
  <si>
    <t>MONECYL 200 R X 25 KG</t>
  </si>
  <si>
    <t xml:space="preserve">S11504
</t>
  </si>
  <si>
    <t xml:space="preserve">S11505
</t>
  </si>
  <si>
    <t>SMOOTH SWWET X 75 GR</t>
  </si>
  <si>
    <t>S11506</t>
  </si>
  <si>
    <t>S11593 // S11730</t>
  </si>
  <si>
    <t>S11594</t>
  </si>
  <si>
    <t>S11600</t>
  </si>
  <si>
    <t>S11604</t>
  </si>
  <si>
    <t>S11612</t>
  </si>
  <si>
    <t>S11613</t>
  </si>
  <si>
    <t>S11614</t>
  </si>
  <si>
    <t>S11615</t>
  </si>
  <si>
    <t>S11621</t>
  </si>
  <si>
    <t>ALIMENTOS CONCENTRADOS NUTRIHEN</t>
  </si>
  <si>
    <t>S11409</t>
  </si>
  <si>
    <t>MAICAO</t>
  </si>
  <si>
    <t>S11659</t>
  </si>
  <si>
    <t>S11661</t>
  </si>
  <si>
    <t>S11663</t>
  </si>
  <si>
    <t>S11664</t>
  </si>
  <si>
    <t>S11665</t>
  </si>
  <si>
    <t>S11666</t>
  </si>
  <si>
    <t>S11667</t>
  </si>
  <si>
    <t>PORCICOLA EMMANUEL S.A.S.</t>
  </si>
  <si>
    <t>S11668</t>
  </si>
  <si>
    <t>S11670</t>
  </si>
  <si>
    <t>GRUPO TECNOCAMPO S.A.S</t>
  </si>
  <si>
    <t>S11671</t>
  </si>
  <si>
    <t>S11673</t>
  </si>
  <si>
    <t>OCAÑA</t>
  </si>
  <si>
    <t>S11674</t>
  </si>
  <si>
    <t>S11676</t>
  </si>
  <si>
    <t>S11677</t>
  </si>
  <si>
    <t>S11678</t>
  </si>
  <si>
    <t>S11680</t>
  </si>
  <si>
    <t>S11682</t>
  </si>
  <si>
    <t>S11628</t>
  </si>
  <si>
    <t>S11700</t>
  </si>
  <si>
    <t>S11698</t>
  </si>
  <si>
    <t>LA CASA MAYOR</t>
  </si>
  <si>
    <t>S11699</t>
  </si>
  <si>
    <t>S10835</t>
  </si>
  <si>
    <t>S11618</t>
  </si>
  <si>
    <t>AGRICOLA COLOMBIA</t>
  </si>
  <si>
    <t>S11623</t>
  </si>
  <si>
    <t>S11492</t>
  </si>
  <si>
    <t>CONCENTRADOS DEL CAMPO</t>
  </si>
  <si>
    <t>S11719</t>
  </si>
  <si>
    <t>S11720</t>
  </si>
  <si>
    <t>S11721</t>
  </si>
  <si>
    <t>S11722</t>
  </si>
  <si>
    <t>S11723</t>
  </si>
  <si>
    <t>CARLOS AUGUSTO AYORA</t>
  </si>
  <si>
    <t>S11724</t>
  </si>
  <si>
    <t>S11726</t>
  </si>
  <si>
    <t>S11727</t>
  </si>
  <si>
    <t>S11728</t>
  </si>
  <si>
    <t>S11736</t>
  </si>
  <si>
    <t>S11731</t>
  </si>
  <si>
    <t>S11733</t>
  </si>
  <si>
    <t>S11738</t>
  </si>
  <si>
    <t>AVICOLA NACIONAL</t>
  </si>
  <si>
    <t>S11739</t>
  </si>
  <si>
    <t>S11740</t>
  </si>
  <si>
    <t>S11741</t>
  </si>
  <si>
    <t>TILCOMIX ORAL X 1 L</t>
  </si>
  <si>
    <t>S11742</t>
  </si>
  <si>
    <t>S11743</t>
  </si>
  <si>
    <t>S11744</t>
  </si>
  <si>
    <t>S11751</t>
  </si>
  <si>
    <t>S11752</t>
  </si>
  <si>
    <t>S11753</t>
  </si>
  <si>
    <t>S11754</t>
  </si>
  <si>
    <t>S11755</t>
  </si>
  <si>
    <t>S11756</t>
  </si>
  <si>
    <t>INVERSIONES EL AVIARIO</t>
  </si>
  <si>
    <t>S11757</t>
  </si>
  <si>
    <t>S11758</t>
  </si>
  <si>
    <t>S11759</t>
  </si>
  <si>
    <t>S11760</t>
  </si>
  <si>
    <t>S11761</t>
  </si>
  <si>
    <t>S11779</t>
  </si>
  <si>
    <t>S11781</t>
  </si>
  <si>
    <t>S11782</t>
  </si>
  <si>
    <t>S11783</t>
  </si>
  <si>
    <t>S11788</t>
  </si>
  <si>
    <t>S11789</t>
  </si>
  <si>
    <t>S11784</t>
  </si>
  <si>
    <t>KIRA 24 X 25 KILOS</t>
  </si>
  <si>
    <t>ACCUREMAX 20% X 25 KG</t>
  </si>
  <si>
    <t>S11797</t>
  </si>
  <si>
    <t>S11802</t>
  </si>
  <si>
    <t>S11803</t>
  </si>
  <si>
    <t>S11811</t>
  </si>
  <si>
    <t>S11814</t>
  </si>
  <si>
    <t>SITIONUEVO</t>
  </si>
  <si>
    <t>S11819</t>
  </si>
  <si>
    <t>S11821</t>
  </si>
  <si>
    <t>S11826</t>
  </si>
  <si>
    <t>S11827</t>
  </si>
  <si>
    <t>S11828</t>
  </si>
  <si>
    <t>S11829</t>
  </si>
  <si>
    <t>LABIMCO</t>
  </si>
  <si>
    <t>S11830</t>
  </si>
  <si>
    <t>S11831</t>
  </si>
  <si>
    <t>S11832</t>
  </si>
  <si>
    <t>S11834</t>
  </si>
  <si>
    <t>S11798</t>
  </si>
  <si>
    <t>S11793</t>
  </si>
  <si>
    <t>S11611</t>
  </si>
  <si>
    <t>S11836</t>
  </si>
  <si>
    <t>S11837</t>
  </si>
  <si>
    <t>S11861</t>
  </si>
  <si>
    <t>SOMMTH SWEET</t>
  </si>
  <si>
    <t>S11860</t>
  </si>
  <si>
    <t>S11865</t>
  </si>
  <si>
    <t>S11867</t>
  </si>
  <si>
    <t>S11869</t>
  </si>
  <si>
    <t>S11870</t>
  </si>
  <si>
    <t>S11918</t>
  </si>
  <si>
    <t>S11873</t>
  </si>
  <si>
    <t>FRACTAL L X 20 LITROS</t>
  </si>
  <si>
    <t>S11874</t>
  </si>
  <si>
    <t>S11876</t>
  </si>
  <si>
    <t>S11877</t>
  </si>
  <si>
    <t>S11880</t>
  </si>
  <si>
    <t>S11881</t>
  </si>
  <si>
    <t>S11884</t>
  </si>
  <si>
    <t>S11885</t>
  </si>
  <si>
    <t>S11888</t>
  </si>
  <si>
    <t>S11886</t>
  </si>
  <si>
    <t>S11875</t>
  </si>
  <si>
    <t>FENIFLOR ORAL X 500 P</t>
  </si>
  <si>
    <t>S11895</t>
  </si>
  <si>
    <t>S11897</t>
  </si>
  <si>
    <t>S11896</t>
  </si>
  <si>
    <t>S11898</t>
  </si>
  <si>
    <t>S11899</t>
  </si>
  <si>
    <t>S11907</t>
  </si>
  <si>
    <t>CIPROFLOX X 25 KG</t>
  </si>
  <si>
    <t>S11908</t>
  </si>
  <si>
    <t>S11909</t>
  </si>
  <si>
    <t>S11906</t>
  </si>
  <si>
    <t>S11914</t>
  </si>
  <si>
    <t>S11915</t>
  </si>
  <si>
    <t>S11916</t>
  </si>
  <si>
    <t>S11917</t>
  </si>
  <si>
    <t>S11919</t>
  </si>
  <si>
    <t>S11920</t>
  </si>
  <si>
    <t>S11921</t>
  </si>
  <si>
    <t>S11922</t>
  </si>
  <si>
    <t>S11923</t>
  </si>
  <si>
    <t>S11924</t>
  </si>
  <si>
    <t>S11926</t>
  </si>
  <si>
    <t>S11927</t>
  </si>
  <si>
    <t>CERDOS DEL VALLLE</t>
  </si>
  <si>
    <t>S11928</t>
  </si>
  <si>
    <t>S11850</t>
  </si>
  <si>
    <t>S11855</t>
  </si>
  <si>
    <t>S11931</t>
  </si>
  <si>
    <t>S11932</t>
  </si>
  <si>
    <t>S11972</t>
  </si>
  <si>
    <t>S11973</t>
  </si>
  <si>
    <t>S11975</t>
  </si>
  <si>
    <t>S11978</t>
  </si>
  <si>
    <t>S11979</t>
  </si>
  <si>
    <t>GIRON - CHIMITA</t>
  </si>
  <si>
    <t>S11981</t>
  </si>
  <si>
    <t>S11984</t>
  </si>
  <si>
    <t>S11998</t>
  </si>
  <si>
    <t>S11999</t>
  </si>
  <si>
    <t>GARCIA GOMEZ</t>
  </si>
  <si>
    <t>S12001</t>
  </si>
  <si>
    <t>IMP AGRO</t>
  </si>
  <si>
    <t>S12002</t>
  </si>
  <si>
    <t>S12003</t>
  </si>
  <si>
    <t>S12004</t>
  </si>
  <si>
    <t>S12040</t>
  </si>
  <si>
    <t>S12042</t>
  </si>
  <si>
    <t>S12044</t>
  </si>
  <si>
    <t>S12045</t>
  </si>
  <si>
    <t>S12046</t>
  </si>
  <si>
    <t>S12047</t>
  </si>
  <si>
    <t>S12049</t>
  </si>
  <si>
    <t>S12051</t>
  </si>
  <si>
    <t>S12052</t>
  </si>
  <si>
    <t>TILOMIX ORAL X 1 KG</t>
  </si>
  <si>
    <t>S12053</t>
  </si>
  <si>
    <t>S12054</t>
  </si>
  <si>
    <t>S12055</t>
  </si>
  <si>
    <t>S12056</t>
  </si>
  <si>
    <t>S12100</t>
  </si>
  <si>
    <t>S12058</t>
  </si>
  <si>
    <t>S12101</t>
  </si>
  <si>
    <t>S12060</t>
  </si>
  <si>
    <t>S12061</t>
  </si>
  <si>
    <t>S12062</t>
  </si>
  <si>
    <t>MESSAGE</t>
  </si>
  <si>
    <t>S12063</t>
  </si>
  <si>
    <t>S12064</t>
  </si>
  <si>
    <t>S12065</t>
  </si>
  <si>
    <t>S12066</t>
  </si>
  <si>
    <t>S12067</t>
  </si>
  <si>
    <t>S12069</t>
  </si>
  <si>
    <t>S12070</t>
  </si>
  <si>
    <t>S12071</t>
  </si>
  <si>
    <t>S12074</t>
  </si>
  <si>
    <t>S12088</t>
  </si>
  <si>
    <t>S12091</t>
  </si>
  <si>
    <t>S12092</t>
  </si>
  <si>
    <t>S12093</t>
  </si>
  <si>
    <t>S12094</t>
  </si>
  <si>
    <t>S12095</t>
  </si>
  <si>
    <t>S12098</t>
  </si>
  <si>
    <t>S12097</t>
  </si>
  <si>
    <t>S12106</t>
  </si>
  <si>
    <t>S12108</t>
  </si>
  <si>
    <t>TICOLMIX PREMIX S X 5</t>
  </si>
  <si>
    <t>S12110</t>
  </si>
  <si>
    <t>S12149</t>
  </si>
  <si>
    <t>S12111</t>
  </si>
  <si>
    <t>S12112</t>
  </si>
  <si>
    <t>S12113</t>
  </si>
  <si>
    <t>S12116</t>
  </si>
  <si>
    <t>S12119</t>
  </si>
  <si>
    <t>S12120</t>
  </si>
  <si>
    <t>S12125</t>
  </si>
  <si>
    <t>S12151</t>
  </si>
  <si>
    <t>BIOINDUSTRAS MANANTIAL</t>
  </si>
  <si>
    <t>SIBERIA</t>
  </si>
  <si>
    <t>S12155</t>
  </si>
  <si>
    <t>S12157</t>
  </si>
  <si>
    <t>SAN PEDRO DE LOS MILAGROS</t>
  </si>
  <si>
    <t>S12159</t>
  </si>
  <si>
    <t>AGRO-PLUS</t>
  </si>
  <si>
    <t>S12160</t>
  </si>
  <si>
    <t>S12162</t>
  </si>
  <si>
    <t>CELMANAX</t>
  </si>
  <si>
    <t>S12163</t>
  </si>
  <si>
    <t>PRODUCTORA DE CONCENTRADOS CAMPEON</t>
  </si>
  <si>
    <t>S12164</t>
  </si>
  <si>
    <t>S12165</t>
  </si>
  <si>
    <t>S12167</t>
  </si>
  <si>
    <t>S12169</t>
  </si>
  <si>
    <t>ESPELIN 88 X 5 KG</t>
  </si>
  <si>
    <t>S12171</t>
  </si>
  <si>
    <t>S12172</t>
  </si>
  <si>
    <t>S12188</t>
  </si>
  <si>
    <t>S12191</t>
  </si>
  <si>
    <t>S12193</t>
  </si>
  <si>
    <t>S12192</t>
  </si>
  <si>
    <t>S12194</t>
  </si>
  <si>
    <t>S12195</t>
  </si>
  <si>
    <t>S12124</t>
  </si>
  <si>
    <t>S12206</t>
  </si>
  <si>
    <t>S12207</t>
  </si>
  <si>
    <t>S12209</t>
  </si>
  <si>
    <t>S12210</t>
  </si>
  <si>
    <t>S12211</t>
  </si>
  <si>
    <t>S12215</t>
  </si>
  <si>
    <t>S12217</t>
  </si>
  <si>
    <t>S12218</t>
  </si>
  <si>
    <t>BIOPRES SAS</t>
  </si>
  <si>
    <t>S12220</t>
  </si>
  <si>
    <t>S12222</t>
  </si>
  <si>
    <t>CLORTETRACICLINA GRANULAR X 25</t>
  </si>
  <si>
    <t>S12072</t>
  </si>
  <si>
    <t>S12212</t>
  </si>
  <si>
    <t>S12408</t>
  </si>
  <si>
    <t>S12223</t>
  </si>
  <si>
    <t>S12224</t>
  </si>
  <si>
    <t>S12226</t>
  </si>
  <si>
    <t>S12225</t>
  </si>
  <si>
    <t>S12231</t>
  </si>
  <si>
    <t>MICRO-AID X 25 KG</t>
  </si>
  <si>
    <t>S12235</t>
  </si>
  <si>
    <t>S12236</t>
  </si>
  <si>
    <t>S12237</t>
  </si>
  <si>
    <t>FUNZA</t>
  </si>
  <si>
    <t>S12238</t>
  </si>
  <si>
    <t>S12240</t>
  </si>
  <si>
    <t>S12241</t>
  </si>
  <si>
    <t>S12242</t>
  </si>
  <si>
    <t>S12248</t>
  </si>
  <si>
    <t>S12250</t>
  </si>
  <si>
    <t>S12256</t>
  </si>
  <si>
    <t>S12259</t>
  </si>
  <si>
    <t>S12261</t>
  </si>
  <si>
    <t>S12272</t>
  </si>
  <si>
    <t>S12276</t>
  </si>
  <si>
    <t>PORCICOLA SANTA MONICA</t>
  </si>
  <si>
    <t>S12277</t>
  </si>
  <si>
    <t>S12279</t>
  </si>
  <si>
    <t>PRADA SAMBIC</t>
  </si>
  <si>
    <t>S12285</t>
  </si>
  <si>
    <t>S12288</t>
  </si>
  <si>
    <t>ENTRERRIOS</t>
  </si>
  <si>
    <t>S12290</t>
  </si>
  <si>
    <t>S12291</t>
  </si>
  <si>
    <t>S12294</t>
  </si>
  <si>
    <t>JHON CARLOS RIZO</t>
  </si>
  <si>
    <t>S12302</t>
  </si>
  <si>
    <t>S12303</t>
  </si>
  <si>
    <t>S12307</t>
  </si>
  <si>
    <t>S12308</t>
  </si>
  <si>
    <t>S12316</t>
  </si>
  <si>
    <t>S12317</t>
  </si>
  <si>
    <t>S12319</t>
  </si>
  <si>
    <t>S12320</t>
  </si>
  <si>
    <t>S12314</t>
  </si>
  <si>
    <t>S12323</t>
  </si>
  <si>
    <t>S12327</t>
  </si>
  <si>
    <t>S12333</t>
  </si>
  <si>
    <t>PRENEO</t>
  </si>
  <si>
    <t>S12340</t>
  </si>
  <si>
    <t>S12341</t>
  </si>
  <si>
    <t>S12343</t>
  </si>
  <si>
    <t>S12346</t>
  </si>
  <si>
    <t>S12347</t>
  </si>
  <si>
    <t>S12351</t>
  </si>
  <si>
    <t>S12360</t>
  </si>
  <si>
    <t>S12361</t>
  </si>
  <si>
    <t>s12362</t>
  </si>
  <si>
    <t>S12363</t>
  </si>
  <si>
    <t>S12364</t>
  </si>
  <si>
    <t>S12365</t>
  </si>
  <si>
    <t>S12371</t>
  </si>
  <si>
    <t>S12379</t>
  </si>
  <si>
    <t>S12380</t>
  </si>
  <si>
    <t>S12381</t>
  </si>
  <si>
    <t>AGROINDUSTRIAS LOS ROBLES</t>
  </si>
  <si>
    <t>S12386</t>
  </si>
  <si>
    <t>S12387</t>
  </si>
  <si>
    <t>S12388</t>
  </si>
  <si>
    <t>S11482</t>
  </si>
  <si>
    <t>PRONACA</t>
  </si>
  <si>
    <t>NEOCYN X 5KG</t>
  </si>
  <si>
    <t>S12392</t>
  </si>
  <si>
    <t>SANTA ROSA DE OSOS</t>
  </si>
  <si>
    <t>S12339</t>
  </si>
  <si>
    <t>S12396</t>
  </si>
  <si>
    <t>S12398</t>
  </si>
  <si>
    <t>S12407</t>
  </si>
  <si>
    <t>S12409</t>
  </si>
  <si>
    <t>S12410</t>
  </si>
  <si>
    <t>S12411</t>
  </si>
  <si>
    <t>S12423</t>
  </si>
  <si>
    <t>S12424</t>
  </si>
  <si>
    <t>S12430</t>
  </si>
  <si>
    <t>S12338</t>
  </si>
  <si>
    <t>CIPROFLOX 20 X 5 KG</t>
  </si>
  <si>
    <t>S12426</t>
  </si>
  <si>
    <t>S12433</t>
  </si>
  <si>
    <t>S12434</t>
  </si>
  <si>
    <t>S12435</t>
  </si>
  <si>
    <t>S12437</t>
  </si>
  <si>
    <t>S12447</t>
  </si>
  <si>
    <t>S12448</t>
  </si>
  <si>
    <t>S12415</t>
  </si>
  <si>
    <t>S12450</t>
  </si>
  <si>
    <t>S12457</t>
  </si>
  <si>
    <t>S12473</t>
  </si>
  <si>
    <t>COLOMBIANA DE AVES</t>
  </si>
  <si>
    <t>S12484</t>
  </si>
  <si>
    <t>( Producto devuelto)</t>
  </si>
  <si>
    <t>S12939</t>
  </si>
  <si>
    <t>BG24886</t>
  </si>
  <si>
    <t>CLORTETRAX 20 % X 25 KG</t>
  </si>
  <si>
    <t>S12938</t>
  </si>
  <si>
    <t>BG24887</t>
  </si>
  <si>
    <t>S12800</t>
  </si>
  <si>
    <t>BG24808</t>
  </si>
  <si>
    <t>MICRO AID 30 X 25 KG</t>
  </si>
  <si>
    <t>S13225</t>
  </si>
  <si>
    <t>S12787</t>
  </si>
  <si>
    <t>BG24786</t>
  </si>
  <si>
    <t>S13049</t>
  </si>
  <si>
    <t>BG24964</t>
  </si>
  <si>
    <t>S12788</t>
  </si>
  <si>
    <t>BG24832</t>
  </si>
  <si>
    <t>S12789</t>
  </si>
  <si>
    <t>BG24785</t>
  </si>
  <si>
    <t>TILVASYN X 25 KG</t>
  </si>
  <si>
    <t>S12790</t>
  </si>
  <si>
    <t>BG24831</t>
  </si>
  <si>
    <t>S12791</t>
  </si>
  <si>
    <t>BG24937</t>
  </si>
  <si>
    <t>S11725</t>
  </si>
  <si>
    <t>BG24723</t>
  </si>
  <si>
    <t>S12792</t>
  </si>
  <si>
    <t>BG24936</t>
  </si>
  <si>
    <t>S12126</t>
  </si>
  <si>
    <t>BG24851</t>
  </si>
  <si>
    <t>S12306</t>
  </si>
  <si>
    <t>S12353</t>
  </si>
  <si>
    <t>BG24760</t>
  </si>
  <si>
    <t>100-CON-00023928</t>
  </si>
  <si>
    <t>S12355</t>
  </si>
  <si>
    <t>BG24801</t>
  </si>
  <si>
    <t>S12366</t>
  </si>
  <si>
    <t>BG24703</t>
  </si>
  <si>
    <t>S12156</t>
  </si>
  <si>
    <t>BG24873</t>
  </si>
  <si>
    <t>AVICOLA SAN ISIDRO</t>
  </si>
  <si>
    <t>AVINOVA X 25 Kg</t>
  </si>
  <si>
    <t>27500 USD</t>
  </si>
  <si>
    <t>65000 USD</t>
  </si>
  <si>
    <t>90000 USD</t>
  </si>
  <si>
    <t>S12158</t>
  </si>
  <si>
    <t>BG24710</t>
  </si>
  <si>
    <t>PREMEZCLAS LATINOAMERICANAS</t>
  </si>
  <si>
    <t>PERU</t>
  </si>
  <si>
    <t>2806 USD</t>
  </si>
  <si>
    <t>1850 USD</t>
  </si>
  <si>
    <t>S12413</t>
  </si>
  <si>
    <t>AVICOLA SINAIN</t>
  </si>
  <si>
    <t>S12439</t>
  </si>
  <si>
    <t>BG24722</t>
  </si>
  <si>
    <t>S12440</t>
  </si>
  <si>
    <t>BG24721</t>
  </si>
  <si>
    <t>ARJONA</t>
  </si>
  <si>
    <t>S12453</t>
  </si>
  <si>
    <t>BG24716</t>
  </si>
  <si>
    <t>S12465</t>
  </si>
  <si>
    <t>BG24692</t>
  </si>
  <si>
    <t>S12468</t>
  </si>
  <si>
    <t>BG24696</t>
  </si>
  <si>
    <t>S12469</t>
  </si>
  <si>
    <t>BG24702</t>
  </si>
  <si>
    <t>S12486</t>
  </si>
  <si>
    <t>BG24738</t>
  </si>
  <si>
    <t>S12487</t>
  </si>
  <si>
    <t>BG24701</t>
  </si>
  <si>
    <t>CUGNUS X 20 KG</t>
  </si>
  <si>
    <t>S12493</t>
  </si>
  <si>
    <t>BG24695</t>
  </si>
  <si>
    <t>CALDAS - ANTIOQUIA</t>
  </si>
  <si>
    <t>ROFLOX 20 X 1L</t>
  </si>
  <si>
    <t>S12494</t>
  </si>
  <si>
    <t>BG24693</t>
  </si>
  <si>
    <t>FRACTAL L X 20 KILOS</t>
  </si>
  <si>
    <t>004-OSC-00050401</t>
  </si>
  <si>
    <t>S12595</t>
  </si>
  <si>
    <t>BG24700</t>
  </si>
  <si>
    <t>S12496</t>
  </si>
  <si>
    <t>S12497</t>
  </si>
  <si>
    <t>BG24691</t>
  </si>
  <si>
    <t>S12498</t>
  </si>
  <si>
    <t>BG24694</t>
  </si>
  <si>
    <t>S12499</t>
  </si>
  <si>
    <t>BG24841</t>
  </si>
  <si>
    <t>ANTIOQUEÑA DE PORCINOS</t>
  </si>
  <si>
    <t>SAN ANTONIO DE PRADO</t>
  </si>
  <si>
    <t>S12501</t>
  </si>
  <si>
    <t>BG24699</t>
  </si>
  <si>
    <t>S12502</t>
  </si>
  <si>
    <t>BG24698</t>
  </si>
  <si>
    <t>P-1495</t>
  </si>
  <si>
    <t>S12506</t>
  </si>
  <si>
    <t>BG24697</t>
  </si>
  <si>
    <t>S12509</t>
  </si>
  <si>
    <t>BG24707</t>
  </si>
  <si>
    <t>001-OSC-00069342</t>
  </si>
  <si>
    <t>S12513</t>
  </si>
  <si>
    <t>BG24737</t>
  </si>
  <si>
    <t>S12522</t>
  </si>
  <si>
    <t>BG24715</t>
  </si>
  <si>
    <t>S12523</t>
  </si>
  <si>
    <t>BG24714</t>
  </si>
  <si>
    <t>TILOMIX ORAL x 1 Kg</t>
  </si>
  <si>
    <t>S12525</t>
  </si>
  <si>
    <t>BG24713</t>
  </si>
  <si>
    <t>SMOOTH SWEET X 75 GR</t>
  </si>
  <si>
    <t>S12526</t>
  </si>
  <si>
    <t>BG24705</t>
  </si>
  <si>
    <t>LOMA DEL ESCOBERO - ENVIGADO</t>
  </si>
  <si>
    <t>PROYECTO TILVASYN X 5 KG</t>
  </si>
  <si>
    <t>S12527</t>
  </si>
  <si>
    <t>S12529</t>
  </si>
  <si>
    <t>BG24711</t>
  </si>
  <si>
    <t>S12533</t>
  </si>
  <si>
    <t>BG24709</t>
  </si>
  <si>
    <t>CIPROFLOX 20 X 1 KG</t>
  </si>
  <si>
    <t>S12534</t>
  </si>
  <si>
    <t>BG24734</t>
  </si>
  <si>
    <t>S12711</t>
  </si>
  <si>
    <t>BG24776</t>
  </si>
  <si>
    <t>S12712</t>
  </si>
  <si>
    <t>BG24773</t>
  </si>
  <si>
    <t>OCP-1092</t>
  </si>
  <si>
    <t>S12535</t>
  </si>
  <si>
    <t>BG24766</t>
  </si>
  <si>
    <t>S12540</t>
  </si>
  <si>
    <t>BG24765</t>
  </si>
  <si>
    <t>S125441</t>
  </si>
  <si>
    <t>BG24704</t>
  </si>
  <si>
    <t>MED - 6982</t>
  </si>
  <si>
    <t>S12542</t>
  </si>
  <si>
    <t>BG24733</t>
  </si>
  <si>
    <t>S12544</t>
  </si>
  <si>
    <t>BG24720</t>
  </si>
  <si>
    <t>MESAGE S.A.S.</t>
  </si>
  <si>
    <t>OC00002746BX</t>
  </si>
  <si>
    <t>S12563</t>
  </si>
  <si>
    <t>BG24719</t>
  </si>
  <si>
    <t>006-OC-028820</t>
  </si>
  <si>
    <t>S12564</t>
  </si>
  <si>
    <t>BG24732</t>
  </si>
  <si>
    <t>S12565</t>
  </si>
  <si>
    <t>BG24708</t>
  </si>
  <si>
    <t>S12589</t>
  </si>
  <si>
    <t>BG24800</t>
  </si>
  <si>
    <t>S12598</t>
  </si>
  <si>
    <t>BG24718</t>
  </si>
  <si>
    <t>BIOINDUSTRIAS MANANTIAL SAS</t>
  </si>
  <si>
    <t>S12599</t>
  </si>
  <si>
    <t>BG24717</t>
  </si>
  <si>
    <t>AGROINDUISTRIAS LOS ROBLES</t>
  </si>
  <si>
    <t>S12601</t>
  </si>
  <si>
    <t>BG24731</t>
  </si>
  <si>
    <t>S12602</t>
  </si>
  <si>
    <t>BG24730</t>
  </si>
  <si>
    <t>S12603</t>
  </si>
  <si>
    <t>BG24729</t>
  </si>
  <si>
    <t>S12605</t>
  </si>
  <si>
    <t>BG24728</t>
  </si>
  <si>
    <t>S12606</t>
  </si>
  <si>
    <t>BG24724</t>
  </si>
  <si>
    <t>S12607</t>
  </si>
  <si>
    <t>BG24726</t>
  </si>
  <si>
    <t>S12609</t>
  </si>
  <si>
    <t>BG24725</t>
  </si>
  <si>
    <t>S12610</t>
  </si>
  <si>
    <t>BG24736</t>
  </si>
  <si>
    <t>S12617</t>
  </si>
  <si>
    <t>BG24727</t>
  </si>
  <si>
    <t>ITALCOL PEREIRA</t>
  </si>
  <si>
    <t>S12620</t>
  </si>
  <si>
    <t>BG24740</t>
  </si>
  <si>
    <t>ORC-2601003</t>
  </si>
  <si>
    <t>S12567</t>
  </si>
  <si>
    <t>BG24712</t>
  </si>
  <si>
    <t>BG24735</t>
  </si>
  <si>
    <t>S12632</t>
  </si>
  <si>
    <t>BG24747</t>
  </si>
  <si>
    <t>INSUMOS AGROPECURIOS DEL CAFE</t>
  </si>
  <si>
    <t>ANSERMANUEVO</t>
  </si>
  <si>
    <t>S12633</t>
  </si>
  <si>
    <t>BG24748</t>
  </si>
  <si>
    <t>RIBARCO</t>
  </si>
  <si>
    <t>103-OCC-37819</t>
  </si>
  <si>
    <t>S12634</t>
  </si>
  <si>
    <t>BG24739</t>
  </si>
  <si>
    <t>S12636</t>
  </si>
  <si>
    <t>BG24828</t>
  </si>
  <si>
    <t>CALARCA</t>
  </si>
  <si>
    <t>Y-001-2989</t>
  </si>
  <si>
    <t>S12637</t>
  </si>
  <si>
    <t>BG24746</t>
  </si>
  <si>
    <t>S12640</t>
  </si>
  <si>
    <t>BG24745</t>
  </si>
  <si>
    <t>S12641</t>
  </si>
  <si>
    <t>S12642</t>
  </si>
  <si>
    <t>BG24741</t>
  </si>
  <si>
    <t>DISTRAVES - GIRON</t>
  </si>
  <si>
    <t>S12820</t>
  </si>
  <si>
    <t>BG24825</t>
  </si>
  <si>
    <t>S12876</t>
  </si>
  <si>
    <t>BG24826</t>
  </si>
  <si>
    <t>BG24759</t>
  </si>
  <si>
    <t>001-OSC-00069478</t>
  </si>
  <si>
    <t>S12644</t>
  </si>
  <si>
    <t>BG24749</t>
  </si>
  <si>
    <t>S12652</t>
  </si>
  <si>
    <t>BG24743</t>
  </si>
  <si>
    <t>S12654</t>
  </si>
  <si>
    <t>BG24742</t>
  </si>
  <si>
    <t>S12619</t>
  </si>
  <si>
    <t>BG24956</t>
  </si>
  <si>
    <t>78000 USD</t>
  </si>
  <si>
    <t>102320 USD</t>
  </si>
  <si>
    <t>S12655</t>
  </si>
  <si>
    <t>BG24761</t>
  </si>
  <si>
    <t>S12669</t>
  </si>
  <si>
    <t>BG24751</t>
  </si>
  <si>
    <t>CALDAS - ANT</t>
  </si>
  <si>
    <t>S12672</t>
  </si>
  <si>
    <t>BG24750</t>
  </si>
  <si>
    <t>S12673</t>
  </si>
  <si>
    <t>BG24755</t>
  </si>
  <si>
    <t>KIRA X 25 KG</t>
  </si>
  <si>
    <t>S12677</t>
  </si>
  <si>
    <t>BG24754</t>
  </si>
  <si>
    <t>SMOOT SWEET X 10 kg</t>
  </si>
  <si>
    <t>S12678</t>
  </si>
  <si>
    <t>BG24806</t>
  </si>
  <si>
    <t>AG-0041-26</t>
  </si>
  <si>
    <t>S12680</t>
  </si>
  <si>
    <t>BG24758</t>
  </si>
  <si>
    <t>AGROINDUISTRIAL SAN JOSE</t>
  </si>
  <si>
    <t>S12681</t>
  </si>
  <si>
    <t>BG24757</t>
  </si>
  <si>
    <t>006-OC-028848</t>
  </si>
  <si>
    <t>S12682</t>
  </si>
  <si>
    <t>BG24839</t>
  </si>
  <si>
    <t>IBAGIUE - GRANJA PEDREGAL</t>
  </si>
  <si>
    <t>S12694</t>
  </si>
  <si>
    <t>BG24756</t>
  </si>
  <si>
    <t>S12695</t>
  </si>
  <si>
    <t>BG24762</t>
  </si>
  <si>
    <t>NELSON GARCIA</t>
  </si>
  <si>
    <t>S12696</t>
  </si>
  <si>
    <t>BG24777</t>
  </si>
  <si>
    <t>DISTRIBUIDORA AGROPLUS</t>
  </si>
  <si>
    <t>S12699</t>
  </si>
  <si>
    <t>BG24769</t>
  </si>
  <si>
    <t>S12702</t>
  </si>
  <si>
    <t>BG24845</t>
  </si>
  <si>
    <t>S12703</t>
  </si>
  <si>
    <t>BG24926</t>
  </si>
  <si>
    <t>01-C-00004018</t>
  </si>
  <si>
    <t>S12704</t>
  </si>
  <si>
    <t>BG24779</t>
  </si>
  <si>
    <t>YUMBO - NUTRITEC</t>
  </si>
  <si>
    <t>BG24780</t>
  </si>
  <si>
    <t>S12715</t>
  </si>
  <si>
    <t>BG24764</t>
  </si>
  <si>
    <t>S12716</t>
  </si>
  <si>
    <t>BG24763</t>
  </si>
  <si>
    <t>S12717</t>
  </si>
  <si>
    <t>BG24775</t>
  </si>
  <si>
    <t>CERDON S.A S</t>
  </si>
  <si>
    <t>BG24774</t>
  </si>
  <si>
    <t>001-OSC-00069555</t>
  </si>
  <si>
    <t>S12720</t>
  </si>
  <si>
    <t>BG24784</t>
  </si>
  <si>
    <t>S12722</t>
  </si>
  <si>
    <t>BG24790</t>
  </si>
  <si>
    <t>S12724</t>
  </si>
  <si>
    <t>BG24772</t>
  </si>
  <si>
    <t>S12729</t>
  </si>
  <si>
    <t>BG24827</t>
  </si>
  <si>
    <t>S12731</t>
  </si>
  <si>
    <t>BG24783</t>
  </si>
  <si>
    <t>S12732</t>
  </si>
  <si>
    <t>BG24771</t>
  </si>
  <si>
    <t>CARLOS AUGUSTO AYORA PEREZ</t>
  </si>
  <si>
    <t>S12733</t>
  </si>
  <si>
    <t>BG24820</t>
  </si>
  <si>
    <t>S12868</t>
  </si>
  <si>
    <t>BG24861</t>
  </si>
  <si>
    <t>S12736</t>
  </si>
  <si>
    <t>BG24768</t>
  </si>
  <si>
    <t>S12737</t>
  </si>
  <si>
    <t>BG24767</t>
  </si>
  <si>
    <t>S12738</t>
  </si>
  <si>
    <t>BG24778</t>
  </si>
  <si>
    <t>S12744</t>
  </si>
  <si>
    <t>BG24796</t>
  </si>
  <si>
    <t>COLOMBIANA DE INCUBACIÓN INCUBACOL</t>
  </si>
  <si>
    <t>FUSAFASUGA</t>
  </si>
  <si>
    <t>706-25</t>
  </si>
  <si>
    <t>S12745</t>
  </si>
  <si>
    <t>BG24789</t>
  </si>
  <si>
    <t>INVERSIONES FEEDS</t>
  </si>
  <si>
    <t>RIONEGRO</t>
  </si>
  <si>
    <t>GRANJA SAN MIGUEL</t>
  </si>
  <si>
    <t>S12750</t>
  </si>
  <si>
    <t>BG24795</t>
  </si>
  <si>
    <t>GRANJA LA SORIA</t>
  </si>
  <si>
    <t>S12751</t>
  </si>
  <si>
    <t>BG24794</t>
  </si>
  <si>
    <t>S12776</t>
  </si>
  <si>
    <t>BG24788</t>
  </si>
  <si>
    <t>A02-COC-307821</t>
  </si>
  <si>
    <t>S12778</t>
  </si>
  <si>
    <t>BG24850</t>
  </si>
  <si>
    <t>S12706</t>
  </si>
  <si>
    <t>BG24852</t>
  </si>
  <si>
    <t>5200 USD</t>
  </si>
  <si>
    <t>4425 USD</t>
  </si>
  <si>
    <t>S12779</t>
  </si>
  <si>
    <t>BG24782</t>
  </si>
  <si>
    <t>S12781</t>
  </si>
  <si>
    <t>BG24781</t>
  </si>
  <si>
    <t>S12782</t>
  </si>
  <si>
    <t>BG24938</t>
  </si>
  <si>
    <t>BG24971</t>
  </si>
  <si>
    <t>S12783</t>
  </si>
  <si>
    <t>BG24793</t>
  </si>
  <si>
    <t>BUGA - SUPERAGRO</t>
  </si>
  <si>
    <t>S12784</t>
  </si>
  <si>
    <t>BG24792</t>
  </si>
  <si>
    <t>S12785</t>
  </si>
  <si>
    <t>BG24787</t>
  </si>
  <si>
    <t>SAC Y CARTERA</t>
  </si>
  <si>
    <t>006-OC-028873</t>
  </si>
  <si>
    <t>S12799</t>
  </si>
  <si>
    <t>BG24838</t>
  </si>
  <si>
    <t>TOSCANA - GIRARDOR</t>
  </si>
  <si>
    <t>S12461</t>
  </si>
  <si>
    <t>BG24791</t>
  </si>
  <si>
    <t>1760-R</t>
  </si>
  <si>
    <t>S12809</t>
  </si>
  <si>
    <t>BG24799</t>
  </si>
  <si>
    <t>SINERIA</t>
  </si>
  <si>
    <t>999-OCN-00021157</t>
  </si>
  <si>
    <t>S12810</t>
  </si>
  <si>
    <t>BG24834</t>
  </si>
  <si>
    <t>LEBIJA</t>
  </si>
  <si>
    <t>999-OCN-00021158</t>
  </si>
  <si>
    <t>S12811</t>
  </si>
  <si>
    <t>BG24833</t>
  </si>
  <si>
    <t>SABANALARGA - EL BRUJAL</t>
  </si>
  <si>
    <t>S12821</t>
  </si>
  <si>
    <t>BG24798</t>
  </si>
  <si>
    <t>PRENEO X 25 KG</t>
  </si>
  <si>
    <t>S12824</t>
  </si>
  <si>
    <t>S12825</t>
  </si>
  <si>
    <t>BG24797</t>
  </si>
  <si>
    <t>S12826</t>
  </si>
  <si>
    <t>BG24888</t>
  </si>
  <si>
    <t>S12827</t>
  </si>
  <si>
    <t>BG24944</t>
  </si>
  <si>
    <t>S12833</t>
  </si>
  <si>
    <t>BG24803</t>
  </si>
  <si>
    <t>S12834</t>
  </si>
  <si>
    <t>BG24802</t>
  </si>
  <si>
    <t>S12835</t>
  </si>
  <si>
    <t>BG24805</t>
  </si>
  <si>
    <t>BARLOVENTO</t>
  </si>
  <si>
    <t>101-OCC-00035037</t>
  </si>
  <si>
    <t>S12837</t>
  </si>
  <si>
    <t>BG24804</t>
  </si>
  <si>
    <t>S12838</t>
  </si>
  <si>
    <t>BG24829</t>
  </si>
  <si>
    <t>COOPERATIVA AGROINDUSTRIAL DE AVICULTORES DE SANTANDER</t>
  </si>
  <si>
    <t>BG24883</t>
  </si>
  <si>
    <t>S12849</t>
  </si>
  <si>
    <t>BG24840</t>
  </si>
  <si>
    <t>OC 040</t>
  </si>
  <si>
    <t>S12850</t>
  </si>
  <si>
    <t>BG24813</t>
  </si>
  <si>
    <t>INSUMOS Y ADITIVIVOS VETERINARIOS</t>
  </si>
  <si>
    <t>S12582</t>
  </si>
  <si>
    <t>BG24819</t>
  </si>
  <si>
    <t>S12854</t>
  </si>
  <si>
    <t>BG24807</t>
  </si>
  <si>
    <t>OCP-1123</t>
  </si>
  <si>
    <t>S12855</t>
  </si>
  <si>
    <t>BG24837</t>
  </si>
  <si>
    <t>S12856</t>
  </si>
  <si>
    <t>BG24818</t>
  </si>
  <si>
    <t>S12857</t>
  </si>
  <si>
    <t>BG24817</t>
  </si>
  <si>
    <t>S12858</t>
  </si>
  <si>
    <t>BG24816</t>
  </si>
  <si>
    <t>S12859</t>
  </si>
  <si>
    <t>BG24815</t>
  </si>
  <si>
    <t>S12862</t>
  </si>
  <si>
    <t>BG24814</t>
  </si>
  <si>
    <t>0044536</t>
  </si>
  <si>
    <t>S12865</t>
  </si>
  <si>
    <t>BG24812</t>
  </si>
  <si>
    <t>S12866</t>
  </si>
  <si>
    <t>BG24811</t>
  </si>
  <si>
    <t>S12867</t>
  </si>
  <si>
    <t>BG24893</t>
  </si>
  <si>
    <t>S12870</t>
  </si>
  <si>
    <t>BG24824</t>
  </si>
  <si>
    <t>INVERSIONES AGROPORk</t>
  </si>
  <si>
    <t>S12872</t>
  </si>
  <si>
    <t>BG24823</t>
  </si>
  <si>
    <t>ENVIGADO - LOMA DEL ESCOBERO</t>
  </si>
  <si>
    <t>S12873</t>
  </si>
  <si>
    <t>BG24822</t>
  </si>
  <si>
    <t>S12874</t>
  </si>
  <si>
    <t>BG24821</t>
  </si>
  <si>
    <t>P-1508</t>
  </si>
  <si>
    <t>S12875</t>
  </si>
  <si>
    <t>BG24836</t>
  </si>
  <si>
    <t>S12897</t>
  </si>
  <si>
    <t>BG24835</t>
  </si>
  <si>
    <t>006-OC-028897</t>
  </si>
  <si>
    <t>S12707</t>
  </si>
  <si>
    <t>PEDREJALES</t>
  </si>
  <si>
    <t>S12899</t>
  </si>
  <si>
    <t>S12708</t>
  </si>
  <si>
    <t>BG24860</t>
  </si>
  <si>
    <t>S12863</t>
  </si>
  <si>
    <t>BG24934</t>
  </si>
  <si>
    <t>S12902</t>
  </si>
  <si>
    <t>BG24884</t>
  </si>
  <si>
    <t>BG24945</t>
  </si>
  <si>
    <t>S12903</t>
  </si>
  <si>
    <t>BG24882</t>
  </si>
  <si>
    <t>BG24946</t>
  </si>
  <si>
    <t>BG24911</t>
  </si>
  <si>
    <t>S12909</t>
  </si>
  <si>
    <t>BG24859</t>
  </si>
  <si>
    <t>S12916</t>
  </si>
  <si>
    <t>BG24849</t>
  </si>
  <si>
    <t>S12923</t>
  </si>
  <si>
    <t>BG24843</t>
  </si>
  <si>
    <t>S12924</t>
  </si>
  <si>
    <t>BG24844</t>
  </si>
  <si>
    <t>COLOMBIANA DE AVES COLAVES</t>
  </si>
  <si>
    <t>S12926</t>
  </si>
  <si>
    <t>BG24881</t>
  </si>
  <si>
    <t>MD DISTRIBUCIONES Y REPRESENTACIONES SAS</t>
  </si>
  <si>
    <t>001-OCN-00013655</t>
  </si>
  <si>
    <t>S12928</t>
  </si>
  <si>
    <t>BG24925</t>
  </si>
  <si>
    <t>S12927</t>
  </si>
  <si>
    <t>BG24858</t>
  </si>
  <si>
    <t>TAS-OC-004603</t>
  </si>
  <si>
    <t>S12932</t>
  </si>
  <si>
    <t>BG24857</t>
  </si>
  <si>
    <t>TERRAZAS AGROPECUARIAS</t>
  </si>
  <si>
    <t>CONCENTRADOS BARCON</t>
  </si>
  <si>
    <t>TILCOMIX PREMIX S X KG</t>
  </si>
  <si>
    <t>S12934</t>
  </si>
  <si>
    <t>BG24908</t>
  </si>
  <si>
    <t>S12929</t>
  </si>
  <si>
    <t>BG24856</t>
  </si>
  <si>
    <t>INSUAGRO</t>
  </si>
  <si>
    <t>S12930</t>
  </si>
  <si>
    <t>BG24872</t>
  </si>
  <si>
    <t>CIGNUS X 20 KG</t>
  </si>
  <si>
    <t>S12942</t>
  </si>
  <si>
    <t>BG24871</t>
  </si>
  <si>
    <t>SMOOTH SWEET X 10 KG</t>
  </si>
  <si>
    <t>S12943</t>
  </si>
  <si>
    <t>BG24855</t>
  </si>
  <si>
    <t>S12944</t>
  </si>
  <si>
    <t>BG24854</t>
  </si>
  <si>
    <t>COC-00000339</t>
  </si>
  <si>
    <t>S12949</t>
  </si>
  <si>
    <t>BG24880</t>
  </si>
  <si>
    <t>S12950</t>
  </si>
  <si>
    <t>BG24848</t>
  </si>
  <si>
    <t>S12951</t>
  </si>
  <si>
    <t>BG24847</t>
  </si>
  <si>
    <t>S12952</t>
  </si>
  <si>
    <t>BG24846</t>
  </si>
  <si>
    <t>S12961</t>
  </si>
  <si>
    <t>BG24868</t>
  </si>
  <si>
    <t>S12962</t>
  </si>
  <si>
    <t>BG24879</t>
  </si>
  <si>
    <t>OC-COMPR-21098</t>
  </si>
  <si>
    <t>S12965</t>
  </si>
  <si>
    <t>BG24902</t>
  </si>
  <si>
    <t>19/01/12026</t>
  </si>
  <si>
    <t>S12966</t>
  </si>
  <si>
    <t>BG24870</t>
  </si>
  <si>
    <t>ORC-2601010</t>
  </si>
  <si>
    <t>S12970</t>
  </si>
  <si>
    <t>BG24878</t>
  </si>
  <si>
    <t>S12971</t>
  </si>
  <si>
    <t>BG24877</t>
  </si>
  <si>
    <t>S12972</t>
  </si>
  <si>
    <t>BG24869</t>
  </si>
  <si>
    <t>S12976</t>
  </si>
  <si>
    <t>BG24875</t>
  </si>
  <si>
    <t>S12977</t>
  </si>
  <si>
    <t>BG24874</t>
  </si>
  <si>
    <t>001-OSC-00069888</t>
  </si>
  <si>
    <t>S12984</t>
  </si>
  <si>
    <t>BG24906</t>
  </si>
  <si>
    <t>S12986</t>
  </si>
  <si>
    <t>INVERSIONES P&amp;P</t>
  </si>
  <si>
    <t>VILLAVICENCIO</t>
  </si>
  <si>
    <t>105-OCC-00017231</t>
  </si>
  <si>
    <t>S12988</t>
  </si>
  <si>
    <t>BG24885</t>
  </si>
  <si>
    <t>S12996</t>
  </si>
  <si>
    <t>BG24901</t>
  </si>
  <si>
    <t>CFMP-1736</t>
  </si>
  <si>
    <t>S13014</t>
  </si>
  <si>
    <t>S13018</t>
  </si>
  <si>
    <t>BG24898</t>
  </si>
  <si>
    <t>INVERSIONES FC</t>
  </si>
  <si>
    <t>S13019</t>
  </si>
  <si>
    <t>BG24897</t>
  </si>
  <si>
    <t>S13017</t>
  </si>
  <si>
    <t>BG24894</t>
  </si>
  <si>
    <t>OCO-0044645</t>
  </si>
  <si>
    <t>S13015</t>
  </si>
  <si>
    <t>PROYECTO TILVASYN X 25 KG</t>
  </si>
  <si>
    <t>006-OC-028907</t>
  </si>
  <si>
    <t>6;58</t>
  </si>
  <si>
    <t>S13023</t>
  </si>
  <si>
    <t>BG24907</t>
  </si>
  <si>
    <t>S13024</t>
  </si>
  <si>
    <t>BG24905</t>
  </si>
  <si>
    <t>S13025</t>
  </si>
  <si>
    <t>BG24943</t>
  </si>
  <si>
    <t>IN01017</t>
  </si>
  <si>
    <t>S13026</t>
  </si>
  <si>
    <t>BG24904</t>
  </si>
  <si>
    <t>S13029</t>
  </si>
  <si>
    <t>BG24940</t>
  </si>
  <si>
    <t>S13050</t>
  </si>
  <si>
    <t>BG24921</t>
  </si>
  <si>
    <t>S13051</t>
  </si>
  <si>
    <t>004-OSC-00050605</t>
  </si>
  <si>
    <t>S13056</t>
  </si>
  <si>
    <t>BG24919</t>
  </si>
  <si>
    <t>005-OSC-00010582</t>
  </si>
  <si>
    <t>S13057</t>
  </si>
  <si>
    <t>BG24924</t>
  </si>
  <si>
    <t>S13058</t>
  </si>
  <si>
    <t>BG24918</t>
  </si>
  <si>
    <t>AG-0048-25</t>
  </si>
  <si>
    <t>S13061</t>
  </si>
  <si>
    <t>BG24915</t>
  </si>
  <si>
    <t>S13065</t>
  </si>
  <si>
    <t>ENTREGADO EL 23-1-2026</t>
  </si>
  <si>
    <t>S13064</t>
  </si>
  <si>
    <t>S13069</t>
  </si>
  <si>
    <t>BG24930</t>
  </si>
  <si>
    <t>S13243</t>
  </si>
  <si>
    <t>S13085</t>
  </si>
  <si>
    <t>BG24929</t>
  </si>
  <si>
    <t>S13073</t>
  </si>
  <si>
    <t>BG24931</t>
  </si>
  <si>
    <t>DINAMIX PREMIX X 25</t>
  </si>
  <si>
    <t>Y-001-3013</t>
  </si>
  <si>
    <t>S13086</t>
  </si>
  <si>
    <t>BG24935</t>
  </si>
  <si>
    <t>S13055</t>
  </si>
  <si>
    <t>S13089</t>
  </si>
  <si>
    <t>BG24928</t>
  </si>
  <si>
    <t>S13090</t>
  </si>
  <si>
    <t>BG24927</t>
  </si>
  <si>
    <t>PC-INS-00169</t>
  </si>
  <si>
    <t>S13103</t>
  </si>
  <si>
    <t>BG24939</t>
  </si>
  <si>
    <t>S13104</t>
  </si>
  <si>
    <t>BG24948</t>
  </si>
  <si>
    <t>27/01/12026</t>
  </si>
  <si>
    <t>S13110</t>
  </si>
  <si>
    <t>BG24933</t>
  </si>
  <si>
    <t>S13112</t>
  </si>
  <si>
    <t>BG24932</t>
  </si>
  <si>
    <t>S13120</t>
  </si>
  <si>
    <t>BG24954</t>
  </si>
  <si>
    <t>PREMEX CELTA</t>
  </si>
  <si>
    <t>S13111</t>
  </si>
  <si>
    <t>BG24942</t>
  </si>
  <si>
    <t>3016-1205</t>
  </si>
  <si>
    <t>S13128</t>
  </si>
  <si>
    <t>BG24953</t>
  </si>
  <si>
    <t>S13129</t>
  </si>
  <si>
    <t>BG24952</t>
  </si>
  <si>
    <t>S13130</t>
  </si>
  <si>
    <t>BG24941</t>
  </si>
  <si>
    <t>BG24903</t>
  </si>
  <si>
    <t>BG24947</t>
  </si>
  <si>
    <t>ORC-2601016</t>
  </si>
  <si>
    <t>S13137</t>
  </si>
  <si>
    <t>BG24972</t>
  </si>
  <si>
    <t>BG24957</t>
  </si>
  <si>
    <t>25-411-PD</t>
  </si>
  <si>
    <t>S07995</t>
  </si>
  <si>
    <t>BG24949</t>
  </si>
  <si>
    <t>PROCESADORA NACIONAL DE ALIMENTOS PRONACA</t>
  </si>
  <si>
    <t>USD 98250</t>
  </si>
  <si>
    <t>S12043</t>
  </si>
  <si>
    <t>BG24950</t>
  </si>
  <si>
    <t>AVISID</t>
  </si>
  <si>
    <t>MONECYL</t>
  </si>
  <si>
    <t>USD71500</t>
  </si>
  <si>
    <t>S13144</t>
  </si>
  <si>
    <t>BG24969</t>
  </si>
  <si>
    <t>S13145</t>
  </si>
  <si>
    <t>BG24968</t>
  </si>
  <si>
    <t>001-OSC-70288</t>
  </si>
  <si>
    <t>S13151</t>
  </si>
  <si>
    <t>BG24955</t>
  </si>
  <si>
    <t>CONSIGNACION</t>
  </si>
  <si>
    <t>S13163</t>
  </si>
  <si>
    <t>BG24961</t>
  </si>
  <si>
    <t>S13168</t>
  </si>
  <si>
    <t>BG24960</t>
  </si>
  <si>
    <t>S13173</t>
  </si>
  <si>
    <t>BG24958</t>
  </si>
  <si>
    <t>No. ODC-00008129</t>
  </si>
  <si>
    <t>S13186</t>
  </si>
  <si>
    <t>INVERSIONES EL DORADO</t>
  </si>
  <si>
    <t>SIMACOTA</t>
  </si>
  <si>
    <t>ODC-00008120</t>
  </si>
  <si>
    <t>S13187</t>
  </si>
  <si>
    <t>S13190</t>
  </si>
  <si>
    <t>BG24966</t>
  </si>
  <si>
    <t>S13191</t>
  </si>
  <si>
    <t>BG24965</t>
  </si>
  <si>
    <t>S13204</t>
  </si>
  <si>
    <t>S13205</t>
  </si>
  <si>
    <t>103-OCC-37993</t>
  </si>
  <si>
    <t>S13157</t>
  </si>
  <si>
    <t>BG24967</t>
  </si>
  <si>
    <t>S13172</t>
  </si>
  <si>
    <t>BG24959</t>
  </si>
  <si>
    <t>EL ROBLE</t>
  </si>
  <si>
    <t>S13156</t>
  </si>
  <si>
    <t>BG24978</t>
  </si>
  <si>
    <t>S13308</t>
  </si>
  <si>
    <t xml:space="preserve">CANCELADO </t>
  </si>
  <si>
    <t>ALISTAMIENTO</t>
  </si>
  <si>
    <t>CC</t>
  </si>
  <si>
    <t>Suma de Kg. Solicitados</t>
  </si>
  <si>
    <t>asignado</t>
  </si>
  <si>
    <t>abastecimiento</t>
  </si>
  <si>
    <t>agotado</t>
  </si>
  <si>
    <t>clasificación</t>
  </si>
  <si>
    <t>backorder</t>
  </si>
  <si>
    <t>desistimiento de venta</t>
  </si>
  <si>
    <t>Comercial</t>
  </si>
  <si>
    <t>venta de oportunidad // agotado comercial</t>
  </si>
  <si>
    <t>Manufactura</t>
  </si>
  <si>
    <t>Costo cierre de ordenes de produccion</t>
  </si>
  <si>
    <t>MANUFACTURA</t>
  </si>
  <si>
    <t>Manufactura (on time)</t>
  </si>
  <si>
    <t>inventario</t>
  </si>
  <si>
    <t>venta de oportunidad pollos el bucanero en el mes de diciembre</t>
  </si>
  <si>
    <t>Venta de oportunidad cerdos del valle enero del 2026</t>
  </si>
  <si>
    <t>produccion</t>
  </si>
  <si>
    <t>pedido gestionado a cliente incorrecto</t>
  </si>
  <si>
    <t>Pedido enviado a direccion erronea</t>
  </si>
  <si>
    <t>pedido no tramitado ya que se encontraba reportado en el OTIF pero no se gestiono el sistema</t>
  </si>
  <si>
    <t>ENTREGADO EN DIRECCION ERRONEA</t>
  </si>
  <si>
    <t>PEDIDO DEVUELTO POR PAQUETERIA SE CONTRATA NUEVO TRANSPORTE</t>
  </si>
  <si>
    <t>ENVIO PRODUCTO SIN CERTIFICADO</t>
  </si>
  <si>
    <t>NO FUE POSIBLE LA ENTREGA DADO QUE HABIAN DOS VEHICULOS ADELANTE Y LA PAQUETERIA DEBIA CONTINUAR RUTA // INCIDENTE AVERIA EN EL CLIENTE</t>
  </si>
  <si>
    <t>el pedido contemplaba la entrega de 250 kg del producto Lotus; sin embargo, en la recepción del material se constató que únicamente fueron entregados 200 kg, generando una diferencia de 50 kg frente a lo solicitado y aprobado.</t>
  </si>
  <si>
    <t>producto no liberado hasta acuerdo de pago</t>
  </si>
  <si>
    <t>contabamos con el producto sin embargo se encontraba pendiente por acondicionamiento llegamos tarde al cliente</t>
  </si>
  <si>
    <t>Reporte de faltante de 2 sacos con respecto a tiquete de bascula del cliente Vs inventario de Alura y el cliente no reportan</t>
  </si>
  <si>
    <t xml:space="preserve">CONDUCTOR SIN EPP ( BOTAS DE SEGURIDAD) Y SE PRESENTA DONDE EL CLIENTE // Se encuentra fuera del horario de descargue </t>
  </si>
  <si>
    <t>Bodega en consignación</t>
  </si>
  <si>
    <t>Implementacion bodega en consignación Guarne</t>
  </si>
  <si>
    <t>Falta de legalizacion de los pedidos enviados desde la bodega  //  sin embargo una confusión con respecto al inventario reportado en el sistema en la bodega SRO</t>
  </si>
  <si>
    <t>SAC / LOGISTICA DE SALIDA</t>
  </si>
  <si>
    <t>Llegada de un saco sin etiqueta</t>
  </si>
  <si>
    <t>Logistica de salida</t>
  </si>
  <si>
    <t>Backorder abastecimiento ( No inventario)</t>
  </si>
  <si>
    <t>Backorder decision comercial ( Manejo de inventario)</t>
  </si>
  <si>
    <t>Manufactura ( Proceso productivo// planificación de produccion o acondicionamiento)</t>
  </si>
  <si>
    <t>Transporte (entregas fuera de la fecha del cliente // averias // certificados // novedades transportadora)</t>
  </si>
  <si>
    <t>Inventario y alistamiento de productos</t>
  </si>
  <si>
    <t>ASC ( Queja de calidad // concentracion del producto)</t>
  </si>
  <si>
    <t>Gestión comercial (producto con sobre abastecimiento sin venta)</t>
  </si>
  <si>
    <t>Recepcion de producción ( averia // devoluciones)</t>
  </si>
  <si>
    <t>Total ventas no ejecutadas en el mes de Enero</t>
  </si>
  <si>
    <t>Logistica de entrada</t>
  </si>
  <si>
    <t>Forecast</t>
  </si>
  <si>
    <t>Si</t>
  </si>
  <si>
    <t>NO</t>
  </si>
  <si>
    <t>Inventario que no se entrego en el mes sin forecast ( Producto no disponible o falta de  certificados u otro)</t>
  </si>
  <si>
    <t>Inventario que no se entrego en el mes con forecast ( Producto no disponible o falta de  certificados u otro)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</si>
</sst>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0.0%"/>
    <numFmt numFmtId="165" formatCode="_-&quot;$&quot;\ * #,##0_-;\-&quot;$&quot;\ * #,##0_-;_-&quot;$&quot;\ * &quot;-&quot;??_-;_-@_-"/>
  </numFmts>
  <fonts count="31">
    <font>
      <sz val="10"/>
      <color rgb="FF000000"/>
      <name val="Calibri"/>
      <charset val="134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00339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Docs-Calibri"/>
    </font>
    <font>
      <sz val="11"/>
      <color rgb="FF000000"/>
      <name val="Calibri"/>
      <family val="2"/>
    </font>
    <font>
      <b/>
      <sz val="12"/>
      <color rgb="FF0A0A0A"/>
      <name val="Roboto Regular"/>
    </font>
    <font>
      <b/>
      <u/>
      <sz val="10"/>
      <color rgb="FF222222"/>
      <name val="Arial"/>
      <family val="2"/>
    </font>
    <font>
      <b/>
      <sz val="9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111827"/>
      <name val="SF Pro Display"/>
    </font>
    <font>
      <sz val="9"/>
      <name val="Arial"/>
      <family val="2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95959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397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horizontal="left"/>
    </xf>
    <xf numFmtId="0" fontId="1" fillId="0" borderId="0" xfId="2"/>
    <xf numFmtId="0" fontId="1" fillId="0" borderId="0" xfId="2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5" fillId="8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17" fontId="5" fillId="8" borderId="6" xfId="2" applyNumberFormat="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4" fillId="9" borderId="6" xfId="2" applyFont="1" applyFill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17" fontId="5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8" fillId="2" borderId="6" xfId="2" applyFont="1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8" fillId="11" borderId="6" xfId="2" applyFont="1" applyFill="1" applyBorder="1" applyAlignment="1">
      <alignment horizontal="center" vertical="center"/>
    </xf>
    <xf numFmtId="0" fontId="1" fillId="11" borderId="6" xfId="2" applyFill="1" applyBorder="1" applyAlignment="1">
      <alignment horizontal="center" vertical="center"/>
    </xf>
    <xf numFmtId="0" fontId="8" fillId="12" borderId="6" xfId="2" applyFont="1" applyFill="1" applyBorder="1" applyAlignment="1">
      <alignment horizontal="center" vertical="center"/>
    </xf>
    <xf numFmtId="0" fontId="1" fillId="12" borderId="6" xfId="2" applyFill="1" applyBorder="1" applyAlignment="1">
      <alignment horizontal="center" vertical="center"/>
    </xf>
    <xf numFmtId="0" fontId="8" fillId="13" borderId="6" xfId="2" applyFont="1" applyFill="1" applyBorder="1" applyAlignment="1">
      <alignment horizontal="center" vertical="center"/>
    </xf>
    <xf numFmtId="0" fontId="1" fillId="13" borderId="6" xfId="2" applyFill="1" applyBorder="1" applyAlignment="1">
      <alignment horizontal="center" vertical="center"/>
    </xf>
    <xf numFmtId="0" fontId="1" fillId="14" borderId="6" xfId="2" applyFill="1" applyBorder="1" applyAlignment="1">
      <alignment horizontal="center"/>
    </xf>
    <xf numFmtId="0" fontId="1" fillId="14" borderId="6" xfId="2" applyFill="1" applyBorder="1" applyAlignment="1">
      <alignment horizontal="center" vertical="center"/>
    </xf>
    <xf numFmtId="0" fontId="4" fillId="9" borderId="9" xfId="2" applyFont="1" applyFill="1" applyBorder="1" applyAlignment="1">
      <alignment horizontal="center" vertical="center"/>
    </xf>
    <xf numFmtId="0" fontId="4" fillId="9" borderId="11" xfId="2" applyFont="1" applyFill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1" fillId="0" borderId="5" xfId="2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vertical="center"/>
    </xf>
    <xf numFmtId="0" fontId="9" fillId="0" borderId="0" xfId="0" applyFont="1" applyAlignment="1">
      <alignment horizontal="center"/>
    </xf>
    <xf numFmtId="165" fontId="9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11" fillId="4" borderId="4" xfId="0" applyFont="1" applyFill="1" applyBorder="1" applyAlignment="1">
      <alignment horizontal="center" vertical="center" wrapText="1"/>
    </xf>
    <xf numFmtId="14" fontId="11" fillId="4" borderId="4" xfId="0" applyNumberFormat="1" applyFont="1" applyFill="1" applyBorder="1" applyAlignment="1">
      <alignment horizontal="center" vertical="center" wrapText="1"/>
    </xf>
    <xf numFmtId="20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14" fontId="11" fillId="4" borderId="4" xfId="0" applyNumberFormat="1" applyFont="1" applyFill="1" applyBorder="1" applyAlignment="1">
      <alignment horizontal="center" wrapText="1"/>
    </xf>
    <xf numFmtId="0" fontId="10" fillId="4" borderId="4" xfId="0" applyFont="1" applyFill="1" applyBorder="1" applyAlignment="1">
      <alignment horizontal="center" wrapText="1"/>
    </xf>
    <xf numFmtId="0" fontId="13" fillId="0" borderId="4" xfId="0" applyFont="1" applyBorder="1" applyAlignment="1">
      <alignment wrapText="1"/>
    </xf>
    <xf numFmtId="0" fontId="10" fillId="4" borderId="4" xfId="0" applyFont="1" applyFill="1" applyBorder="1" applyAlignment="1">
      <alignment wrapText="1"/>
    </xf>
    <xf numFmtId="20" fontId="11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20" fontId="10" fillId="4" borderId="4" xfId="0" applyNumberFormat="1" applyFont="1" applyFill="1" applyBorder="1" applyAlignment="1">
      <alignment horizontal="center" wrapText="1"/>
    </xf>
    <xf numFmtId="0" fontId="11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horizontal="center" wrapText="1"/>
    </xf>
    <xf numFmtId="14" fontId="11" fillId="15" borderId="4" xfId="0" applyNumberFormat="1" applyFont="1" applyFill="1" applyBorder="1" applyAlignment="1">
      <alignment horizontal="center" vertical="center" wrapText="1"/>
    </xf>
    <xf numFmtId="20" fontId="11" fillId="15" borderId="4" xfId="0" applyNumberFormat="1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wrapText="1"/>
    </xf>
    <xf numFmtId="0" fontId="11" fillId="15" borderId="4" xfId="0" applyFont="1" applyFill="1" applyBorder="1" applyAlignment="1">
      <alignment vertical="center" wrapText="1"/>
    </xf>
    <xf numFmtId="0" fontId="11" fillId="16" borderId="4" xfId="0" applyFont="1" applyFill="1" applyBorder="1" applyAlignment="1">
      <alignment horizontal="center" vertical="center" wrapText="1"/>
    </xf>
    <xf numFmtId="14" fontId="11" fillId="16" borderId="4" xfId="0" applyNumberFormat="1" applyFont="1" applyFill="1" applyBorder="1" applyAlignment="1">
      <alignment horizontal="center" vertical="center" wrapText="1"/>
    </xf>
    <xf numFmtId="20" fontId="11" fillId="16" borderId="4" xfId="0" applyNumberFormat="1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vertical="center" wrapText="1"/>
    </xf>
    <xf numFmtId="0" fontId="10" fillId="16" borderId="4" xfId="0" applyFont="1" applyFill="1" applyBorder="1" applyAlignment="1">
      <alignment wrapText="1"/>
    </xf>
    <xf numFmtId="0" fontId="11" fillId="16" borderId="4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horizontal="center" vertical="center" wrapText="1"/>
    </xf>
    <xf numFmtId="20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4" fontId="11" fillId="2" borderId="4" xfId="0" applyNumberFormat="1" applyFont="1" applyFill="1" applyBorder="1" applyAlignment="1">
      <alignment horizontal="center" wrapText="1"/>
    </xf>
    <xf numFmtId="0" fontId="10" fillId="2" borderId="4" xfId="0" applyFont="1" applyFill="1" applyBorder="1" applyAlignment="1">
      <alignment wrapText="1"/>
    </xf>
    <xf numFmtId="0" fontId="11" fillId="2" borderId="4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wrapText="1"/>
    </xf>
    <xf numFmtId="0" fontId="14" fillId="15" borderId="4" xfId="0" applyFont="1" applyFill="1" applyBorder="1" applyAlignment="1">
      <alignment horizontal="center" wrapText="1"/>
    </xf>
    <xf numFmtId="0" fontId="0" fillId="0" borderId="0" xfId="0" pivotButton="1"/>
    <xf numFmtId="0" fontId="11" fillId="2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center" wrapText="1"/>
    </xf>
    <xf numFmtId="3" fontId="11" fillId="15" borderId="3" xfId="0" applyNumberFormat="1" applyFont="1" applyFill="1" applyBorder="1" applyAlignment="1">
      <alignment horizontal="center" vertical="center" wrapText="1"/>
    </xf>
    <xf numFmtId="0" fontId="11" fillId="18" borderId="3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wrapText="1"/>
    </xf>
    <xf numFmtId="0" fontId="10" fillId="4" borderId="3" xfId="0" applyFont="1" applyFill="1" applyBorder="1" applyAlignment="1">
      <alignment horizontal="center" wrapText="1"/>
    </xf>
    <xf numFmtId="0" fontId="10" fillId="4" borderId="3" xfId="0" applyFont="1" applyFill="1" applyBorder="1" applyAlignment="1">
      <alignment vertical="center" wrapText="1"/>
    </xf>
    <xf numFmtId="0" fontId="11" fillId="4" borderId="3" xfId="0" applyFont="1" applyFill="1" applyBorder="1" applyAlignment="1">
      <alignment horizontal="center" wrapText="1"/>
    </xf>
    <xf numFmtId="0" fontId="11" fillId="5" borderId="3" xfId="0" applyFont="1" applyFill="1" applyBorder="1" applyAlignment="1">
      <alignment horizontal="center" wrapText="1"/>
    </xf>
    <xf numFmtId="0" fontId="14" fillId="4" borderId="3" xfId="0" applyFont="1" applyFill="1" applyBorder="1" applyAlignment="1">
      <alignment horizontal="center" wrapText="1"/>
    </xf>
    <xf numFmtId="0" fontId="15" fillId="4" borderId="3" xfId="0" applyFont="1" applyFill="1" applyBorder="1" applyAlignment="1">
      <alignment horizontal="center" wrapText="1"/>
    </xf>
    <xf numFmtId="3" fontId="11" fillId="4" borderId="3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wrapText="1"/>
    </xf>
    <xf numFmtId="0" fontId="10" fillId="17" borderId="3" xfId="0" applyFont="1" applyFill="1" applyBorder="1" applyAlignment="1">
      <alignment wrapText="1"/>
    </xf>
    <xf numFmtId="14" fontId="11" fillId="18" borderId="4" xfId="0" applyNumberFormat="1" applyFont="1" applyFill="1" applyBorder="1" applyAlignment="1">
      <alignment horizontal="center" vertical="center" wrapText="1"/>
    </xf>
    <xf numFmtId="20" fontId="11" fillId="18" borderId="4" xfId="0" applyNumberFormat="1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wrapText="1"/>
    </xf>
    <xf numFmtId="0" fontId="11" fillId="18" borderId="4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 wrapText="1"/>
    </xf>
    <xf numFmtId="14" fontId="11" fillId="6" borderId="4" xfId="0" applyNumberFormat="1" applyFont="1" applyFill="1" applyBorder="1" applyAlignment="1">
      <alignment horizontal="center" vertical="center" wrapText="1"/>
    </xf>
    <xf numFmtId="20" fontId="11" fillId="6" borderId="4" xfId="0" applyNumberFormat="1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vertical="center" wrapText="1"/>
    </xf>
    <xf numFmtId="0" fontId="11" fillId="19" borderId="3" xfId="0" applyFont="1" applyFill="1" applyBorder="1" applyAlignment="1">
      <alignment horizontal="center" vertical="center" wrapText="1"/>
    </xf>
    <xf numFmtId="14" fontId="11" fillId="19" borderId="4" xfId="0" applyNumberFormat="1" applyFont="1" applyFill="1" applyBorder="1" applyAlignment="1">
      <alignment horizontal="center" vertical="center" wrapText="1"/>
    </xf>
    <xf numFmtId="20" fontId="11" fillId="19" borderId="4" xfId="0" applyNumberFormat="1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vertical="center" wrapText="1"/>
    </xf>
    <xf numFmtId="0" fontId="17" fillId="0" borderId="0" xfId="2" applyFont="1" applyAlignment="1">
      <alignment horizontal="left" vertical="center" wrapText="1"/>
    </xf>
    <xf numFmtId="0" fontId="17" fillId="0" borderId="0" xfId="2" applyFont="1" applyAlignment="1">
      <alignment horizontal="left" vertical="center"/>
    </xf>
    <xf numFmtId="3" fontId="9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20" borderId="6" xfId="2" applyFill="1" applyBorder="1" applyAlignment="1">
      <alignment horizontal="center" vertical="center"/>
    </xf>
    <xf numFmtId="0" fontId="1" fillId="8" borderId="9" xfId="2" applyFill="1" applyBorder="1" applyAlignment="1">
      <alignment horizontal="center"/>
    </xf>
    <xf numFmtId="0" fontId="1" fillId="8" borderId="6" xfId="2" applyFill="1" applyBorder="1" applyAlignment="1">
      <alignment horizontal="center" vertical="center"/>
    </xf>
    <xf numFmtId="0" fontId="8" fillId="21" borderId="6" xfId="2" applyFont="1" applyFill="1" applyBorder="1" applyAlignment="1">
      <alignment horizontal="center" vertical="center"/>
    </xf>
    <xf numFmtId="0" fontId="8" fillId="22" borderId="6" xfId="2" applyFont="1" applyFill="1" applyBorder="1" applyAlignment="1">
      <alignment horizontal="center" vertical="center"/>
    </xf>
    <xf numFmtId="0" fontId="1" fillId="22" borderId="6" xfId="2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5" fontId="0" fillId="0" borderId="0" xfId="0" applyNumberFormat="1"/>
    <xf numFmtId="0" fontId="1" fillId="7" borderId="0" xfId="2" applyFill="1" applyAlignment="1">
      <alignment horizontal="center" vertical="center" wrapText="1"/>
    </xf>
    <xf numFmtId="0" fontId="1" fillId="0" borderId="5" xfId="2" applyBorder="1" applyAlignment="1">
      <alignment horizontal="center" vertical="center" wrapText="1"/>
    </xf>
    <xf numFmtId="0" fontId="1" fillId="0" borderId="0" xfId="2" applyAlignment="1">
      <alignment horizontal="center" vertical="center" wrapText="1"/>
    </xf>
    <xf numFmtId="164" fontId="7" fillId="0" borderId="6" xfId="3" applyNumberFormat="1" applyFont="1" applyFill="1" applyBorder="1" applyAlignment="1">
      <alignment horizontal="center" vertical="center" wrapText="1"/>
    </xf>
    <xf numFmtId="9" fontId="4" fillId="9" borderId="6" xfId="3" applyFont="1" applyFill="1" applyBorder="1" applyAlignment="1">
      <alignment horizontal="center" vertical="center" wrapText="1"/>
    </xf>
    <xf numFmtId="17" fontId="5" fillId="8" borderId="6" xfId="2" quotePrefix="1" applyNumberFormat="1" applyFont="1" applyFill="1" applyBorder="1" applyAlignment="1">
      <alignment horizontal="center" vertical="center" wrapText="1"/>
    </xf>
    <xf numFmtId="165" fontId="2" fillId="10" borderId="6" xfId="1" applyNumberFormat="1" applyFont="1" applyFill="1" applyBorder="1" applyAlignment="1">
      <alignment horizontal="center" vertical="center" wrapText="1"/>
    </xf>
    <xf numFmtId="165" fontId="20" fillId="21" borderId="6" xfId="1" applyNumberFormat="1" applyFont="1" applyFill="1" applyBorder="1" applyAlignment="1">
      <alignment horizontal="center" vertical="center" wrapText="1"/>
    </xf>
    <xf numFmtId="165" fontId="1" fillId="22" borderId="6" xfId="1" applyNumberFormat="1" applyFont="1" applyFill="1" applyBorder="1" applyAlignment="1">
      <alignment horizontal="center" vertical="center" wrapText="1"/>
    </xf>
    <xf numFmtId="165" fontId="18" fillId="20" borderId="6" xfId="1" applyNumberFormat="1" applyFont="1" applyFill="1" applyBorder="1" applyAlignment="1">
      <alignment horizontal="center" vertical="center" wrapText="1"/>
    </xf>
    <xf numFmtId="165" fontId="18" fillId="2" borderId="6" xfId="1" applyNumberFormat="1" applyFont="1" applyFill="1" applyBorder="1" applyAlignment="1">
      <alignment horizontal="center" vertical="center" wrapText="1"/>
    </xf>
    <xf numFmtId="165" fontId="1" fillId="11" borderId="6" xfId="1" applyNumberFormat="1" applyFont="1" applyFill="1" applyBorder="1" applyAlignment="1">
      <alignment horizontal="center" vertical="center" wrapText="1"/>
    </xf>
    <xf numFmtId="165" fontId="1" fillId="12" borderId="6" xfId="1" applyNumberFormat="1" applyFont="1" applyFill="1" applyBorder="1" applyAlignment="1">
      <alignment horizontal="center" vertical="center" wrapText="1"/>
    </xf>
    <xf numFmtId="165" fontId="1" fillId="13" borderId="6" xfId="1" applyNumberFormat="1" applyFont="1" applyFill="1" applyBorder="1" applyAlignment="1">
      <alignment horizontal="center" vertical="center" wrapText="1"/>
    </xf>
    <xf numFmtId="165" fontId="1" fillId="14" borderId="6" xfId="1" applyNumberFormat="1" applyFont="1" applyFill="1" applyBorder="1" applyAlignment="1">
      <alignment horizontal="center" vertical="center" wrapText="1"/>
    </xf>
    <xf numFmtId="165" fontId="1" fillId="8" borderId="10" xfId="1" applyNumberFormat="1" applyFont="1" applyFill="1" applyBorder="1" applyAlignment="1">
      <alignment horizontal="center" vertical="center" wrapText="1"/>
    </xf>
    <xf numFmtId="165" fontId="4" fillId="9" borderId="11" xfId="2" applyNumberFormat="1" applyFont="1" applyFill="1" applyBorder="1" applyAlignment="1">
      <alignment horizontal="center" vertical="center" wrapText="1"/>
    </xf>
    <xf numFmtId="165" fontId="1" fillId="0" borderId="0" xfId="2" applyNumberFormat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1" fillId="0" borderId="6" xfId="0" applyFont="1" applyBorder="1"/>
    <xf numFmtId="9" fontId="0" fillId="0" borderId="6" xfId="4" applyFont="1" applyBorder="1"/>
    <xf numFmtId="0" fontId="5" fillId="11" borderId="6" xfId="0" applyFont="1" applyFill="1" applyBorder="1" applyAlignment="1">
      <alignment horizontal="center"/>
    </xf>
    <xf numFmtId="9" fontId="5" fillId="11" borderId="6" xfId="0" applyNumberFormat="1" applyFont="1" applyFill="1" applyBorder="1" applyAlignment="1">
      <alignment horizontal="center"/>
    </xf>
    <xf numFmtId="0" fontId="10" fillId="4" borderId="14" xfId="0" applyFont="1" applyFill="1" applyBorder="1" applyAlignment="1">
      <alignment vertical="center" wrapText="1"/>
    </xf>
    <xf numFmtId="3" fontId="11" fillId="4" borderId="4" xfId="0" applyNumberFormat="1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vertical="center" wrapText="1"/>
    </xf>
    <xf numFmtId="3" fontId="11" fillId="15" borderId="4" xfId="0" applyNumberFormat="1" applyFont="1" applyFill="1" applyBorder="1" applyAlignment="1">
      <alignment horizontal="center" vertical="center" wrapText="1"/>
    </xf>
    <xf numFmtId="0" fontId="11" fillId="20" borderId="4" xfId="0" applyFont="1" applyFill="1" applyBorder="1" applyAlignment="1">
      <alignment horizontal="center" vertical="center" wrapText="1"/>
    </xf>
    <xf numFmtId="14" fontId="11" fillId="20" borderId="4" xfId="0" applyNumberFormat="1" applyFont="1" applyFill="1" applyBorder="1" applyAlignment="1">
      <alignment horizontal="center" vertical="center" wrapText="1"/>
    </xf>
    <xf numFmtId="20" fontId="11" fillId="20" borderId="4" xfId="0" applyNumberFormat="1" applyFont="1" applyFill="1" applyBorder="1" applyAlignment="1">
      <alignment horizontal="center" vertical="center" wrapText="1"/>
    </xf>
    <xf numFmtId="0" fontId="10" fillId="20" borderId="4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 wrapText="1"/>
    </xf>
    <xf numFmtId="0" fontId="22" fillId="0" borderId="13" xfId="0" applyFont="1" applyBorder="1" applyAlignment="1">
      <alignment horizontal="left"/>
    </xf>
    <xf numFmtId="165" fontId="22" fillId="0" borderId="13" xfId="0" applyNumberFormat="1" applyFont="1" applyBorder="1"/>
    <xf numFmtId="0" fontId="22" fillId="0" borderId="0" xfId="0" applyFont="1" applyAlignment="1">
      <alignment horizontal="left" indent="1"/>
    </xf>
    <xf numFmtId="165" fontId="22" fillId="0" borderId="0" xfId="0" applyNumberFormat="1" applyFont="1"/>
    <xf numFmtId="0" fontId="11" fillId="4" borderId="14" xfId="0" applyFont="1" applyFill="1" applyBorder="1" applyAlignment="1">
      <alignment horizontal="center" vertical="center" wrapText="1"/>
    </xf>
    <xf numFmtId="0" fontId="0" fillId="11" borderId="0" xfId="0" applyFill="1"/>
    <xf numFmtId="0" fontId="1" fillId="0" borderId="5" xfId="2" applyBorder="1" applyAlignment="1">
      <alignment horizontal="left" vertical="center"/>
    </xf>
    <xf numFmtId="0" fontId="1" fillId="0" borderId="0" xfId="2" applyAlignment="1">
      <alignment horizontal="left" vertical="center"/>
    </xf>
    <xf numFmtId="164" fontId="7" fillId="0" borderId="0" xfId="3" applyNumberFormat="1" applyFont="1" applyFill="1" applyBorder="1" applyAlignment="1">
      <alignment horizontal="left" vertical="center"/>
    </xf>
    <xf numFmtId="9" fontId="4" fillId="0" borderId="0" xfId="3" applyFont="1" applyFill="1" applyBorder="1" applyAlignment="1">
      <alignment horizontal="left" vertical="center"/>
    </xf>
    <xf numFmtId="165" fontId="1" fillId="0" borderId="0" xfId="1" applyNumberFormat="1" applyFont="1" applyAlignment="1">
      <alignment horizontal="left" vertical="center"/>
    </xf>
    <xf numFmtId="3" fontId="1" fillId="0" borderId="0" xfId="2" applyNumberFormat="1" applyAlignment="1">
      <alignment horizontal="left" vertical="center"/>
    </xf>
    <xf numFmtId="14" fontId="11" fillId="5" borderId="4" xfId="0" applyNumberFormat="1" applyFont="1" applyFill="1" applyBorder="1" applyAlignment="1">
      <alignment horizontal="center" vertical="center" wrapText="1"/>
    </xf>
    <xf numFmtId="20" fontId="11" fillId="5" borderId="4" xfId="0" applyNumberFormat="1" applyFont="1" applyFill="1" applyBorder="1" applyAlignment="1">
      <alignment horizontal="center" vertical="center" wrapText="1"/>
    </xf>
    <xf numFmtId="0" fontId="2" fillId="10" borderId="6" xfId="2" applyFont="1" applyFill="1" applyBorder="1" applyAlignment="1">
      <alignment horizontal="center" vertical="center"/>
    </xf>
    <xf numFmtId="3" fontId="19" fillId="10" borderId="0" xfId="2" applyNumberFormat="1" applyFont="1" applyFill="1" applyAlignment="1">
      <alignment horizontal="center" vertical="center"/>
    </xf>
    <xf numFmtId="0" fontId="10" fillId="0" borderId="4" xfId="0" applyFont="1" applyBorder="1" applyAlignment="1">
      <alignment wrapText="1"/>
    </xf>
    <xf numFmtId="0" fontId="0" fillId="23" borderId="0" xfId="0" applyFill="1"/>
    <xf numFmtId="0" fontId="0" fillId="23" borderId="0" xfId="0" applyFill="1" applyAlignment="1">
      <alignment horizontal="center"/>
    </xf>
    <xf numFmtId="0" fontId="11" fillId="24" borderId="4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center" wrapText="1"/>
    </xf>
    <xf numFmtId="14" fontId="11" fillId="15" borderId="4" xfId="0" applyNumberFormat="1" applyFont="1" applyFill="1" applyBorder="1" applyAlignment="1">
      <alignment horizontal="center" wrapText="1"/>
    </xf>
    <xf numFmtId="0" fontId="11" fillId="4" borderId="4" xfId="0" quotePrefix="1" applyFont="1" applyFill="1" applyBorder="1" applyAlignment="1">
      <alignment horizontal="center" vertical="center" wrapText="1"/>
    </xf>
    <xf numFmtId="20" fontId="10" fillId="0" borderId="4" xfId="0" applyNumberFormat="1" applyFont="1" applyBorder="1" applyAlignment="1">
      <alignment horizontal="center" wrapText="1"/>
    </xf>
    <xf numFmtId="0" fontId="24" fillId="4" borderId="4" xfId="0" applyFont="1" applyFill="1" applyBorder="1" applyAlignment="1">
      <alignment wrapText="1"/>
    </xf>
    <xf numFmtId="0" fontId="25" fillId="7" borderId="1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14" fontId="25" fillId="7" borderId="4" xfId="0" applyNumberFormat="1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vertical="center" wrapText="1"/>
    </xf>
    <xf numFmtId="0" fontId="25" fillId="7" borderId="4" xfId="0" applyFont="1" applyFill="1" applyBorder="1" applyAlignment="1">
      <alignment vertical="center" wrapText="1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0" fillId="5" borderId="0" xfId="0" applyFill="1"/>
    <xf numFmtId="0" fontId="11" fillId="7" borderId="1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vertical="center" wrapText="1"/>
    </xf>
    <xf numFmtId="14" fontId="11" fillId="7" borderId="4" xfId="0" applyNumberFormat="1" applyFont="1" applyFill="1" applyBorder="1" applyAlignment="1">
      <alignment horizontal="center" vertical="center" wrapText="1"/>
    </xf>
    <xf numFmtId="0" fontId="0" fillId="7" borderId="0" xfId="0" applyFill="1"/>
    <xf numFmtId="0" fontId="0" fillId="7" borderId="0" xfId="0" applyFill="1" applyAlignment="1">
      <alignment horizontal="center"/>
    </xf>
    <xf numFmtId="3" fontId="11" fillId="7" borderId="4" xfId="0" applyNumberFormat="1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indent="3"/>
    </xf>
    <xf numFmtId="0" fontId="11" fillId="25" borderId="4" xfId="0" applyFont="1" applyFill="1" applyBorder="1" applyAlignment="1">
      <alignment horizontal="center" vertical="center" wrapText="1"/>
    </xf>
    <xf numFmtId="14" fontId="11" fillId="25" borderId="4" xfId="0" applyNumberFormat="1" applyFont="1" applyFill="1" applyBorder="1" applyAlignment="1">
      <alignment horizontal="center" vertical="center" wrapText="1"/>
    </xf>
    <xf numFmtId="20" fontId="11" fillId="25" borderId="4" xfId="0" applyNumberFormat="1" applyFont="1" applyFill="1" applyBorder="1" applyAlignment="1">
      <alignment horizontal="center" vertical="center" wrapText="1"/>
    </xf>
    <xf numFmtId="0" fontId="10" fillId="25" borderId="4" xfId="0" applyFont="1" applyFill="1" applyBorder="1" applyAlignment="1">
      <alignment vertical="center" wrapText="1"/>
    </xf>
    <xf numFmtId="0" fontId="0" fillId="25" borderId="0" xfId="0" applyFill="1"/>
    <xf numFmtId="0" fontId="0" fillId="0" borderId="0" xfId="0" applyAlignment="1">
      <alignment horizontal="center" vertical="center"/>
    </xf>
    <xf numFmtId="20" fontId="11" fillId="7" borderId="4" xfId="0" applyNumberFormat="1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0" fillId="7" borderId="14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0" fillId="25" borderId="0" xfId="0" applyFill="1" applyAlignment="1">
      <alignment vertical="center"/>
    </xf>
    <xf numFmtId="0" fontId="16" fillId="3" borderId="15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vertical="center" wrapText="1"/>
    </xf>
    <xf numFmtId="20" fontId="11" fillId="5" borderId="12" xfId="0" applyNumberFormat="1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0" fillId="16" borderId="12" xfId="0" applyFont="1" applyFill="1" applyBorder="1" applyAlignment="1">
      <alignment vertical="center" wrapText="1"/>
    </xf>
    <xf numFmtId="0" fontId="11" fillId="16" borderId="12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vertical="center" wrapText="1"/>
    </xf>
    <xf numFmtId="0" fontId="11" fillId="15" borderId="12" xfId="0" applyFont="1" applyFill="1" applyBorder="1" applyAlignment="1">
      <alignment horizontal="center" vertical="center" wrapText="1"/>
    </xf>
    <xf numFmtId="0" fontId="10" fillId="25" borderId="12" xfId="0" applyFont="1" applyFill="1" applyBorder="1" applyAlignment="1">
      <alignment vertical="center" wrapText="1"/>
    </xf>
    <xf numFmtId="0" fontId="11" fillId="25" borderId="12" xfId="0" applyFont="1" applyFill="1" applyBorder="1" applyAlignment="1">
      <alignment horizontal="center" vertical="center" wrapText="1"/>
    </xf>
    <xf numFmtId="20" fontId="11" fillId="15" borderId="12" xfId="0" applyNumberFormat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0" fillId="20" borderId="12" xfId="0" applyFont="1" applyFill="1" applyBorder="1" applyAlignment="1">
      <alignment vertical="center" wrapText="1"/>
    </xf>
    <xf numFmtId="0" fontId="11" fillId="20" borderId="12" xfId="0" applyFont="1" applyFill="1" applyBorder="1" applyAlignment="1">
      <alignment horizontal="center" vertical="center" wrapText="1"/>
    </xf>
    <xf numFmtId="0" fontId="10" fillId="15" borderId="12" xfId="0" applyFont="1" applyFill="1" applyBorder="1" applyAlignment="1">
      <alignment wrapText="1"/>
    </xf>
    <xf numFmtId="0" fontId="11" fillId="15" borderId="12" xfId="0" applyFont="1" applyFill="1" applyBorder="1" applyAlignment="1">
      <alignment horizontal="center" wrapText="1"/>
    </xf>
    <xf numFmtId="20" fontId="11" fillId="25" borderId="12" xfId="0" applyNumberFormat="1" applyFont="1" applyFill="1" applyBorder="1" applyAlignment="1">
      <alignment horizontal="center" vertical="center" wrapText="1"/>
    </xf>
    <xf numFmtId="20" fontId="11" fillId="20" borderId="12" xfId="0" applyNumberFormat="1" applyFont="1" applyFill="1" applyBorder="1" applyAlignment="1">
      <alignment horizontal="center" vertical="center" wrapText="1"/>
    </xf>
    <xf numFmtId="20" fontId="11" fillId="2" borderId="12" xfId="0" applyNumberFormat="1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14" fontId="11" fillId="5" borderId="6" xfId="0" applyNumberFormat="1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vertical="center" wrapText="1"/>
    </xf>
    <xf numFmtId="3" fontId="11" fillId="5" borderId="6" xfId="0" applyNumberFormat="1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14" fontId="11" fillId="16" borderId="6" xfId="0" applyNumberFormat="1" applyFont="1" applyFill="1" applyBorder="1" applyAlignment="1">
      <alignment horizontal="center" vertical="center" wrapText="1"/>
    </xf>
    <xf numFmtId="0" fontId="10" fillId="16" borderId="6" xfId="0" applyFont="1" applyFill="1" applyBorder="1" applyAlignment="1">
      <alignment vertical="center" wrapText="1"/>
    </xf>
    <xf numFmtId="0" fontId="11" fillId="16" borderId="6" xfId="0" applyFont="1" applyFill="1" applyBorder="1" applyAlignment="1">
      <alignment vertical="center" wrapText="1"/>
    </xf>
    <xf numFmtId="3" fontId="11" fillId="16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vertical="center" wrapText="1"/>
    </xf>
    <xf numFmtId="14" fontId="11" fillId="15" borderId="6" xfId="0" applyNumberFormat="1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vertical="center" wrapText="1"/>
    </xf>
    <xf numFmtId="3" fontId="11" fillId="15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1" fillId="25" borderId="6" xfId="0" applyFont="1" applyFill="1" applyBorder="1" applyAlignment="1">
      <alignment horizontal="center" vertical="center" wrapText="1"/>
    </xf>
    <xf numFmtId="14" fontId="11" fillId="25" borderId="6" xfId="0" applyNumberFormat="1" applyFont="1" applyFill="1" applyBorder="1" applyAlignment="1">
      <alignment horizontal="center" vertical="center" wrapText="1"/>
    </xf>
    <xf numFmtId="0" fontId="10" fillId="25" borderId="6" xfId="0" applyFont="1" applyFill="1" applyBorder="1" applyAlignment="1">
      <alignment vertical="center" wrapText="1"/>
    </xf>
    <xf numFmtId="0" fontId="11" fillId="25" borderId="6" xfId="0" applyFont="1" applyFill="1" applyBorder="1" applyAlignment="1">
      <alignment vertical="center" wrapText="1"/>
    </xf>
    <xf numFmtId="3" fontId="11" fillId="25" borderId="6" xfId="0" applyNumberFormat="1" applyFont="1" applyFill="1" applyBorder="1" applyAlignment="1">
      <alignment horizontal="center" vertical="center" wrapText="1"/>
    </xf>
    <xf numFmtId="0" fontId="0" fillId="25" borderId="6" xfId="0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14" fontId="11" fillId="2" borderId="6" xfId="0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0" fontId="11" fillId="2" borderId="6" xfId="0" applyFont="1" applyFill="1" applyBorder="1" applyAlignment="1">
      <alignment vertical="center" wrapText="1"/>
    </xf>
    <xf numFmtId="3" fontId="11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6" borderId="6" xfId="0" applyFont="1" applyFill="1" applyBorder="1" applyAlignment="1">
      <alignment horizontal="center"/>
    </xf>
    <xf numFmtId="0" fontId="10" fillId="20" borderId="6" xfId="0" applyFont="1" applyFill="1" applyBorder="1" applyAlignment="1">
      <alignment vertical="center" wrapText="1"/>
    </xf>
    <xf numFmtId="0" fontId="11" fillId="20" borderId="6" xfId="0" applyFont="1" applyFill="1" applyBorder="1" applyAlignment="1">
      <alignment horizontal="center" vertical="center" wrapText="1"/>
    </xf>
    <xf numFmtId="14" fontId="11" fillId="20" borderId="6" xfId="0" applyNumberFormat="1" applyFont="1" applyFill="1" applyBorder="1" applyAlignment="1">
      <alignment horizontal="center" vertical="center" wrapText="1"/>
    </xf>
    <xf numFmtId="0" fontId="11" fillId="20" borderId="6" xfId="0" applyFont="1" applyFill="1" applyBorder="1" applyAlignment="1">
      <alignment vertical="center" wrapText="1"/>
    </xf>
    <xf numFmtId="3" fontId="11" fillId="20" borderId="6" xfId="0" applyNumberFormat="1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/>
    </xf>
    <xf numFmtId="0" fontId="23" fillId="20" borderId="6" xfId="0" applyFont="1" applyFill="1" applyBorder="1"/>
    <xf numFmtId="0" fontId="11" fillId="15" borderId="6" xfId="0" applyFont="1" applyFill="1" applyBorder="1" applyAlignment="1">
      <alignment horizontal="center" wrapText="1"/>
    </xf>
    <xf numFmtId="0" fontId="10" fillId="15" borderId="6" xfId="0" applyFont="1" applyFill="1" applyBorder="1" applyAlignment="1">
      <alignment horizontal="center" wrapText="1"/>
    </xf>
    <xf numFmtId="14" fontId="11" fillId="15" borderId="6" xfId="0" applyNumberFormat="1" applyFont="1" applyFill="1" applyBorder="1" applyAlignment="1">
      <alignment horizontal="center" wrapText="1"/>
    </xf>
    <xf numFmtId="0" fontId="10" fillId="15" borderId="6" xfId="0" applyFont="1" applyFill="1" applyBorder="1" applyAlignment="1">
      <alignment wrapText="1"/>
    </xf>
    <xf numFmtId="0" fontId="11" fillId="15" borderId="6" xfId="0" applyFont="1" applyFill="1" applyBorder="1" applyAlignment="1">
      <alignment wrapText="1"/>
    </xf>
    <xf numFmtId="3" fontId="11" fillId="15" borderId="6" xfId="0" applyNumberFormat="1" applyFont="1" applyFill="1" applyBorder="1" applyAlignment="1">
      <alignment horizont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5" borderId="6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wrapText="1"/>
    </xf>
    <xf numFmtId="0" fontId="1" fillId="20" borderId="6" xfId="0" applyFont="1" applyFill="1" applyBorder="1" applyAlignment="1">
      <alignment horizontal="center"/>
    </xf>
    <xf numFmtId="0" fontId="11" fillId="5" borderId="6" xfId="0" applyFont="1" applyFill="1" applyBorder="1" applyAlignment="1">
      <alignment horizontal="center" vertical="center"/>
    </xf>
    <xf numFmtId="0" fontId="11" fillId="27" borderId="6" xfId="0" applyFont="1" applyFill="1" applyBorder="1" applyAlignment="1">
      <alignment horizontal="center" vertical="center" wrapText="1"/>
    </xf>
    <xf numFmtId="14" fontId="11" fillId="27" borderId="6" xfId="0" applyNumberFormat="1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vertical="center" wrapText="1"/>
    </xf>
    <xf numFmtId="0" fontId="11" fillId="27" borderId="6" xfId="0" applyFont="1" applyFill="1" applyBorder="1" applyAlignment="1">
      <alignment vertical="center" wrapText="1"/>
    </xf>
    <xf numFmtId="0" fontId="10" fillId="21" borderId="6" xfId="0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vertical="center" wrapText="1"/>
    </xf>
    <xf numFmtId="0" fontId="10" fillId="21" borderId="6" xfId="0" applyFont="1" applyFill="1" applyBorder="1" applyAlignment="1">
      <alignment vertical="center" wrapText="1"/>
    </xf>
    <xf numFmtId="14" fontId="11" fillId="21" borderId="6" xfId="0" applyNumberFormat="1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vertical="center" wrapText="1"/>
    </xf>
    <xf numFmtId="3" fontId="11" fillId="21" borderId="6" xfId="0" applyNumberFormat="1" applyFont="1" applyFill="1" applyBorder="1" applyAlignment="1">
      <alignment horizontal="center" vertical="center" wrapText="1"/>
    </xf>
    <xf numFmtId="0" fontId="10" fillId="20" borderId="6" xfId="0" applyFont="1" applyFill="1" applyBorder="1" applyAlignment="1">
      <alignment horizontal="center" vertical="center" wrapText="1"/>
    </xf>
    <xf numFmtId="0" fontId="1" fillId="0" borderId="0" xfId="2" applyAlignment="1">
      <alignment wrapText="1"/>
    </xf>
    <xf numFmtId="0" fontId="1" fillId="27" borderId="6" xfId="0" applyFont="1" applyFill="1" applyBorder="1" applyAlignment="1">
      <alignment horizontal="center" vertical="center" wrapText="1"/>
    </xf>
    <xf numFmtId="0" fontId="23" fillId="20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2" applyAlignment="1">
      <alignment vertical="center"/>
    </xf>
    <xf numFmtId="0" fontId="1" fillId="21" borderId="6" xfId="0" applyFont="1" applyFill="1" applyBorder="1" applyAlignment="1">
      <alignment horizontal="center" vertical="center" wrapText="1"/>
    </xf>
    <xf numFmtId="0" fontId="8" fillId="28" borderId="6" xfId="2" applyFont="1" applyFill="1" applyBorder="1" applyAlignment="1">
      <alignment horizontal="center" vertical="center"/>
    </xf>
    <xf numFmtId="165" fontId="20" fillId="28" borderId="6" xfId="1" applyNumberFormat="1" applyFont="1" applyFill="1" applyBorder="1" applyAlignment="1">
      <alignment horizontal="center" vertical="center" wrapText="1"/>
    </xf>
    <xf numFmtId="0" fontId="8" fillId="20" borderId="6" xfId="2" applyFont="1" applyFill="1" applyBorder="1" applyAlignment="1">
      <alignment horizontal="center" vertical="center" wrapText="1"/>
    </xf>
    <xf numFmtId="0" fontId="8" fillId="29" borderId="6" xfId="2" applyFont="1" applyFill="1" applyBorder="1" applyAlignment="1">
      <alignment horizontal="center" vertical="center"/>
    </xf>
    <xf numFmtId="0" fontId="1" fillId="29" borderId="6" xfId="2" applyFill="1" applyBorder="1" applyAlignment="1">
      <alignment horizontal="center" vertical="center"/>
    </xf>
    <xf numFmtId="165" fontId="1" fillId="29" borderId="6" xfId="1" applyNumberFormat="1" applyFont="1" applyFill="1" applyBorder="1" applyAlignment="1">
      <alignment horizontal="center" vertical="center" wrapText="1"/>
    </xf>
    <xf numFmtId="0" fontId="11" fillId="29" borderId="6" xfId="0" applyFont="1" applyFill="1" applyBorder="1" applyAlignment="1">
      <alignment horizontal="center" vertical="center" wrapText="1"/>
    </xf>
    <xf numFmtId="14" fontId="11" fillId="29" borderId="6" xfId="0" applyNumberFormat="1" applyFont="1" applyFill="1" applyBorder="1" applyAlignment="1">
      <alignment horizontal="center" vertical="center" wrapText="1"/>
    </xf>
    <xf numFmtId="0" fontId="10" fillId="29" borderId="6" xfId="0" applyFont="1" applyFill="1" applyBorder="1" applyAlignment="1">
      <alignment vertical="center" wrapText="1"/>
    </xf>
    <xf numFmtId="0" fontId="11" fillId="29" borderId="6" xfId="0" applyFont="1" applyFill="1" applyBorder="1" applyAlignment="1">
      <alignment vertical="center" wrapText="1"/>
    </xf>
    <xf numFmtId="3" fontId="11" fillId="29" borderId="6" xfId="0" applyNumberFormat="1" applyFont="1" applyFill="1" applyBorder="1" applyAlignment="1">
      <alignment horizontal="center" vertical="center" wrapText="1"/>
    </xf>
    <xf numFmtId="0" fontId="0" fillId="29" borderId="6" xfId="0" applyFill="1" applyBorder="1" applyAlignment="1">
      <alignment horizontal="center" vertical="center" wrapText="1"/>
    </xf>
    <xf numFmtId="0" fontId="1" fillId="5" borderId="9" xfId="2" applyFill="1" applyBorder="1" applyAlignment="1">
      <alignment horizontal="center"/>
    </xf>
    <xf numFmtId="0" fontId="1" fillId="5" borderId="6" xfId="2" applyFill="1" applyBorder="1" applyAlignment="1">
      <alignment horizontal="center" vertical="center"/>
    </xf>
    <xf numFmtId="165" fontId="1" fillId="5" borderId="10" xfId="1" applyNumberFormat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 vertical="center"/>
    </xf>
    <xf numFmtId="165" fontId="28" fillId="0" borderId="0" xfId="2" applyNumberFormat="1" applyFont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  <xf numFmtId="0" fontId="5" fillId="7" borderId="0" xfId="2" applyFont="1" applyFill="1" applyAlignment="1">
      <alignment horizontal="center" vertical="center"/>
    </xf>
    <xf numFmtId="0" fontId="1" fillId="7" borderId="0" xfId="2" applyFill="1" applyAlignment="1">
      <alignment horizontal="center"/>
    </xf>
    <xf numFmtId="17" fontId="5" fillId="7" borderId="0" xfId="2" applyNumberFormat="1" applyFont="1" applyFill="1" applyAlignment="1">
      <alignment horizontal="center" vertical="center"/>
    </xf>
    <xf numFmtId="0" fontId="7" fillId="7" borderId="0" xfId="2" applyFont="1" applyFill="1" applyAlignment="1">
      <alignment horizontal="left" vertical="center"/>
    </xf>
    <xf numFmtId="0" fontId="7" fillId="7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/>
    </xf>
    <xf numFmtId="0" fontId="4" fillId="7" borderId="0" xfId="2" applyFont="1" applyFill="1" applyAlignment="1">
      <alignment horizontal="left" vertical="center"/>
    </xf>
    <xf numFmtId="0" fontId="4" fillId="7" borderId="0" xfId="2" applyFont="1" applyFill="1" applyAlignment="1">
      <alignment horizontal="center" vertical="center"/>
    </xf>
    <xf numFmtId="0" fontId="4" fillId="7" borderId="0" xfId="2" applyFont="1" applyFill="1" applyAlignment="1">
      <alignment horizontal="center"/>
    </xf>
    <xf numFmtId="0" fontId="1" fillId="7" borderId="0" xfId="2" applyFill="1" applyAlignment="1">
      <alignment horizontal="left"/>
    </xf>
    <xf numFmtId="0" fontId="29" fillId="10" borderId="6" xfId="0" applyFont="1" applyFill="1" applyBorder="1" applyAlignment="1">
      <alignment horizontal="center" vertical="center" wrapText="1"/>
    </xf>
    <xf numFmtId="14" fontId="29" fillId="10" borderId="6" xfId="0" applyNumberFormat="1" applyFont="1" applyFill="1" applyBorder="1" applyAlignment="1">
      <alignment horizontal="center" vertical="center" wrapText="1"/>
    </xf>
    <xf numFmtId="0" fontId="30" fillId="10" borderId="6" xfId="0" applyFont="1" applyFill="1" applyBorder="1" applyAlignment="1">
      <alignment vertical="center" wrapText="1"/>
    </xf>
    <xf numFmtId="0" fontId="29" fillId="10" borderId="6" xfId="0" applyFont="1" applyFill="1" applyBorder="1" applyAlignment="1">
      <alignment vertical="center" wrapText="1"/>
    </xf>
    <xf numFmtId="3" fontId="29" fillId="10" borderId="6" xfId="0" applyNumberFormat="1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10" fillId="27" borderId="6" xfId="0" applyFont="1" applyFill="1" applyBorder="1" applyAlignment="1">
      <alignment horizontal="center" vertical="center" wrapText="1"/>
    </xf>
    <xf numFmtId="14" fontId="25" fillId="27" borderId="6" xfId="0" applyNumberFormat="1" applyFont="1" applyFill="1" applyBorder="1" applyAlignment="1">
      <alignment horizontal="center" vertical="center" wrapText="1"/>
    </xf>
    <xf numFmtId="0" fontId="25" fillId="27" borderId="6" xfId="0" applyFont="1" applyFill="1" applyBorder="1" applyAlignment="1">
      <alignment horizontal="center" vertical="center" wrapText="1"/>
    </xf>
    <xf numFmtId="0" fontId="26" fillId="27" borderId="6" xfId="0" applyFont="1" applyFill="1" applyBorder="1" applyAlignment="1">
      <alignment vertical="center" wrapText="1"/>
    </xf>
    <xf numFmtId="0" fontId="25" fillId="27" borderId="6" xfId="0" applyFont="1" applyFill="1" applyBorder="1" applyAlignment="1">
      <alignment vertical="center" wrapText="1"/>
    </xf>
    <xf numFmtId="3" fontId="25" fillId="27" borderId="6" xfId="0" applyNumberFormat="1" applyFont="1" applyFill="1" applyBorder="1" applyAlignment="1">
      <alignment horizontal="center" vertical="center" wrapText="1"/>
    </xf>
    <xf numFmtId="0" fontId="7" fillId="27" borderId="6" xfId="0" applyFont="1" applyFill="1" applyBorder="1" applyAlignment="1">
      <alignment horizontal="center" vertical="center" wrapText="1"/>
    </xf>
    <xf numFmtId="0" fontId="7" fillId="30" borderId="6" xfId="2" applyFont="1" applyFill="1" applyBorder="1" applyAlignment="1">
      <alignment horizontal="center" vertical="center"/>
    </xf>
    <xf numFmtId="3" fontId="7" fillId="30" borderId="0" xfId="2" applyNumberFormat="1" applyFont="1" applyFill="1" applyAlignment="1">
      <alignment horizontal="center" vertical="center"/>
    </xf>
    <xf numFmtId="165" fontId="7" fillId="30" borderId="6" xfId="1" applyNumberFormat="1" applyFont="1" applyFill="1" applyBorder="1" applyAlignment="1">
      <alignment horizontal="center" vertical="center" wrapText="1"/>
    </xf>
    <xf numFmtId="0" fontId="25" fillId="30" borderId="6" xfId="0" applyFont="1" applyFill="1" applyBorder="1" applyAlignment="1">
      <alignment horizontal="center" vertical="center" wrapText="1"/>
    </xf>
    <xf numFmtId="14" fontId="25" fillId="30" borderId="6" xfId="0" applyNumberFormat="1" applyFont="1" applyFill="1" applyBorder="1" applyAlignment="1">
      <alignment horizontal="center" vertical="center" wrapText="1"/>
    </xf>
    <xf numFmtId="0" fontId="26" fillId="30" borderId="6" xfId="0" applyFont="1" applyFill="1" applyBorder="1" applyAlignment="1">
      <alignment vertical="center" wrapText="1"/>
    </xf>
    <xf numFmtId="0" fontId="25" fillId="30" borderId="6" xfId="0" applyFont="1" applyFill="1" applyBorder="1" applyAlignment="1">
      <alignment vertical="center" wrapText="1"/>
    </xf>
    <xf numFmtId="3" fontId="25" fillId="30" borderId="6" xfId="0" applyNumberFormat="1" applyFont="1" applyFill="1" applyBorder="1" applyAlignment="1">
      <alignment horizontal="center" vertical="center" wrapText="1"/>
    </xf>
    <xf numFmtId="0" fontId="7" fillId="30" borderId="6" xfId="0" applyFont="1" applyFill="1" applyBorder="1" applyAlignment="1">
      <alignment horizontal="center" vertical="center" wrapText="1"/>
    </xf>
    <xf numFmtId="0" fontId="11" fillId="21" borderId="6" xfId="0" applyFont="1" applyFill="1" applyBorder="1" applyAlignment="1">
      <alignment horizontal="center" wrapText="1"/>
    </xf>
    <xf numFmtId="14" fontId="11" fillId="21" borderId="6" xfId="0" applyNumberFormat="1" applyFont="1" applyFill="1" applyBorder="1" applyAlignment="1">
      <alignment horizontal="center" wrapText="1"/>
    </xf>
    <xf numFmtId="0" fontId="10" fillId="21" borderId="6" xfId="0" applyFont="1" applyFill="1" applyBorder="1" applyAlignment="1">
      <alignment wrapText="1"/>
    </xf>
    <xf numFmtId="3" fontId="11" fillId="21" borderId="6" xfId="0" applyNumberFormat="1" applyFont="1" applyFill="1" applyBorder="1" applyAlignment="1">
      <alignment horizontal="center" wrapText="1"/>
    </xf>
    <xf numFmtId="0" fontId="1" fillId="7" borderId="0" xfId="2" applyFill="1" applyAlignment="1">
      <alignment wrapText="1"/>
    </xf>
    <xf numFmtId="0" fontId="11" fillId="31" borderId="6" xfId="0" applyFont="1" applyFill="1" applyBorder="1" applyAlignment="1">
      <alignment horizontal="center" vertical="center" wrapText="1"/>
    </xf>
    <xf numFmtId="0" fontId="10" fillId="31" borderId="6" xfId="0" applyFont="1" applyFill="1" applyBorder="1" applyAlignment="1">
      <alignment vertical="center" wrapText="1"/>
    </xf>
    <xf numFmtId="14" fontId="11" fillId="31" borderId="6" xfId="0" applyNumberFormat="1" applyFont="1" applyFill="1" applyBorder="1" applyAlignment="1">
      <alignment horizontal="center" vertical="center" wrapText="1"/>
    </xf>
    <xf numFmtId="0" fontId="11" fillId="31" borderId="6" xfId="0" applyFont="1" applyFill="1" applyBorder="1" applyAlignment="1">
      <alignment vertical="center" wrapText="1"/>
    </xf>
    <xf numFmtId="3" fontId="11" fillId="31" borderId="6" xfId="0" applyNumberFormat="1" applyFont="1" applyFill="1" applyBorder="1" applyAlignment="1">
      <alignment horizontal="center" vertical="center" wrapText="1"/>
    </xf>
    <xf numFmtId="0" fontId="1" fillId="31" borderId="6" xfId="0" applyFont="1" applyFill="1" applyBorder="1" applyAlignment="1">
      <alignment horizontal="center" vertical="center" wrapText="1"/>
    </xf>
    <xf numFmtId="0" fontId="10" fillId="31" borderId="6" xfId="0" applyFont="1" applyFill="1" applyBorder="1" applyAlignment="1">
      <alignment horizontal="center" vertical="center" wrapText="1"/>
    </xf>
    <xf numFmtId="0" fontId="8" fillId="28" borderId="6" xfId="2" applyFont="1" applyFill="1" applyBorder="1" applyAlignment="1">
      <alignment horizontal="center" vertical="center" wrapText="1"/>
    </xf>
    <xf numFmtId="0" fontId="8" fillId="21" borderId="6" xfId="2" applyFont="1" applyFill="1" applyBorder="1" applyAlignment="1">
      <alignment horizontal="center" vertical="center" wrapText="1"/>
    </xf>
    <xf numFmtId="0" fontId="8" fillId="23" borderId="6" xfId="2" applyFont="1" applyFill="1" applyBorder="1" applyAlignment="1">
      <alignment horizontal="center" vertical="center" wrapText="1"/>
    </xf>
    <xf numFmtId="0" fontId="1" fillId="23" borderId="6" xfId="2" applyFill="1" applyBorder="1" applyAlignment="1">
      <alignment horizontal="center" vertical="center"/>
    </xf>
    <xf numFmtId="165" fontId="1" fillId="23" borderId="6" xfId="1" applyNumberFormat="1" applyFont="1" applyFill="1" applyBorder="1" applyAlignment="1">
      <alignment horizontal="center" vertical="center" wrapText="1"/>
    </xf>
    <xf numFmtId="0" fontId="10" fillId="23" borderId="6" xfId="0" applyFont="1" applyFill="1" applyBorder="1" applyAlignment="1">
      <alignment horizontal="center" vertical="center" wrapText="1"/>
    </xf>
    <xf numFmtId="0" fontId="11" fillId="23" borderId="6" xfId="0" applyFont="1" applyFill="1" applyBorder="1" applyAlignment="1">
      <alignment horizontal="center" vertical="center" wrapText="1"/>
    </xf>
    <xf numFmtId="0" fontId="10" fillId="23" borderId="6" xfId="0" applyFont="1" applyFill="1" applyBorder="1" applyAlignment="1">
      <alignment vertical="center" wrapText="1"/>
    </xf>
    <xf numFmtId="14" fontId="11" fillId="23" borderId="6" xfId="0" applyNumberFormat="1" applyFont="1" applyFill="1" applyBorder="1" applyAlignment="1">
      <alignment horizontal="center" vertical="center" wrapText="1"/>
    </xf>
    <xf numFmtId="0" fontId="11" fillId="23" borderId="6" xfId="0" applyFont="1" applyFill="1" applyBorder="1" applyAlignment="1">
      <alignment vertical="center" wrapText="1"/>
    </xf>
    <xf numFmtId="3" fontId="11" fillId="23" borderId="6" xfId="0" applyNumberFormat="1" applyFont="1" applyFill="1" applyBorder="1" applyAlignment="1">
      <alignment horizontal="center" vertical="center" wrapText="1"/>
    </xf>
    <xf numFmtId="0" fontId="1" fillId="23" borderId="6" xfId="0" applyFont="1" applyFill="1" applyBorder="1" applyAlignment="1">
      <alignment horizontal="center" vertical="center" wrapText="1"/>
    </xf>
    <xf numFmtId="0" fontId="1" fillId="23" borderId="0" xfId="2" applyFill="1" applyAlignment="1">
      <alignment wrapText="1"/>
    </xf>
    <xf numFmtId="0" fontId="1" fillId="7" borderId="0" xfId="2" applyFill="1" applyAlignment="1">
      <alignment vertical="center"/>
    </xf>
    <xf numFmtId="14" fontId="11" fillId="2" borderId="6" xfId="0" applyNumberFormat="1" applyFont="1" applyFill="1" applyBorder="1" applyAlignment="1">
      <alignment horizontal="left" vertical="center" wrapText="1"/>
    </xf>
    <xf numFmtId="0" fontId="1" fillId="2" borderId="0" xfId="2" applyFill="1" applyAlignment="1">
      <alignment horizontal="center" vertical="center"/>
    </xf>
    <xf numFmtId="165" fontId="22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5" fontId="22" fillId="0" borderId="13" xfId="0" applyNumberFormat="1" applyFont="1" applyBorder="1" applyAlignment="1">
      <alignment vertical="center"/>
    </xf>
    <xf numFmtId="0" fontId="28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8" borderId="7" xfId="2" applyFont="1" applyFill="1" applyBorder="1" applyAlignment="1">
      <alignment horizontal="center" vertical="center"/>
    </xf>
    <xf numFmtId="0" fontId="5" fillId="8" borderId="8" xfId="2" applyFont="1" applyFill="1" applyBorder="1" applyAlignment="1">
      <alignment horizontal="center" vertical="center"/>
    </xf>
    <xf numFmtId="0" fontId="5" fillId="8" borderId="7" xfId="2" applyFont="1" applyFill="1" applyBorder="1" applyAlignment="1">
      <alignment horizontal="center" vertical="center" wrapText="1"/>
    </xf>
    <xf numFmtId="0" fontId="5" fillId="8" borderId="8" xfId="2" applyFont="1" applyFill="1" applyBorder="1" applyAlignment="1">
      <alignment horizontal="center" vertical="center" wrapText="1"/>
    </xf>
    <xf numFmtId="0" fontId="5" fillId="7" borderId="0" xfId="2" applyFont="1" applyFill="1" applyAlignment="1">
      <alignment horizontal="left" vertical="center"/>
    </xf>
  </cellXfs>
  <cellStyles count="5">
    <cellStyle name="Moneda" xfId="1" builtinId="4"/>
    <cellStyle name="Normal" xfId="0" builtinId="0"/>
    <cellStyle name="Normal 2" xfId="2" xr:uid="{00000000-0005-0000-0000-000002000000}"/>
    <cellStyle name="Porcentaje" xfId="4" builtinId="5"/>
    <cellStyle name="Porcentaje 2" xfId="3" xr:uid="{00000000-0005-0000-0000-000003000000}"/>
  </cellStyles>
  <dxfs count="2">
    <dxf>
      <numFmt numFmtId="165" formatCode="_-&quot;$&quot;\ * #,##0_-;\-&quot;$&quot;\ * #,##0_-;_-&quot;$&quot;\ * &quot;-&quot;??_-;_-@_-"/>
    </dxf>
    <dxf>
      <numFmt numFmtId="165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E17FD5"/>
      <color rgb="FF00FF00"/>
      <color rgb="FFFF99CC"/>
      <color rgb="FFDB43FF"/>
      <color rgb="FFCC00FF"/>
      <color rgb="FFCC3399"/>
      <color rgb="FFF56F0B"/>
      <color rgb="FFD60093"/>
      <color rgb="FFCC66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uarezl\AppData\Local\Microsoft\Windows\INetCache\IE\F2FGMLPY\Datos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352.626307407401" createdVersion="8" refreshedVersion="8" minRefreshableVersion="3" recordCount="574" xr:uid="{00000000-000A-0000-FFFF-FFFF05000000}">
  <cacheSource type="worksheet">
    <worksheetSource ref="A1:H1" sheet="Datos" r:id="rId2"/>
  </cacheSource>
  <cacheFields count="8">
    <cacheField name="O.C." numFmtId="0">
      <sharedItems containsSemiMixedTypes="0" containsNonDate="0" containsString="0"/>
    </cacheField>
    <cacheField name="Fecha" numFmtId="0">
      <sharedItems containsSemiMixedTypes="0" containsNonDate="0" containsString="0"/>
    </cacheField>
    <cacheField name="Hora recepción" numFmtId="0">
      <sharedItems containsSemiMixedTypes="0" containsNonDate="0" containsString="0"/>
    </cacheField>
    <cacheField name="Pedido" numFmtId="0">
      <sharedItems containsSemiMixedTypes="0" containsNonDate="0" containsString="0"/>
    </cacheField>
    <cacheField name="N° de Factura" numFmtId="0">
      <sharedItems containsSemiMixedTypes="0" containsNonDate="0" containsString="0"/>
    </cacheField>
    <cacheField name="Fecha de generación del pedido" numFmtId="0">
      <sharedItems containsSemiMixedTypes="0" containsNonDate="0" containsString="0"/>
    </cacheField>
    <cacheField name="Hora generación" numFmtId="0">
      <sharedItems containsSemiMixedTypes="0" containsNonDate="0" containsString="0"/>
    </cacheField>
    <cacheField name="Nombre del Cliente" numFmtId="0">
      <sharedItems count="64">
        <s v="PREMEX S.A.S"/>
        <s v="PORCICULTORES APA S.A.S."/>
        <s v="ALIMENTOS ALDUQUE S.A.S."/>
        <s v="POLLOS EL BUCANERO"/>
        <s v="OPERADORA AVICOLA"/>
        <s v="GVM CORPORATION GLOBAL VETERINARY MEDICINE S A S"/>
        <s v="AYORA PEREZ CARLOS AUGUSTO"/>
        <s v="CERDOS DEL VALLE SA"/>
        <s v="VITAOVO S.A.S."/>
        <s v="AGROPECUARIA ALFA SAS"/>
        <s v="INSUMOS AGROPECUARIOS DEL CAFE S.A.S"/>
        <s v="AGROPECUARIA GOLOSO DEL VALLE S.A."/>
        <s v="COMPAÑIA INDUSTRIAL DE PRODUCTOS AGROPECUARIOS S.A."/>
        <s v="CONTEGRAL"/>
        <s v="ADITIVOS Y QUIMICOS SAS"/>
        <s v="AVIMOL S.A.S."/>
        <s v="AVICOLA LA DOMINGA S.A.S."/>
        <s v="AVECER S.A.S."/>
        <s v="AGROAVICOLA SAN MARINO S A"/>
        <s v="AVIDESA DE OCCIDENTE S.A."/>
        <s v="ITALCOL DE OCCIDENTE S.A."/>
        <s v="FINCA"/>
        <s v="EMPOLLADORA COLOMBIANA S.A."/>
        <s v="PRO FARM DE LOS ANDES SAS"/>
        <s v="COLOMBIANA DE INCUBACION SAS INCUBACOL"/>
        <s v="ALIMENTOS CONCENTRADOS DEL CARIBE S.A."/>
        <s v="INVERSIONES J.V. S.A.S."/>
        <s v="PORCICOLA PRADERA"/>
        <s v="ITALCOL S.A."/>
        <s v="AGRICOLA COLOMBIANA S.A."/>
        <s v="NUTRITEC SAS"/>
        <s v="INCUBADORA SANTANDER S.A."/>
        <s v="AGROINDUSTRIAL SAN JOSE SA"/>
        <s v="COOPERATIVA DE PORCICULTORES DEL EJE CAFETERO"/>
        <s v="DON POLLO"/>
        <s v="SOLLA S.A."/>
        <s v="PORICOLA EMMANUEL"/>
        <s v="AGROPECUARIA DE OCCIDENTE S.A."/>
        <s v="DISTRIBUCIONES AGRALBA S.A."/>
        <s v="NUTRICION EXPERTA DE COLOMBIA S.A.S"/>
        <s v="COOPERATIVA COLANTA"/>
        <s v="ACEBEDO SILVA S.A."/>
        <s v="DISTRIBUIDORA AVICOLA S.A.S."/>
        <s v="CUERVO &amp; CIA SAS"/>
        <s v="AGRIFEED SAS"/>
        <s v="OMAR CHICAIZA"/>
        <s v="PROVIMI SA"/>
        <s v="O TAFUR Z Y CIA S EN C"/>
        <s v="AGROPECARIA DE OCCIDENTE S.A."/>
        <s v="PREMEX"/>
        <s v="PROVIMI S.A."/>
        <s v="AGRIFEED"/>
        <s v="BALANCEADOS ALIANZA"/>
        <s v="PORCICOLA EMMANUEL"/>
        <s v="CONCENTRADOS ESPARTACO"/>
        <s v="AVICOLA LA DOMINGA"/>
        <s v="SOCIEDAD AVICOLA EL TABACAL SAS"/>
        <s v="MEJIA &amp; CIA. S.A."/>
        <s v="MARIA JOSE ORTIZ"/>
        <s v="REVEEX NUTRICION SAS"/>
        <s v="AGROPECUARIA DE OCCIDENTE"/>
        <s v="AVICOLA LOS CAMBULOS SA"/>
        <s v="CARDONA RESTREPO JAIME DE JESUS"/>
        <s v="PORCICOLA PRADERA S.A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5909.664211111114" createdVersion="8" refreshedVersion="8" minRefreshableVersion="3" recordCount="587" xr:uid="{4328F620-02C4-4AF2-94A0-A233454B8E29}">
  <cacheSource type="worksheet">
    <worksheetSource ref="A1:R1" sheet="Base"/>
  </cacheSource>
  <cacheFields count="18">
    <cacheField name="Observaciones" numFmtId="0">
      <sharedItems containsBlank="1"/>
    </cacheField>
    <cacheField name="O.C." numFmtId="0">
      <sharedItems containsBlank="1" containsMixedTypes="1" containsNumber="1" containsInteger="1" minValue="90824" maxValue="4500353591"/>
    </cacheField>
    <cacheField name="Fecha recepción O.C." numFmtId="0">
      <sharedItems containsDate="1" containsMixedTypes="1" minDate="2025-05-08T00:00:00" maxDate="2025-09-01T00:00:00"/>
    </cacheField>
    <cacheField name="Hora reQ" numFmtId="20">
      <sharedItems containsSemiMixedTypes="0" containsNonDate="0" containsDate="1" containsString="0" minDate="1899-12-30T06:53:00" maxDate="1899-12-30T22:20:00"/>
    </cacheField>
    <cacheField name="FECHA DE ENTREGA REAL" numFmtId="0">
      <sharedItems containsDate="1" containsBlank="1" containsMixedTypes="1" minDate="2025-07-14T00:00:00" maxDate="2025-08-31T00:00:00"/>
    </cacheField>
    <cacheField name="Pedido" numFmtId="0">
      <sharedItems containsBlank="1" count="316">
        <s v="S08516"/>
        <s v="S08929"/>
        <s v="S08928"/>
        <s v="S08358"/>
        <s v="S07503"/>
        <s v="S07893"/>
        <s v="S07931"/>
        <s v="S07990"/>
        <s v="S07958"/>
        <s v="S08000"/>
        <s v="S08061"/>
        <s v="S07203"/>
        <s v="S08084"/>
        <s v="S08085"/>
        <s v="S08086"/>
        <s v="S08087"/>
        <s v="S08092"/>
        <s v="S07770"/>
        <s v="S07774"/>
        <s v="S08047"/>
        <s v="S08109"/>
        <s v="S08120"/>
        <s v="S08119"/>
        <m/>
        <s v="S08124"/>
        <s v="S08125"/>
        <s v="S08127"/>
        <s v="S08128"/>
        <s v="S08129"/>
        <s v="S08144"/>
        <s v="S08145"/>
        <s v="S08158"/>
        <s v="S08160"/>
        <s v="S08161"/>
        <s v="S08162"/>
        <s v="S08163"/>
        <s v="S08165"/>
        <s v="S08164"/>
        <s v=" S08170"/>
        <s v="S08191"/>
        <s v="S08192"/>
        <s v="S08195"/>
        <s v="S08194"/>
        <s v="S08196"/>
        <s v="S08198"/>
        <s v="S08199"/>
        <s v="S08210"/>
        <s v="S08214"/>
        <s v="S08201"/>
        <s v="S08213"/>
        <s v="S08230"/>
        <s v="S08231"/>
        <s v="S08233"/>
        <s v="S08235"/>
        <s v="S08236"/>
        <s v="S08237"/>
        <s v="S08239"/>
        <s v="S08240"/>
        <s v="S08241"/>
        <s v="S08242"/>
        <s v="S08243"/>
        <s v="S08193"/>
        <s v="S08172"/>
        <s v="S08244"/>
        <s v="S08250"/>
        <s v="S08251"/>
        <s v="S08253"/>
        <s v="S08259"/>
        <s v="S08270"/>
        <s v="S08272"/>
        <s v="S08273"/>
        <s v="S08274"/>
        <s v="S08275"/>
        <s v="S08276"/>
        <s v="S08101"/>
        <s v="S08278"/>
        <s v="S08283"/>
        <s v="S08284"/>
        <s v="S08286"/>
        <s v="S08288"/>
        <s v="S08289"/>
        <s v="S08290"/>
        <s v="S08291"/>
        <s v="S08292"/>
        <s v="S08293"/>
        <s v="S08294"/>
        <s v="S08298"/>
        <s v="S08303"/>
        <s v="S08306"/>
        <s v="S08308"/>
        <s v="S08312"/>
        <s v="S08314"/>
        <s v="S08315"/>
        <s v="S08316"/>
        <s v="S08318"/>
        <s v="S08319"/>
        <s v="S08321"/>
        <s v="S08322"/>
        <s v="S08323"/>
        <s v="S08325"/>
        <s v="S08326"/>
        <s v="S08327"/>
        <s v="S08328"/>
        <s v="S08329"/>
        <s v="S08331"/>
        <s v="S08332"/>
        <s v="S08333"/>
        <s v="S08334"/>
        <s v="S08335"/>
        <s v="S08337"/>
        <s v="S08353"/>
        <s v="S08354"/>
        <s v="S08355"/>
        <s v="S08359"/>
        <s v="S08360"/>
        <s v="S08361"/>
        <s v="S08363"/>
        <s v="S08364"/>
        <s v="S08367"/>
        <s v="S08371"/>
        <s v="S08382"/>
        <s v="S08383"/>
        <s v="S08384"/>
        <s v="S08386"/>
        <s v="S08387"/>
        <s v="S08392"/>
        <s v="S08317"/>
        <s v="S08399"/>
        <s v="S08402"/>
        <s v="S08324"/>
        <s v="S08404"/>
        <s v="S08406"/>
        <s v="S08389"/>
        <s v="S08407"/>
        <s v="S08405"/>
        <s v="S08409"/>
        <s v="S08410"/>
        <s v="S08411"/>
        <s v="S08412"/>
        <s v="S08414"/>
        <s v="S08445"/>
        <s v="S08446"/>
        <s v="S08447"/>
        <s v="S08448"/>
        <s v="S08450"/>
        <s v="S08451"/>
        <s v="S08452"/>
        <s v="S08462"/>
        <s v="S08463"/>
        <s v="S08464"/>
        <s v="S08465"/>
        <s v="S08466"/>
        <s v="S08475"/>
        <s v="S08476"/>
        <s v="S08482"/>
        <s v="S08483"/>
        <s v="S08485"/>
        <s v="S08486"/>
        <s v="S08487"/>
        <s v="S08488"/>
        <s v="S08489"/>
        <s v="S08490"/>
        <s v="S08491"/>
        <s v="S08495"/>
        <s v="S08496"/>
        <s v="S08497"/>
        <s v="S08498"/>
        <s v="S08499"/>
        <s v="S08500"/>
        <s v="S08501"/>
        <s v="S08504"/>
        <s v="S08505"/>
        <s v="S08506"/>
        <s v="S08507"/>
        <s v="S08509"/>
        <s v="S08515"/>
        <s v="S08523"/>
        <s v="S08528"/>
        <s v="S08529"/>
        <s v="S08530"/>
        <s v="S08531"/>
        <s v="S08532"/>
        <s v="S08538"/>
        <s v="S08540"/>
        <s v="S08541"/>
        <s v="S08543"/>
        <s v="S08546"/>
        <s v="S08565"/>
        <s v="S08566"/>
        <s v="S08632"/>
        <s v="S08605"/>
        <s v="S08576"/>
        <s v="S08577"/>
        <s v="S08578"/>
        <s v="S08580"/>
        <s v="S08584"/>
        <s v="S08585"/>
        <s v="S08592"/>
        <s v="S08593"/>
        <s v="S08595"/>
        <s v="S07257"/>
        <s v="S08596"/>
        <s v="S08603"/>
        <s v="S08601"/>
        <s v="S08762"/>
        <s v="S08780"/>
        <s v="S08614"/>
        <s v="S08615"/>
        <s v="S08616"/>
        <s v="S08618"/>
        <s v="S08622"/>
        <s v="S08608"/>
        <s v="S08624"/>
        <s v="S07292"/>
        <s v="S08612"/>
        <s v="S08647"/>
        <s v="S08653"/>
        <s v="S08655"/>
        <s v="S08662"/>
        <s v="S08663"/>
        <s v="S08665"/>
        <s v="S08667"/>
        <s v="S08668"/>
        <s v="S08669"/>
        <s v="S08670"/>
        <s v="S08671"/>
        <s v="S08673"/>
        <s v="S08675"/>
        <s v="S08685"/>
        <s v="S08713"/>
        <s v="S08714"/>
        <s v="S08715"/>
        <s v="S08720"/>
        <s v="S08721"/>
        <s v="S08722"/>
        <s v="S08716"/>
        <s v="S08726"/>
        <s v="S08727"/>
        <s v="S08728"/>
        <s v="S08729"/>
        <s v="S08730"/>
        <s v="S08732"/>
        <s v="S08734"/>
        <s v="S08735"/>
        <s v="S08736"/>
        <s v="S08738"/>
        <s v="S08741"/>
        <s v="S08742"/>
        <s v="S08743"/>
        <s v="S08744"/>
        <s v="S08748"/>
        <s v="S08752"/>
        <s v="S08757"/>
        <s v="S08827"/>
        <s v="S08733"/>
        <s v="S08763"/>
        <s v="S08764"/>
        <s v="S08756"/>
        <s v="S08770"/>
        <s v="S08771"/>
        <s v="S08772"/>
        <s v="S08775"/>
        <s v="S08776"/>
        <s v="S08785"/>
        <s v="S08786"/>
        <s v="S08787"/>
        <s v="S08788"/>
        <s v="S08789"/>
        <s v="S08597"/>
        <s v="S08790"/>
        <s v="S08791"/>
        <s v="S08796"/>
        <s v="S08797"/>
        <s v="S08798"/>
        <s v="S08811"/>
        <s v="S08819"/>
        <s v="S08820"/>
        <s v="S08866"/>
        <s v="S08821"/>
        <s v="S08822"/>
        <s v="S08823"/>
        <s v="S08824"/>
        <s v="S08828"/>
        <s v="S08831"/>
        <s v="S08832"/>
        <s v="S08833"/>
        <s v="S08849"/>
        <s v="S08865"/>
        <s v="S08856"/>
        <s v="S08868"/>
        <s v="S08870"/>
        <s v="S08871"/>
        <s v="S08873"/>
        <s v="S08887"/>
        <s v="S08888"/>
        <s v="S08895"/>
        <s v="S08897"/>
        <s v="S08898"/>
        <s v="S08901"/>
        <s v="S08902"/>
        <s v="S08906"/>
        <s v="S08908"/>
        <s v="S08915"/>
        <s v="S08926"/>
        <s v="S08931"/>
        <s v="S08938"/>
        <s v="S08932"/>
        <s v="S08944"/>
        <s v="S08949"/>
        <s v="S08980"/>
        <s v="S08981"/>
        <s v="S08985"/>
        <s v="S08964"/>
        <s v="S08953"/>
        <s v="S08930"/>
        <s v="S08896"/>
      </sharedItems>
    </cacheField>
    <cacheField name="N° de Factura" numFmtId="0">
      <sharedItems containsBlank="1"/>
    </cacheField>
    <cacheField name="Fecha de generación del pedido" numFmtId="0">
      <sharedItems containsNonDate="0" containsDate="1" containsString="0" containsBlank="1" minDate="2025-06-25T00:00:00" maxDate="2025-08-29T00:00:00"/>
    </cacheField>
    <cacheField name="Hora generación" numFmtId="20">
      <sharedItems containsNonDate="0" containsDate="1" containsString="0" containsBlank="1" minDate="1899-12-30T07:40:00" maxDate="1899-12-30T17:22:00"/>
    </cacheField>
    <cacheField name="Cliente" numFmtId="0">
      <sharedItems count="90">
        <s v="PREMEX S.A. "/>
        <s v="ALIMENTOS POLAR"/>
        <s v="SOLLA"/>
        <s v="PREMEZCLAS LATINOAMERICANAS PRALSA"/>
        <s v="COMPAÑIA INDUSTRIAL DE PRODUCTOS AGROPECUARIOS"/>
        <s v="FINCA"/>
        <s v="CONTEGRAL"/>
        <s v="INVERSIONES ESCALA"/>
        <s v="MEZCLAS BIOMIX"/>
        <s v="MARIA JOSE ORTIZ"/>
        <s v="AVIMOL"/>
        <s v="AVICOLA EL GUAMITO"/>
        <s v="COOPERATIVA COLANTA"/>
        <s v="ITALCOL DE OCCIDENTE"/>
        <s v="AGROPECUARIA GOLOSO"/>
        <s v="AVICOLA LA AURORA"/>
        <s v="AGRIFEED"/>
        <s v="PROCESADORA  NACIONAL DE ALIMENTOS (PRONACA)"/>
        <s v="GRANJAS PARAISO"/>
        <s v="AGROPECUARIA ALFA"/>
        <s v="AGROPECUARIA ALIAR"/>
        <s v="REVEEX"/>
        <s v="INVERSIONES FEED"/>
        <s v="AGROINDUSTRIAL SAN JOSE"/>
        <s v="PORCICOLA EMMANUEL"/>
        <s v="NUTRITEC"/>
        <s v="COMERCIALIZADORA G&amp;M"/>
        <s v="AGROAVICOLA SAN MARINO"/>
        <s v="COMERCIALIZADORA CAMPO FERTIL"/>
        <s v="ALIMENTOS ALDUQUE"/>
        <s v="PORCICULTORES APA"/>
        <s v="AGROINDUSTRIA BIOMANANTIALES"/>
        <s v="AGROPECUARIA DE OCCIDENTE"/>
        <s v="AGRICOLA COLOMBIANA"/>
        <s v="DISTRIBUIDORA AGRO-PLUS"/>
        <s v="INSUMOS Y ADITIVOS VETERINARIOS"/>
        <s v="CONCENTRADOS CONSUIZA"/>
        <s v="CERDON"/>
        <s v="NUTRICION EXPERTA DE COLOMBIA"/>
        <s v="COOPERATIVA DE PORCICULTORES DEL EJE CAFETERO"/>
        <s v="ADITIVOS Y QUIMICOS"/>
        <s v="CERDOS DEL VALLE"/>
        <s v="MESAGE"/>
        <s v="OPERADORA AVICOLA"/>
        <s v="POLLO FIESTA"/>
        <s v="IMP- AGRO"/>
        <s v="GARCIA GOMEZ AGROINVERSIONES "/>
        <s v="INTEGRACIONES PORCINAS"/>
        <s v="AVSA"/>
        <s v="COLOMBIANA DE INCUBACION"/>
        <s v="PORCICOLA PRADERA"/>
        <s v="POLLOS EL BUCANERO"/>
        <s v="EMPOLLADORA COLOMBIANA"/>
        <s v="ALIMENTOS NUTRAL"/>
        <s v="DISTRAVES"/>
        <s v="VITALESCO"/>
        <s v="INVERSIONES J.V."/>
        <s v="ELKIN NORIEL SANCHEZ"/>
        <s v="POLLOS SAVICOL"/>
        <s v="AVICOLA TRIPLE A"/>
        <s v="GRUPO AGROBOX"/>
        <s v="AVICOLA LA DOMINGA"/>
        <s v="ECUADPREMEX"/>
        <s v="AVIDESA DE OCCIDENTE"/>
        <s v="INVERSIONES AGROPORC"/>
        <s v="PRO FARM DE LOS ANDES"/>
        <s v="PROVIMI"/>
        <s v="DISTRIBUCIONES AGRALBA"/>
        <s v="AVICOLA LOS CAMBULOS"/>
        <s v="AVECER"/>
        <s v="AGROSIGO"/>
        <s v="AGRALBA"/>
        <s v="INSUMOS AGROPECUARIOS"/>
        <s v="VIVIANA CARMONA"/>
        <s v="JAIME CARDONA"/>
        <s v="HERMANOS ARANGO"/>
        <s v="PECUARY SUPPLIER SAS"/>
        <s v="AGROBOX"/>
        <s v="PORCICOLA EMMMANUEL"/>
        <s v="SUPERCERDO PAISA"/>
        <s v="COOPERATIVA DE PORCICULTORES"/>
        <s v="VITAOVO"/>
        <s v="ALCON DE COLOMBIA"/>
        <s v="BIOINDUSTRIA MANANTIALES"/>
        <s v="TECNOCAMPO"/>
        <s v="GVM CORPORATION GLOBAL VETERINARY MEDICINE S A S"/>
        <s v="PROFARM DE LOS ANDES"/>
        <s v="INVERSIONES AGROPECUARIAS FC SAS"/>
        <s v="P&amp;P INVERSIONES SAS"/>
        <s v="CONTEGRAL S.A.S."/>
      </sharedItems>
    </cacheField>
    <cacheField name="Ciudad" numFmtId="0">
      <sharedItems/>
    </cacheField>
    <cacheField name="Nombre del producto" numFmtId="0">
      <sharedItems/>
    </cacheField>
    <cacheField name="Kg. Solicitados" numFmtId="0">
      <sharedItems containsSemiMixedTypes="0" containsDate="1" containsString="0" containsMixedTypes="1" minDate="2025-05-12T00:00:00" maxDate="1900-01-05T07:18:04"/>
    </cacheField>
    <cacheField name="Cantidad" numFmtId="0">
      <sharedItems containsSemiMixedTypes="0" containsString="0" containsNumber="1" minValue="2.4E-2" maxValue="2080"/>
    </cacheField>
    <cacheField name="Valor total" numFmtId="0">
      <sharedItems containsBlank="1" containsMixedTypes="1" containsNumber="1" minValue="0.6" maxValue="759200000"/>
    </cacheField>
    <cacheField name="Fecha Requerida Por el Cliente" numFmtId="14">
      <sharedItems containsSemiMixedTypes="0" containsNonDate="0" containsDate="1" containsString="0" minDate="2025-07-02T00:00:00" maxDate="2025-09-04T00:00:00"/>
    </cacheField>
    <cacheField name="FECHA DE ENTREGA REAL2" numFmtId="0">
      <sharedItems containsDate="1" containsBlank="1" containsMixedTypes="1" minDate="2025-07-14T00:00:00" maxDate="2025-08-31T00:00:00"/>
    </cacheField>
    <cacheField name="DIAS DE DIFERENCIA" numFmtId="1">
      <sharedItems containsSemiMixedTypes="0" containsString="0" containsNumber="1" containsInteger="1" minValue="-16" maxValue="45891" count="23">
        <n v="0"/>
        <n v="11"/>
        <n v="-3"/>
        <n v="3"/>
        <n v="2"/>
        <n v="-2"/>
        <n v="1"/>
        <n v="-7"/>
        <n v="5"/>
        <n v="6"/>
        <n v="-1"/>
        <n v="8"/>
        <n v="-16"/>
        <n v="4"/>
        <n v="7"/>
        <n v="14"/>
        <n v="13"/>
        <n v="9"/>
        <n v="-6"/>
        <n v="-4"/>
        <n v="32" u="1"/>
        <n v="62" u="1"/>
        <n v="4589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na Catherin Castro Andrade" refreshedDate="46024.557152083333" createdVersion="8" refreshedVersion="8" minRefreshableVersion="3" recordCount="606" xr:uid="{EC5C6A58-0299-4699-BD3A-1BC8D7564092}">
  <cacheSource type="worksheet">
    <worksheetSource ref="A1:P421" sheet="Base"/>
  </cacheSource>
  <cacheFields count="16">
    <cacheField name="Observaciones" numFmtId="0">
      <sharedItems containsBlank="1" count="6">
        <m/>
        <s v="CANCELADO"/>
        <s v="INVENTARIO"/>
        <s v="SAC"/>
        <s v="TRANSPORTE"/>
        <s v="CARTERA"/>
      </sharedItems>
    </cacheField>
    <cacheField name="O.C." numFmtId="0">
      <sharedItems containsBlank="1" containsMixedTypes="1" containsNumber="1" minValue="9" maxValue="8901047193"/>
    </cacheField>
    <cacheField name="Fecha recepción O.C." numFmtId="0">
      <sharedItems containsDate="1" containsBlank="1" containsMixedTypes="1" minDate="2024-12-11T00:00:00" maxDate="2025-12-31T00:00:00"/>
    </cacheField>
    <cacheField name="Hora reQ" numFmtId="0">
      <sharedItems containsNonDate="0" containsDate="1" containsString="0" containsBlank="1" minDate="1899-12-30T06:30:00" maxDate="1899-12-30T23:32:00"/>
    </cacheField>
    <cacheField name="ESTATUS DE ENTREGA" numFmtId="0">
      <sharedItems containsBlank="1"/>
    </cacheField>
    <cacheField name="Pedido" numFmtId="0">
      <sharedItems containsBlank="1" count="355">
        <s v="S12027"/>
        <s v="S12458"/>
        <s v="S12246"/>
        <s v="S11684"/>
        <s v="S11685"/>
        <s v="S11202"/>
        <s v="S11421"/>
        <s v="S11422"/>
        <s v="S11432"/>
        <s v="S11433"/>
        <s v="S11441"/>
        <s v="S11443"/>
        <s v="S11450"/>
        <s v="S11457"/>
        <s v="S11458"/>
        <s v="S11459"/>
        <s v="S11460"/>
        <s v="S11461"/>
        <s v="S11462"/>
        <s v="S11464"/>
        <s v="S11465"/>
        <s v="S11466"/>
        <s v="S11513"/>
        <s v="S11859"/>
        <s v="S11925"/>
        <s v="S11825"/>
        <s v="S11519"/>
        <s v="S11521"/>
        <s v="S11524"/>
        <s v="S11507"/>
        <s v="S11527"/>
        <s v="S11529"/>
        <s v="S11560"/>
        <s v="S11562"/>
        <s v="S11570"/>
        <s v="S11575"/>
        <s v="S11576"/>
        <s v="S11577"/>
        <s v="S11579"/>
        <s v="S11580"/>
        <s v="S11504_x000a_"/>
        <s v="S11505_x000a_"/>
        <s v="S11506"/>
        <s v="S11593 // S11730"/>
        <s v="S11594"/>
        <s v="S11600"/>
        <s v="S11604"/>
        <s v="S11612"/>
        <s v="S11613"/>
        <s v="S11614"/>
        <s v="S11615"/>
        <s v="S11621"/>
        <s v="S11409"/>
        <s v="S11659"/>
        <s v="S11661"/>
        <s v="S11663"/>
        <s v="S11664"/>
        <s v="S11665"/>
        <s v="S11666"/>
        <s v="S11667"/>
        <s v="S11668"/>
        <s v="S11670"/>
        <s v="S11671"/>
        <s v="S11673"/>
        <s v="S11674"/>
        <s v="S11676"/>
        <s v="S11677"/>
        <s v="S11678"/>
        <s v="S11680"/>
        <s v="S11682"/>
        <s v="S11628"/>
        <s v="S11700"/>
        <s v="S11698"/>
        <s v="S11699"/>
        <s v="S10835"/>
        <s v="S11618"/>
        <s v="S11623"/>
        <s v="S11492"/>
        <s v="S11719"/>
        <s v="S11720"/>
        <s v="S11721"/>
        <s v="S11722"/>
        <s v="S11723"/>
        <s v="S11724"/>
        <s v="S11726"/>
        <s v="S11727"/>
        <s v="S11728"/>
        <s v="S11736"/>
        <s v="S11731"/>
        <s v="S11733"/>
        <s v="S11738"/>
        <s v="S11739"/>
        <s v="S11740"/>
        <s v="S11741"/>
        <s v="S11742"/>
        <s v="S11743"/>
        <s v="S11744"/>
        <s v="S11751"/>
        <s v="S11752"/>
        <s v="S11753"/>
        <s v="S11754"/>
        <s v="S11755"/>
        <s v="S11756"/>
        <s v="S11757"/>
        <s v="S11758"/>
        <s v="S11759"/>
        <s v="S11760"/>
        <s v="S11761"/>
        <s v="S11779"/>
        <s v="S11781"/>
        <s v="S11782"/>
        <s v="S11783"/>
        <s v="S11788"/>
        <s v="S11789"/>
        <s v="S11784"/>
        <s v="S11797"/>
        <s v="S11802"/>
        <s v="S11803"/>
        <s v="S11811"/>
        <s v="S11814"/>
        <s v="S11819"/>
        <s v="S11821"/>
        <s v="S11826"/>
        <s v="S11827"/>
        <s v="S11828"/>
        <s v="S11829"/>
        <s v="S11830"/>
        <s v="S11831"/>
        <s v="S11832"/>
        <s v="S11834"/>
        <s v="S11798"/>
        <s v="S11793"/>
        <s v="S11611"/>
        <s v="S11836"/>
        <s v="S11837"/>
        <s v="S11861"/>
        <s v="S11860"/>
        <s v="S11865"/>
        <s v="S11867"/>
        <s v="S11869"/>
        <s v="S11870"/>
        <s v="S11918"/>
        <s v="S11873"/>
        <s v="S11874"/>
        <s v="S11876"/>
        <s v="S11877"/>
        <s v="S11880"/>
        <s v="S11881"/>
        <s v="S11884"/>
        <s v="S11885"/>
        <s v="S11888"/>
        <s v="S11886"/>
        <s v="S11875"/>
        <s v="S11895"/>
        <s v="S11897"/>
        <s v="S11896"/>
        <s v="S11898"/>
        <s v="S11899"/>
        <s v="S11907"/>
        <s v="S11908"/>
        <s v="S11909"/>
        <s v="S11906"/>
        <s v="S11914"/>
        <s v="S11915"/>
        <s v="S11916"/>
        <s v="S11917"/>
        <s v="S11919"/>
        <s v="S11920"/>
        <s v="S11921"/>
        <s v="S11922"/>
        <s v="S11923"/>
        <s v="S11924"/>
        <s v="S11926"/>
        <s v="S11927"/>
        <s v="S11928"/>
        <s v="S11850"/>
        <s v="S11855"/>
        <s v="S11931"/>
        <s v="S11932"/>
        <s v="S11972"/>
        <s v="S11973"/>
        <s v="S11975"/>
        <s v="S11978"/>
        <s v="S11979"/>
        <s v="S11981"/>
        <s v="S11984"/>
        <s v="S11998"/>
        <s v="S11999"/>
        <s v="S12001"/>
        <s v="S12002"/>
        <s v="S12003"/>
        <s v="S12004"/>
        <s v="S12040"/>
        <s v="S12042"/>
        <s v="S12044"/>
        <s v="S12045"/>
        <s v="S12046"/>
        <s v="S12047"/>
        <s v="S12049"/>
        <s v="S12051"/>
        <s v="S12052"/>
        <s v="S12053"/>
        <s v="S12054"/>
        <s v="S12055"/>
        <s v="S12056"/>
        <s v="S12100"/>
        <s v="S12058"/>
        <s v="S12101"/>
        <s v="S12060"/>
        <s v="S12061"/>
        <s v="S12062"/>
        <s v="S12063"/>
        <s v="S12064"/>
        <s v="S12065"/>
        <s v="S12066"/>
        <s v="S12067"/>
        <s v="S12069"/>
        <s v="S12070"/>
        <s v="S12071"/>
        <s v="S12074"/>
        <s v="S12088"/>
        <s v="S12091"/>
        <s v="S12092"/>
        <s v="S12093"/>
        <s v="S12094"/>
        <s v="S12095"/>
        <s v="S12098"/>
        <s v="S12097"/>
        <s v="S12106"/>
        <s v="S12108"/>
        <s v="S12110"/>
        <s v="S12149"/>
        <s v="S12111"/>
        <s v="S12112"/>
        <s v="S12113"/>
        <s v="S12116"/>
        <s v="S12119"/>
        <s v="S12120"/>
        <s v="S12125"/>
        <s v="S12151"/>
        <s v="S12155"/>
        <s v="S12157"/>
        <s v="S12159"/>
        <s v="S12160"/>
        <s v="S12162"/>
        <s v="S12163"/>
        <s v="S12164"/>
        <s v="S12165"/>
        <s v="S12167"/>
        <s v="S12169"/>
        <s v="S12171"/>
        <s v="S12172"/>
        <s v="S12188"/>
        <s v="S12191"/>
        <s v="S12193"/>
        <s v="S12192"/>
        <s v="S12194"/>
        <s v="S12195"/>
        <s v="S12124"/>
        <s v="S12206"/>
        <s v="S12207"/>
        <s v="S12209"/>
        <s v="S12210"/>
        <s v="S12211"/>
        <s v="S12215"/>
        <s v="S12217"/>
        <s v="S12218"/>
        <s v="S12220"/>
        <s v="S12222"/>
        <s v="S12072"/>
        <s v="S12212"/>
        <s v="S12408"/>
        <s v="S12223"/>
        <s v="S12224"/>
        <s v="S12226"/>
        <s v="S12225"/>
        <s v="S12231"/>
        <s v="S12235"/>
        <s v="S12236"/>
        <s v="S12237"/>
        <s v="S12238"/>
        <s v="S12240"/>
        <s v="S12241"/>
        <s v="S12242"/>
        <s v="S12248"/>
        <s v="S12250"/>
        <s v="S12256"/>
        <s v="S12259"/>
        <s v="S12261"/>
        <s v="S12272"/>
        <s v="S12276"/>
        <s v="S12277"/>
        <s v="S12279"/>
        <s v="S12285"/>
        <s v="S12288"/>
        <s v="S12290"/>
        <s v="S12291"/>
        <s v="S12294"/>
        <s v="S12302"/>
        <s v="S12303"/>
        <s v="S12307"/>
        <s v="S12308"/>
        <m/>
        <s v="S12316"/>
        <s v="S12317"/>
        <s v="S12319"/>
        <s v="S12320"/>
        <s v="S12314"/>
        <s v="S12323"/>
        <s v="S12327"/>
        <s v="S12333"/>
        <s v="S12340"/>
        <s v="S12341"/>
        <s v="S12343"/>
        <s v="S12346"/>
        <s v="S12347"/>
        <s v="S12351"/>
        <s v="S12360"/>
        <s v="S12361"/>
        <s v="s12362"/>
        <s v="S12363"/>
        <s v="S12364"/>
        <s v="S12365"/>
        <s v="S12371"/>
        <s v="S12379"/>
        <s v="S12380"/>
        <s v="S12381"/>
        <s v="S12386"/>
        <s v="S12387"/>
        <s v="S12388"/>
        <s v="S11482"/>
        <s v="S12392"/>
        <s v="S12339"/>
        <s v="S12396"/>
        <s v="S12398"/>
        <s v="S12407"/>
        <s v="S12409"/>
        <s v="S12410"/>
        <s v="S12411"/>
        <s v="S12423"/>
        <s v="S12424"/>
        <s v="S12430"/>
        <s v="S12338"/>
        <s v="S12426"/>
        <s v="S12433"/>
        <s v="S12434"/>
        <s v="S12435"/>
        <s v="S12437"/>
        <s v="S12447"/>
        <s v="S12448"/>
        <s v="S12415"/>
        <s v="S12450"/>
        <s v="S12457"/>
        <s v="S12473"/>
        <s v="S12484"/>
      </sharedItems>
    </cacheField>
    <cacheField name="N° de Factura" numFmtId="0">
      <sharedItems containsBlank="1"/>
    </cacheField>
    <cacheField name="Fecha de generación del pedido" numFmtId="0">
      <sharedItems containsDate="1" containsBlank="1" containsMixedTypes="1" minDate="2025-11-13T00:00:00" maxDate="2025-12-31T00:00:00"/>
    </cacheField>
    <cacheField name="Hora generación" numFmtId="0">
      <sharedItems containsDate="1" containsBlank="1" containsMixedTypes="1" minDate="1899-12-30T06:53:00" maxDate="1899-12-30T17:19:00"/>
    </cacheField>
    <cacheField name="Cliente" numFmtId="0">
      <sharedItems count="94">
        <s v="PREMEX S.A.S."/>
        <s v="ALIMENTOS POLAR COLOMBIA SAS"/>
        <s v="COLANTA"/>
        <s v="COMPAÑIA INDUSTRIAL DE PRODUCTOS AGROPECUARIOS S.A"/>
        <s v="CONTEGRAL S.A.S."/>
        <s v="MEZCLAS BIOMIX"/>
        <s v="PREMEZCLAS LATINOAMERICANAS PRALSA"/>
        <s v="COOPERATIVA DE PORCICULTORES DEL EJE CAFETERO"/>
        <s v="PORCICULTORES APA"/>
        <s v="POLLOS EL BUCANERO"/>
        <s v="FINCA S.A.S."/>
        <s v="SOLLA S.A."/>
        <s v="AVICOLA TRIPLE A"/>
        <s v="AVSA S.A."/>
        <s v="INVERSIONES J.V. S.A.S."/>
        <s v="INDUSTRIAS PUROPOLLO"/>
        <s v="AVIDESA DE OCCIDENTE"/>
        <s v="MEJIA &amp; CIA"/>
        <s v="DISTRAVES"/>
        <s v="NUTRICION EXPERTA DE COLOMBIA"/>
        <s v="AGROAVICOLA SAN MARINO"/>
        <s v="AVICOLA EL GUAMITO"/>
        <s v="PROVIMI"/>
        <s v="ALIMENTOS CONCENTRADOS NUTRIHEN"/>
        <s v="COMERCIALIZADORA G&amp;M"/>
        <s v="OPERADORA AVICOLA COLOMBIA S.A.S."/>
        <s v="ITALCOL DE OCCIDENTE"/>
        <s v="PORCICOLA EMMANUEL S.A.S."/>
        <s v="GRUPO TECNOCAMPO S.A.S"/>
        <s v="ELKIN NORIEL SANCHEZ"/>
        <s v="AGROINDUSTRIAL SAN JOSE"/>
        <s v="PROFARM DE LOS ANDES"/>
        <s v="LA CASA MAYOR"/>
        <s v="INCUBADORA SANTANDER"/>
        <s v="AGRICOLA COLOMBIA"/>
        <s v="CONCENTRADOS DEL CAMPO"/>
        <s v="MESAGE"/>
        <s v="AGROPECUARIA DE OCCIDENTE"/>
        <s v="CARLOS AUGUSTO AYORA"/>
        <s v="COMERCIALIZADORA CAMPO FERTIL"/>
        <s v="AGROPECUARIA GOLOSO"/>
        <s v="BIOINDUSTRIA MANANTIALES"/>
        <s v="INSUMOS Y ADITIVOS VETERINARIOS"/>
        <s v="PROMOTORA PORCINA"/>
        <s v="AVICOLA NACIONAL"/>
        <s v="HUEVO DELICIA GROUP"/>
        <s v="INVERSIONES AGROPORC"/>
        <s v="PORCICOLA PRADERA"/>
        <s v="INVERSIONES EL AVIARIO"/>
        <s v="AVICOLA LA DOMINGA"/>
        <s v="POLLO FIESTA"/>
        <s v="AGROPECUARIA ALFA"/>
        <s v="AGROPECUARIA ALIAR"/>
        <s v="ALIMENTOS ALDUQUE"/>
        <s v="CONCENTRADOS JUDEVAL"/>
        <s v="AGRIFEED"/>
        <s v="AVICOLA LA AURORA"/>
        <s v="LABIMCO"/>
        <s v="REVEEX"/>
        <s v="NUTRITEC"/>
        <s v="JAIME CARDONA"/>
        <s v="CERDON"/>
        <s v="ARANGO HERMANOS"/>
        <s v="VITALESCO"/>
        <s v="ALCON DE COLOMBIA"/>
        <s v="CERDOS DEL VALLLE"/>
        <s v="AVECER"/>
        <s v="GARCIA GOMEZ"/>
        <s v="IMP AGRO"/>
        <s v="GRUPO PORCINO"/>
        <s v="AGROBUITRON"/>
        <s v="AVIMOL"/>
        <s v="MESSAGE"/>
        <s v="ALIMENTOS NUTRAL"/>
        <s v="AVICOLA LOS CAMBULOS"/>
        <s v="BIOINDUSTRAS MANANTIAL"/>
        <s v="AGRO-PLUS"/>
        <s v="PRODUCTORA DE CONCENTRADOS CAMPEON"/>
        <s v="CERCALDAS"/>
        <s v="GRUPO AGROBOX"/>
        <s v="PORCICOLA EMMANUEL"/>
        <s v="BIOPRES SAS"/>
        <s v="GVM"/>
        <s v="MARIA JOSE ORTIZ"/>
        <s v="POLLOS SAVICOL"/>
        <s v="EMPOLLADORA COLOMBIANA"/>
        <s v="PORCICOLA SANTA MONICA"/>
        <s v="PRADA SAMBIC"/>
        <s v="JHON CARLOS RIZO"/>
        <s v="AVICOLA SAN MARTIN"/>
        <s v="AGROINDUSTRIAS LOS ROBLES"/>
        <s v="PRONACA"/>
        <s v="DISTRIBUIDORA AGRO-PLUS"/>
        <s v="COLOMBIANA DE AVES"/>
      </sharedItems>
    </cacheField>
    <cacheField name="Ciudad" numFmtId="0">
      <sharedItems containsBlank="1"/>
    </cacheField>
    <cacheField name="Producto" numFmtId="0">
      <sharedItems count="62">
        <s v="CLORTETRAX 20 X 25 KG"/>
        <s v="MICRO AID X 25 KG"/>
        <s v="DINAMIX 800 X 25 KG"/>
        <s v="MONECYL X 25 KG"/>
        <s v="FRACTAL P X 25 KG"/>
        <s v="LOTUS X 25 KG"/>
        <s v="ACCUREMAX X 25 KG"/>
        <s v="DMB 11 X 25 KG"/>
        <s v="DMB 110 X 25 KG"/>
        <s v="HALQUINOX 500 X 25 KG"/>
        <s v="HALQUINOX 800 X 25 KG"/>
        <s v="FENIFLOR PREMIX X 25 Kg"/>
        <s v="CIPROFLOX X 5 KG"/>
        <s v="TILVASYYN x 25 KG"/>
        <s v="SMOOT SWEET X 75 GR"/>
        <s v="NEOCYN X 1KG"/>
        <s v="NORFLOX X 1 LITRO"/>
        <s v="TILCOMIX PREMIX S X 5KG"/>
        <s v="TRIMBAC X 5KG"/>
        <s v="ROFLOX 20 X 1L DECNO"/>
        <s v="FENIFLOR ORAL X 500 GR P"/>
        <s v="CIGNUS X 20 kg"/>
        <s v="AMOXIN 600 BOLSA X 1 KG"/>
        <s v="CIPROFLOX X 1 KG"/>
        <s v="MONECYL 200 R X 25 KG"/>
        <s v="SMOOTH SWWET X 75 GR"/>
        <s v="DINAMIX PREMIX X 25 KG"/>
        <s v="ACCUREMAX 10% X 25 KG"/>
        <s v="SAGAH X 25 KILOS"/>
        <s v="FOSMYCINA 90 X 500 GR"/>
        <s v="PROYECTO TILVASYYN x 5 KG"/>
        <s v="CELERITY NP X 25 KG"/>
        <s v="CELMANAX SCP X 25 KG"/>
        <s v="FENIFLOR ORAL X 500 GR"/>
        <s v="TILOMIX 250 PREMIX X 25 KG"/>
        <s v="ROFLOX X 1 LITRO"/>
        <s v="ESPELIN 88 X 25 KG"/>
        <s v="DINAMIX 200 PREMIX X 25 KG"/>
        <s v="TILCOMIX ORAL X 1 L"/>
        <s v="CELMANAX X 25 KG"/>
        <s v="NEOCYN X 25 KG"/>
        <s v="DQCICLIN X 1 KG"/>
        <s v="KIRA 24 X 25 KILOS"/>
        <s v="ACCUREMAX 20% X 25 KG"/>
        <s v="SOMMTH SWEET"/>
        <s v="FRACTAL L X 20 LITROS"/>
        <s v="FENIFLOR ORAL X 500 P"/>
        <s v="CIPROFLOX X 25 KG"/>
        <s v="BIMMU X 25 KG"/>
        <s v="TILOMIX ORAL X 1 KG"/>
        <s v="DINAMIX 600 X 250 GR"/>
        <s v="TICOLMIX PREMIX S X 5"/>
        <s v="CELMANAX"/>
        <s v="ESPELIN 88 X 5 KG"/>
        <s v="DINAMIX 200 PREMIX X 25"/>
        <s v="CLORTETRACICLINA GRANULAR X 25"/>
        <s v="TRIMBAC X 5 KG"/>
        <s v="MICRO-AID X 25 KG"/>
        <s v="PRENEO"/>
        <s v="NEOCYN X 5KG"/>
        <s v="CIPROFLOX 20 X 5 KG"/>
        <s v="AVINOVA X 25 KG"/>
      </sharedItems>
    </cacheField>
    <cacheField name="Kg. Solicitados" numFmtId="0">
      <sharedItems containsSemiMixedTypes="0" containsString="0" containsNumber="1" minValue="0.15" maxValue="56000"/>
    </cacheField>
    <cacheField name="Cantidad" numFmtId="0">
      <sharedItems containsString="0" containsBlank="1" containsNumber="1" containsInteger="1" minValue="0" maxValue="2240"/>
    </cacheField>
    <cacheField name="Valor total" numFmtId="0">
      <sharedItems containsBlank="1" containsMixedTypes="1" containsNumber="1" containsInteger="1" minValue="0" maxValue="719600000"/>
    </cacheField>
    <cacheField name="Fecha Requerida Por el Clien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n v="4700006321"/>
    <d v="2023-12-11T00:00:00"/>
    <d v="1899-12-30T14:38:00"/>
    <n v="113147"/>
    <n v="17397"/>
    <d v="2024-01-30T00:00:00"/>
    <d v="1899-12-30T14:35:00"/>
    <x v="0"/>
  </r>
  <r>
    <n v="4700006367"/>
    <d v="2023-11-22T00:00:00"/>
    <d v="1899-12-30T12:10:00"/>
    <n v="113148"/>
    <n v="17398"/>
    <d v="2024-01-30T00:00:00"/>
    <d v="1899-12-30T14:52:00"/>
    <x v="0"/>
  </r>
  <r>
    <s v="100-CON-00015074"/>
    <d v="2023-12-07T00:00:00"/>
    <d v="1899-12-30T10:01:00"/>
    <n v="112839"/>
    <n v="17255"/>
    <d v="2023-12-11T00:00:00"/>
    <d v="1899-12-30T14:28:00"/>
    <x v="1"/>
  </r>
  <r>
    <s v="100-CON-00015074"/>
    <d v="2023-12-07T00:00:00"/>
    <d v="1899-12-30T10:01:00"/>
    <n v="112839"/>
    <n v="17255"/>
    <d v="2023-12-11T00:00:00"/>
    <d v="1899-12-30T14:28:00"/>
    <x v="1"/>
  </r>
  <r>
    <s v="100-CON-00015074"/>
    <d v="2023-12-07T00:00:00"/>
    <d v="1899-12-30T10:01:00"/>
    <n v="112840"/>
    <n v="17322"/>
    <d v="2023-12-11T00:00:00"/>
    <d v="1899-12-30T14:28:00"/>
    <x v="1"/>
  </r>
  <r>
    <s v="100-CON-00015074"/>
    <d v="2023-12-07T00:00:00"/>
    <d v="1899-12-30T10:01:00"/>
    <n v="112840"/>
    <n v="17322"/>
    <d v="2023-12-11T00:00:00"/>
    <d v="1899-12-30T14:28:00"/>
    <x v="1"/>
  </r>
  <r>
    <s v="N.A. 1"/>
    <d v="2023-12-19T00:00:00"/>
    <d v="1899-12-30T18:18:00"/>
    <n v="112912"/>
    <n v="17230"/>
    <d v="2023-12-20T00:00:00"/>
    <d v="1899-12-30T10:36:00"/>
    <x v="2"/>
  </r>
  <r>
    <s v="N.A. 1"/>
    <d v="2023-12-19T00:00:00"/>
    <d v="1899-12-30T18:18:00"/>
    <n v="112912"/>
    <n v="17230"/>
    <d v="2023-12-20T00:00:00"/>
    <d v="1899-12-30T10:36:00"/>
    <x v="2"/>
  </r>
  <r>
    <n v="5501948497"/>
    <d v="2023-12-20T00:00:00"/>
    <d v="1899-12-30T18:12:00"/>
    <n v="112925"/>
    <n v="17233"/>
    <d v="2023-12-21T00:00:00"/>
    <d v="1899-12-30T12:29:00"/>
    <x v="3"/>
  </r>
  <r>
    <n v="856682"/>
    <d v="2023-12-27T00:00:00"/>
    <d v="1899-12-30T08:17:00"/>
    <n v="112929"/>
    <n v="17214"/>
    <d v="2023-12-27T00:00:00"/>
    <d v="1899-12-30T14:23:00"/>
    <x v="4"/>
  </r>
  <r>
    <n v="1654"/>
    <d v="2023-12-26T00:00:00"/>
    <d v="1899-12-30T16:32:00"/>
    <n v="112942"/>
    <n v="17211"/>
    <d v="2023-12-27T00:00:00"/>
    <d v="1899-12-30T14:58:00"/>
    <x v="5"/>
  </r>
  <r>
    <n v="1654"/>
    <d v="2023-12-26T00:00:00"/>
    <d v="1899-12-30T16:32:00"/>
    <n v="112942"/>
    <n v="17211"/>
    <d v="2023-12-27T00:00:00"/>
    <d v="1899-12-30T14:58:00"/>
    <x v="5"/>
  </r>
  <r>
    <n v="1916"/>
    <s v="27/12/0223"/>
    <d v="1899-12-30T11:08:00"/>
    <n v="112943"/>
    <n v="17208"/>
    <d v="2023-12-27T00:00:00"/>
    <d v="1899-12-30T15:26:00"/>
    <x v="6"/>
  </r>
  <r>
    <n v="62039"/>
    <s v="27/12/0223"/>
    <d v="1899-12-30T11:11:00"/>
    <n v="112945"/>
    <n v="17209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8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n v="62044"/>
    <s v="27/12/0223"/>
    <d v="1899-12-30T11:11:00"/>
    <n v="112946"/>
    <n v="17236"/>
    <d v="2023-12-27T00:00:00"/>
    <d v="1899-12-30T16:11:00"/>
    <x v="7"/>
  </r>
  <r>
    <s v="N.A. 2"/>
    <d v="2023-12-27T00:00:00"/>
    <d v="1899-12-30T12:45:00"/>
    <n v="112955"/>
    <n v="17198"/>
    <d v="2023-01-02T00:00:00"/>
    <d v="1899-12-30T11:28:00"/>
    <x v="8"/>
  </r>
  <r>
    <s v="N.A. 2"/>
    <d v="2023-12-27T00:00:00"/>
    <d v="1899-12-30T12:45:00"/>
    <n v="112955"/>
    <n v="17198"/>
    <d v="2023-01-02T00:00:00"/>
    <d v="1899-12-30T11:28:00"/>
    <x v="8"/>
  </r>
  <r>
    <s v="OC-COMPR-7948"/>
    <d v="2023-12-27T00:00:00"/>
    <d v="1899-12-30T12:52:00"/>
    <n v="112947"/>
    <n v="17204"/>
    <d v="2023-12-27T00:00:00"/>
    <d v="1899-12-30T17:13:00"/>
    <x v="9"/>
  </r>
  <r>
    <s v="N.A. 3"/>
    <d v="2023-12-27T00:00:00"/>
    <d v="1899-12-30T14:55:00"/>
    <n v="112944"/>
    <n v="17213"/>
    <d v="2023-12-27T00:00:00"/>
    <d v="1899-12-30T10:57:00"/>
    <x v="1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5"/>
    <d v="2023-12-27T00:00:00"/>
    <d v="1899-12-30T23:30:00"/>
    <n v="112951"/>
    <n v="17216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n v="4500066354"/>
    <d v="2023-12-27T00:00:00"/>
    <d v="1899-12-30T23:10:00"/>
    <n v="112950"/>
    <n v="17225"/>
    <d v="2023-12-28T00:00:00"/>
    <d v="1899-12-30T10:57:00"/>
    <x v="0"/>
  </r>
  <r>
    <n v="4500066354"/>
    <d v="2023-12-27T00:00:00"/>
    <d v="1899-12-30T23:10:00"/>
    <n v="112950"/>
    <n v="17219"/>
    <d v="2023-12-28T00:00:00"/>
    <d v="1899-12-30T10:57:00"/>
    <x v="0"/>
  </r>
  <r>
    <s v="N.A. 4"/>
    <d v="2023-12-28T00:00:00"/>
    <d v="1899-12-30T09:30:00"/>
    <n v="112949"/>
    <n v="17206"/>
    <d v="2023-12-28T00:00:00"/>
    <d v="1899-12-30T10:56:00"/>
    <x v="11"/>
  </r>
  <r>
    <s v="OC-COMPR-7974"/>
    <d v="2023-12-27T00:00:00"/>
    <d v="1899-12-30T13:42:00"/>
    <n v="112952"/>
    <n v="17205"/>
    <d v="2023-12-28T00:00:00"/>
    <d v="1899-12-30T14:50:00"/>
    <x v="9"/>
  </r>
  <r>
    <n v="4500066364"/>
    <d v="2023-12-28T00:00:00"/>
    <d v="1899-12-30T12:50:00"/>
    <n v="112953"/>
    <n v="17217"/>
    <d v="2023-12-28T00:00:00"/>
    <d v="1899-12-30T15:13:00"/>
    <x v="0"/>
  </r>
  <r>
    <n v="4500066364"/>
    <d v="2023-12-28T00:00:00"/>
    <d v="1899-12-30T12:50:00"/>
    <n v="112953"/>
    <n v="17334"/>
    <d v="2023-12-28T00:00:00"/>
    <d v="1899-12-30T15:13:00"/>
    <x v="0"/>
  </r>
  <r>
    <s v="001-OSC-00056605"/>
    <d v="2024-01-02T00:00:00"/>
    <d v="1899-12-30T08:12:00"/>
    <n v="112957"/>
    <n v="17201"/>
    <d v="2024-01-02T00:00:00"/>
    <d v="1899-12-30T11:58:00"/>
    <x v="12"/>
  </r>
  <r>
    <s v="001-OSC-00056605"/>
    <d v="2024-01-02T00:00:00"/>
    <d v="1899-12-30T08:12:00"/>
    <n v="112957"/>
    <n v="17201"/>
    <d v="2024-01-02T00:00:00"/>
    <d v="1899-12-30T11:58:00"/>
    <x v="12"/>
  </r>
  <r>
    <s v="001-OSC-00056605"/>
    <d v="2024-01-02T00:00:00"/>
    <d v="1899-12-30T08:12:00"/>
    <n v="112957"/>
    <n v="17201"/>
    <d v="2024-01-02T00:00:00"/>
    <d v="1899-12-30T11:58:00"/>
    <x v="12"/>
  </r>
  <r>
    <n v="858995"/>
    <d v="2023-12-29T00:00:00"/>
    <d v="1899-12-30T15:16:00"/>
    <n v="112958"/>
    <n v="17239"/>
    <d v="2024-01-02T00:00:00"/>
    <d v="1899-12-30T11:58:00"/>
    <x v="13"/>
  </r>
  <r>
    <n v="4500066407"/>
    <d v="2024-01-02T00:00:00"/>
    <d v="1899-12-30T11:54:00"/>
    <n v="112956"/>
    <n v="17199"/>
    <d v="2024-01-02T00:00:00"/>
    <d v="1899-12-30T11:55:00"/>
    <x v="14"/>
  </r>
  <r>
    <n v="3927"/>
    <d v="2024-01-02T00:00:00"/>
    <d v="1899-12-30T12:02:00"/>
    <n v="112959"/>
    <n v="17264"/>
    <d v="2024-01-02T00:00:00"/>
    <d v="1899-12-30T12:13:00"/>
    <x v="15"/>
  </r>
  <r>
    <s v="N.A. 5"/>
    <d v="2024-01-02T00:00:00"/>
    <d v="1899-12-30T12:27:00"/>
    <n v="112969"/>
    <n v="17222"/>
    <d v="2024-01-04T00:00:00"/>
    <d v="1899-12-30T10:53:00"/>
    <x v="16"/>
  </r>
  <r>
    <s v="O.C ALURA ENERO 02-2024"/>
    <d v="2024-01-02T00:00:00"/>
    <d v="1899-12-30T12:34:00"/>
    <n v="112960"/>
    <n v="17200"/>
    <d v="2024-01-02T00:00:00"/>
    <d v="1899-12-30T13:27:00"/>
    <x v="17"/>
  </r>
  <r>
    <s v="007-OC-041493"/>
    <d v="2024-01-02T00:00:00"/>
    <d v="1899-12-30T14:27:00"/>
    <n v="112961"/>
    <n v="17202"/>
    <d v="2024-01-03T00:00:00"/>
    <d v="1899-12-30T10:38:00"/>
    <x v="18"/>
  </r>
  <r>
    <n v="4503189996"/>
    <d v="2024-01-02T00:00:00"/>
    <d v="1899-12-30T14:42:00"/>
    <n v="112963"/>
    <n v="17207"/>
    <d v="2024-01-03T00:00:00"/>
    <d v="1899-12-30T10:38:00"/>
    <x v="19"/>
  </r>
  <r>
    <s v="002-OCC-00057177"/>
    <d v="2024-01-02T00:00:00"/>
    <d v="1899-12-30T17:36:00"/>
    <n v="112962"/>
    <s v="CANCELADO"/>
    <d v="2024-01-03T00:00:00"/>
    <d v="1899-12-30T10:38:00"/>
    <x v="2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n v="4500066422"/>
    <d v="2024-01-02T00:00:00"/>
    <d v="1899-12-30T15:20:00"/>
    <n v="112964"/>
    <n v="17218"/>
    <d v="2024-01-03T00:00:00"/>
    <d v="1899-12-30T10:39:00"/>
    <x v="0"/>
  </r>
  <r>
    <s v="007-OM-000376"/>
    <d v="2024-01-02T00:00:00"/>
    <d v="1899-12-30T17:37:00"/>
    <n v="112965"/>
    <n v="17203"/>
    <d v="2024-01-03T00:00:00"/>
    <d v="1899-12-30T10:39:00"/>
    <x v="18"/>
  </r>
  <r>
    <s v="007-OM-000376"/>
    <d v="2024-01-02T00:00:00"/>
    <d v="1899-12-30T17:37:00"/>
    <n v="112965"/>
    <n v="17284"/>
    <d v="2024-01-03T00:00:00"/>
    <d v="1899-12-30T10:39:00"/>
    <x v="18"/>
  </r>
  <r>
    <n v="860014"/>
    <d v="2024-01-02T00:00:00"/>
    <d v="1899-12-30T22:17:00"/>
    <n v="112966"/>
    <n v="17210"/>
    <d v="2024-01-03T00:00:00"/>
    <d v="1899-12-30T10:39:00"/>
    <x v="13"/>
  </r>
  <r>
    <n v="860014"/>
    <d v="2024-01-02T00:00:00"/>
    <d v="1899-12-30T22:17:00"/>
    <n v="112966"/>
    <n v="17210"/>
    <d v="2024-01-03T00:00:00"/>
    <d v="1899-12-30T10:39:00"/>
    <x v="13"/>
  </r>
  <r>
    <n v="4500066445"/>
    <d v="2024-01-03T00:00:00"/>
    <d v="1899-12-30T08:50:00"/>
    <n v="112968"/>
    <n v="17220"/>
    <d v="2024-01-03T00:00:00"/>
    <d v="1899-12-30T12:43:00"/>
    <x v="0"/>
  </r>
  <r>
    <n v="4500066445"/>
    <d v="2024-01-03T00:00:00"/>
    <d v="1899-12-30T08:50:00"/>
    <n v="112968"/>
    <n v="17220"/>
    <d v="2024-01-03T00:00:00"/>
    <d v="1899-12-30T12:43:00"/>
    <x v="0"/>
  </r>
  <r>
    <n v="2"/>
    <d v="2024-01-03T00:00:00"/>
    <d v="1899-12-30T11:23:00"/>
    <n v="112967"/>
    <n v="17212"/>
    <d v="2024-01-03T00:00:00"/>
    <d v="1899-12-30T11:24:00"/>
    <x v="5"/>
  </r>
  <r>
    <n v="5501936316"/>
    <d v="2023-12-15T00:00:00"/>
    <d v="1899-12-30T13:06:00"/>
    <n v="112902"/>
    <n v="17215"/>
    <d v="2023-12-18T00:00:00"/>
    <d v="1899-12-30T16:22:00"/>
    <x v="3"/>
  </r>
  <r>
    <n v="860573"/>
    <d v="2024-01-04T00:00:00"/>
    <d v="1899-12-30T08:47:00"/>
    <n v="112971"/>
    <n v="17224"/>
    <d v="2023-01-04T00:00:00"/>
    <d v="1899-12-30T10:59:00"/>
    <x v="21"/>
  </r>
  <r>
    <s v="OC3904"/>
    <d v="2024-01-03T00:00:00"/>
    <d v="1899-12-30T16:57:00"/>
    <n v="112970"/>
    <n v="17223"/>
    <d v="2023-01-04T00:00:00"/>
    <d v="1899-12-30T10:59:00"/>
    <x v="22"/>
  </r>
  <r>
    <s v="001-OSC-00056659"/>
    <d v="2024-01-03T00:00:00"/>
    <d v="1899-12-30T16:14:00"/>
    <n v="112972"/>
    <n v="17231"/>
    <d v="2023-01-04T00:00:00"/>
    <d v="1899-12-30T11:12:00"/>
    <x v="12"/>
  </r>
  <r>
    <s v="001-OSC-00056659"/>
    <d v="2024-01-03T00:00:00"/>
    <d v="1899-12-30T16:14:00"/>
    <n v="112972"/>
    <n v="17231"/>
    <d v="2023-01-04T00:00:00"/>
    <d v="1899-12-30T11:12:00"/>
    <x v="12"/>
  </r>
  <r>
    <s v="038-OC-001995"/>
    <d v="2023-12-29T00:00:00"/>
    <d v="1899-12-30T14:20:00"/>
    <n v="112974"/>
    <n v="17221"/>
    <d v="2023-01-04T00:00:00"/>
    <d v="1899-12-30T11:38:00"/>
    <x v="18"/>
  </r>
  <r>
    <n v="9"/>
    <d v="2024-01-04T00:00:00"/>
    <d v="1899-12-30T10:59:00"/>
    <n v="112973"/>
    <n v="17228"/>
    <d v="2024-01-04T00:00:00"/>
    <d v="1899-12-30T11:27:00"/>
    <x v="5"/>
  </r>
  <r>
    <n v="9"/>
    <d v="2024-01-04T00:00:00"/>
    <d v="1899-12-30T10:59:00"/>
    <n v="112973"/>
    <n v="17289"/>
    <d v="2024-01-04T00:00:00"/>
    <d v="1899-12-30T11:27:00"/>
    <x v="5"/>
  </r>
  <r>
    <s v="CFMP 002"/>
    <d v="2024-01-04T00:00:00"/>
    <d v="1899-12-30T10:30:00"/>
    <n v="112976"/>
    <n v="17226"/>
    <d v="2024-01-04T00:00:00"/>
    <d v="1899-12-30T14:32:00"/>
    <x v="11"/>
  </r>
  <r>
    <n v="860725"/>
    <d v="2024-01-04T00:00:00"/>
    <d v="1899-12-30T12:15:00"/>
    <n v="112975"/>
    <n v="17232"/>
    <d v="2024-01-04T00:00:00"/>
    <d v="1899-12-30T14:20:00"/>
    <x v="13"/>
  </r>
  <r>
    <n v="5501948453"/>
    <d v="2023-12-20T00:00:00"/>
    <d v="1899-12-30T17:47:00"/>
    <n v="112926"/>
    <n v="17197"/>
    <d v="2023-12-21T00:00:00"/>
    <d v="1899-12-30T12:30:00"/>
    <x v="3"/>
  </r>
  <r>
    <n v="860877"/>
    <d v="2024-01-04T00:00:00"/>
    <d v="1899-12-30T15:02:00"/>
    <n v="112978"/>
    <n v="17259"/>
    <d v="2023-01-05T00:00:00"/>
    <d v="1899-12-30T11:23:00"/>
    <x v="21"/>
  </r>
  <r>
    <n v="12"/>
    <d v="2024-01-04T00:00:00"/>
    <d v="1899-12-30T15:15:00"/>
    <n v="112977"/>
    <n v="17229"/>
    <d v="2024-01-04T00:00:00"/>
    <d v="1899-12-30T15:51:00"/>
    <x v="5"/>
  </r>
  <r>
    <n v="62274"/>
    <d v="2024-01-04T00:00:00"/>
    <d v="1899-12-30T15:27:00"/>
    <n v="112980"/>
    <n v="17237"/>
    <d v="2023-01-05T00:00:00"/>
    <d v="1899-12-30T11:27:00"/>
    <x v="7"/>
  </r>
  <r>
    <n v="860928"/>
    <d v="2024-01-04T00:00:00"/>
    <d v="1899-12-30T16:00:00"/>
    <n v="112981"/>
    <n v="17240"/>
    <d v="2023-01-05T00:00:00"/>
    <d v="1899-12-30T11:27:00"/>
    <x v="13"/>
  </r>
  <r>
    <n v="89"/>
    <d v="2024-01-05T00:00:00"/>
    <d v="1899-12-30T11:20:00"/>
    <n v="112982"/>
    <n v="17390"/>
    <d v="2023-01-05T00:00:00"/>
    <d v="1899-12-30T12:03:00"/>
    <x v="23"/>
  </r>
  <r>
    <n v="89"/>
    <d v="2024-01-05T00:00:00"/>
    <d v="1899-12-30T11:20:00"/>
    <n v="112982"/>
    <n v="17390"/>
    <d v="2023-01-05T00:00:00"/>
    <d v="1899-12-30T12:03:00"/>
    <x v="23"/>
  </r>
  <r>
    <n v="62416"/>
    <d v="2024-01-06T00:00:00"/>
    <d v="1899-12-30T07:00:00"/>
    <n v="112983"/>
    <n v="17238"/>
    <d v="2023-01-09T00:00:00"/>
    <d v="1899-12-30T08:41:00"/>
    <x v="7"/>
  </r>
  <r>
    <s v="005-OSC-00006805"/>
    <d v="2024-01-05T00:00:00"/>
    <d v="1899-12-30T10:10:00"/>
    <n v="112984"/>
    <n v="17258"/>
    <d v="2023-01-09T00:00:00"/>
    <d v="1899-12-30T08:42:00"/>
    <x v="12"/>
  </r>
  <r>
    <n v="861946"/>
    <d v="2024-01-09T00:00:00"/>
    <d v="1899-12-30T08:05:00"/>
    <n v="112985"/>
    <n v="17241"/>
    <d v="2023-01-09T00:00:00"/>
    <d v="1899-12-30T08:42:00"/>
    <x v="13"/>
  </r>
  <r>
    <n v="861946"/>
    <d v="2024-01-09T00:00:00"/>
    <d v="1899-12-30T08:05:00"/>
    <n v="112985"/>
    <n v="17287"/>
    <d v="2023-01-09T00:00:00"/>
    <d v="1899-12-30T08:42:00"/>
    <x v="13"/>
  </r>
  <r>
    <n v="861946"/>
    <d v="2024-01-09T00:00:00"/>
    <d v="1899-12-30T08:05:00"/>
    <n v="112985"/>
    <n v="17241"/>
    <d v="2023-01-09T00:00:00"/>
    <d v="1899-12-30T08:42:00"/>
    <x v="13"/>
  </r>
  <r>
    <n v="90"/>
    <d v="2024-01-09T00:00:00"/>
    <d v="1899-12-30T09:29:00"/>
    <n v="112988"/>
    <n v="17391"/>
    <d v="2023-01-09T00:00:00"/>
    <d v="1899-12-30T09:51:00"/>
    <x v="23"/>
  </r>
  <r>
    <n v="90"/>
    <d v="2024-01-09T00:00:00"/>
    <d v="1899-12-30T09:29:00"/>
    <n v="112988"/>
    <n v="17391"/>
    <d v="2023-01-09T00:00:00"/>
    <d v="1899-12-30T09:51:00"/>
    <x v="23"/>
  </r>
  <r>
    <n v="90"/>
    <d v="2024-01-09T00:00:00"/>
    <d v="1899-12-30T09:29:00"/>
    <n v="112988"/>
    <n v="17391"/>
    <d v="2023-01-09T00:00:00"/>
    <d v="1899-12-30T09:51:00"/>
    <x v="23"/>
  </r>
  <r>
    <s v="103-OCC-30089"/>
    <d v="2024-01-09T00:00:00"/>
    <d v="1899-12-30T11:21:00"/>
    <n v="112989"/>
    <n v="17243"/>
    <d v="2023-01-09T00:00:00"/>
    <d v="1899-12-30T12:10:00"/>
    <x v="20"/>
  </r>
  <r>
    <n v="4500114667"/>
    <d v="2024-01-09T00:00:00"/>
    <d v="1899-12-30T12:11:00"/>
    <n v="112990"/>
    <n v="17273"/>
    <d v="2023-01-09T00:00:00"/>
    <d v="1899-12-30T12:29:00"/>
    <x v="24"/>
  </r>
  <r>
    <n v="126786"/>
    <d v="2024-01-09T00:00:00"/>
    <d v="1899-12-30T12:36:00"/>
    <n v="112995"/>
    <n v="17250"/>
    <d v="2023-01-10T00:00:00"/>
    <d v="1899-12-30T10:05:00"/>
    <x v="25"/>
  </r>
  <r>
    <n v="46625"/>
    <d v="2024-01-09T00:00:00"/>
    <d v="1899-12-30T12:42:00"/>
    <n v="112991"/>
    <n v="17242"/>
    <d v="2023-01-09T00:00:00"/>
    <d v="1899-12-30T12:55:00"/>
    <x v="26"/>
  </r>
  <r>
    <n v="4500066445"/>
    <d v="2024-01-03T00:00:00"/>
    <d v="1899-12-30T08:50:00"/>
    <n v="112992"/>
    <n v="17245"/>
    <d v="2023-01-09T00:00:00"/>
    <d v="1899-12-30T14:02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n v="4500066569"/>
    <d v="2024-01-09T00:00:00"/>
    <d v="1899-12-30T13:50:00"/>
    <n v="112994"/>
    <n v="17263"/>
    <d v="2023-01-09T00:00:00"/>
    <d v="1899-12-30T15:03:00"/>
    <x v="0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ORC-2401002"/>
    <d v="2024-01-09T00:00:00"/>
    <d v="1899-12-30T14:44:00"/>
    <n v="112993"/>
    <n v="17244"/>
    <d v="2023-01-09T00:00:00"/>
    <d v="1899-12-30T15:01:00"/>
    <x v="27"/>
  </r>
  <r>
    <s v="002-OCC-57246"/>
    <d v="2024-01-10T00:00:00"/>
    <d v="1899-12-30T09:29:00"/>
    <n v="113010"/>
    <n v="17254"/>
    <d v="2023-01-11T00:00:00"/>
    <d v="1899-12-30T12:14:00"/>
    <x v="28"/>
  </r>
  <r>
    <n v="862581"/>
    <d v="2024-01-10T00:00:00"/>
    <d v="1899-12-30T16:48:00"/>
    <n v="112998"/>
    <n v="17266"/>
    <d v="2024-01-10T00:00:00"/>
    <d v="1899-12-30T10:53:00"/>
    <x v="13"/>
  </r>
  <r>
    <n v="862581"/>
    <d v="2024-01-10T00:00:00"/>
    <d v="1899-12-30T16:48:00"/>
    <n v="112998"/>
    <n v="17266"/>
    <d v="2024-01-10T00:00:00"/>
    <d v="1899-12-30T10:53:00"/>
    <x v="13"/>
  </r>
  <r>
    <s v="001-OSC-00056707"/>
    <d v="2024-01-10T00:00:00"/>
    <d v="1899-12-30T16:10:00"/>
    <n v="112997"/>
    <n v="17265"/>
    <d v="2024-01-10T00:00:00"/>
    <d v="1899-12-30T10:53:00"/>
    <x v="12"/>
  </r>
  <r>
    <s v="001-OSC-00056707"/>
    <d v="2024-01-10T00:00:00"/>
    <d v="1899-12-30T16:10:00"/>
    <n v="112997"/>
    <n v="17265"/>
    <d v="2024-01-10T00:00:00"/>
    <d v="1899-12-30T10:53:00"/>
    <x v="12"/>
  </r>
  <r>
    <s v="001-OC -00034717"/>
    <d v="2024-01-09T00:00:00"/>
    <d v="1899-12-30T16:38:00"/>
    <n v="113004"/>
    <n v="17247"/>
    <d v="2024-01-10T00:00:00"/>
    <d v="1899-12-30T13:56:00"/>
    <x v="29"/>
  </r>
  <r>
    <s v="001-OC -00005828"/>
    <d v="2024-01-09T00:00:00"/>
    <d v="1899-12-30T18:28:00"/>
    <n v="112999"/>
    <n v="17252"/>
    <d v="2024-01-10T00:00:00"/>
    <d v="1899-12-30T12:06:00"/>
    <x v="30"/>
  </r>
  <r>
    <s v="001-OC -00005828"/>
    <d v="2024-01-09T00:00:00"/>
    <d v="1899-12-30T18:28:00"/>
    <n v="112999"/>
    <n v="17252"/>
    <d v="2024-01-10T00:00:00"/>
    <d v="1899-12-30T12:06:00"/>
    <x v="30"/>
  </r>
  <r>
    <n v="310451"/>
    <d v="2024-01-10T00:00:00"/>
    <d v="1899-12-30T09:16:00"/>
    <n v="113001"/>
    <n v="17251"/>
    <d v="2024-01-10T00:00:00"/>
    <d v="1899-12-30T13:12:00"/>
    <x v="31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62"/>
    <d v="2024-01-10T00:00:00"/>
    <d v="1899-12-30T12:07:00"/>
    <x v="0"/>
  </r>
  <r>
    <n v="4500066583"/>
    <d v="2024-01-09T00:00:00"/>
    <d v="1899-12-30T17:10:00"/>
    <n v="113000"/>
    <n v="17282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n v="4500066583"/>
    <d v="2024-01-09T00:00:00"/>
    <d v="1899-12-30T17:10:00"/>
    <n v="113000"/>
    <n v="17256"/>
    <d v="2024-01-10T00:00:00"/>
    <d v="1899-12-30T12:07:00"/>
    <x v="0"/>
  </r>
  <r>
    <s v="OCO-0033300"/>
    <d v="2024-01-09T00:00:00"/>
    <d v="1899-12-30T16:34:00"/>
    <n v="113003"/>
    <n v="17249"/>
    <d v="2024-01-10T00:00:00"/>
    <d v="1899-12-30T13:13:00"/>
    <x v="11"/>
  </r>
  <r>
    <s v="Y-001-2008114"/>
    <d v="2024-01-10T00:00:00"/>
    <d v="1899-12-30T12:30:00"/>
    <n v="113002"/>
    <n v="17270"/>
    <d v="2024-01-10T00:00:00"/>
    <d v="1899-12-30T13:13:00"/>
    <x v="15"/>
  </r>
  <r>
    <s v="Y-001-2008114"/>
    <d v="2024-01-10T00:00:00"/>
    <d v="1899-12-30T12:30:00"/>
    <n v="113002"/>
    <n v="17270"/>
    <d v="2024-01-10T00:00:00"/>
    <d v="1899-12-30T13:13:00"/>
    <x v="15"/>
  </r>
  <r>
    <n v="310486"/>
    <d v="2024-01-10T00:00:00"/>
    <d v="1899-12-30T03:35:00"/>
    <n v="113008"/>
    <n v="17260"/>
    <d v="2024-01-11T00:00:00"/>
    <d v="1899-12-30T12:07:00"/>
    <x v="31"/>
  </r>
  <r>
    <s v="N.A. 6"/>
    <d v="2024-01-11T00:00:00"/>
    <d v="1899-12-30T10:40:00"/>
    <n v="113006"/>
    <n v="17261"/>
    <d v="2024-01-11T00:00:00"/>
    <d v="1899-12-30T12:01:00"/>
    <x v="10"/>
  </r>
  <r>
    <s v="N.A. 7"/>
    <d v="2024-01-10T00:00:00"/>
    <d v="1899-12-30T18:15:00"/>
    <n v="113007"/>
    <n v="17257"/>
    <d v="2024-01-11T00:00:00"/>
    <d v="1899-12-30T12:05:00"/>
    <x v="32"/>
  </r>
  <r>
    <n v="863377"/>
    <d v="2024-01-10T00:00:00"/>
    <d v="1899-12-30T17:16:00"/>
    <n v="113009"/>
    <n v="17312"/>
    <d v="2024-01-11T00:00:00"/>
    <d v="1899-12-30T12:10:00"/>
    <x v="21"/>
  </r>
  <r>
    <n v="863162"/>
    <d v="2024-01-10T00:00:00"/>
    <d v="1899-12-30T14:07:00"/>
    <n v="113011"/>
    <n v="17276"/>
    <d v="2024-01-11T00:00:00"/>
    <d v="1899-12-30T13:52:00"/>
    <x v="21"/>
  </r>
  <r>
    <n v="863917"/>
    <d v="2024-01-11T00:00:00"/>
    <d v="1899-12-30T12:35:00"/>
    <n v="113012"/>
    <n v="17288"/>
    <d v="2024-01-11T00:00:00"/>
    <d v="1899-12-30T16:02:00"/>
    <x v="13"/>
  </r>
  <r>
    <n v="863917"/>
    <d v="2024-01-11T00:00:00"/>
    <d v="1899-12-30T12:35:00"/>
    <n v="113012"/>
    <n v="17288"/>
    <d v="2024-01-11T00:00:00"/>
    <d v="1899-12-30T16:02:00"/>
    <x v="13"/>
  </r>
  <r>
    <s v="N.A. 8"/>
    <d v="2024-01-11T00:00:00"/>
    <d v="1899-12-30T16:32:00"/>
    <n v="113013"/>
    <n v="17271"/>
    <d v="2024-01-11T00:00:00"/>
    <d v="1899-12-30T16:33:00"/>
    <x v="33"/>
  </r>
  <r>
    <n v="845781"/>
    <d v="2023-12-08T00:00:00"/>
    <d v="1899-12-30T20:30:00"/>
    <n v="113014"/>
    <n v="17277"/>
    <d v="2024-01-12T00:00:00"/>
    <d v="1899-12-30T09:26:00"/>
    <x v="21"/>
  </r>
  <r>
    <n v="847192"/>
    <d v="2023-12-08T00:00:00"/>
    <d v="1899-12-30T20:30:00"/>
    <n v="113019"/>
    <n v="17278"/>
    <d v="2024-01-12T00:00:00"/>
    <d v="1899-12-30T10:42:00"/>
    <x v="21"/>
  </r>
  <r>
    <s v="N.A 9"/>
    <d v="2024-01-11T00:00:00"/>
    <d v="1899-12-30T17:36:00"/>
    <n v="113016"/>
    <n v="17274"/>
    <d v="2024-01-12T00:00:00"/>
    <d v="1899-12-30T09:28:00"/>
    <x v="34"/>
  </r>
  <r>
    <n v="4500298411"/>
    <d v="2024-01-11T00:00:00"/>
    <d v="1899-12-30T07:24:00"/>
    <n v="113015"/>
    <n v="17324"/>
    <d v="2024-01-12T00:00:00"/>
    <d v="1899-12-30T09:26:00"/>
    <x v="35"/>
  </r>
  <r>
    <n v="4500298411"/>
    <d v="2024-01-11T00:00:00"/>
    <d v="1899-12-30T07:24:00"/>
    <n v="113015"/>
    <n v="17324"/>
    <d v="2024-01-12T00:00:00"/>
    <d v="1899-12-30T09:26:00"/>
    <x v="35"/>
  </r>
  <r>
    <s v="004-OSC-00044518"/>
    <d v="2024-01-12T00:00:00"/>
    <d v="1899-12-30T08:25:00"/>
    <n v="113018"/>
    <n v="17296"/>
    <d v="2024-01-12T00:00:00"/>
    <d v="1899-12-30T10:41:00"/>
    <x v="12"/>
  </r>
  <r>
    <s v="004-OSC-00044518"/>
    <d v="2024-01-12T00:00:00"/>
    <d v="1899-12-30T08:25:00"/>
    <n v="113018"/>
    <n v="17296"/>
    <d v="2024-01-12T00:00:00"/>
    <d v="1899-12-30T10:41:00"/>
    <x v="12"/>
  </r>
  <r>
    <n v="3959"/>
    <d v="2024-01-12T00:00:00"/>
    <d v="1899-12-30T08:39:00"/>
    <n v="113020"/>
    <n v="17272"/>
    <d v="2024-01-12T00:00:00"/>
    <d v="1899-12-30T10:41:00"/>
    <x v="15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94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177"/>
    <d v="2024-01-12T00:00:00"/>
    <d v="1899-12-30T10:05:00"/>
    <n v="113021"/>
    <n v="17280"/>
    <d v="2024-01-12T00:00:00"/>
    <d v="1899-12-30T11:30:00"/>
    <x v="36"/>
  </r>
  <r>
    <n v="864607"/>
    <d v="2024-01-12T00:00:00"/>
    <d v="1899-12-30T11:00:00"/>
    <n v="113022"/>
    <n v="17279"/>
    <d v="2024-01-12T00:00:00"/>
    <d v="1899-12-30T11:37:00"/>
    <x v="4"/>
  </r>
  <r>
    <s v="Y - 001 - 2139"/>
    <d v="2024-01-12T00:00:00"/>
    <d v="1899-12-30T12:31:00"/>
    <n v="113023"/>
    <n v="17268"/>
    <d v="2024-01-12T00:00:00"/>
    <d v="1899-12-30T12:38:00"/>
    <x v="17"/>
  </r>
  <r>
    <n v="4500066637"/>
    <d v="2024-01-12T00:00:00"/>
    <d v="1899-12-30T12:10:00"/>
    <n v="113025"/>
    <n v="17283"/>
    <d v="2024-01-12T00:00:00"/>
    <d v="1899-12-30T16:14:00"/>
    <x v="0"/>
  </r>
  <r>
    <n v="4500066637"/>
    <d v="2024-01-12T00:00:00"/>
    <d v="1899-12-30T12:10:00"/>
    <n v="113025"/>
    <n v="17283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4500066637"/>
    <d v="2024-01-12T00:00:00"/>
    <d v="1899-12-30T12:10:00"/>
    <n v="113025"/>
    <n v="17281"/>
    <d v="2024-01-12T00:00:00"/>
    <d v="1899-12-30T16:14:00"/>
    <x v="0"/>
  </r>
  <r>
    <n v="864838"/>
    <d v="2024-01-12T00:00:00"/>
    <d v="1899-12-30T14:25:00"/>
    <n v="113024"/>
    <n v="17302"/>
    <d v="2024-01-12T00:00:00"/>
    <d v="1899-12-30T14:33:00"/>
    <x v="21"/>
  </r>
  <r>
    <s v="543 P"/>
    <d v="2024-01-12T00:00:00"/>
    <d v="1899-12-30T14:52:00"/>
    <n v="113026"/>
    <n v="17285"/>
    <d v="2024-01-12T00:00:00"/>
    <d v="1899-12-30T16:26:00"/>
    <x v="37"/>
  </r>
  <r>
    <s v="543 P"/>
    <d v="2024-01-12T00:00:00"/>
    <d v="1899-12-30T14:52:00"/>
    <n v="113026"/>
    <n v="17285"/>
    <d v="2024-01-12T00:00:00"/>
    <d v="1899-12-30T16:26:00"/>
    <x v="37"/>
  </r>
  <r>
    <s v="O.C. 40228"/>
    <d v="2024-01-12T00:00:00"/>
    <d v="1899-12-30T15:34:00"/>
    <n v="113079"/>
    <n v="17344"/>
    <d v="2024-01-22T00:00:00"/>
    <d v="1899-12-30T14:02:00"/>
    <x v="38"/>
  </r>
  <r>
    <s v="O.C. 40228"/>
    <d v="2024-01-12T00:00:00"/>
    <d v="1899-12-30T15:34:00"/>
    <n v="113079"/>
    <n v="17344"/>
    <d v="2024-01-22T00:00:00"/>
    <d v="1899-12-30T14:02:00"/>
    <x v="38"/>
  </r>
  <r>
    <s v="OC 6834"/>
    <d v="2024-01-15T00:00:00"/>
    <d v="1899-12-30T07:29:00"/>
    <n v="113027"/>
    <n v="17295"/>
    <d v="2024-01-15T00:00:00"/>
    <d v="1899-12-30T10:30:00"/>
    <x v="12"/>
  </r>
  <r>
    <s v="865513 - 868696"/>
    <d v="2024-01-15T00:00:00"/>
    <d v="1899-12-30T08:18:00"/>
    <n v="113040"/>
    <n v="17301"/>
    <d v="2024-01-16T00:00:00"/>
    <d v="1899-12-30T09:08:00"/>
    <x v="21"/>
  </r>
  <r>
    <n v="865536"/>
    <d v="2024-01-15T00:00:00"/>
    <d v="1899-12-30T08:46:00"/>
    <n v="113030"/>
    <n v="17293"/>
    <d v="2024-01-15T00:00:00"/>
    <d v="1899-12-30T12:13:00"/>
    <x v="4"/>
  </r>
  <r>
    <n v="865536"/>
    <d v="2024-01-15T00:00:00"/>
    <d v="1899-12-30T08:48:00"/>
    <n v="113030"/>
    <n v="17293"/>
    <d v="2024-01-15T00:00:00"/>
    <d v="1899-12-30T12:13:00"/>
    <x v="4"/>
  </r>
  <r>
    <s v="001-SC-013867"/>
    <d v="2024-01-15T00:00:00"/>
    <d v="1899-12-30T10:00:00"/>
    <n v="113028"/>
    <n v="17291"/>
    <d v="2024-01-15T00:00:00"/>
    <d v="1899-12-30T11:36:00"/>
    <x v="39"/>
  </r>
  <r>
    <s v="N.A. 10"/>
    <d v="2024-01-15T00:00:00"/>
    <d v="1899-12-30T09:49:00"/>
    <n v="113034"/>
    <n v="17292"/>
    <d v="2024-01-15T00:00:00"/>
    <d v="1899-12-30T12:14:00"/>
    <x v="30"/>
  </r>
  <r>
    <s v="N.A. 10"/>
    <d v="2024-01-15T00:00:00"/>
    <d v="1899-12-30T09:49:00"/>
    <n v="113034"/>
    <n v="17292"/>
    <d v="2024-01-15T00:00:00"/>
    <d v="1899-12-30T12:14:00"/>
    <x v="30"/>
  </r>
  <r>
    <n v="91"/>
    <d v="2024-01-15T00:00:00"/>
    <d v="1899-12-30T11:00:00"/>
    <n v="113031"/>
    <n v="17388"/>
    <d v="2024-01-15T00:00:00"/>
    <d v="1899-12-30T12:14:00"/>
    <x v="23"/>
  </r>
  <r>
    <s v="N.A. 11"/>
    <d v="2024-01-15T00:00:00"/>
    <d v="1899-12-30T06:52:00"/>
    <n v="113032"/>
    <m/>
    <d v="2024-01-15T00:00:00"/>
    <d v="1899-12-30T12:15:00"/>
    <x v="9"/>
  </r>
  <r>
    <n v="56"/>
    <d v="2024-01-15T00:00:00"/>
    <d v="1899-12-30T11:32:00"/>
    <n v="113029"/>
    <n v="17290"/>
    <d v="2024-01-15T00:00:00"/>
    <d v="1899-12-30T11:58:00"/>
    <x v="5"/>
  </r>
  <r>
    <n v="56"/>
    <d v="2024-01-15T00:00:00"/>
    <d v="1899-12-30T11:32:00"/>
    <n v="113029"/>
    <n v="17290"/>
    <d v="2024-01-15T00:00:00"/>
    <d v="1899-12-30T11:58:00"/>
    <x v="5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4500066669"/>
    <d v="2024-01-15T00:00:00"/>
    <d v="1899-12-30T13:10:00"/>
    <n v="113035"/>
    <n v="17315"/>
    <d v="2024-01-15T00:00:00"/>
    <d v="1899-12-30T16:20:00"/>
    <x v="0"/>
  </r>
  <r>
    <n v="865980"/>
    <d v="2024-01-15T00:00:00"/>
    <d v="1899-12-30T14:18:00"/>
    <n v="113036"/>
    <m/>
    <d v="2024-01-15T00:00:00"/>
    <d v="1899-12-30T16:30:00"/>
    <x v="13"/>
  </r>
  <r>
    <n v="865980"/>
    <d v="2024-01-15T00:00:00"/>
    <d v="1899-12-30T14:18:00"/>
    <n v="113039"/>
    <n v="17346"/>
    <d v="2024-01-15T00:00:00"/>
    <d v="1899-12-30T16:30:00"/>
    <x v="13"/>
  </r>
  <r>
    <n v="5502004909"/>
    <d v="2024-01-15T00:00:00"/>
    <d v="1899-12-30T16:17:00"/>
    <n v="113037"/>
    <n v="17297"/>
    <d v="2024-01-15T00:00:00"/>
    <d v="1899-12-30T16:53:00"/>
    <x v="3"/>
  </r>
  <r>
    <n v="866163"/>
    <d v="2024-01-15T00:00:00"/>
    <d v="1899-12-30T16:49:00"/>
    <n v="113038"/>
    <n v="17320"/>
    <d v="2024-01-16T00:00:00"/>
    <d v="1899-12-30T08:40:00"/>
    <x v="13"/>
  </r>
  <r>
    <n v="4500115002"/>
    <d v="2024-01-16T00:00:00"/>
    <d v="1899-12-30T08:44:00"/>
    <n v="113041"/>
    <n v="17300"/>
    <d v="2024-01-16T00:00:00"/>
    <d v="1899-12-30T10:30:00"/>
    <x v="24"/>
  </r>
  <r>
    <n v="2401014"/>
    <d v="2024-01-16T00:00:00"/>
    <d v="1899-12-30T09:01:00"/>
    <n v="113042"/>
    <n v="17303"/>
    <d v="2024-01-16T00:00:00"/>
    <d v="1899-12-30T10:40:00"/>
    <x v="27"/>
  </r>
  <r>
    <n v="2401014"/>
    <d v="2024-01-16T00:00:00"/>
    <d v="1899-12-30T09:01:00"/>
    <n v="113042"/>
    <n v="17303"/>
    <d v="2024-01-16T00:00:00"/>
    <d v="1899-12-30T10:40:00"/>
    <x v="27"/>
  </r>
  <r>
    <n v="2401014"/>
    <d v="2024-01-16T00:00:00"/>
    <d v="1899-12-30T09:01:00"/>
    <n v="113042"/>
    <n v="17303"/>
    <d v="2024-01-16T00:00:00"/>
    <d v="1899-12-30T10:40:00"/>
    <x v="27"/>
  </r>
  <r>
    <n v="866357"/>
    <d v="2024-01-16T00:00:00"/>
    <d v="1899-12-30T09:09:00"/>
    <n v="113043"/>
    <n v="17347"/>
    <d v="2024-01-16T00:00:00"/>
    <d v="1899-12-30T11:00:00"/>
    <x v="13"/>
  </r>
  <r>
    <n v="866357"/>
    <d v="2024-01-16T00:00:00"/>
    <d v="1899-12-30T09:09:00"/>
    <n v="113044"/>
    <n v="17380"/>
    <d v="2024-01-16T00:00:00"/>
    <d v="1899-12-30T11:00:00"/>
    <x v="13"/>
  </r>
  <r>
    <n v="866377"/>
    <d v="2024-01-16T00:00:00"/>
    <d v="1899-12-30T09:16:00"/>
    <n v="113045"/>
    <n v="17313"/>
    <d v="2024-01-16T00:00:00"/>
    <d v="1899-12-30T11:10:00"/>
    <x v="21"/>
  </r>
  <r>
    <s v="N.A. 12"/>
    <d v="2024-01-16T00:00:00"/>
    <d v="1899-12-30T10:21:00"/>
    <n v="113046"/>
    <n v="17298"/>
    <d v="2024-01-16T00:00:00"/>
    <d v="1899-12-30T11:25:00"/>
    <x v="9"/>
  </r>
  <r>
    <s v="N.A.13"/>
    <d v="2024-01-16T00:00:00"/>
    <d v="1899-12-30T10:30:00"/>
    <n v="113047"/>
    <n v="17299"/>
    <d v="2024-01-16T00:00:00"/>
    <d v="1899-12-30T12:40:00"/>
    <x v="11"/>
  </r>
  <r>
    <s v="001-OSC-00056827"/>
    <d v="2024-01-16T00:00:00"/>
    <d v="1899-12-30T13:54:00"/>
    <n v="113048"/>
    <n v="17341"/>
    <d v="2024-01-16T00:00:00"/>
    <d v="1899-12-30T14:05:00"/>
    <x v="12"/>
  </r>
  <r>
    <n v="57311"/>
    <d v="2024-01-16T00:00:00"/>
    <d v="1899-12-30T13:55:00"/>
    <n v="113049"/>
    <n v="17305"/>
    <d v="2024-01-17T00:00:00"/>
    <d v="1899-12-30T08:55:00"/>
    <x v="28"/>
  </r>
  <r>
    <s v="007-OM-000380"/>
    <d v="2024-01-16T00:00:00"/>
    <d v="1899-12-30T13:55:00"/>
    <n v="113050"/>
    <n v="17304"/>
    <d v="2024-01-17T00:00:00"/>
    <d v="1899-12-30T08:56:00"/>
    <x v="18"/>
  </r>
  <r>
    <n v="68"/>
    <d v="2024-01-16T00:00:00"/>
    <d v="1899-12-30T16:37:00"/>
    <n v="113051"/>
    <n v="17314"/>
    <d v="2024-01-17T00:00:00"/>
    <d v="1899-12-30T09:32:00"/>
    <x v="5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s v="17326 - 17321"/>
    <d v="2024-01-18T00:00:00"/>
    <d v="1899-12-30T08:30:00"/>
    <x v="40"/>
  </r>
  <r>
    <s v="A02-COC-174546"/>
    <d v="2024-01-16T00:00:00"/>
    <d v="1899-12-30T17:49:00"/>
    <n v="113061"/>
    <n v="17343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A02-COC-174546"/>
    <d v="2024-01-16T00:00:00"/>
    <d v="1899-12-30T17:49:00"/>
    <n v="113061"/>
    <n v="17326"/>
    <d v="2024-01-18T00:00:00"/>
    <d v="1899-12-30T08:30:00"/>
    <x v="40"/>
  </r>
  <r>
    <s v="N.A. 14"/>
    <d v="2024-01-17T00:00:00"/>
    <d v="1899-12-30T09:29:00"/>
    <n v="113052"/>
    <n v="17306"/>
    <d v="2024-01-17T00:00:00"/>
    <d v="1899-12-30T10:15:00"/>
    <x v="41"/>
  </r>
  <r>
    <s v="N.A.15"/>
    <d v="2024-01-17T00:00:00"/>
    <d v="1899-12-30T09:33:00"/>
    <n v="113053"/>
    <s v="17307 - 17310"/>
    <d v="2024-01-17T00:00:00"/>
    <d v="1899-12-30T10:26:00"/>
    <x v="15"/>
  </r>
  <r>
    <s v="N.A. 16"/>
    <d v="2024-01-17T00:00:00"/>
    <d v="1899-12-30T09:37:00"/>
    <n v="113054"/>
    <n v="17311"/>
    <d v="2024-01-17T00:00:00"/>
    <d v="1899-12-30T10:41:00"/>
    <x v="42"/>
  </r>
  <r>
    <n v="62838"/>
    <d v="2024-01-17T00:00:00"/>
    <d v="1899-12-30T10:53:00"/>
    <n v="113055"/>
    <n v="17308"/>
    <d v="2024-01-17T00:00:00"/>
    <d v="1899-12-30T12:35:00"/>
    <x v="7"/>
  </r>
  <r>
    <n v="62838"/>
    <d v="2024-01-17T00:00:00"/>
    <d v="1899-12-30T10:53:00"/>
    <n v="113055"/>
    <n v="17308"/>
    <d v="2024-01-17T00:00:00"/>
    <d v="1899-12-30T12:35:00"/>
    <x v="7"/>
  </r>
  <r>
    <n v="62838"/>
    <d v="2024-01-17T00:00:00"/>
    <d v="1899-12-30T10:53:00"/>
    <n v="113055"/>
    <n v="17308"/>
    <d v="2024-01-17T00:00:00"/>
    <d v="1899-12-30T12:35:00"/>
    <x v="7"/>
  </r>
  <r>
    <n v="62835"/>
    <d v="2024-01-17T00:00:00"/>
    <d v="1899-12-30T10:53:00"/>
    <n v="113057"/>
    <n v="17309"/>
    <d v="2024-01-17T00:00:00"/>
    <d v="1899-12-30T12:38:00"/>
    <x v="7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23"/>
    <d v="2024-01-17T00:00:00"/>
    <d v="1899-12-30T16:00:00"/>
    <x v="0"/>
  </r>
  <r>
    <n v="4500066723"/>
    <d v="2024-01-17T00:00:00"/>
    <d v="1899-12-30T11:30:00"/>
    <n v="113059"/>
    <n v="17316"/>
    <d v="2024-01-17T00:00:00"/>
    <d v="1899-12-30T16:0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n v="4500066724"/>
    <d v="2024-01-17T00:00:00"/>
    <d v="1899-12-30T11:30:00"/>
    <n v="113060"/>
    <n v="17335"/>
    <d v="2024-01-17T00:00:00"/>
    <d v="1899-12-30T16:30:00"/>
    <x v="0"/>
  </r>
  <r>
    <s v="001-OC -00034874"/>
    <d v="2024-01-17T00:00:00"/>
    <d v="1899-12-30T15:04:00"/>
    <n v="113064"/>
    <n v="17318"/>
    <d v="2024-01-18T00:00:00"/>
    <d v="1899-12-30T12:08:00"/>
    <x v="29"/>
  </r>
  <r>
    <s v="001-OC -00034874"/>
    <d v="2024-01-17T00:00:00"/>
    <d v="1899-12-30T15:04:00"/>
    <n v="113064"/>
    <n v="17318"/>
    <d v="2024-01-18T00:00:00"/>
    <d v="1899-12-30T12:08:00"/>
    <x v="29"/>
  </r>
  <r>
    <s v="001-OC -00034874"/>
    <d v="2024-01-17T00:00:00"/>
    <d v="1899-12-30T15:04:00"/>
    <n v="113064"/>
    <n v="17318"/>
    <d v="2024-01-18T00:00:00"/>
    <d v="1899-12-30T12:08:00"/>
    <x v="29"/>
  </r>
  <r>
    <n v="4500299036"/>
    <d v="2024-01-18T00:00:00"/>
    <d v="1899-12-30T09:55:00"/>
    <n v="113063"/>
    <n v="17325"/>
    <d v="2024-01-18T00:00:00"/>
    <d v="1899-12-30T10:55:00"/>
    <x v="35"/>
  </r>
  <r>
    <s v="038-OC-002083"/>
    <d v="2024-01-18T00:00:00"/>
    <d v="1899-12-30T13:01:00"/>
    <n v="113065"/>
    <n v="17319"/>
    <d v="2024-01-18T00:00:00"/>
    <d v="1899-12-30T13:51:00"/>
    <x v="18"/>
  </r>
  <r>
    <n v="92"/>
    <d v="2024-01-18T00:00:00"/>
    <d v="1899-12-30T16:52:00"/>
    <n v="113066"/>
    <n v="17392"/>
    <d v="2024-01-18T00:00:00"/>
    <d v="1899-12-30T17:07:00"/>
    <x v="23"/>
  </r>
  <r>
    <n v="6871"/>
    <d v="2024-01-18T00:00:00"/>
    <d v="1899-12-30T15:34:00"/>
    <n v="113072"/>
    <n v="17358"/>
    <d v="2024-01-19T00:00:00"/>
    <d v="1899-12-30T11:50:00"/>
    <x v="12"/>
  </r>
  <r>
    <n v="6874"/>
    <d v="2024-01-18T00:00:00"/>
    <d v="1899-12-30T16:08:00"/>
    <n v="113073"/>
    <n v="17359"/>
    <d v="2024-01-19T00:00:00"/>
    <d v="1899-12-30T11:55:00"/>
    <x v="12"/>
  </r>
  <r>
    <n v="868609"/>
    <d v="2024-01-19T00:00:00"/>
    <d v="1899-12-30T10:16:00"/>
    <n v="113067"/>
    <n v="17328"/>
    <d v="2024-01-19T00:00:00"/>
    <d v="1899-12-30T12:00:00"/>
    <x v="13"/>
  </r>
  <r>
    <n v="46877"/>
    <d v="2024-01-19T00:00:00"/>
    <d v="1899-12-30T11:29:00"/>
    <n v="113068"/>
    <n v="17336"/>
    <d v="2024-01-19T00:00:00"/>
    <d v="1899-12-30T12:40:00"/>
    <x v="26"/>
  </r>
  <r>
    <s v="No. OC-1-123"/>
    <d v="2024-01-19T00:00:00"/>
    <d v="1899-12-30T11:54:00"/>
    <n v="113075"/>
    <n v="17342"/>
    <d v="2024-01-19T00:00:00"/>
    <d v="1899-12-30T20:29:00"/>
    <x v="43"/>
  </r>
  <r>
    <n v="56876"/>
    <d v="2024-01-19T00:00:00"/>
    <d v="1899-12-30T12:09:00"/>
    <n v="113069"/>
    <n v="17327"/>
    <d v="2024-01-19T00:00:00"/>
    <d v="1899-12-30T12:47:00"/>
    <x v="12"/>
  </r>
  <r>
    <n v="4500115238"/>
    <d v="2024-01-16T00:00:00"/>
    <d v="1899-12-30T08:48:00"/>
    <n v="113077"/>
    <n v="17337"/>
    <d v="2024-01-22T00:00:00"/>
    <d v="1899-12-30T11:00:00"/>
    <x v="44"/>
  </r>
  <r>
    <s v="N.A. 17"/>
    <d v="2024-01-22T00:00:00"/>
    <d v="1899-12-30T08:50:00"/>
    <n v="113078"/>
    <n v="17364"/>
    <d v="2024-01-22T00:00:00"/>
    <d v="1899-12-30T12:40:00"/>
    <x v="41"/>
  </r>
  <r>
    <n v="869687"/>
    <d v="2024-01-22T00:00:00"/>
    <d v="1899-12-30T11:18:00"/>
    <n v="113080"/>
    <n v="17348"/>
    <d v="2024-01-22T00:00:00"/>
    <d v="1899-12-30T14:30:00"/>
    <x v="13"/>
  </r>
  <r>
    <n v="33588"/>
    <d v="2024-01-22T00:00:00"/>
    <d v="1899-12-30T14:44:00"/>
    <n v="113082"/>
    <n v="17338"/>
    <d v="2024-01-22T00:00:00"/>
    <d v="1899-12-30T14:45:00"/>
    <x v="11"/>
  </r>
  <r>
    <n v="31"/>
    <d v="2024-01-22T00:00:00"/>
    <d v="1899-12-30T14:44:00"/>
    <n v="113087"/>
    <n v="17339"/>
    <d v="2024-01-23T00:00:00"/>
    <d v="1899-12-30T10:22:00"/>
    <x v="11"/>
  </r>
  <r>
    <n v="1940"/>
    <d v="2024-01-22T00:00:00"/>
    <d v="1899-12-30T14:45:00"/>
    <n v="113081"/>
    <n v="17340"/>
    <d v="2024-01-22T00:00:00"/>
    <d v="1899-12-30T15:00:00"/>
    <x v="6"/>
  </r>
  <r>
    <n v="1940"/>
    <d v="2024-01-22T00:00:00"/>
    <d v="1899-12-30T14:45:00"/>
    <n v="113081"/>
    <n v="17340"/>
    <d v="2024-01-22T00:00:00"/>
    <d v="1899-12-30T15:00:00"/>
    <x v="6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4500066840"/>
    <d v="2024-01-22T00:00:00"/>
    <d v="1899-12-30T16:00:00"/>
    <n v="113085"/>
    <n v="17374"/>
    <d v="2024-01-23T00:00:00"/>
    <d v="1899-12-30T10:15:00"/>
    <x v="0"/>
  </r>
  <r>
    <n v="93"/>
    <d v="2024-01-22T00:00:00"/>
    <d v="1899-12-30T17:41:00"/>
    <n v="113086"/>
    <n v="17393"/>
    <d v="2024-01-23T00:00:00"/>
    <d v="1899-12-30T10:18:00"/>
    <x v="23"/>
  </r>
  <r>
    <n v="2401023"/>
    <d v="2024-01-23T00:00:00"/>
    <d v="1899-12-30T08:15:00"/>
    <n v="113083"/>
    <m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2401023"/>
    <d v="2024-01-23T00:00:00"/>
    <d v="1899-12-30T08:15:00"/>
    <n v="113083"/>
    <n v="17361"/>
    <d v="2024-01-23T00:00:00"/>
    <d v="1899-12-30T10:37:00"/>
    <x v="27"/>
  </r>
  <r>
    <n v="57400"/>
    <s v="23/01/0204"/>
    <d v="1899-12-30T09:15:00"/>
    <n v="113084"/>
    <s v="-"/>
    <d v="2024-01-23T00:00:00"/>
    <d v="1899-12-30T11:11:00"/>
    <x v="28"/>
  </r>
  <r>
    <n v="2008131"/>
    <d v="2024-01-23T00:00:00"/>
    <d v="1899-12-30T10:01:00"/>
    <n v="113088"/>
    <n v="17345"/>
    <d v="2024-01-23T00:00:00"/>
    <d v="1899-12-30T10:45:00"/>
    <x v="15"/>
  </r>
  <r>
    <s v="N.A. 17"/>
    <d v="2024-01-23T00:00:00"/>
    <d v="1899-12-30T09:58:00"/>
    <n v="113089"/>
    <n v="17364"/>
    <d v="2024-01-23T00:00:00"/>
    <d v="1899-12-30T15:11:00"/>
    <x v="41"/>
  </r>
  <r>
    <s v="N.A. 18"/>
    <d v="2024-01-23T00:00:00"/>
    <d v="1899-12-30T14:18:00"/>
    <n v="113090"/>
    <n v="17357"/>
    <d v="2024-01-23T00:00:00"/>
    <d v="1899-12-30T17:23:00"/>
    <x v="45"/>
  </r>
  <r>
    <s v="N.A. 18"/>
    <d v="2024-01-23T00:00:00"/>
    <d v="1899-12-30T14:18:00"/>
    <n v="113090"/>
    <n v="17357"/>
    <d v="2024-01-23T00:00:00"/>
    <d v="1899-12-30T17:23:00"/>
    <x v="45"/>
  </r>
  <r>
    <s v="001-OC -00034969"/>
    <d v="2024-01-23T00:00:00"/>
    <d v="1899-12-30T14:51:00"/>
    <n v="113091"/>
    <n v="17352"/>
    <d v="2024-01-24T00:00:00"/>
    <d v="1899-12-30T09:20:00"/>
    <x v="29"/>
  </r>
  <r>
    <n v="2401030"/>
    <d v="2024-01-23T00:00:00"/>
    <d v="1899-12-30T16:51:00"/>
    <m/>
    <m/>
    <d v="2024-01-24T00:00:00"/>
    <d v="1899-12-30T09:56:00"/>
    <x v="27"/>
  </r>
  <r>
    <n v="4500115417"/>
    <d v="2024-01-23T00:00:00"/>
    <d v="1899-12-30T17:51:00"/>
    <n v="113094"/>
    <n v="17353"/>
    <d v="2024-01-24T00:00:00"/>
    <d v="1899-12-30T10:20:00"/>
    <x v="44"/>
  </r>
  <r>
    <n v="63171"/>
    <s v="24/01/0204"/>
    <d v="1899-12-30T08:49:00"/>
    <n v="113092"/>
    <n v="17355"/>
    <d v="2024-01-24T00:00:00"/>
    <d v="1899-12-30T10:50:00"/>
    <x v="7"/>
  </r>
  <r>
    <n v="63169"/>
    <d v="2024-01-24T00:00:00"/>
    <d v="1899-12-30T08:49:00"/>
    <n v="113093"/>
    <n v="17356"/>
    <d v="2024-01-24T00:00:00"/>
    <d v="1899-12-30T12:00:00"/>
    <x v="7"/>
  </r>
  <r>
    <n v="63169"/>
    <d v="2024-01-24T00:00:00"/>
    <d v="1899-12-30T08:49:00"/>
    <n v="113093"/>
    <n v="17356"/>
    <d v="2024-01-24T00:00:00"/>
    <d v="1899-12-30T12:00:00"/>
    <x v="7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s v="001-OSC-00056915"/>
    <d v="2024-01-24T00:00:00"/>
    <d v="1899-12-30T09:01:00"/>
    <n v="113101"/>
    <n v="17367"/>
    <d v="2014-01-25T00:00:00"/>
    <d v="1899-12-30T08:50:00"/>
    <x v="12"/>
  </r>
  <r>
    <n v="2008131"/>
    <d v="2024-01-24T00:00:00"/>
    <d v="1899-12-30T09:33:00"/>
    <n v="113096"/>
    <n v="17354"/>
    <d v="2024-01-24T00:00:00"/>
    <d v="1899-12-30T11:00:00"/>
    <x v="15"/>
  </r>
  <r>
    <n v="871322"/>
    <d v="2024-01-24T00:00:00"/>
    <d v="1899-12-30T10:46:00"/>
    <n v="113097"/>
    <n v="17360"/>
    <d v="2024-01-24T00:00:00"/>
    <d v="1899-12-30T12:24:00"/>
    <x v="21"/>
  </r>
  <r>
    <n v="30283"/>
    <d v="2024-01-24T00:00:00"/>
    <d v="1899-12-30T12:47:00"/>
    <n v="113098"/>
    <n v="17363"/>
    <d v="2024-01-24T00:00:00"/>
    <d v="1899-12-30T14:28:00"/>
    <x v="20"/>
  </r>
  <r>
    <n v="311431"/>
    <d v="2024-01-24T00:00:00"/>
    <d v="1899-12-30T15:23:00"/>
    <n v="113099"/>
    <n v="17372"/>
    <d v="2024-01-24T00:00:00"/>
    <d v="1899-12-30T15:45:00"/>
    <x v="31"/>
  </r>
  <r>
    <s v="N.A.19"/>
    <d v="2024-01-24T00:00:00"/>
    <d v="1899-12-30T16:00:00"/>
    <n v="113100"/>
    <n v="17365"/>
    <d v="2024-01-25T00:00:00"/>
    <d v="1899-12-30T08:15:00"/>
    <x v="32"/>
  </r>
  <r>
    <n v="843983"/>
    <d v="2024-01-25T00:00:00"/>
    <d v="1899-12-30T09:01:00"/>
    <n v="113103"/>
    <n v="17369"/>
    <d v="2024-01-25T00:00:00"/>
    <d v="1899-12-30T09:04:00"/>
    <x v="21"/>
  </r>
  <r>
    <n v="1001366436"/>
    <d v="2024-01-24T00:00:00"/>
    <d v="1899-12-30T16:50:00"/>
    <n v="113107"/>
    <n v="17376"/>
    <d v="2024-01-25T00:00:00"/>
    <d v="1899-12-30T09:32:00"/>
    <x v="46"/>
  </r>
  <r>
    <s v="005-OSC-00006893"/>
    <d v="2024-01-25T00:00:00"/>
    <d v="1899-12-30T11:40:00"/>
    <n v="113108"/>
    <n v="17383"/>
    <d v="2024-01-25T00:00:00"/>
    <d v="1899-12-30T11:47:00"/>
    <x v="12"/>
  </r>
  <r>
    <n v="4500066925"/>
    <d v="2024-01-25T00:00:00"/>
    <d v="1899-12-30T10:20:00"/>
    <n v="113109"/>
    <n v="17378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s v="-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n v="17375"/>
    <d v="2024-01-25T00:00:00"/>
    <d v="1899-12-30T14:15:00"/>
    <x v="0"/>
  </r>
  <r>
    <n v="4500066925"/>
    <d v="2024-01-25T00:00:00"/>
    <d v="1899-12-30T10:20:00"/>
    <n v="113109"/>
    <m/>
    <d v="2024-01-25T00:00:00"/>
    <d v="1899-12-30T14:15:00"/>
    <x v="0"/>
  </r>
  <r>
    <s v="N.A.20"/>
    <d v="2024-01-25T00:00:00"/>
    <d v="1899-12-30T13:37:00"/>
    <n v="113110"/>
    <n v="17373"/>
    <d v="2024-01-25T00:00:00"/>
    <d v="1899-12-30T14:47:00"/>
    <x v="47"/>
  </r>
  <r>
    <s v="N.A.20"/>
    <d v="2024-01-25T00:00:00"/>
    <d v="1899-12-30T13:57:00"/>
    <n v="113111"/>
    <n v="17366"/>
    <d v="2024-01-25T00:00:00"/>
    <d v="1899-12-30T14:53:00"/>
    <x v="16"/>
  </r>
  <r>
    <n v="4085"/>
    <d v="2024-01-25T00:00:00"/>
    <d v="1899-12-30T15:42:00"/>
    <n v="113115"/>
    <n v="17381"/>
    <d v="2024-01-26T00:00:00"/>
    <n v="17381"/>
    <x v="15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A02-COC-176410"/>
    <d v="2024-01-26T00:00:00"/>
    <d v="1899-12-30T09:30:00"/>
    <m/>
    <m/>
    <d v="2024-01-26T00:00:00"/>
    <m/>
    <x v="40"/>
  </r>
  <r>
    <s v="557-P"/>
    <d v="2024-01-26T00:00:00"/>
    <d v="1899-12-30T10:49:00"/>
    <n v="113114"/>
    <n v="17382"/>
    <d v="2024-01-26T00:00:00"/>
    <m/>
    <x v="48"/>
  </r>
  <r>
    <s v="557-P"/>
    <d v="2024-01-26T00:00:00"/>
    <d v="1899-12-30T10:49:00"/>
    <n v="113114"/>
    <n v="17382"/>
    <d v="2024-01-26T00:00:00"/>
    <m/>
    <x v="48"/>
  </r>
  <r>
    <n v="4500299923"/>
    <d v="2024-01-26T00:00:00"/>
    <d v="1899-12-30T13:36:00"/>
    <n v="113116"/>
    <n v="17379"/>
    <d v="2024-01-26T00:00:00"/>
    <m/>
    <x v="35"/>
  </r>
  <r>
    <n v="4500299923"/>
    <d v="2024-01-26T00:00:00"/>
    <d v="1899-12-30T13:36:00"/>
    <n v="113116"/>
    <n v="17379"/>
    <d v="2024-01-26T00:00:00"/>
    <m/>
    <x v="35"/>
  </r>
  <r>
    <n v="867084"/>
    <d v="2024-01-17T00:00:00"/>
    <d v="1899-12-30T11:17:00"/>
    <n v="113058"/>
    <n v="17371"/>
    <d v="2024-01-17T00:00:00"/>
    <d v="1899-12-30T12:30:00"/>
    <x v="21"/>
  </r>
  <r>
    <n v="33610"/>
    <d v="2024-01-23T00:00:00"/>
    <d v="1899-12-30T12:00:00"/>
    <n v="113118"/>
    <n v="17385"/>
    <d v="2024-01-26T00:00:00"/>
    <d v="1899-12-30T17:59:00"/>
    <x v="11"/>
  </r>
  <r>
    <s v="N.A. 21"/>
    <d v="2024-01-26T00:00:00"/>
    <d v="1899-12-30T17:43:00"/>
    <n v="113120"/>
    <n v="17386"/>
    <d v="2024-01-29T00:00:00"/>
    <d v="1899-12-30T09:11:00"/>
    <x v="32"/>
  </r>
  <r>
    <n v="4058"/>
    <d v="2024-01-26T00:00:00"/>
    <d v="1899-12-30T18:04:00"/>
    <n v="113119"/>
    <n v="17389"/>
    <d v="2024-01-29T00:00:00"/>
    <d v="1899-12-30T08:50:00"/>
    <x v="22"/>
  </r>
  <r>
    <s v="001-OSC-00056951"/>
    <d v="2024-01-29T00:00:00"/>
    <d v="1899-12-30T09:24:00"/>
    <n v="113124"/>
    <n v="17387"/>
    <d v="2024-01-29T00:00:00"/>
    <d v="1899-12-30T12:02:00"/>
    <x v="12"/>
  </r>
  <r>
    <n v="47090"/>
    <d v="2024-01-29T00:00:00"/>
    <d v="1899-12-30T11:54:00"/>
    <n v="113129"/>
    <n v="17395"/>
    <d v="2024-01-29T00:00:00"/>
    <d v="1899-12-30T12:35:00"/>
    <x v="26"/>
  </r>
  <r>
    <s v="ORC-2401030"/>
    <d v="2024-01-24T00:00:00"/>
    <d v="1899-12-30T14:45:00"/>
    <n v="113132"/>
    <m/>
    <d v="2024-01-29T00:00:00"/>
    <d v="1899-12-30T12:48:00"/>
    <x v="27"/>
  </r>
  <r>
    <n v="4500066299"/>
    <d v="2023-12-23T00:00:00"/>
    <d v="1899-12-30T10:30:00"/>
    <n v="112936"/>
    <n v="17396"/>
    <d v="2023-12-26T00:00:00"/>
    <d v="1899-12-30T09:06:00"/>
    <x v="49"/>
  </r>
  <r>
    <s v="001-SC-013867"/>
    <d v="2024-01-15T00:00:00"/>
    <d v="1899-12-30T10:00:00"/>
    <n v="113033"/>
    <n v="17394"/>
    <d v="2024-01-15T00:00:00"/>
    <d v="1899-12-30T12:17:00"/>
    <x v="39"/>
  </r>
  <r>
    <n v="33610"/>
    <d v="2024-01-23T00:00:00"/>
    <d v="1899-12-30T12:00:00"/>
    <m/>
    <m/>
    <m/>
    <m/>
    <x v="11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505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ORC-2402002"/>
    <d v="2024-02-06T00:00:00"/>
    <d v="1899-12-30T11:26:00"/>
    <n v="113185"/>
    <n v="17460"/>
    <d v="2024-02-06T00:00:00"/>
    <d v="1899-12-30T11:44:00"/>
    <x v="27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s v="CFMP-58"/>
    <d v="2024-02-06T00:00:00"/>
    <d v="1899-12-30T12:00:00"/>
    <n v="113190"/>
    <n v="17458"/>
    <d v="2024-02-06T00:00:00"/>
    <d v="1899-12-30T14:46:00"/>
    <x v="11"/>
  </r>
  <r>
    <n v="5501704540"/>
    <d v="2024-09-12T00:00:00"/>
    <d v="1899-12-30T09:13:00"/>
    <n v="113191"/>
    <n v="17463"/>
    <d v="2024-02-06T00:00:00"/>
    <d v="1899-12-30T16:39:00"/>
    <x v="3"/>
  </r>
  <r>
    <s v="007-OM-000400"/>
    <d v="2024-02-06T00:00:00"/>
    <d v="1899-12-30T16:31:00"/>
    <n v="113198"/>
    <n v="17464"/>
    <d v="2024-02-07T00:00:00"/>
    <d v="1899-12-30T10:59:00"/>
    <x v="18"/>
  </r>
  <r>
    <s v="OC-COMPR-8562"/>
    <d v="2024-02-06T00:00:00"/>
    <d v="1899-12-30T15:52:00"/>
    <n v="113194"/>
    <n v="17465"/>
    <d v="2024-02-07T00:00:00"/>
    <d v="1899-12-30T10:45:00"/>
    <x v="9"/>
  </r>
  <r>
    <n v="1955"/>
    <d v="2024-02-06T00:00:00"/>
    <d v="1899-12-30T16:22:00"/>
    <n v="113193"/>
    <n v="17466"/>
    <d v="2024-02-07T00:00:00"/>
    <d v="1899-12-30T09:38:00"/>
    <x v="6"/>
  </r>
  <r>
    <s v="001-OC -00005931"/>
    <d v="2024-02-06T00:00:00"/>
    <d v="1899-12-30T17:30:00"/>
    <n v="113197"/>
    <n v="17474"/>
    <d v="2024-02-07T00:00:00"/>
    <d v="1899-12-30T10:58:00"/>
    <x v="30"/>
  </r>
  <r>
    <s v="001-OC -00005931"/>
    <d v="2024-02-06T00:00:00"/>
    <d v="1899-12-30T17:30:00"/>
    <n v="113197"/>
    <n v="17474"/>
    <d v="2024-02-07T00:00:00"/>
    <d v="1899-12-30T10:58:00"/>
    <x v="30"/>
  </r>
  <r>
    <s v="001-OC -00005932"/>
    <d v="2024-02-06T00:00:00"/>
    <d v="1899-12-30T17:30:00"/>
    <n v="113195"/>
    <n v="17529"/>
    <d v="2024-02-07T00:00:00"/>
    <d v="1899-12-30T10:49:00"/>
    <x v="30"/>
  </r>
  <r>
    <s v="001-OC -00005932"/>
    <d v="2024-02-06T00:00:00"/>
    <d v="1899-12-30T17:30:00"/>
    <n v="113195"/>
    <n v="17529"/>
    <d v="2024-02-07T00:00:00"/>
    <d v="1899-12-30T10:49:00"/>
    <x v="30"/>
  </r>
  <r>
    <n v="1001378856"/>
    <d v="2024-02-06T00:00:00"/>
    <d v="1899-12-30T18:32:00"/>
    <n v="113196"/>
    <n v="17523"/>
    <d v="2024-02-07T00:00:00"/>
    <d v="1899-12-30T10:50:00"/>
    <x v="50"/>
  </r>
  <r>
    <n v="880189"/>
    <d v="2024-02-06T00:00:00"/>
    <d v="1899-12-30T16:46:00"/>
    <m/>
    <m/>
    <m/>
    <m/>
    <x v="13"/>
  </r>
  <r>
    <s v="Y-001-2161"/>
    <d v="2024-02-07T00:00:00"/>
    <d v="1899-12-30T09:46:00"/>
    <n v="113199"/>
    <n v="17471"/>
    <d v="2024-02-07T00:00:00"/>
    <d v="1899-12-30T14:00:00"/>
    <x v="17"/>
  </r>
  <r>
    <n v="4500116194"/>
    <d v="2024-02-07T00:00:00"/>
    <d v="1899-12-30T11:09:00"/>
    <n v="113200"/>
    <n v="17477"/>
    <d v="2024-02-07T00:00:00"/>
    <d v="1899-12-30T15:27:00"/>
    <x v="51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4500067260"/>
    <d v="2024-02-07T00:00:00"/>
    <d v="1899-12-30T15:20:00"/>
    <n v="113202"/>
    <n v="17483"/>
    <d v="2024-02-08T00:00:00"/>
    <d v="1899-12-30T09:19:00"/>
    <x v="0"/>
  </r>
  <r>
    <n v="880629"/>
    <d v="2024-02-07T00:00:00"/>
    <d v="1899-12-30T12:18:00"/>
    <n v="113201"/>
    <n v="17515"/>
    <d v="2024-02-08T00:00:00"/>
    <d v="1899-12-30T08:53:00"/>
    <x v="4"/>
  </r>
  <r>
    <n v="881037"/>
    <d v="2024-02-07T00:00:00"/>
    <d v="1899-12-30T17:15:00"/>
    <n v="113203"/>
    <n v="17479"/>
    <d v="2024-02-08T00:00:00"/>
    <d v="1899-12-30T09:26:00"/>
    <x v="21"/>
  </r>
  <r>
    <n v="881037"/>
    <d v="2024-02-07T00:00:00"/>
    <d v="1899-12-30T17:15:00"/>
    <n v="113203"/>
    <n v="17479"/>
    <d v="2024-02-08T00:00:00"/>
    <d v="1899-12-30T09:26:00"/>
    <x v="21"/>
  </r>
  <r>
    <n v="881037"/>
    <d v="2024-02-07T00:00:00"/>
    <d v="1899-12-30T17:15:00"/>
    <n v="113203"/>
    <n v="17479"/>
    <d v="2024-02-08T00:00:00"/>
    <d v="1899-12-30T09:26:00"/>
    <x v="21"/>
  </r>
  <r>
    <n v="4500301012"/>
    <d v="2024-02-08T00:00:00"/>
    <d v="1899-12-30T06:48:00"/>
    <n v="113204"/>
    <n v="17510"/>
    <d v="2024-02-08T00:00:00"/>
    <d v="1899-12-30T09:43:00"/>
    <x v="35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s v="001-OSC-00057088"/>
    <d v="2024-02-08T00:00:00"/>
    <d v="1899-12-30T08:35:00"/>
    <n v="113206"/>
    <n v="17488"/>
    <d v="2024-02-08T00:00:00"/>
    <d v="1899-12-30T10:46:00"/>
    <x v="12"/>
  </r>
  <r>
    <n v="4503226767"/>
    <d v="2024-02-08T00:00:00"/>
    <d v="1899-12-30T08:12:00"/>
    <n v="113207"/>
    <n v="17508"/>
    <d v="2024-02-08T00:00:00"/>
    <d v="1899-12-30T10:46:00"/>
    <x v="19"/>
  </r>
  <r>
    <n v="4503226767"/>
    <d v="2024-02-08T00:00:00"/>
    <d v="1899-12-30T08:12:00"/>
    <n v="113208"/>
    <n v="17560"/>
    <d v="2024-02-08T00:00:00"/>
    <d v="1899-12-30T10:46:00"/>
    <x v="19"/>
  </r>
  <r>
    <n v="5501704540"/>
    <d v="2024-09-12T00:00:00"/>
    <d v="1899-12-30T09:13:00"/>
    <n v="113205"/>
    <n v="17482"/>
    <d v="2024-02-08T00:00:00"/>
    <d v="1899-12-30T10:17:00"/>
    <x v="3"/>
  </r>
  <r>
    <s v="OCO-33885"/>
    <d v="2024-02-08T00:00:00"/>
    <d v="1899-12-30T11:30:00"/>
    <n v="113209"/>
    <n v="17478"/>
    <d v="2024-02-08T00:00:00"/>
    <d v="1899-12-30T12:00:00"/>
    <x v="11"/>
  </r>
  <r>
    <s v="OC482"/>
    <d v="2024-02-08T00:00:00"/>
    <d v="1899-12-30T12:06:00"/>
    <n v="113210"/>
    <n v="17487"/>
    <d v="2024-02-08T00:00:00"/>
    <d v="1899-12-30T12:27:00"/>
    <x v="52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485"/>
    <d v="2024-02-08T00:00:00"/>
    <d v="1899-12-30T12:27:00"/>
    <x v="0"/>
  </r>
  <r>
    <n v="4500067293"/>
    <d v="2024-02-08T00:00:00"/>
    <d v="1899-12-30T12:00:00"/>
    <n v="113211"/>
    <n v="17545"/>
    <d v="2024-02-08T00:00:00"/>
    <d v="1899-12-30T12:27:00"/>
    <x v="0"/>
  </r>
  <r>
    <s v="005-OSC-00006937"/>
    <d v="2024-02-08T00:00:00"/>
    <d v="1899-12-30T14:12:00"/>
    <n v="113212"/>
    <n v="17497"/>
    <d v="2024-02-08T00:00:00"/>
    <d v="1899-12-30T14:59:00"/>
    <x v="12"/>
  </r>
  <r>
    <n v="168"/>
    <d v="2024-02-08T00:00:00"/>
    <d v="1899-12-30T14:25:00"/>
    <n v="113213"/>
    <n v="17481"/>
    <d v="2024-02-08T00:00:00"/>
    <d v="1899-12-30T14:59:00"/>
    <x v="5"/>
  </r>
  <r>
    <n v="87160"/>
    <d v="2024-02-09T00:00:00"/>
    <d v="1899-12-30T07:15:00"/>
    <m/>
    <m/>
    <m/>
    <m/>
    <x v="25"/>
  </r>
  <r>
    <n v="4500116307"/>
    <d v="2024-02-09T00:00:00"/>
    <d v="1899-12-30T09:33:00"/>
    <n v="113214"/>
    <n v="17489"/>
    <d v="2024-02-08T00:00:00"/>
    <d v="1899-12-30T10:26:00"/>
    <x v="51"/>
  </r>
  <r>
    <n v="4500116330"/>
    <d v="2024-02-09T00:00:00"/>
    <d v="1899-12-30T09:33:00"/>
    <n v="113215"/>
    <n v="17490"/>
    <d v="2024-02-08T00:00:00"/>
    <d v="1899-12-30T10:26:00"/>
    <x v="51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222"/>
    <d v="2024-02-08T00:00:00"/>
    <d v="1899-12-30T16:50:00"/>
    <n v="113216"/>
    <n v="17492"/>
    <d v="2024-02-09T00:00:00"/>
    <d v="1899-12-30T11:21:00"/>
    <x v="53"/>
  </r>
  <r>
    <n v="4500116424"/>
    <d v="2024-02-09T00:00:00"/>
    <d v="1899-12-30T09:33:00"/>
    <n v="113217"/>
    <n v="17501"/>
    <d v="2024-02-09T00:00:00"/>
    <d v="1899-12-30T12:28:00"/>
    <x v="51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n v="4500067320"/>
    <d v="2024-02-09T00:00:00"/>
    <d v="1899-12-30T12:20:00"/>
    <n v="1132200"/>
    <n v="17500"/>
    <d v="2024-02-09T00:00:00"/>
    <d v="1899-12-30T15:36:00"/>
    <x v="0"/>
  </r>
  <r>
    <s v="Y-001-2008157"/>
    <d v="2024-02-09T00:00:00"/>
    <d v="1899-12-30T13:48:00"/>
    <n v="113218"/>
    <n v="17518"/>
    <d v="2024-02-09T00:00:00"/>
    <d v="1899-12-30T14:25:00"/>
    <x v="15"/>
  </r>
  <r>
    <s v="Y-001-2008157"/>
    <d v="2024-02-09T00:00:00"/>
    <d v="1899-12-30T13:48:00"/>
    <n v="113218"/>
    <n v="17518"/>
    <d v="2024-02-09T00:00:00"/>
    <d v="1899-12-30T14:25:00"/>
    <x v="15"/>
  </r>
  <r>
    <s v="PENDIENTE OC"/>
    <d v="2024-02-09T00:00:00"/>
    <d v="1899-12-30T14:35:00"/>
    <n v="113219"/>
    <s v="CANCELADO"/>
    <d v="2024-02-09T00:00:00"/>
    <d v="1899-12-30T14:35:00"/>
    <x v="15"/>
  </r>
  <r>
    <s v="005-OSC-00006958"/>
    <d v="2024-02-09T00:00:00"/>
    <d v="1899-12-30T16:54:00"/>
    <n v="113225"/>
    <n v="17496"/>
    <d v="2024-02-12T00:00:00"/>
    <d v="1899-12-30T08:51:00"/>
    <x v="12"/>
  </r>
  <r>
    <s v="N.A. 21"/>
    <d v="2024-02-09T00:00:00"/>
    <d v="1899-12-30T15:48:00"/>
    <n v="113224"/>
    <n v="17504"/>
    <d v="2024-02-12T00:00:00"/>
    <d v="1899-12-30T08:51:00"/>
    <x v="26"/>
  </r>
  <r>
    <s v="N.A. 22"/>
    <d v="2024-02-11T00:00:00"/>
    <d v="1899-12-30T22:02:00"/>
    <n v="113223"/>
    <n v="17502"/>
    <d v="2024-02-12T00:00:00"/>
    <d v="1899-12-30T08:51:00"/>
    <x v="32"/>
  </r>
  <r>
    <n v="4500300465"/>
    <d v="2024-02-05T00:00:00"/>
    <d v="1899-12-30T09:18:00"/>
    <n v="113222"/>
    <n v="17499"/>
    <d v="2024-02-12T00:00:00"/>
    <d v="1899-12-30T08:51:00"/>
    <x v="42"/>
  </r>
  <r>
    <n v="95"/>
    <d v="2024-02-12T00:00:00"/>
    <d v="1899-12-30T08:36:00"/>
    <n v="113221"/>
    <m/>
    <d v="2024-02-12T00:00:00"/>
    <d v="1899-12-30T08:51:00"/>
    <x v="23"/>
  </r>
  <r>
    <n v="5502071050"/>
    <d v="2024-02-09T00:00:00"/>
    <d v="1899-12-30T15:18:00"/>
    <n v="113254"/>
    <n v="17543"/>
    <d v="2024-02-12T00:00:00"/>
    <d v="1899-12-30T16:21:00"/>
    <x v="3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92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A02-COC-176410"/>
    <d v="2024-01-26T00:00:00"/>
    <d v="1899-12-30T09:30:00"/>
    <n v="113226"/>
    <n v="17503"/>
    <d v="2024-02-12T00:00:00"/>
    <d v="1899-12-30T09:54:00"/>
    <x v="40"/>
  </r>
  <r>
    <s v="004-OSC-00044715"/>
    <d v="2024-02-12T00:00:00"/>
    <d v="1899-12-30T09:34:00"/>
    <n v="113230"/>
    <n v="17512"/>
    <d v="2024-02-12T00:00:00"/>
    <d v="1899-12-30T14:36:00"/>
    <x v="12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A02-COC-179322"/>
    <d v="2024-02-12T00:00:00"/>
    <d v="1899-12-30T11:55:00"/>
    <n v="113232"/>
    <n v="17519"/>
    <d v="2024-02-12T00:00:00"/>
    <d v="1899-12-30T14:29:00"/>
    <x v="40"/>
  </r>
  <r>
    <s v="A02-COC-179322"/>
    <d v="2024-02-12T00:00:00"/>
    <d v="1899-12-30T11:55:00"/>
    <n v="113232"/>
    <n v="17509"/>
    <d v="2024-02-12T00:00:00"/>
    <d v="1899-12-30T14:29:00"/>
    <x v="40"/>
  </r>
  <r>
    <s v="N.A. 23"/>
    <d v="2024-02-12T00:00:00"/>
    <d v="1899-12-30T14:20:00"/>
    <n v="113228"/>
    <n v="17506"/>
    <d v="2024-02-12T00:00:00"/>
    <d v="1899-12-30T14:27:00"/>
    <x v="54"/>
  </r>
  <r>
    <n v="883857"/>
    <d v="2024-02-12T00:00:00"/>
    <d v="1899-12-30T13:46:00"/>
    <n v="113231"/>
    <n v="17554"/>
    <d v="2024-02-12T00:00:00"/>
    <d v="1899-12-30T14:40:00"/>
    <x v="13"/>
  </r>
  <r>
    <n v="883880"/>
    <d v="2024-02-12T00:00:00"/>
    <d v="1899-12-30T14:04:00"/>
    <n v="113229"/>
    <n v="17507"/>
    <d v="2024-02-12T00:00:00"/>
    <d v="1899-12-30T14:32:00"/>
    <x v="21"/>
  </r>
  <r>
    <n v="883880"/>
    <d v="2024-02-12T00:00:00"/>
    <d v="1899-12-30T14:04:00"/>
    <n v="113229"/>
    <n v="17507"/>
    <d v="2024-02-12T00:00:00"/>
    <d v="1899-12-30T14:32:00"/>
    <x v="21"/>
  </r>
  <r>
    <n v="883880"/>
    <d v="2024-02-12T00:00:00"/>
    <d v="1899-12-30T14:04:00"/>
    <n v="113229"/>
    <n v="17507"/>
    <d v="2024-02-12T00:00:00"/>
    <d v="1899-12-30T14:32:00"/>
    <x v="21"/>
  </r>
  <r>
    <s v="OC-1-125"/>
    <d v="2024-02-13T00:00:00"/>
    <d v="1899-12-30T09:00:00"/>
    <n v="113234"/>
    <n v="17513"/>
    <d v="2024-02-13T00:00:00"/>
    <s v="9;08"/>
    <x v="43"/>
  </r>
  <r>
    <n v="884399"/>
    <d v="2024-02-13T00:00:00"/>
    <d v="1899-12-30T08:47:00"/>
    <n v="113235"/>
    <n v="17514"/>
    <d v="2024-02-13T00:00:00"/>
    <d v="1899-12-30T09:11:00"/>
    <x v="2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CFMP-74"/>
    <d v="2024-02-12T00:00:00"/>
    <d v="1899-12-30T17:41:00"/>
    <n v="113236"/>
    <n v="17530"/>
    <d v="2024-02-13T00:00:00"/>
    <d v="1899-12-30T11:21:00"/>
    <x v="11"/>
  </r>
  <r>
    <s v="N.A. 24"/>
    <d v="2024-02-12T00:00:00"/>
    <d v="1899-12-30T12:07:00"/>
    <n v="113237"/>
    <n v="17511"/>
    <d v="2024-02-13T00:00:00"/>
    <d v="1899-12-30T11:21:00"/>
    <x v="55"/>
  </r>
  <r>
    <n v="4500067363"/>
    <d v="2024-02-12T00:00:00"/>
    <d v="1899-12-30T12:50:00"/>
    <n v="113238"/>
    <n v="17531"/>
    <d v="2024-02-13T00:00:00"/>
    <d v="1899-12-30T11:21:00"/>
    <x v="0"/>
  </r>
  <r>
    <n v="884001"/>
    <d v="2024-02-12T00:00:00"/>
    <d v="1899-12-30T15:49:00"/>
    <m/>
    <m/>
    <m/>
    <m/>
    <x v="13"/>
  </r>
  <r>
    <s v="005-OSC-00006963"/>
    <d v="2024-02-13T00:00:00"/>
    <d v="1899-12-30T08:39:00"/>
    <n v="113241"/>
    <n v="17537"/>
    <d v="2024-02-13T00:00:00"/>
    <d v="1899-12-30T14:18:00"/>
    <x v="12"/>
  </r>
  <r>
    <s v="005-OSC-00006963"/>
    <d v="2024-02-13T00:00:00"/>
    <d v="1899-12-30T08:39:00"/>
    <n v="113241"/>
    <n v="17537"/>
    <d v="2024-02-13T00:00:00"/>
    <d v="1899-12-30T14:18:00"/>
    <x v="12"/>
  </r>
  <r>
    <s v="N.A. 25"/>
    <d v="2024-02-13T00:00:00"/>
    <d v="1899-12-30T12:31:00"/>
    <n v="113239"/>
    <n v="17522"/>
    <s v="13/02/0204"/>
    <d v="1899-12-30T12:39:00"/>
    <x v="56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s v="ORC-2402013"/>
    <d v="2024-02-13T00:00:00"/>
    <d v="1899-12-30T12:01:00"/>
    <n v="113240"/>
    <n v="17520"/>
    <s v="13/02/0204"/>
    <d v="1899-12-30T12:52:00"/>
    <x v="27"/>
  </r>
  <r>
    <n v="64119"/>
    <d v="2024-02-13T00:00:00"/>
    <d v="1899-12-30T12:15:00"/>
    <n v="113242"/>
    <n v="17516"/>
    <s v="13/02/0204"/>
    <d v="1899-12-30T14:19:00"/>
    <x v="7"/>
  </r>
  <r>
    <n v="64119"/>
    <d v="2024-02-13T00:00:00"/>
    <d v="1899-12-30T12:15:00"/>
    <n v="113242"/>
    <n v="17516"/>
    <s v="13/02/0204"/>
    <d v="1899-12-30T14:19:00"/>
    <x v="7"/>
  </r>
  <r>
    <n v="64118"/>
    <d v="2024-02-13T00:00:00"/>
    <d v="1899-12-30T12:15:00"/>
    <n v="113243"/>
    <n v="17517"/>
    <s v="13/02/0204"/>
    <d v="1899-12-30T14:19:00"/>
    <x v="7"/>
  </r>
  <r>
    <n v="96"/>
    <d v="2024-02-12T00:00:00"/>
    <d v="1899-12-30T09:18:00"/>
    <n v="113259"/>
    <m/>
    <d v="2024-02-15T00:00:00"/>
    <d v="1899-12-30T12:48:00"/>
    <x v="23"/>
  </r>
  <r>
    <s v="A02-COC-179582"/>
    <d v="2024-02-13T00:00:00"/>
    <d v="1899-12-30T15:48:00"/>
    <n v="113249"/>
    <n v="17527"/>
    <d v="2024-02-14T00:00:00"/>
    <d v="1899-12-30T11:46:00"/>
    <x v="40"/>
  </r>
  <r>
    <n v="885166"/>
    <d v="2024-02-13T00:00:00"/>
    <d v="1899-12-30T17:46:00"/>
    <n v="113244"/>
    <n v="17528"/>
    <d v="2024-02-14T00:00:00"/>
    <d v="1899-12-30T10:16:00"/>
    <x v="21"/>
  </r>
  <r>
    <s v="001-OCN-00011576"/>
    <d v="2024-02-13T00:00:00"/>
    <d v="1899-12-30T17:54:00"/>
    <n v="113245"/>
    <n v="17542"/>
    <d v="2024-02-14T00:00:00"/>
    <d v="1899-12-30T10:22:00"/>
    <x v="57"/>
  </r>
  <r>
    <s v="001-OCN-00011575"/>
    <d v="2024-02-13T00:00:00"/>
    <d v="1899-12-30T17:54:00"/>
    <n v="113246"/>
    <n v="17525"/>
    <d v="2024-02-14T00:00:00"/>
    <d v="1899-12-30T10:25:00"/>
    <x v="57"/>
  </r>
  <r>
    <n v="885285"/>
    <d v="2024-02-14T00:00:00"/>
    <d v="1899-12-30T05:01:00"/>
    <n v="113247"/>
    <n v="17539"/>
    <d v="2024-02-14T00:00:00"/>
    <d v="1899-12-30T11:17:00"/>
    <x v="21"/>
  </r>
  <r>
    <n v="885375"/>
    <d v="2024-02-14T00:00:00"/>
    <d v="1899-12-30T08:15:00"/>
    <n v="113250"/>
    <n v="17534"/>
    <d v="2024-02-14T00:00:00"/>
    <d v="1899-12-30T14:09:00"/>
    <x v="13"/>
  </r>
  <r>
    <n v="1968"/>
    <d v="2024-02-14T00:00:00"/>
    <d v="1899-12-30T08:39:00"/>
    <n v="113248"/>
    <n v="17533"/>
    <d v="2024-02-14T00:00:00"/>
    <d v="1899-12-30T11:29:00"/>
    <x v="6"/>
  </r>
  <r>
    <n v="885554"/>
    <d v="2024-02-14T00:00:00"/>
    <d v="1899-12-30T10:17:00"/>
    <n v="113251"/>
    <n v="17536"/>
    <d v="2024-02-14T00:00:00"/>
    <d v="1899-12-30T14:10:00"/>
    <x v="4"/>
  </r>
  <r>
    <s v="OCO-33975"/>
    <d v="2024-02-14T00:00:00"/>
    <d v="1899-12-30T09:02:00"/>
    <n v="113252"/>
    <n v="17532"/>
    <d v="2024-02-14T00:00:00"/>
    <d v="1899-12-30T14:11:00"/>
    <x v="11"/>
  </r>
  <r>
    <s v="N.A. 26"/>
    <d v="2024-02-14T00:00:00"/>
    <d v="1899-12-30T15:10:00"/>
    <n v="113253"/>
    <n v="17535"/>
    <d v="2024-02-14T00:00:00"/>
    <d v="1899-12-30T16:16:00"/>
    <x v="58"/>
  </r>
  <r>
    <s v="MPN - 4,610"/>
    <d v="2024-02-15T00:00:00"/>
    <d v="1899-12-30T08:34:00"/>
    <n v="113255"/>
    <n v="17555"/>
    <d v="2024-02-15T00:00:00"/>
    <d v="1899-12-30T09:02:00"/>
    <x v="33"/>
  </r>
  <r>
    <s v="N.A. 27"/>
    <d v="2024-02-15T00:00:00"/>
    <d v="1899-12-30T08:49:00"/>
    <n v="113256"/>
    <n v="17546"/>
    <d v="2024-02-15T00:00:00"/>
    <d v="1899-12-30T12:45:00"/>
    <x v="59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1"/>
    <d v="2024-02-15T00:00:00"/>
    <d v="1899-12-30T11:30:00"/>
    <n v="113257"/>
    <n v="17556"/>
    <d v="2024-02-15T00:00:00"/>
    <d v="1899-12-30T12:45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4500067440"/>
    <d v="2024-02-15T00:00:00"/>
    <d v="1899-12-30T11:30:00"/>
    <n v="113258"/>
    <n v="17548"/>
    <d v="2024-02-15T00:00:00"/>
    <d v="1899-12-30T12:46:00"/>
    <x v="0"/>
  </r>
  <r>
    <n v="886448"/>
    <d v="2024-02-15T00:00:00"/>
    <d v="1899-12-30T12:00:00"/>
    <n v="113260"/>
    <n v="17540"/>
    <d v="2024-02-15T00:00:00"/>
    <d v="1899-12-30T12:52:00"/>
    <x v="21"/>
  </r>
  <r>
    <n v="205"/>
    <d v="2024-02-15T00:00:00"/>
    <d v="1899-12-30T12:47:00"/>
    <n v="113261"/>
    <n v="17541"/>
    <d v="2024-02-15T00:00:00"/>
    <d v="1899-12-30T14:13:00"/>
    <x v="5"/>
  </r>
  <r>
    <s v="578 P"/>
    <d v="2024-02-15T00:00:00"/>
    <d v="1899-12-30T14:56:00"/>
    <n v="113262"/>
    <n v="17551"/>
    <d v="2024-02-15T00:00:00"/>
    <d v="1899-12-30T09:40:00"/>
    <x v="60"/>
  </r>
  <r>
    <s v="578 P"/>
    <d v="2024-02-15T00:00:00"/>
    <d v="1899-12-30T14:56:00"/>
    <n v="113262"/>
    <n v="17551"/>
    <d v="2024-02-15T00:00:00"/>
    <d v="1899-12-30T09:40:00"/>
    <x v="60"/>
  </r>
  <r>
    <n v="886696"/>
    <d v="2024-02-15T00:00:00"/>
    <d v="1899-12-30T16:17:00"/>
    <n v="113263"/>
    <n v="17563"/>
    <d v="2024-02-15T00:00:00"/>
    <d v="1899-12-30T09:41:00"/>
    <x v="21"/>
  </r>
  <r>
    <n v="886749"/>
    <d v="2024-02-15T00:00:00"/>
    <d v="1899-12-30T16:47:00"/>
    <n v="113264"/>
    <n v="17553"/>
    <d v="2024-02-15T00:00:00"/>
    <d v="1899-12-30T09:43:00"/>
    <x v="4"/>
  </r>
  <r>
    <n v="97"/>
    <d v="2024-02-16T00:00:00"/>
    <s v="7;50"/>
    <n v="113265"/>
    <m/>
    <d v="2024-02-15T00:00:00"/>
    <d v="1899-12-30T09:44:00"/>
    <x v="23"/>
  </r>
  <r>
    <n v="97"/>
    <d v="2024-02-16T00:00:00"/>
    <s v="7;50"/>
    <n v="113265"/>
    <m/>
    <d v="2024-02-15T00:00:00"/>
    <d v="1899-12-30T09:44:00"/>
    <x v="23"/>
  </r>
  <r>
    <n v="97"/>
    <d v="2024-02-16T00:00:00"/>
    <s v="7;50"/>
    <n v="113265"/>
    <m/>
    <d v="2024-02-15T00:00:00"/>
    <d v="1899-12-30T09:44:00"/>
    <x v="23"/>
  </r>
  <r>
    <n v="19777"/>
    <d v="2024-02-16T00:00:00"/>
    <d v="1899-12-30T11:04:00"/>
    <n v="113266"/>
    <n v="17552"/>
    <d v="2024-02-15T00:00:00"/>
    <d v="1899-12-30T14:00:00"/>
    <x v="61"/>
  </r>
  <r>
    <s v="007-OM-000410"/>
    <d v="2024-02-16T00:00:00"/>
    <d v="1899-12-30T13:48:00"/>
    <n v="113277"/>
    <n v="17559"/>
    <d v="2024-02-19T00:00:00"/>
    <d v="1899-12-30T14:43:00"/>
    <x v="18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s v="CFMP-84"/>
    <d v="2024-02-17T00:00:00"/>
    <d v="1899-12-30T13:46:00"/>
    <n v="113268"/>
    <n v="17570"/>
    <d v="2024-02-19T00:00:00"/>
    <d v="1899-12-30T08:52:00"/>
    <x v="11"/>
  </r>
  <r>
    <n v="64339"/>
    <d v="2024-02-16T00:00:00"/>
    <d v="1899-12-30T15:52:00"/>
    <n v="113269"/>
    <n v="17561"/>
    <d v="2024-02-19T00:00:00"/>
    <d v="1899-12-30T08:52:00"/>
    <x v="7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218"/>
    <d v="2024-02-16T00:00:00"/>
    <d v="1899-12-30T16:03:00"/>
    <n v="113270"/>
    <n v="17564"/>
    <d v="2024-02-19T00:00:00"/>
    <d v="1899-12-30T08:52:00"/>
    <x v="5"/>
  </r>
  <r>
    <n v="1000112259"/>
    <d v="2024-02-19T00:00:00"/>
    <d v="1899-12-30T06:36:00"/>
    <n v="113272"/>
    <n v="17569"/>
    <d v="2024-02-19T00:00:00"/>
    <d v="1899-12-30T10:07:00"/>
    <x v="24"/>
  </r>
  <r>
    <s v="001-OSC-00057184"/>
    <d v="2024-02-16T00:00:00"/>
    <d v="1899-12-30T17:45:00"/>
    <n v="113275"/>
    <n v="17562"/>
    <d v="2024-02-19T00:00:00"/>
    <d v="1899-12-30T10:07:00"/>
    <x v="12"/>
  </r>
  <r>
    <s v="001-OSC-00057184"/>
    <d v="2024-02-16T00:00:00"/>
    <d v="1899-12-30T17:45:00"/>
    <n v="113275"/>
    <n v="17562"/>
    <d v="2024-02-19T00:00:00"/>
    <d v="1899-12-30T10:07:00"/>
    <x v="12"/>
  </r>
  <r>
    <s v="001-OSC-00057184"/>
    <d v="2024-02-16T00:00:00"/>
    <d v="1899-12-30T17:45:00"/>
    <n v="113275"/>
    <n v="17562"/>
    <d v="2024-02-19T00:00:00"/>
    <d v="1899-12-30T10:07:00"/>
    <x v="12"/>
  </r>
  <r>
    <s v="MED - 5,602"/>
    <d v="2024-02-19T00:00:00"/>
    <d v="1899-12-30T09:02:00"/>
    <n v="113273"/>
    <n v="17557"/>
    <d v="2024-02-19T00:00:00"/>
    <d v="1899-12-30T10:07:00"/>
    <x v="33"/>
  </r>
  <r>
    <n v="98"/>
    <d v="2024-02-19T00:00:00"/>
    <d v="1899-12-30T09:20:00"/>
    <n v="113274"/>
    <m/>
    <d v="2024-02-19T00:00:00"/>
    <d v="1899-12-30T10:07:00"/>
    <x v="23"/>
  </r>
  <r>
    <n v="888728"/>
    <d v="2024-02-19T00:00:00"/>
    <d v="1899-12-30T14:03:00"/>
    <n v="113278"/>
    <n v="17574"/>
    <d v="2024-02-19T00:00:00"/>
    <d v="1899-12-30T14:44:00"/>
    <x v="21"/>
  </r>
  <r>
    <n v="888728"/>
    <d v="2024-02-19T00:00:00"/>
    <d v="1899-12-30T14:03:00"/>
    <n v="113278"/>
    <n v="17574"/>
    <d v="2024-02-19T00:00:00"/>
    <d v="1899-12-30T14:44:00"/>
    <x v="21"/>
  </r>
  <r>
    <n v="888728"/>
    <d v="2024-02-19T00:00:00"/>
    <d v="1899-12-30T14:03:00"/>
    <n v="113278"/>
    <n v="17574"/>
    <d v="2024-02-19T00:00:00"/>
    <d v="1899-12-30T14:44:00"/>
    <x v="21"/>
  </r>
  <r>
    <n v="4500067519"/>
    <d v="2024-02-19T00:00:00"/>
    <d v="1899-12-30T13:30:00"/>
    <n v="113279"/>
    <n v="17587"/>
    <d v="2024-02-19T00:00:00"/>
    <d v="1899-12-30T14:45:00"/>
    <x v="0"/>
  </r>
  <r>
    <n v="4500067519"/>
    <d v="2024-02-19T00:00:00"/>
    <d v="1899-12-30T13:30:00"/>
    <n v="113279"/>
    <n v="17587"/>
    <d v="2024-02-19T00:00:00"/>
    <d v="1899-12-30T14:45:00"/>
    <x v="0"/>
  </r>
  <r>
    <n v="4500067519"/>
    <d v="2024-02-19T00:00:00"/>
    <d v="1899-12-30T13:30:00"/>
    <n v="113279"/>
    <n v="17587"/>
    <d v="2024-02-19T00:00:00"/>
    <d v="1899-12-30T14:45:00"/>
    <x v="0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s v="ORC-2402021"/>
    <d v="2024-02-19T00:00:00"/>
    <d v="1899-12-30T15:11:00"/>
    <n v="113280"/>
    <n v="17575"/>
    <d v="2024-02-20T00:00:00"/>
    <d v="1899-12-30T08:54:00"/>
    <x v="27"/>
  </r>
  <r>
    <n v="888920"/>
    <d v="2024-02-19T00:00:00"/>
    <d v="1899-12-30T15:38:00"/>
    <n v="113288"/>
    <n v="17576"/>
    <d v="2024-02-20T00:00:00"/>
    <d v="1899-12-30T15:23:00"/>
    <x v="13"/>
  </r>
  <r>
    <n v="888920"/>
    <d v="2024-02-19T00:00:00"/>
    <d v="1899-12-30T15:38:00"/>
    <n v="113288"/>
    <n v="17576"/>
    <d v="2024-02-20T00:00:00"/>
    <d v="1899-12-30T15:23:00"/>
    <x v="13"/>
  </r>
  <r>
    <n v="889071"/>
    <d v="2024-02-19T00:00:00"/>
    <d v="1899-12-30T17:48:00"/>
    <n v="113285"/>
    <n v="17577"/>
    <d v="2024-02-20T00:00:00"/>
    <d v="1899-12-30T09:38:00"/>
    <x v="13"/>
  </r>
  <r>
    <n v="889071"/>
    <d v="2024-02-19T00:00:00"/>
    <d v="1899-12-30T17:48:00"/>
    <n v="113285"/>
    <n v="17577"/>
    <d v="2024-02-20T00:00:00"/>
    <d v="1899-12-30T09:38:00"/>
    <x v="13"/>
  </r>
  <r>
    <s v="OC-COMPR-8722"/>
    <d v="2024-02-19T00:00:00"/>
    <d v="1899-12-30T18:26:00"/>
    <n v="113282"/>
    <n v="17567"/>
    <d v="2024-02-20T00:00:00"/>
    <d v="1899-12-30T09:20:00"/>
    <x v="9"/>
  </r>
  <r>
    <n v="888322"/>
    <d v="2024-02-19T00:00:00"/>
    <d v="1899-12-30T09:51:00"/>
    <n v="113276"/>
    <n v="17573"/>
    <d v="2024-02-19T00:00:00"/>
    <d v="1899-12-30T13:43:00"/>
    <x v="21"/>
  </r>
  <r>
    <s v="038-OC-002172"/>
    <d v="2024-02-20T00:00:00"/>
    <d v="1899-12-30T07:40:00"/>
    <n v="113296"/>
    <n v="17584"/>
    <d v="2024-02-21T00:00:00"/>
    <d v="1899-12-30T16:09:00"/>
    <x v="18"/>
  </r>
  <r>
    <s v="N.A. 28"/>
    <d v="2024-02-20T00:00:00"/>
    <d v="1899-12-30T10:56:00"/>
    <n v="113286"/>
    <n v="17568"/>
    <d v="2024-02-20T00:00:00"/>
    <d v="1899-12-30T12:44:00"/>
    <x v="62"/>
  </r>
  <r>
    <s v="N.A. 28"/>
    <d v="2024-02-20T00:00:00"/>
    <d v="1899-12-30T10:56:00"/>
    <n v="113286"/>
    <n v="17568"/>
    <d v="2024-02-20T00:00:00"/>
    <d v="1899-12-30T12:44:00"/>
    <x v="62"/>
  </r>
  <r>
    <s v="N.A. 29"/>
    <d v="2024-02-20T00:00:00"/>
    <d v="1899-12-30T10:56:00"/>
    <n v="113286"/>
    <n v="17568"/>
    <d v="2024-02-20T00:00:00"/>
    <d v="1899-12-30T12:44:00"/>
    <x v="62"/>
  </r>
  <r>
    <s v="N.A. 30"/>
    <d v="2024-02-20T00:00:00"/>
    <d v="1899-12-30T14:29:00"/>
    <n v="113287"/>
    <n v="17571"/>
    <d v="2024-02-20T00:00:00"/>
    <d v="1899-12-30T14:46:00"/>
    <x v="34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4500067568"/>
    <d v="2024-02-20T00:00:00"/>
    <d v="1899-12-30T13:30:00"/>
    <n v="113292"/>
    <n v="17580"/>
    <d v="2024-02-21T00:00:00"/>
    <d v="1899-12-30T10:05:00"/>
    <x v="0"/>
  </r>
  <r>
    <n v="889932"/>
    <d v="2024-02-20T00:00:00"/>
    <d v="1899-12-30T17:20:00"/>
    <n v="113293"/>
    <n v="17578"/>
    <d v="2024-02-21T00:00:00"/>
    <d v="1899-12-30T10:06:00"/>
    <x v="13"/>
  </r>
  <r>
    <n v="890163"/>
    <d v="2024-02-20T00:00:00"/>
    <d v="1899-12-30T18:47:00"/>
    <n v="113290"/>
    <n v="17583"/>
    <d v="2024-02-21T00:00:00"/>
    <d v="1899-12-30T09:18:00"/>
    <x v="21"/>
  </r>
  <r>
    <n v="890316"/>
    <d v="2024-02-21T00:00:00"/>
    <d v="1899-12-30T08:36:00"/>
    <n v="113291"/>
    <n v="17590"/>
    <d v="2024-02-21T00:00:00"/>
    <d v="1899-12-30T09:21:00"/>
    <x v="4"/>
  </r>
  <r>
    <n v="890797"/>
    <d v="2024-02-21T00:00:00"/>
    <d v="1899-12-30T14:44:00"/>
    <n v="113294"/>
    <n v="17589"/>
    <d v="2024-02-21T00:00:00"/>
    <d v="1899-12-30T13:45:00"/>
    <x v="4"/>
  </r>
  <r>
    <s v="007-OM-000411"/>
    <d v="2024-02-22T00:00:00"/>
    <d v="1899-12-30T09:53:00"/>
    <n v="113298"/>
    <n v="17581"/>
    <d v="2024-02-22T00:00:00"/>
    <d v="1899-12-30T11:27:00"/>
    <x v="18"/>
  </r>
  <r>
    <s v="007-OC-042039"/>
    <d v="2024-02-22T00:00:00"/>
    <d v="1899-12-30T07:20:00"/>
    <n v="113299"/>
    <n v="17582"/>
    <d v="2024-02-22T00:00:00"/>
    <d v="1899-12-30T11:27:00"/>
    <x v="18"/>
  </r>
  <r>
    <n v="244"/>
    <d v="2024-02-21T00:00:00"/>
    <d v="1899-12-30T16:01:00"/>
    <n v="11330"/>
    <n v="17586"/>
    <d v="2024-02-22T00:00:00"/>
    <d v="1899-12-30T11:28:00"/>
    <x v="5"/>
  </r>
  <r>
    <n v="244"/>
    <d v="2024-02-21T00:00:00"/>
    <d v="1899-12-30T16:01:00"/>
    <n v="11330"/>
    <n v="17586"/>
    <d v="2024-02-22T00:00:00"/>
    <d v="1899-12-30T11:28:00"/>
    <x v="5"/>
  </r>
  <r>
    <n v="1983"/>
    <d v="2024-02-21T00:00:00"/>
    <d v="1899-12-30T18:18:00"/>
    <n v="113297"/>
    <n v="17585"/>
    <d v="2024-02-22T00:00:00"/>
    <d v="1899-12-30T10:41:00"/>
    <x v="6"/>
  </r>
  <r>
    <n v="1983"/>
    <d v="2024-02-21T00:00:00"/>
    <d v="1899-12-30T18:18:00"/>
    <n v="113297"/>
    <n v="17585"/>
    <d v="2024-02-22T00:00:00"/>
    <d v="1899-12-30T10:41:00"/>
    <x v="6"/>
  </r>
  <r>
    <n v="1983"/>
    <d v="2024-02-21T00:00:00"/>
    <d v="1899-12-30T18:18:00"/>
    <n v="113297"/>
    <n v="17585"/>
    <d v="2024-02-22T00:00:00"/>
    <d v="1899-12-30T10:41:00"/>
    <x v="6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4500067628"/>
    <d v="2024-02-22T00:00:00"/>
    <d v="1899-12-30T11:30:00"/>
    <n v="113304"/>
    <m/>
    <d v="2024-02-23T00:00:00"/>
    <d v="1899-12-30T11:03:00"/>
    <x v="0"/>
  </r>
  <r>
    <n v="891796"/>
    <d v="2024-02-22T00:00:00"/>
    <d v="1899-12-30T17:04:00"/>
    <n v="113303"/>
    <n v="17593"/>
    <d v="2024-02-23T00:00:00"/>
    <d v="1899-12-30T08:30:00"/>
    <x v="21"/>
  </r>
  <r>
    <s v="004-OSC-00044777"/>
    <d v="2024-02-23T00:00:00"/>
    <d v="1899-12-30T07:22:00"/>
    <n v="113306"/>
    <m/>
    <d v="2024-02-23T00:00:00"/>
    <d v="1899-12-30T11:05:00"/>
    <x v="12"/>
  </r>
  <r>
    <n v="889329"/>
    <d v="2024-02-20T00:00:00"/>
    <d v="1899-12-30T08:46:00"/>
    <n v="113284"/>
    <m/>
    <d v="2024-02-20T00:00:00"/>
    <d v="1899-12-30T09:35:00"/>
    <x v="21"/>
  </r>
  <r>
    <n v="889631"/>
    <d v="2024-02-20T00:00:00"/>
    <d v="1899-12-30T13:20:00"/>
    <n v="113289"/>
    <m/>
    <d v="2024-02-21T00:00:00"/>
    <d v="1899-12-30T09:13:00"/>
    <x v="21"/>
  </r>
  <r>
    <s v="OCO-34152"/>
    <d v="2024-02-23T00:00:00"/>
    <d v="1899-12-30T10:22:00"/>
    <n v="113307"/>
    <n v="17591"/>
    <d v="2024-02-23T00:00:00"/>
    <d v="1899-12-30T11:06:00"/>
    <x v="11"/>
  </r>
  <r>
    <s v="OCO-34152"/>
    <d v="2024-02-23T00:00:00"/>
    <d v="1899-12-30T10:22:00"/>
    <n v="113307"/>
    <n v="17591"/>
    <d v="2024-02-23T00:00:00"/>
    <d v="1899-12-30T11:06:00"/>
    <x v="11"/>
  </r>
  <r>
    <s v="OCO-34152"/>
    <d v="2024-02-17T00:00:00"/>
    <d v="1899-12-30T13:46:00"/>
    <n v="113307"/>
    <n v="17591"/>
    <d v="2024-02-23T00:00:00"/>
    <d v="1899-12-30T11:06:00"/>
    <x v="11"/>
  </r>
  <r>
    <s v="N.A. 31"/>
    <d v="2024-02-23T00:00:00"/>
    <d v="1899-12-30T11:00:00"/>
    <n v="113308"/>
    <m/>
    <d v="2024-02-23T00:00:00"/>
    <d v="1899-12-30T11:10:00"/>
    <x v="15"/>
  </r>
  <r>
    <n v="252"/>
    <d v="2024-02-23T00:00:00"/>
    <d v="1899-12-30T11:29:00"/>
    <n v="113310"/>
    <m/>
    <d v="2024-02-23T00:00:00"/>
    <d v="1899-12-30T14:41:00"/>
    <x v="5"/>
  </r>
  <r>
    <s v="004-OSC-00044790"/>
    <d v="2024-02-23T00:00:00"/>
    <d v="1899-12-30T14:33:00"/>
    <n v="113312"/>
    <m/>
    <d v="2024-02-23T00:00:00"/>
    <d v="1899-12-30T15:37:00"/>
    <x v="12"/>
  </r>
  <r>
    <n v="892504"/>
    <d v="2024-02-23T00:00:00"/>
    <d v="1899-12-30T14:37:00"/>
    <n v="113311"/>
    <m/>
    <d v="2024-02-23T00:00:00"/>
    <d v="1899-12-30T14:41:00"/>
    <x v="4"/>
  </r>
  <r>
    <n v="892504"/>
    <d v="2024-02-23T00:00:00"/>
    <d v="1899-12-30T14:37:00"/>
    <n v="113311"/>
    <m/>
    <d v="2024-02-23T00:00:00"/>
    <d v="1899-12-30T14:41:00"/>
    <x v="4"/>
  </r>
  <r>
    <s v="N.A. 32"/>
    <d v="2024-02-23T00:00:00"/>
    <d v="1899-12-30T15:06:00"/>
    <n v="113313"/>
    <m/>
    <d v="2024-02-23T00:00:00"/>
    <d v="1899-12-30T15:37:00"/>
    <x v="58"/>
  </r>
  <r>
    <s v="N.A. 33"/>
    <d v="2024-02-23T00:00:00"/>
    <d v="1899-12-30T15:40:00"/>
    <n v="113314"/>
    <m/>
    <d v="2024-02-26T00:00:00"/>
    <d v="1899-12-30T09:59:00"/>
    <x v="55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001-OSC-00057230"/>
    <d v="2024-02-23T00:00:00"/>
    <d v="1899-12-30T17:07:00"/>
    <n v="113315"/>
    <m/>
    <d v="2024-02-26T00:00:00"/>
    <d v="1899-12-30T10:00:00"/>
    <x v="12"/>
  </r>
  <r>
    <s v="N.A. 34"/>
    <d v="2024-02-24T00:00:00"/>
    <d v="1899-12-30T09:58:00"/>
    <n v="113317"/>
    <m/>
    <d v="2024-02-26T00:00:00"/>
    <d v="1899-12-30T13:49:00"/>
    <x v="32"/>
  </r>
  <r>
    <n v="19919"/>
    <d v="2024-02-26T00:00:00"/>
    <d v="1899-12-30T13:09:00"/>
    <m/>
    <m/>
    <m/>
    <m/>
    <x v="61"/>
  </r>
  <r>
    <s v="CFMP-101"/>
    <d v="2024-02-26T00:00:00"/>
    <d v="1899-12-30T15:54:00"/>
    <n v="113320"/>
    <n v="17607"/>
    <d v="2024-02-27T00:00:00"/>
    <d v="1899-12-30T13:05:00"/>
    <x v="11"/>
  </r>
  <r>
    <s v="CFMP-101"/>
    <d v="2024-02-26T00:00:00"/>
    <d v="1899-12-30T15:54:00"/>
    <n v="113320"/>
    <n v="17607"/>
    <d v="2024-02-27T00:00:00"/>
    <d v="1899-12-30T13:05:00"/>
    <x v="11"/>
  </r>
  <r>
    <s v="CFMP-101"/>
    <d v="2024-02-26T00:00:00"/>
    <d v="1899-12-30T15:54:00"/>
    <n v="113320"/>
    <n v="17607"/>
    <d v="2024-02-27T00:00:00"/>
    <d v="1899-12-30T13:05:00"/>
    <x v="11"/>
  </r>
  <r>
    <n v="64748"/>
    <d v="2024-02-26T00:00:00"/>
    <d v="1899-12-30T16:50:00"/>
    <n v="113321"/>
    <n v="17608"/>
    <d v="2024-02-27T00:00:00"/>
    <d v="1899-12-30T13:06:00"/>
    <x v="7"/>
  </r>
  <r>
    <n v="64749"/>
    <d v="2024-02-26T00:00:00"/>
    <d v="1899-12-30T16:50:00"/>
    <n v="113322"/>
    <n v="17609"/>
    <d v="2024-02-27T00:00:00"/>
    <d v="1899-12-30T13:08:00"/>
    <x v="7"/>
  </r>
  <r>
    <s v="ORC-2402034"/>
    <d v="2024-02-27T00:00:00"/>
    <d v="1899-12-30T09:51:00"/>
    <n v="113323"/>
    <n v="17612"/>
    <d v="2024-02-27T00:00:00"/>
    <d v="1899-12-30T13:16:00"/>
    <x v="63"/>
  </r>
  <r>
    <s v="ORC-2402034"/>
    <d v="2024-02-27T00:00:00"/>
    <d v="1899-12-30T09:51:00"/>
    <n v="113323"/>
    <n v="17612"/>
    <d v="2024-02-27T00:00:00"/>
    <d v="1899-12-30T13:16:00"/>
    <x v="63"/>
  </r>
  <r>
    <s v="N.A. 35"/>
    <d v="2024-02-27T00:00:00"/>
    <d v="1899-12-30T10:50:00"/>
    <n v="113331"/>
    <n v="17611"/>
    <d v="2024-02-27T00:00:00"/>
    <d v="1899-12-30T14:51:00"/>
    <x v="58"/>
  </r>
  <r>
    <s v="N.A. 35"/>
    <d v="2024-02-27T00:00:00"/>
    <d v="1899-12-30T10:50:00"/>
    <n v="113331"/>
    <n v="17611"/>
    <d v="2024-02-27T00:00:00"/>
    <d v="1899-12-30T14:51:00"/>
    <x v="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m/>
    <s v="4700007791"/>
    <d v="2025-05-08T00:00:00"/>
    <d v="1899-12-30T15:20:00"/>
    <d v="2025-08-02T00:00:00"/>
    <x v="0"/>
    <s v="BG22866"/>
    <d v="2025-08-11T00:00:00"/>
    <d v="1899-12-30T14:19:00"/>
    <x v="0"/>
    <s v="MEDELLIN"/>
    <s v="20% CLORTETRACICLINA x 25 KG"/>
    <n v="52000"/>
    <n v="2080"/>
    <n v="759200000"/>
    <d v="2025-08-02T00:00:00"/>
    <d v="2025-08-02T00:00:00"/>
    <x v="0"/>
  </r>
  <r>
    <m/>
    <s v="4700007791"/>
    <d v="2025-05-08T00:00:00"/>
    <d v="1899-12-30T15:20:00"/>
    <d v="2025-08-02T00:00:00"/>
    <x v="1"/>
    <s v="BG23052_x000a_"/>
    <d v="2025-08-27T00:00:00"/>
    <d v="1899-12-30T13:15:00"/>
    <x v="0"/>
    <s v="MEDELLIN"/>
    <s v="20% CLORTETRACICLINA x 25 KG"/>
    <n v="26000"/>
    <n v="1040"/>
    <n v="371020000"/>
    <d v="2025-08-16T00:00:00"/>
    <d v="2025-08-27T00:00:00"/>
    <x v="1"/>
  </r>
  <r>
    <m/>
    <s v="4700007885"/>
    <d v="2025-06-04T00:00:00"/>
    <d v="1899-12-30T09:00:00"/>
    <d v="2025-08-02T00:00:00"/>
    <x v="2"/>
    <s v="BG23053"/>
    <d v="2025-08-27T00:00:00"/>
    <d v="1899-12-30T13:15:00"/>
    <x v="0"/>
    <s v="MEDELLIN"/>
    <s v="20% CLORTETRACICLINA x 25 KG"/>
    <n v="52000"/>
    <n v="2080"/>
    <n v="742560000"/>
    <d v="2025-08-16T00:00:00"/>
    <d v="2025-08-27T00:00:00"/>
    <x v="1"/>
  </r>
  <r>
    <m/>
    <s v="7000386182_x000a__x000a_"/>
    <d v="2025-05-16T00:00:00"/>
    <d v="1899-12-30T09:59:00"/>
    <d v="2025-08-02T00:00:00"/>
    <x v="3"/>
    <s v="BG22782"/>
    <d v="2025-08-05T00:00:00"/>
    <d v="1899-12-30T12:00:00"/>
    <x v="1"/>
    <s v="REFRILOGISTICA"/>
    <s v="MICRO AID X 25 KG"/>
    <n v="2475"/>
    <n v="99"/>
    <n v="219342000"/>
    <d v="2025-08-05T00:00:00"/>
    <d v="2025-08-05T00:00:00"/>
    <x v="0"/>
  </r>
  <r>
    <m/>
    <s v="4500350293"/>
    <d v="2025-07-03T00:00:00"/>
    <d v="1899-12-30T14:38:00"/>
    <d v="2025-08-02T00:00:00"/>
    <x v="4"/>
    <s v="BG22761"/>
    <d v="2025-07-04T00:00:00"/>
    <d v="1899-12-30T13:24:00"/>
    <x v="2"/>
    <s v="BUGA"/>
    <s v="SALINOMIX 12 X 25 KG"/>
    <n v="2000"/>
    <n v="80"/>
    <n v="20600000"/>
    <d v="2025-08-02T00:00:00"/>
    <d v="2025-08-02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ACCUREMAX X 25 GUATEMALA"/>
    <n v="4000"/>
    <n v="160"/>
    <s v="USD 390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HALQUINOX 500 GUATEMALA"/>
    <n v="4000"/>
    <n v="160"/>
    <s v="USD 64200"/>
    <d v="2025-08-04T00:00:00"/>
    <d v="2025-08-04T00:00:00"/>
    <x v="0"/>
  </r>
  <r>
    <m/>
    <s v="4700008003 "/>
    <d v="2025-07-17T00:00:00"/>
    <d v="1899-12-30T14:26:00"/>
    <d v="2025-08-04T00:00:00"/>
    <x v="5"/>
    <s v="BG22730"/>
    <d v="2025-07-17T00:00:00"/>
    <d v="1899-12-30T15:52:00"/>
    <x v="3"/>
    <s v="GUATEMALA"/>
    <s v="DMB 110 X 25 KG GUATEMALA"/>
    <n v="2000"/>
    <n v="80"/>
    <s v="USD 8280"/>
    <d v="2025-08-04T00:00:00"/>
    <d v="2025-08-04T00:00:00"/>
    <x v="0"/>
  </r>
  <r>
    <m/>
    <s v="001-OSC-63087"/>
    <d v="2025-07-18T00:00:00"/>
    <d v="1899-12-30T14:01:00"/>
    <d v="2025-08-01T00:00:00"/>
    <x v="6"/>
    <s v="BG22722"/>
    <d v="2025-07-21T00:00:00"/>
    <d v="1899-12-30T11:20:00"/>
    <x v="4"/>
    <s v="BELLO"/>
    <s v="CLORTETRAX 20 % X 25 KG"/>
    <n v="2500"/>
    <n v="100"/>
    <n v="40750000"/>
    <d v="2025-08-01T00:00:00"/>
    <d v="2025-08-01T00:00:00"/>
    <x v="0"/>
  </r>
  <r>
    <m/>
    <n v="1220045"/>
    <d v="2025-07-22T00:00:00"/>
    <d v="1899-12-30T09:37:00"/>
    <d v="2025-08-01T00:00:00"/>
    <x v="7"/>
    <s v="BG22735"/>
    <d v="2025-07-22T00:00:00"/>
    <d v="1899-12-30T11:11:00"/>
    <x v="5"/>
    <s v="BUCARAMANGA"/>
    <s v="ACCUREMAX X 25 KG"/>
    <n v="25"/>
    <n v="1"/>
    <n v="1325000"/>
    <d v="2025-08-04T00:00:00"/>
    <d v="2025-08-01T00:00:00"/>
    <x v="2"/>
  </r>
  <r>
    <s v="CANCELADO"/>
    <s v="1220185 "/>
    <d v="2025-07-22T00:00:00"/>
    <d v="1899-12-30T10:52:00"/>
    <m/>
    <x v="8"/>
    <s v="CANCELADO"/>
    <d v="2025-07-22T00:00:00"/>
    <d v="1899-12-30T11:28:00"/>
    <x v="6"/>
    <s v="ENVIGADO"/>
    <s v="ACCUREMAX X 25 KG"/>
    <n v="1125"/>
    <n v="45"/>
    <n v="59625000"/>
    <d v="2025-08-06T00:00:00"/>
    <m/>
    <x v="0"/>
  </r>
  <r>
    <m/>
    <s v="4700008022"/>
    <d v="2025-07-22T00:00:00"/>
    <d v="1899-12-30T15:19:00"/>
    <d v="2025-08-05T00:00:00"/>
    <x v="9"/>
    <s v="BG22729"/>
    <d v="2025-07-23T00:00:00"/>
    <d v="1899-12-30T07:40:00"/>
    <x v="3"/>
    <s v="HONDURAS"/>
    <s v="HALQUINOX 500 HONDURAS"/>
    <n v="2000"/>
    <n v="80"/>
    <s v="USD 25340"/>
    <d v="2025-08-05T00:00:00"/>
    <d v="2025-08-05T00:00:00"/>
    <x v="0"/>
  </r>
  <r>
    <s v="TRANSPORTE "/>
    <s v="01-OC -00003820"/>
    <d v="2025-07-24T00:00:00"/>
    <d v="1899-12-30T08:15:00"/>
    <d v="2025-08-25T00:00:00"/>
    <x v="10"/>
    <s v="BG22950"/>
    <d v="2025-07-24T00:00:00"/>
    <d v="1899-12-30T12:30:00"/>
    <x v="7"/>
    <s v="NUTRITEC"/>
    <s v="DMB 11 X 25 KG"/>
    <n v="150"/>
    <n v="6"/>
    <n v="2910000"/>
    <d v="2025-08-22T00:00:00"/>
    <d v="2025-08-25T00:00:00"/>
    <x v="3"/>
  </r>
  <r>
    <m/>
    <n v="4500352023"/>
    <d v="2025-07-22T00:00:00"/>
    <d v="1899-12-30T17:10:00"/>
    <d v="2025-08-08T00:00:00"/>
    <x v="11"/>
    <s v="BG22764"/>
    <d v="2025-07-25T00:00:00"/>
    <d v="1899-12-30T12:42:00"/>
    <x v="2"/>
    <s v="BUGA"/>
    <s v="TILVASYN X 25 KG"/>
    <n v="150"/>
    <n v="6"/>
    <n v="27000000"/>
    <d v="2025-08-05T00:00:00"/>
    <d v="2025-08-08T00:00:00"/>
    <x v="3"/>
  </r>
  <r>
    <m/>
    <n v="4500352023"/>
    <d v="2025-07-22T00:00:00"/>
    <d v="1899-12-30T17:10:00"/>
    <d v="2025-08-21T00:00:00"/>
    <x v="12"/>
    <s v="BG22906"/>
    <d v="2025-07-25T00:00:00"/>
    <d v="1899-12-30T12:42:00"/>
    <x v="2"/>
    <s v="BUGA"/>
    <s v="TILVASYN X 25 KG"/>
    <n v="150"/>
    <n v="6"/>
    <n v="27000000"/>
    <d v="2025-08-19T00:00:00"/>
    <d v="2025-08-21T00:00:00"/>
    <x v="4"/>
  </r>
  <r>
    <m/>
    <s v="1222025"/>
    <d v="2025-07-24T00:00:00"/>
    <d v="1899-12-30T07:36:00"/>
    <d v="2025-08-02T00:00:00"/>
    <x v="13"/>
    <s v="BG22750"/>
    <d v="2025-07-25T00:00:00"/>
    <d v="1899-12-30T12:46:00"/>
    <x v="6"/>
    <s v="ENVIGADO"/>
    <s v="TILCOMIX PREMIX S X 5 KG"/>
    <n v="85"/>
    <n v="17"/>
    <s v="$11.245.500"/>
    <d v="2025-08-04T00:00:00"/>
    <d v="2025-08-02T00:00:00"/>
    <x v="5"/>
  </r>
  <r>
    <s v="INVENTARIO"/>
    <s v="1222025"/>
    <d v="2025-07-24T00:00:00"/>
    <d v="1899-12-30T07:36:00"/>
    <d v="2025-08-02T00:00:00"/>
    <x v="13"/>
    <s v="BG22873"/>
    <d v="2025-07-25T00:00:00"/>
    <d v="1899-12-30T12:46:00"/>
    <x v="6"/>
    <s v="ENVIGADO"/>
    <s v="TILCOMIX PREMIX S X 5 KG"/>
    <n v="65"/>
    <n v="13"/>
    <s v="$8.599.500"/>
    <d v="2025-08-04T00:00:00"/>
    <d v="2025-08-02T00:00:00"/>
    <x v="5"/>
  </r>
  <r>
    <m/>
    <s v="OC00001227BX"/>
    <d v="2025-07-24T00:00:00"/>
    <d v="1899-12-30T10:38:00"/>
    <d v="2025-08-04T00:00:00"/>
    <x v="14"/>
    <s v="BG22776"/>
    <d v="2025-07-25T00:00:00"/>
    <d v="1899-12-30T12:49:00"/>
    <x v="8"/>
    <s v="SABANETA"/>
    <s v="CLORTETRAX 20 % X 25 KG"/>
    <n v="500"/>
    <n v="20"/>
    <n v="8000000"/>
    <d v="2025-08-04T00:00:00"/>
    <d v="2025-08-04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CIPROFLOX X 1KG"/>
    <n v="10"/>
    <n v="10"/>
    <n v="568500"/>
    <d v="2025-07-25T00:00:00"/>
    <d v="2025-07-25T00:00:00"/>
    <x v="0"/>
  </r>
  <r>
    <m/>
    <m/>
    <d v="2025-07-25T00:00:00"/>
    <d v="1899-12-30T13:00:00"/>
    <d v="2025-07-25T00:00:00"/>
    <x v="15"/>
    <s v="BG22766"/>
    <d v="2025-07-25T00:00:00"/>
    <d v="1899-12-30T14:08:00"/>
    <x v="9"/>
    <s v="BUCARAMANGA"/>
    <s v="TILOMIX ORAL X 1 KG"/>
    <n v="10"/>
    <n v="10"/>
    <n v="2108000"/>
    <d v="2025-07-25T00:00:00"/>
    <d v="2025-07-25T00:00:00"/>
    <x v="0"/>
  </r>
  <r>
    <m/>
    <m/>
    <d v="2025-07-25T00:00:00"/>
    <d v="1899-12-30T13:00:00"/>
    <d v="2025-07-25T00:00:00"/>
    <x v="16"/>
    <s v="BG22766"/>
    <d v="2025-07-25T00:00:00"/>
    <d v="1899-12-30T14:08:00"/>
    <x v="9"/>
    <s v="BUCARAMANGA"/>
    <s v="SMOOTH SWEET X 75 GR"/>
    <n v="0.75"/>
    <n v="10"/>
    <n v="1"/>
    <d v="2025-07-25T00:00:00"/>
    <d v="2025-07-25T00:00:00"/>
    <x v="0"/>
  </r>
  <r>
    <m/>
    <s v="10351"/>
    <d v="2025-07-14T00:00:00"/>
    <d v="1899-12-30T09:28:00"/>
    <d v="2025-07-14T00:00:00"/>
    <x v="17"/>
    <s v="BG22778"/>
    <d v="2025-07-14T00:00:00"/>
    <d v="1899-12-30T12:43:00"/>
    <x v="10"/>
    <s v="LEBRIJA"/>
    <s v="ROFLOX X 20 X 1 L"/>
    <n v="79"/>
    <n v="79"/>
    <n v="3686061"/>
    <d v="2025-07-14T00:00:00"/>
    <d v="2025-07-14T00:00:00"/>
    <x v="0"/>
  </r>
  <r>
    <m/>
    <s v="10351"/>
    <d v="2025-07-14T00:00:00"/>
    <d v="1899-12-30T09:28:00"/>
    <d v="2025-07-15T00:00:00"/>
    <x v="18"/>
    <s v="BG22778"/>
    <d v="2025-07-14T00:00:00"/>
    <d v="1899-12-30T12:43:00"/>
    <x v="10"/>
    <s v="LEBRIJA"/>
    <s v="SMOOTH SWEET X 75 GR"/>
    <n v="5.9249999999999998"/>
    <n v="79"/>
    <n v="5.93"/>
    <d v="2025-07-14T00:00:00"/>
    <d v="2025-07-15T00:00:00"/>
    <x v="6"/>
  </r>
  <r>
    <m/>
    <s v="999-OCN-00018353"/>
    <d v="2025-07-23T00:00:00"/>
    <d v="1899-12-30T14:15:00"/>
    <d v="2025-07-25T00:00:00"/>
    <x v="19"/>
    <s v="BG22771"/>
    <d v="2025-07-24T00:00:00"/>
    <d v="1899-12-30T09:59:00"/>
    <x v="11"/>
    <s v="LEBRIJA"/>
    <s v="FRACTAL P X 25 KG"/>
    <n v="2000"/>
    <n v="80"/>
    <n v="51000000"/>
    <d v="2025-07-25T00:00:00"/>
    <d v="2025-07-25T00:00:00"/>
    <x v="0"/>
  </r>
  <r>
    <m/>
    <s v="4500352605"/>
    <d v="2025-07-28T00:00:00"/>
    <d v="1899-12-30T08:44:00"/>
    <d v="2025-08-16T00:00:00"/>
    <x v="20"/>
    <s v="BG22876"/>
    <d v="2025-07-28T00:00:00"/>
    <d v="1899-12-30T09:15:00"/>
    <x v="2"/>
    <s v="BUGA"/>
    <s v="LOTUS X 10 KG"/>
    <n v="120"/>
    <n v="12"/>
    <n v="4620000"/>
    <d v="2025-08-15T00:00:00"/>
    <d v="2025-08-16T00:00:00"/>
    <x v="6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CIGNUS X 20 KILOS"/>
    <n v="60"/>
    <n v="3"/>
    <n v="2520000"/>
    <d v="2025-08-08T00:00:00"/>
    <d v="2025-08-08T00:00:00"/>
    <x v="0"/>
  </r>
  <r>
    <m/>
    <s v="A02-COC-277017"/>
    <d v="2025-07-25T00:00:00"/>
    <d v="1899-12-30T15:59:00"/>
    <d v="2025-08-08T00:00:00"/>
    <x v="21"/>
    <s v="BG22798"/>
    <d v="2025-07-28T00:00:00"/>
    <d v="1899-12-30T11:23:00"/>
    <x v="12"/>
    <s v="ITAGUI"/>
    <s v="MONECYL X 25 KG"/>
    <n v="3000"/>
    <n v="120"/>
    <n v="61500000"/>
    <d v="2025-08-08T00:00:00"/>
    <d v="2025-08-08T00:00:00"/>
    <x v="0"/>
  </r>
  <r>
    <m/>
    <s v="OC00001314BX"/>
    <d v="2025-07-25T00:00:00"/>
    <d v="1899-12-30T14:39:00"/>
    <d v="2025-08-04T00:00:00"/>
    <x v="22"/>
    <s v="BG22777"/>
    <d v="2025-07-28T00:00:00"/>
    <d v="1899-12-30T11:23:00"/>
    <x v="8"/>
    <s v="SABANETA"/>
    <s v="DMB 11 X 25 KG"/>
    <n v="200"/>
    <n v="8"/>
    <n v="3900000"/>
    <d v="2025-08-04T00:00:00"/>
    <d v="2025-08-04T00:00:00"/>
    <x v="0"/>
  </r>
  <r>
    <s v="CANCELADO"/>
    <s v="009-OCC-00020178"/>
    <d v="2025-07-25T00:00:00"/>
    <d v="1899-12-30T16:06:00"/>
    <m/>
    <x v="23"/>
    <s v="CANCELADO"/>
    <m/>
    <m/>
    <x v="13"/>
    <s v="VILLAVICENCIO"/>
    <s v="ACCUREMAX 10 % X 25 KG"/>
    <n v="25"/>
    <n v="1"/>
    <n v="6300000"/>
    <d v="2025-08-04T00:00:00"/>
    <m/>
    <x v="0"/>
  </r>
  <r>
    <m/>
    <n v="1224133"/>
    <d v="2025-07-28T00:00:00"/>
    <d v="1899-12-30T09:31:00"/>
    <d v="2025-08-09T00:00:00"/>
    <x v="24"/>
    <s v="BG22736"/>
    <d v="2025-07-28T00:00:00"/>
    <d v="1899-12-30T11:59:00"/>
    <x v="5"/>
    <s v="BUCARAMANGA"/>
    <s v="ACCUREMAX X 25 KG"/>
    <n v="25"/>
    <n v="1"/>
    <n v="1325000"/>
    <d v="2025-08-08T00:00:00"/>
    <d v="2025-08-09T00:00:00"/>
    <x v="6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AMOXIN X 1 KG"/>
    <n v="100"/>
    <n v="4"/>
    <n v="1499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FRACTAL L X 20 KILOS"/>
    <n v="40"/>
    <n v="1.6"/>
    <n v="1554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CIPROFLOX X 5 KG"/>
    <n v="40"/>
    <n v="1.6"/>
    <n v="2180000"/>
    <d v="2025-07-29T00:00:00"/>
    <d v="2025-07-29T00:00:00"/>
    <x v="0"/>
  </r>
  <r>
    <m/>
    <s v="OCO-0042168"/>
    <d v="2025-07-28T00:00:00"/>
    <d v="1899-12-30T09:47:00"/>
    <d v="2025-07-29T00:00:00"/>
    <x v="25"/>
    <s v="BG22779"/>
    <d v="2025-07-28T00:00:00"/>
    <d v="1899-12-30T12:12:00"/>
    <x v="14"/>
    <s v="TULUA"/>
    <s v="SMOOTH SWEET X 75 GR"/>
    <n v="0.6"/>
    <n v="2.4E-2"/>
    <n v="0.6"/>
    <d v="2025-07-29T00:00:00"/>
    <d v="2025-07-29T00:00:00"/>
    <x v="0"/>
  </r>
  <r>
    <m/>
    <s v="4500352603"/>
    <d v="2025-07-28T00:00:00"/>
    <d v="1899-12-30T10:14:00"/>
    <d v="2025-08-13T00:00:00"/>
    <x v="26"/>
    <s v="BG22875"/>
    <d v="2025-07-28T00:00:00"/>
    <d v="1899-12-30T12:20:00"/>
    <x v="2"/>
    <s v="BUGA"/>
    <s v="FRACTAL P X 25 KG"/>
    <n v="600"/>
    <n v="24"/>
    <n v="15300000"/>
    <d v="2025-08-20T00:00:00"/>
    <d v="2025-08-13T00:00:00"/>
    <x v="7"/>
  </r>
  <r>
    <m/>
    <s v="3081"/>
    <d v="2025-07-28T00:00:00"/>
    <d v="1899-12-30T10:31:00"/>
    <d v="2025-07-29T00:00:00"/>
    <x v="27"/>
    <s v="BG22805"/>
    <d v="2025-07-28T00:00:00"/>
    <d v="1899-12-30T12:38:00"/>
    <x v="15"/>
    <s v="PLANTA"/>
    <s v="TILVASYN X 25 KG"/>
    <n v="375"/>
    <n v="15"/>
    <n v="80625000"/>
    <d v="2025-07-29T00:00:00"/>
    <d v="2025-07-29T00:00:00"/>
    <x v="0"/>
  </r>
  <r>
    <m/>
    <s v="4500138735"/>
    <d v="2025-07-28T00:00:00"/>
    <d v="1899-12-30T12:30:00"/>
    <d v="2025-08-04T00:00:00"/>
    <x v="28"/>
    <s v="BG22723"/>
    <d v="2025-07-28T00:00:00"/>
    <d v="1899-12-30T14:41:00"/>
    <x v="16"/>
    <s v="CIENAGA"/>
    <s v="NEOCYN X 25 KG "/>
    <n v="100"/>
    <n v="4"/>
    <n v="7190000"/>
    <d v="2025-07-30T00:00:00"/>
    <d v="2025-08-04T00:00:00"/>
    <x v="8"/>
  </r>
  <r>
    <m/>
    <m/>
    <d v="2025-07-28T00:00:00"/>
    <d v="1899-12-30T20:44:00"/>
    <d v="2025-08-05T00:00:00"/>
    <x v="29"/>
    <s v="BG22724"/>
    <d v="2025-07-29T00:00:00"/>
    <d v="1899-12-30T09:01:00"/>
    <x v="17"/>
    <s v="ECUADOR"/>
    <s v="TILCOMIX PREMIX S X 5 KG"/>
    <n v="1000"/>
    <n v="40"/>
    <s v="USD 33000"/>
    <d v="2025-08-08T00:00:00"/>
    <d v="2025-08-05T00:00:00"/>
    <x v="2"/>
  </r>
  <r>
    <s v="CANCELADO"/>
    <m/>
    <d v="2025-07-28T00:00:00"/>
    <d v="1899-12-30T20:44:00"/>
    <m/>
    <x v="30"/>
    <s v="CANCELADO"/>
    <d v="2025-07-29T00:00:00"/>
    <d v="1899-12-30T09:01:00"/>
    <x v="17"/>
    <s v="ECUADOR"/>
    <s v="TILCOMIX PREMIX S X 5 KG"/>
    <n v="1000"/>
    <n v="40"/>
    <s v="USD 33000"/>
    <d v="2025-08-15T00:00:00"/>
    <m/>
    <x v="0"/>
  </r>
  <r>
    <m/>
    <m/>
    <d v="2025-07-28T00:00:00"/>
    <d v="1899-12-30T15:34:00"/>
    <d v="2025-08-01T00:00:00"/>
    <x v="31"/>
    <s v="BG22773"/>
    <d v="2025-07-29T00:00:00"/>
    <d v="1899-12-30T11:54:00"/>
    <x v="18"/>
    <s v="PALMIRA"/>
    <s v="DQCICLIN X 1 KG"/>
    <n v="30"/>
    <n v="30"/>
    <n v="8850000"/>
    <d v="2025-07-30T00:00:00"/>
    <d v="2025-08-01T00:00:00"/>
    <x v="4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DINAMIX PREMIX X 25 KG"/>
    <n v="100"/>
    <n v="4"/>
    <n v="2173000"/>
    <d v="2025-08-01T00:00:00"/>
    <d v="2025-08-01T00:00:00"/>
    <x v="0"/>
  </r>
  <r>
    <m/>
    <n v="1224837"/>
    <d v="2025-07-28T00:00:00"/>
    <d v="1899-12-30T15:38:00"/>
    <d v="2025-08-01T00:00:00"/>
    <x v="32"/>
    <s v="BG22737"/>
    <d v="2025-07-29T00:00:00"/>
    <d v="1899-12-30T12:00:00"/>
    <x v="5"/>
    <s v="CIENAGA"/>
    <s v="ACCUREMAX X 25 KG"/>
    <n v="225"/>
    <n v="9"/>
    <n v="11925000"/>
    <d v="2025-08-01T00:00:00"/>
    <d v="2025-08-01T00:00:00"/>
    <x v="0"/>
  </r>
  <r>
    <m/>
    <s v="BR-OCN-00000476"/>
    <d v="2025-07-28T00:00:00"/>
    <d v="1899-12-30T16:45:00"/>
    <d v="2025-08-02T00:00:00"/>
    <x v="33"/>
    <s v="BG22772"/>
    <d v="2025-07-29T00:00:00"/>
    <d v="1899-12-30T12:09:00"/>
    <x v="11"/>
    <s v="BRUJAL"/>
    <s v="CIPROFLOX X 5 KG"/>
    <n v="200"/>
    <n v="8"/>
    <n v="12348000"/>
    <d v="2025-08-01T00:00:00"/>
    <d v="2025-08-02T00:00:00"/>
    <x v="6"/>
  </r>
  <r>
    <m/>
    <n v="1225044"/>
    <d v="2025-07-28T00:00:00"/>
    <d v="1899-12-30T16:53:00"/>
    <d v="2025-08-02T00:00:00"/>
    <x v="34"/>
    <s v="BG22738"/>
    <d v="2025-07-29T00:00:00"/>
    <d v="1899-12-30T12:23:00"/>
    <x v="5"/>
    <s v="MOSQUERA"/>
    <s v="FENIFLOR PREMIX X 25 KG"/>
    <n v="100"/>
    <n v="4"/>
    <n v="5292000"/>
    <d v="2025-08-04T00:00:00"/>
    <d v="2025-08-02T00:00:00"/>
    <x v="5"/>
  </r>
  <r>
    <m/>
    <s v="1225044"/>
    <d v="2025-07-28T00:00:00"/>
    <d v="1899-12-30T16:53:00"/>
    <d v="2025-08-02T00:00:00"/>
    <x v="34"/>
    <s v="BG22738"/>
    <d v="2025-07-29T00:00:00"/>
    <d v="1899-12-30T12:23:00"/>
    <x v="5"/>
    <s v="MOSQUERA"/>
    <s v="ACCUREMAX X 25 KG"/>
    <n v="100"/>
    <n v="4"/>
    <n v="5300000"/>
    <d v="2025-08-04T00:00:00"/>
    <d v="2025-08-02T00:00:00"/>
    <x v="5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LORTETRAX 20 % X 25 KG"/>
    <n v="25"/>
    <n v="1"/>
    <n v="507500"/>
    <d v="2025-08-04T00:00:00"/>
    <d v="2025-08-01T00:00:00"/>
    <x v="2"/>
  </r>
  <r>
    <m/>
    <s v="OC-COMPR-18015"/>
    <d v="2025-07-29T00:00:00"/>
    <d v="1899-12-30T10:49:00"/>
    <d v="2025-08-01T00:00:00"/>
    <x v="35"/>
    <s v="BG22744"/>
    <d v="2025-07-29T00:00:00"/>
    <d v="1899-12-30T12:30:00"/>
    <x v="19"/>
    <s v="RICAURTE"/>
    <s v="CIGNUS X 20 KILOS"/>
    <n v="200"/>
    <n v="10"/>
    <n v="8800000"/>
    <d v="2025-08-04T00:00:00"/>
    <d v="2025-08-01T00:00:00"/>
    <x v="2"/>
  </r>
  <r>
    <m/>
    <s v="103-occ-36158"/>
    <d v="2025-07-29T00:00:00"/>
    <d v="1899-12-30T10:56:00"/>
    <d v="2025-07-31T00:00:00"/>
    <x v="36"/>
    <s v="BG22732"/>
    <d v="2025-07-29T00:00:00"/>
    <d v="1899-12-30T12:41:00"/>
    <x v="13"/>
    <s v="GIRARDOTA"/>
    <s v="FRACTAL P X 25 KG"/>
    <n v="75"/>
    <n v="3"/>
    <n v="1912500"/>
    <d v="2025-07-30T00:00:00"/>
    <d v="2025-07-31T00:00:00"/>
    <x v="6"/>
  </r>
  <r>
    <m/>
    <s v="3110"/>
    <d v="2025-07-29T00:00:00"/>
    <d v="1899-12-30T11:18:00"/>
    <d v="2025-08-01T00:00:00"/>
    <x v="37"/>
    <s v="BG22806"/>
    <d v="2025-07-29T00:00:00"/>
    <d v="1899-12-30T14:13:00"/>
    <x v="15"/>
    <s v="PLANTA"/>
    <s v="DMB 11 X 25 KG"/>
    <n v="25"/>
    <n v="1"/>
    <n v="500000"/>
    <d v="2025-07-30T00:00:00"/>
    <d v="2025-08-01T00:00:00"/>
    <x v="4"/>
  </r>
  <r>
    <m/>
    <s v="4500150931"/>
    <d v="2025-07-29T00:00:00"/>
    <d v="1899-12-30T11:15:00"/>
    <d v="2025-08-05T00:00:00"/>
    <x v="38"/>
    <s v="BG22807"/>
    <d v="2025-07-29T00:00:00"/>
    <d v="1899-12-30T14:19:00"/>
    <x v="20"/>
    <s v="PUERTO LOPEZ"/>
    <s v="TILCOMIX PREMIX S X 5 KG"/>
    <n v="80"/>
    <n v="16"/>
    <n v="10584000"/>
    <d v="2025-07-30T00:00:00"/>
    <d v="2025-08-05T00:00:00"/>
    <x v="9"/>
  </r>
  <r>
    <m/>
    <s v="1225950 "/>
    <d v="2025-07-29T00:00:00"/>
    <d v="1899-12-30T15:44:00"/>
    <d v="2025-08-06T00:00:00"/>
    <x v="39"/>
    <s v="BG22751"/>
    <d v="2025-07-30T00:00:00"/>
    <d v="1899-12-30T09:45:00"/>
    <x v="6"/>
    <s v="CARTAGO"/>
    <s v="ACCUREMAX X 25 KG"/>
    <n v="150"/>
    <n v="6"/>
    <n v="7950000"/>
    <d v="2025-08-08T00:00:00"/>
    <d v="2025-08-06T00:00:00"/>
    <x v="5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LOTUS X 10 KG"/>
    <n v="100"/>
    <n v="4"/>
    <n v="3850000"/>
    <d v="2025-08-05T00:00:00"/>
    <d v="2025-08-05T00:00:00"/>
    <x v="0"/>
  </r>
  <r>
    <m/>
    <s v="001-OSC-63409"/>
    <d v="2025-07-29T00:00:00"/>
    <d v="1899-12-30T16:17:00"/>
    <d v="2025-08-05T00:00:00"/>
    <x v="40"/>
    <s v="BG22808"/>
    <d v="2025-07-30T00:00:00"/>
    <d v="1899-12-30T10:57:00"/>
    <x v="4"/>
    <s v="BELLO"/>
    <s v="CLORTETRAX 20 % X 25 KG"/>
    <n v="2500"/>
    <n v="100"/>
    <n v="40750000"/>
    <d v="2025-08-05T00:00:00"/>
    <d v="2025-08-05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FRACTAL P X 25 KG"/>
    <n v="100"/>
    <n v="4"/>
    <n v="2550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DQCICLIN X 1 KG"/>
    <n v="20"/>
    <n v="20"/>
    <n v="4935000"/>
    <d v="2025-07-31T00:00:00"/>
    <d v="2025-07-31T00:00:00"/>
    <x v="0"/>
  </r>
  <r>
    <m/>
    <m/>
    <d v="2025-07-29T00:00:00"/>
    <d v="1899-12-30T08:40:00"/>
    <d v="2025-07-31T00:00:00"/>
    <x v="41"/>
    <s v="BG22770"/>
    <d v="2025-07-30T00:00:00"/>
    <d v="1899-12-30T11:15:00"/>
    <x v="21"/>
    <s v="GUARNE"/>
    <s v="TILOMIIX 250 PREMIX X 25 KG"/>
    <n v="25"/>
    <n v="1"/>
    <n v="1750000"/>
    <d v="2025-07-31T00:00:00"/>
    <d v="2025-07-31T00:00:00"/>
    <x v="0"/>
  </r>
  <r>
    <m/>
    <s v="392-25"/>
    <d v="2025-07-30T00:00:00"/>
    <d v="1899-12-30T09:13:00"/>
    <d v="2025-07-31T00:00:00"/>
    <x v="42"/>
    <s v="BG22755"/>
    <d v="2025-07-30T00:00:00"/>
    <d v="1899-12-30T11:11:00"/>
    <x v="22"/>
    <s v="MEDELLIN"/>
    <s v="CLORTETRAX 20 % X 25 KG"/>
    <n v="250"/>
    <n v="10"/>
    <n v="4400000"/>
    <d v="2025-07-31T00:00:00"/>
    <d v="2025-07-31T00:00:00"/>
    <x v="0"/>
  </r>
  <r>
    <m/>
    <s v="4500352806"/>
    <d v="2025-07-29T00:00:00"/>
    <d v="1899-12-30T17:01:00"/>
    <d v="2025-08-08T00:00:00"/>
    <x v="43"/>
    <s v="BG22809"/>
    <d v="2025-07-30T00:00:00"/>
    <d v="1899-12-30T12:02:00"/>
    <x v="2"/>
    <s v="BUGA"/>
    <s v="CLORTETRAX 20 % X 25 KG"/>
    <n v="8500"/>
    <n v="340"/>
    <n v="133450000"/>
    <d v="2025-08-08T00:00:00"/>
    <d v="2025-08-08T00:00:00"/>
    <x v="0"/>
  </r>
  <r>
    <m/>
    <s v="AG-0031-25"/>
    <d v="2025-07-29T00:00:00"/>
    <d v="1899-12-30T17:57:00"/>
    <d v="2025-08-06T00:00:00"/>
    <x v="44"/>
    <s v="BG22789"/>
    <d v="2025-07-30T00:00:00"/>
    <d v="1899-12-30T12:18:00"/>
    <x v="23"/>
    <s v="PLANTA"/>
    <s v="CLORTETRAX 20 % X 25 KG"/>
    <n v="500"/>
    <n v="20"/>
    <n v="8100000"/>
    <d v="2025-08-07T00:00:00"/>
    <d v="2025-08-06T00:00:00"/>
    <x v="10"/>
  </r>
  <r>
    <m/>
    <s v="4500352919"/>
    <d v="2025-07-30T00:00:00"/>
    <d v="1899-12-30T09:24:00"/>
    <s v="8 DE AGOSTO"/>
    <x v="45"/>
    <s v="BG22762"/>
    <d v="2025-07-30T00:00:00"/>
    <d v="1899-12-30T12:24:00"/>
    <x v="2"/>
    <s v="BUGA"/>
    <s v="LOTUS X 10 KG"/>
    <n v="500"/>
    <n v="20"/>
    <n v="19250000"/>
    <d v="2025-07-31T00:00:00"/>
    <d v="2025-08-08T00:00:00"/>
    <x v="11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CIPROFLOX X 5 KG"/>
    <n v="10"/>
    <n v="2"/>
    <n v="520000"/>
    <d v="2025-07-31T00:00:00"/>
    <d v="2025-08-01T00:00:00"/>
    <x v="6"/>
  </r>
  <r>
    <m/>
    <m/>
    <d v="2025-07-30T00:00:00"/>
    <d v="1899-12-30T11:06:00"/>
    <d v="2025-08-01T00:00:00"/>
    <x v="46"/>
    <s v="BG22810"/>
    <d v="2025-07-30T00:00:00"/>
    <d v="1899-12-30T14:15:00"/>
    <x v="24"/>
    <s v="LERIDA"/>
    <s v="SMOOTH SWEET X 75 GR"/>
    <n v="0.75"/>
    <n v="10"/>
    <n v="1"/>
    <d v="2025-07-31T00:00:00"/>
    <d v="2025-08-01T00:00:00"/>
    <x v="6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HALQUINOX 800 X 25 KG"/>
    <n v="75"/>
    <n v="3"/>
    <n v="8025000"/>
    <d v="2025-07-31T00:00:00"/>
    <d v="2025-07-31T00:00:00"/>
    <x v="0"/>
  </r>
  <r>
    <m/>
    <m/>
    <d v="2025-07-30T00:00:00"/>
    <d v="1899-12-30T14:50:00"/>
    <d v="2025-07-31T00:00:00"/>
    <x v="47"/>
    <s v="BG22746"/>
    <d v="2025-07-30T00:00:00"/>
    <d v="1899-12-30T14:58:00"/>
    <x v="25"/>
    <s v="YUMBO"/>
    <s v="DINAMIX 800 X 25 KILOS"/>
    <n v="75"/>
    <n v="3"/>
    <n v="12300000"/>
    <d v="2025-07-31T00:00:00"/>
    <d v="2025-07-31T00:00:00"/>
    <x v="0"/>
  </r>
  <r>
    <m/>
    <m/>
    <d v="2025-07-30T00:00:00"/>
    <d v="1899-12-30T10:03:00"/>
    <d v="2025-07-31T00:00:00"/>
    <x v="48"/>
    <s v="BG22801"/>
    <d v="2025-07-30T00:00:00"/>
    <d v="1899-12-30T14:42:00"/>
    <x v="26"/>
    <s v="BODEGA DE BUCARAMANGA"/>
    <s v="ACCUREMAX 10 % X 25 KG"/>
    <n v="300"/>
    <n v="12"/>
    <n v="71100000"/>
    <d v="2025-07-31T00:00:00"/>
    <d v="2025-07-31T00:00:00"/>
    <x v="0"/>
  </r>
  <r>
    <m/>
    <m/>
    <d v="2025-07-31T00:00:00"/>
    <d v="1899-12-30T07:38:00"/>
    <d v="2025-07-31T00:00:00"/>
    <x v="49"/>
    <s v="BG22767"/>
    <d v="2025-07-31T00:00:00"/>
    <d v="1899-12-30T09:05:00"/>
    <x v="9"/>
    <s v="BUCARAMANGA"/>
    <s v="DQCICLIN X 1 KG"/>
    <n v="1"/>
    <n v="1"/>
    <n v="260000"/>
    <d v="2025-07-31T00:00:00"/>
    <d v="2025-07-31T00:00:00"/>
    <x v="0"/>
  </r>
  <r>
    <m/>
    <s v="4500352974"/>
    <d v="2025-07-30T00:00:00"/>
    <d v="1899-12-30T16:51:00"/>
    <d v="2025-08-04T00:00:00"/>
    <x v="50"/>
    <s v="BG22763"/>
    <d v="2025-07-31T00:00:00"/>
    <d v="1899-12-30T10:06:00"/>
    <x v="2"/>
    <s v="BELLO"/>
    <s v="FRACTAL P X 25 KG"/>
    <n v="200"/>
    <n v="8"/>
    <n v="5100000"/>
    <d v="2025-08-01T00:00:00"/>
    <d v="2025-08-04T00:00:00"/>
    <x v="3"/>
  </r>
  <r>
    <m/>
    <s v="A02-COC-277917"/>
    <d v="2025-07-30T00:00:00"/>
    <d v="1899-12-30T11:50:00"/>
    <d v="2025-08-06T00:00:00"/>
    <x v="51"/>
    <s v="BG22798"/>
    <d v="2025-07-31T00:00:00"/>
    <d v="1899-12-30T10:09:00"/>
    <x v="12"/>
    <s v="ITAGUI"/>
    <s v="CLORTETRAX 20 % X 25 KG"/>
    <n v="500"/>
    <n v="20"/>
    <n v="8000000"/>
    <d v="2025-08-06T00:00:00"/>
    <d v="2025-08-06T00:00:00"/>
    <x v="0"/>
  </r>
  <r>
    <m/>
    <s v="1227258"/>
    <d v="2025-07-30T00:00:00"/>
    <d v="1899-12-30T17:35:00"/>
    <d v="2025-08-01T00:00:00"/>
    <x v="52"/>
    <s v="BG22752"/>
    <d v="2025-07-31T00:00:00"/>
    <d v="1899-12-30T10:16:00"/>
    <x v="6"/>
    <s v="BARBOSA- ANTIOQUIA"/>
    <s v="CIGNUS X 20 KILOS"/>
    <n v="300"/>
    <n v="12"/>
    <n v="10500000"/>
    <d v="2025-08-04T00:00:00"/>
    <d v="2025-08-01T00:00:00"/>
    <x v="2"/>
  </r>
  <r>
    <s v="INVENTARIO"/>
    <s v="1227258"/>
    <d v="2025-07-30T00:00:00"/>
    <d v="1899-12-30T17:35:00"/>
    <d v="2025-08-01T00:00:00"/>
    <x v="52"/>
    <s v="BG22887"/>
    <d v="2025-07-31T00:00:00"/>
    <d v="1899-12-30T10:16:00"/>
    <x v="6"/>
    <s v="BARBOSA- ANTIOQUIA"/>
    <s v="CIGNUS X 20 KILOS"/>
    <n v="200"/>
    <n v="8"/>
    <n v="7000000"/>
    <d v="2025-08-04T00:00:00"/>
    <d v="2025-08-01T00:00:00"/>
    <x v="2"/>
  </r>
  <r>
    <m/>
    <s v="006-OC-027791"/>
    <d v="2025-08-31T00:00:00"/>
    <d v="1899-12-30T08:17:00"/>
    <d v="2025-08-01T00:00:00"/>
    <x v="53"/>
    <s v="BG22756"/>
    <d v="2025-07-31T00:00:00"/>
    <d v="1899-12-30T10:29:00"/>
    <x v="27"/>
    <s v="ITALCOL IBAGUE"/>
    <s v="LOTUS X 10 KG"/>
    <n v="120"/>
    <n v="12"/>
    <n v="4620000"/>
    <d v="2025-08-01T00:00:00"/>
    <d v="2025-08-01T00:00:00"/>
    <x v="0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FRACTAL P X 25 KG"/>
    <n v="1200"/>
    <n v="48"/>
    <n v="30600000"/>
    <d v="2025-08-15T00:00:00"/>
    <d v="2025-08-16T00:00:00"/>
    <x v="6"/>
  </r>
  <r>
    <m/>
    <s v="4500352919"/>
    <d v="2025-07-30T00:00:00"/>
    <d v="1899-12-30T09:24:00"/>
    <d v="2025-08-16T00:00:00"/>
    <x v="54"/>
    <s v="BG22871"/>
    <d v="2025-07-31T00:00:00"/>
    <d v="1899-12-30T10:35:00"/>
    <x v="2"/>
    <s v="BUGA"/>
    <s v="LOTUS X 10 KG"/>
    <n v="500"/>
    <n v="20"/>
    <n v="19250000"/>
    <d v="2025-08-15T00:00:00"/>
    <d v="2025-08-16T00:00:00"/>
    <x v="6"/>
  </r>
  <r>
    <m/>
    <s v="4500352919"/>
    <d v="2025-07-30T00:00:00"/>
    <d v="1899-12-30T09:24:00"/>
    <d v="2025-08-13T00:00:00"/>
    <x v="55"/>
    <s v="BG22870"/>
    <d v="2025-07-31T00:00:00"/>
    <d v="1899-12-30T10:35:00"/>
    <x v="2"/>
    <s v="BUGA"/>
    <s v="FRACTAL P X 25 KG"/>
    <n v="800"/>
    <n v="32"/>
    <n v="20400000"/>
    <d v="2025-08-29T00:00:00"/>
    <d v="2025-08-13T00:00:00"/>
    <x v="12"/>
  </r>
  <r>
    <m/>
    <s v="1227623"/>
    <d v="2025-07-31T00:00:00"/>
    <d v="1899-12-30T09:36:00"/>
    <d v="2025-08-05T00:00:00"/>
    <x v="56"/>
    <s v="BG22739"/>
    <d v="2025-07-31T00:00:00"/>
    <d v="1899-12-30T11:27:00"/>
    <x v="5"/>
    <s v="BUCARAMANGA"/>
    <s v="DINAMIX PREMIX X 25 KG"/>
    <n v="275"/>
    <n v="11"/>
    <n v="5975750"/>
    <d v="2025-08-06T00:00:00"/>
    <d v="2025-08-05T00:00:00"/>
    <x v="10"/>
  </r>
  <r>
    <m/>
    <s v="1227623"/>
    <d v="2025-07-31T00:00:00"/>
    <d v="1899-12-30T09:36:00"/>
    <d v="2025-08-14T00:00:00"/>
    <x v="57"/>
    <s v="BG22891"/>
    <d v="2025-07-31T00:00:00"/>
    <d v="1899-12-30T11:27:00"/>
    <x v="5"/>
    <s v="BUCARAMANGA"/>
    <s v="ACCUREMAX X 25 KG"/>
    <n v="25"/>
    <n v="1"/>
    <n v="1325000"/>
    <d v="2025-08-15T00:00:00"/>
    <d v="2025-08-14T00:00:00"/>
    <x v="1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AMOXIN X 1 KG"/>
    <n v="5"/>
    <n v="5"/>
    <n v="800000"/>
    <d v="2025-08-01T00:00:00"/>
    <d v="2025-08-01T00:00:00"/>
    <x v="0"/>
  </r>
  <r>
    <m/>
    <s v="OCP-831"/>
    <d v="2025-07-31T00:00:00"/>
    <d v="1899-12-30T10:41:00"/>
    <d v="2025-08-01T00:00:00"/>
    <x v="58"/>
    <s v="BG22811"/>
    <d v="2025-07-31T00:00:00"/>
    <d v="1899-12-30T11:38:00"/>
    <x v="28"/>
    <s v="BUGA"/>
    <s v="FOSMYCINA 90 X 500 GR"/>
    <n v="5"/>
    <n v="10"/>
    <n v="2650000"/>
    <d v="2025-08-01T00:00:00"/>
    <d v="2025-08-01T00:00:00"/>
    <x v="0"/>
  </r>
  <r>
    <m/>
    <s v="3016-0905"/>
    <d v="2025-07-31T00:00:00"/>
    <d v="1899-12-30T10:44:00"/>
    <d v="2025-08-01T00:00:00"/>
    <x v="59"/>
    <s v="BG22812"/>
    <d v="2025-07-31T00:00:00"/>
    <d v="1899-12-30T11:52:00"/>
    <x v="29"/>
    <s v="BOGOTA"/>
    <s v="ACCUREMAX 10 % X 25 KG"/>
    <n v="25"/>
    <n v="1"/>
    <n v="6000000"/>
    <d v="2025-08-01T00:00:00"/>
    <d v="2025-08-01T00:00:00"/>
    <x v="0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CLORTETRAX 20 % X 25 KG"/>
    <n v="300"/>
    <n v="12"/>
    <n v="471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LOTUS X 10 KG"/>
    <n v="380"/>
    <n v="15.2"/>
    <n v="13300000"/>
    <d v="2025-08-04T00:00:00"/>
    <d v="2025-08-02T00:00:00"/>
    <x v="5"/>
  </r>
  <r>
    <m/>
    <s v="100-CON-00022278"/>
    <d v="2025-07-31T00:00:00"/>
    <d v="1899-12-30T11:49:00"/>
    <d v="2025-08-02T00:00:00"/>
    <x v="60"/>
    <s v="BG22790"/>
    <d v="2025-07-31T00:00:00"/>
    <d v="1899-12-30T12:20:00"/>
    <x v="30"/>
    <s v="GIRARDOTA"/>
    <s v="FRACTAL P X 25 KG"/>
    <n v="400"/>
    <n v="16"/>
    <n v="10200000"/>
    <d v="2025-08-04T00:00:00"/>
    <d v="2025-08-02T00:00:00"/>
    <x v="5"/>
  </r>
  <r>
    <m/>
    <m/>
    <d v="2025-07-29T00:00:00"/>
    <d v="1899-12-30T13:05:00"/>
    <d v="2025-07-30T00:00:00"/>
    <x v="61"/>
    <s v="BG22774"/>
    <d v="2025-07-30T00:00:00"/>
    <d v="1899-12-30T11:03:00"/>
    <x v="31"/>
    <s v="RECOGER EN BODGA"/>
    <s v="CLORTETRAX 20 % X 25 KG"/>
    <n v="125"/>
    <n v="5"/>
    <n v="1975000"/>
    <d v="2025-07-30T00:00:00"/>
    <d v="2025-07-30T00:00:00"/>
    <x v="0"/>
  </r>
  <r>
    <m/>
    <m/>
    <d v="2025-07-29T00:00:00"/>
    <d v="1899-12-30T13:05:00"/>
    <d v="2025-07-30T00:00:00"/>
    <x v="62"/>
    <s v="BG22775"/>
    <d v="2025-07-29T00:00:00"/>
    <d v="1899-12-30T14:27:00"/>
    <x v="31"/>
    <s v="RECOGER EN BODGA"/>
    <s v="CLORTETRAX 20 % X 25 KG"/>
    <n v="600"/>
    <n v="24"/>
    <n v="13430000"/>
    <d v="2025-07-30T00:00:00"/>
    <d v="2025-07-30T00:00:00"/>
    <x v="0"/>
  </r>
  <r>
    <m/>
    <s v="020-OC-003397"/>
    <d v="2025-08-31T00:00:00"/>
    <d v="1899-12-30T08:17:00"/>
    <d v="2025-08-01T00:00:00"/>
    <x v="63"/>
    <s v="BG22757"/>
    <d v="2025-07-31T00:00:00"/>
    <d v="1899-12-30T12:40:00"/>
    <x v="27"/>
    <s v="ITALCOL IBAGUE"/>
    <s v="LOTUS X 10 KG"/>
    <n v="80"/>
    <n v="8"/>
    <n v="3080000"/>
    <d v="2025-08-01T00:00:00"/>
    <d v="2025-08-01T00:00:00"/>
    <x v="0"/>
  </r>
  <r>
    <m/>
    <s v="006-OC-027798"/>
    <d v="2025-08-31T00:00:00"/>
    <d v="1899-12-30T14:01:00"/>
    <d v="2025-08-01T00:00:00"/>
    <x v="64"/>
    <s v="BG22758"/>
    <d v="2025-07-31T00:00:00"/>
    <d v="1899-12-30T14:11:00"/>
    <x v="27"/>
    <s v="GIRARDOT"/>
    <s v="FRACTAL L X 20 KILOS"/>
    <n v="20"/>
    <n v="0.8"/>
    <n v="777000"/>
    <d v="2025-08-01T00:00:00"/>
    <d v="2025-08-01T00:00:00"/>
    <x v="0"/>
  </r>
  <r>
    <m/>
    <s v="P-1266"/>
    <d v="2025-08-31T00:00:00"/>
    <d v="1899-12-30T13:53:00"/>
    <d v="2025-08-01T00:00:00"/>
    <x v="65"/>
    <s v="BG22781"/>
    <d v="2025-07-31T00:00:00"/>
    <d v="1899-12-30T14:17:00"/>
    <x v="32"/>
    <s v="CALI"/>
    <s v="FRACTAL L X 20 KILOS"/>
    <n v="120"/>
    <n v="6"/>
    <n v="4620000"/>
    <d v="2025-08-01T00:00:00"/>
    <d v="2025-08-01T00:00:00"/>
    <x v="0"/>
  </r>
  <r>
    <m/>
    <s v="001-OC -00047080"/>
    <d v="2025-08-31T00:00:00"/>
    <d v="1899-12-30T14:00:00"/>
    <d v="2025-08-05T00:00:00"/>
    <x v="66"/>
    <s v="BG22813"/>
    <d v="2025-07-31T00:00:00"/>
    <d v="1899-12-30T14:18:00"/>
    <x v="33"/>
    <s v="EL LIMON"/>
    <s v="ROFLOX X 20 X 1 L"/>
    <n v="200"/>
    <n v="200"/>
    <n v="9331800"/>
    <d v="2025-08-01T00:00:00"/>
    <d v="2025-08-05T00:00:00"/>
    <x v="13"/>
  </r>
  <r>
    <m/>
    <m/>
    <d v="2025-08-01T00:00:00"/>
    <d v="1899-12-30T08:06:00"/>
    <d v="2025-08-02T00:00:00"/>
    <x v="67"/>
    <s v="BG22790"/>
    <d v="2025-08-01T00:00:00"/>
    <d v="1899-12-30T08:44:00"/>
    <x v="30"/>
    <s v="GIRARDOTA"/>
    <s v="TILVASYN X 25 KG"/>
    <n v="100"/>
    <n v="4"/>
    <n v="19520000"/>
    <d v="2025-08-02T00:00:00"/>
    <d v="2025-08-02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TILCOMIX ORAL X 1 LITRO"/>
    <n v="20"/>
    <n v="20"/>
    <n v="40446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SMOOTH SWEET X 75 GR"/>
    <n v="1.5"/>
    <n v="20"/>
    <n v="1.5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AMOXIN X 1 KG"/>
    <n v="20"/>
    <n v="20"/>
    <n v="3000000"/>
    <d v="2025-08-04T00:00:00"/>
    <d v="2025-08-04T00:00:00"/>
    <x v="0"/>
  </r>
  <r>
    <m/>
    <m/>
    <d v="2025-07-31T00:00:00"/>
    <d v="1899-12-30T16:17:00"/>
    <d v="2025-08-04T00:00:00"/>
    <x v="68"/>
    <s v="BG22728"/>
    <d v="2025-08-01T00:00:00"/>
    <d v="1899-12-30T10:32:00"/>
    <x v="34"/>
    <s v="DON MATIAS"/>
    <s v="FENIFLOR ORAL X 500 GR"/>
    <n v="5"/>
    <n v="10"/>
    <n v="525000"/>
    <d v="2025-08-04T00:00:00"/>
    <d v="2025-08-04T00:00:00"/>
    <x v="0"/>
  </r>
  <r>
    <m/>
    <s v="OC 023"/>
    <d v="2025-07-31T00:00:00"/>
    <d v="1899-12-30T09:37:00"/>
    <d v="2025-08-04T00:00:00"/>
    <x v="69"/>
    <s v="BG22727"/>
    <d v="2025-08-01T00:00:00"/>
    <d v="1899-12-30T11:01:00"/>
    <x v="35"/>
    <s v="RECOGE EN BODEGA DE MEDELLIN"/>
    <s v="TILOMIIX 250 PREMIX X 25 KG"/>
    <n v="125"/>
    <n v="5"/>
    <n v="9375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AMOXIN X 1 KG"/>
    <n v="4"/>
    <n v="4"/>
    <n v="14031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CIPROFLOX X 1KG"/>
    <n v="4"/>
    <n v="4"/>
    <n v="234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SMOOTH SWEET X 75 GR"/>
    <n v="4"/>
    <n v="4"/>
    <n v="1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TRIMBAC X 5 KG"/>
    <n v="10"/>
    <n v="2"/>
    <n v="1600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FENIFLOR ORAL X 500 GR"/>
    <n v="4"/>
    <n v="8"/>
    <n v="408000"/>
    <d v="2025-08-04T00:00:00"/>
    <d v="2025-08-04T00:00:00"/>
    <x v="0"/>
  </r>
  <r>
    <m/>
    <m/>
    <d v="2025-08-01T00:00:00"/>
    <d v="1899-12-30T10:54:00"/>
    <d v="2025-08-04T00:00:00"/>
    <x v="70"/>
    <s v="BG22769"/>
    <d v="2025-08-01T00:00:00"/>
    <d v="1899-12-30T11:25:00"/>
    <x v="21"/>
    <s v="GUARNE"/>
    <s v="NORFLOX X 1 KG"/>
    <n v="3"/>
    <n v="3"/>
    <n v="195000"/>
    <d v="2025-08-04T00:00:00"/>
    <d v="2025-08-04T00:00:00"/>
    <x v="0"/>
  </r>
  <r>
    <m/>
    <m/>
    <d v="2025-08-01T00:00:00"/>
    <d v="1899-12-30T09:06:00"/>
    <d v="2025-08-05T00:00:00"/>
    <x v="71"/>
    <s v="BG22726"/>
    <d v="2025-08-01T00:00:00"/>
    <d v="1899-12-30T11:38:00"/>
    <x v="36"/>
    <s v="ENTRERIOS"/>
    <s v="CLORTETRAX 20 % X 25 KG"/>
    <n v="150"/>
    <n v="6"/>
    <n v="2400000"/>
    <d v="2025-08-04T00:00:00"/>
    <d v="2025-08-05T00:00:00"/>
    <x v="6"/>
  </r>
  <r>
    <m/>
    <s v="COC-00000105"/>
    <d v="2025-08-01T00:00:00"/>
    <d v="1899-12-30T08:28:00"/>
    <d v="2025-08-04T00:00:00"/>
    <x v="72"/>
    <s v="BG22725"/>
    <d v="2025-08-01T00:00:00"/>
    <d v="1899-12-30T11:41:00"/>
    <x v="37"/>
    <s v="DON MATIAS"/>
    <s v="CLORTETRAX 20 % X 25 KG"/>
    <n v="350"/>
    <n v="14"/>
    <n v="5670000"/>
    <d v="2025-08-04T00:00:00"/>
    <d v="2025-08-04T00:00:00"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HALQUINOX 800 X 25 KG"/>
    <n v="400"/>
    <n v="16"/>
    <n v="41000000"/>
    <d v="2025-08-05T00:00:00"/>
    <d v="2025-08-05T00:00:00"/>
    <x v="0"/>
  </r>
  <r>
    <s v="ASC"/>
    <s v="001-SC-015321"/>
    <d v="2025-08-01T00:00:00"/>
    <d v="1899-12-30T11:38:00"/>
    <d v="2025-08-12T00:00:00"/>
    <x v="73"/>
    <s v="BG22874"/>
    <d v="2025-08-01T00:00:00"/>
    <d v="1899-12-30T12:59:00"/>
    <x v="38"/>
    <s v="YUMBO"/>
    <s v="CLORTETRAX 20 % X 25 KG"/>
    <n v="400"/>
    <n v="16"/>
    <n v="6400000"/>
    <d v="2025-08-05T00:00:00"/>
    <d v="2025-08-12T00:00:00"/>
    <x v="14"/>
  </r>
  <r>
    <s v="CANCELADO"/>
    <s v="001-SC-015321"/>
    <d v="2025-08-01T00:00:00"/>
    <d v="1899-12-30T11:38:00"/>
    <m/>
    <x v="73"/>
    <s v="-"/>
    <d v="2025-08-01T00:00:00"/>
    <d v="1899-12-30T12:59:00"/>
    <x v="38"/>
    <s v="YUMBO"/>
    <s v="CLORTETRAX 20 % X 25 KG"/>
    <n v="200"/>
    <n v="8"/>
    <n v="3200000"/>
    <d v="2025-08-05T00:00:00"/>
    <m/>
    <x v="0"/>
  </r>
  <r>
    <m/>
    <s v="001-SC-015321"/>
    <d v="2025-08-01T00:00:00"/>
    <d v="1899-12-30T11:38:00"/>
    <d v="2025-08-05T00:00:00"/>
    <x v="73"/>
    <s v="BG22814"/>
    <d v="2025-08-01T00:00:00"/>
    <d v="1899-12-30T12:59:00"/>
    <x v="38"/>
    <s v="YUMBO"/>
    <s v="FENIFLOR PREMIX X 25 KG"/>
    <n v="25"/>
    <n v="1"/>
    <n v="1700000"/>
    <d v="2025-08-05T00:00:00"/>
    <d v="2025-08-05T00:00:00"/>
    <x v="0"/>
  </r>
  <r>
    <m/>
    <s v="MPN - 5,274"/>
    <d v="2025-08-01T00:00:00"/>
    <d v="1899-12-30T14:13:00"/>
    <d v="2025-08-05T00:00:00"/>
    <x v="74"/>
    <s v="BG22795 - BG22796"/>
    <d v="2025-08-01T00:00:00"/>
    <d v="1899-12-30T17:10:00"/>
    <x v="39"/>
    <s v="NUTREXCOL"/>
    <s v="CLORTETRAX 20 % X 25 KG"/>
    <n v="100"/>
    <n v="4"/>
    <n v="1600000"/>
    <d v="2025-08-05T00:00:00"/>
    <d v="2025-08-05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FENIFLOR ORAL X 500 GR"/>
    <n v="3.5"/>
    <n v="7"/>
    <n v="358750"/>
    <d v="2025-08-04T00:00:00"/>
    <d v="2025-08-04T00:00:00"/>
    <x v="0"/>
  </r>
  <r>
    <m/>
    <s v="MED - 6,623"/>
    <d v="2025-08-01T00:00:00"/>
    <d v="1899-12-30T08:05:00"/>
    <d v="2025-08-04T00:00:00"/>
    <x v="75"/>
    <s v="BG22794"/>
    <d v="2025-08-01T00:00:00"/>
    <d v="1899-12-30T14:09:00"/>
    <x v="39"/>
    <s v="ARMENIA"/>
    <s v="NORFLOX X 1 KG"/>
    <n v="10"/>
    <n v="10"/>
    <n v="545000"/>
    <d v="2025-08-04T00:00:00"/>
    <d v="2025-08-04T00:00:00"/>
    <x v="0"/>
  </r>
  <r>
    <m/>
    <s v="1228256"/>
    <d v="2025-08-31T00:00:00"/>
    <d v="1899-12-30T18:21:00"/>
    <d v="2025-08-13T00:00:00"/>
    <x v="76"/>
    <s v="BG22753"/>
    <d v="2025-08-01T00:00:00"/>
    <d v="1899-12-30T15:51:00"/>
    <x v="6"/>
    <s v="RIVERA"/>
    <s v="ACCUREMAX X 25 KG"/>
    <n v="250"/>
    <n v="10"/>
    <n v="13250000"/>
    <d v="2025-08-06T00:00:00"/>
    <d v="2025-08-13T00:00:00"/>
    <x v="14"/>
  </r>
  <r>
    <m/>
    <s v="1228317 "/>
    <d v="2025-08-31T00:00:00"/>
    <d v="1899-12-30T20:47:00"/>
    <d v="2025-08-08T00:00:00"/>
    <x v="77"/>
    <s v="BG22740"/>
    <d v="2025-08-01T00:00:00"/>
    <d v="1899-12-30T15:53:00"/>
    <x v="5"/>
    <s v="BUCARAMANGA"/>
    <s v="FRACTAL P X 25 KG"/>
    <n v="4000"/>
    <n v="160"/>
    <n v="96000000"/>
    <d v="2025-08-07T00:00:00"/>
    <d v="2025-08-08T00:00:00"/>
    <x v="6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RACTAL P X 25 KG"/>
    <n v="2500"/>
    <n v="100"/>
    <n v="600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FENIFLOR PREMIX X 25 KG"/>
    <n v="500"/>
    <n v="20"/>
    <n v="2646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PROFLOX X 5 KG"/>
    <n v="400"/>
    <n v="16"/>
    <n v="186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MOOTH SWEET X 5 KG"/>
    <n v="30"/>
    <n v="1.2"/>
    <n v="3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MANAX X 25 KG"/>
    <n v="400"/>
    <n v="16"/>
    <n v="57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IGNUS X 20 KILOS"/>
    <n v="100"/>
    <n v="4"/>
    <n v="345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"/>
    <n v="16"/>
    <n v="6216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SAGAH X 25 KILOS"/>
    <n v="500"/>
    <n v="20"/>
    <n v="151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CELERITY NP X 25 KG"/>
    <n v="4000"/>
    <n v="160"/>
    <n v="4264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DMB 11 X 25 KG"/>
    <n v="500"/>
    <n v="20"/>
    <n v="8800000"/>
    <d v="2025-08-05T00:00:00"/>
    <d v="2025-08-05T00:00:00"/>
    <x v="0"/>
  </r>
  <r>
    <m/>
    <s v="4500081736"/>
    <d v="2025-08-01T00:00:00"/>
    <d v="1899-12-30T08:10:00"/>
    <d v="2025-08-05T00:00:00"/>
    <x v="78"/>
    <s v="BG22787"/>
    <d v="2025-08-01T00:00:00"/>
    <d v="1899-12-30T16:30:00"/>
    <x v="0"/>
    <s v="MEDELLIN"/>
    <s v="AVINOVA X 25 KG"/>
    <n v="25"/>
    <n v="1"/>
    <n v="467500"/>
    <d v="2025-08-05T00:00:00"/>
    <d v="2025-08-05T00:00:00"/>
    <x v="0"/>
  </r>
  <r>
    <m/>
    <s v="4500081757"/>
    <d v="2025-08-01T00:00:00"/>
    <d v="1899-12-30T08:50:00"/>
    <d v="2025-08-08T00:00:00"/>
    <x v="79"/>
    <s v="BG22815"/>
    <d v="2025-08-01T00:00:00"/>
    <d v="1899-12-30T16:43:00"/>
    <x v="40"/>
    <s v="GUARNE"/>
    <s v="CELERITY NP X 25 KG"/>
    <n v="10000"/>
    <n v="400"/>
    <n v="106600000"/>
    <d v="2025-08-08T00:00:00"/>
    <d v="2025-08-08T00:00:00"/>
    <x v="0"/>
  </r>
  <r>
    <m/>
    <n v="90824"/>
    <d v="2025-08-01T00:00:00"/>
    <d v="1899-12-30T09:55:00"/>
    <d v="2025-08-06T00:00:00"/>
    <x v="80"/>
    <s v="BG22800"/>
    <d v="2025-08-01T00:00:00"/>
    <d v="1899-12-30T16:50:00"/>
    <x v="41"/>
    <s v="BUGA"/>
    <s v="CLORTETRAX 20 % X 25 KG"/>
    <n v="450"/>
    <n v="18"/>
    <n v="7200000"/>
    <d v="2025-08-06T00:00:00"/>
    <d v="2025-08-06T00:00:00"/>
    <x v="0"/>
  </r>
  <r>
    <m/>
    <s v="004-OSC-48973"/>
    <d v="2025-08-01T00:00:00"/>
    <d v="1899-12-30T10:25:00"/>
    <d v="2025-08-05T00:00:00"/>
    <x v="81"/>
    <s v="BG22816"/>
    <d v="2025-08-01T00:00:00"/>
    <d v="1899-12-30T16:53:00"/>
    <x v="4"/>
    <s v="CARTAGO"/>
    <s v="DMB 11 X 25 KG"/>
    <n v="1100"/>
    <n v="44"/>
    <n v="20185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HALQUINOX 800 X 25 KG"/>
    <n v="200"/>
    <n v="8"/>
    <n v="20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FENIFLOR PREMIX X 25 KG"/>
    <n v="600"/>
    <n v="24"/>
    <n v="390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LORTETRAX 20 % X 25 KG"/>
    <n v="300"/>
    <n v="12"/>
    <n v="48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CIPROFLOX X 5 KG"/>
    <n v="100"/>
    <n v="4"/>
    <n v="53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VASYN X 25 KG"/>
    <n v="150"/>
    <n v="6"/>
    <n v="28500000"/>
    <d v="2025-08-05T00:00:00"/>
    <d v="2025-08-05T00:00:00"/>
    <x v="0"/>
  </r>
  <r>
    <m/>
    <s v="MPN - 5,289"/>
    <d v="2025-08-01T00:00:00"/>
    <d v="1899-12-30T14:13:00"/>
    <d v="2025-08-05T00:00:00"/>
    <x v="82"/>
    <s v="BG22793"/>
    <d v="2025-08-01T00:00:00"/>
    <d v="1899-12-30T17:10:00"/>
    <x v="39"/>
    <s v="NUTREXCOL"/>
    <s v="TILOMIIX 250 PREMIX X 25 KG"/>
    <n v="25"/>
    <n v="1"/>
    <n v="1412000"/>
    <d v="2025-08-05T00:00:00"/>
    <d v="2025-08-05T00:00:00"/>
    <x v="0"/>
  </r>
  <r>
    <m/>
    <m/>
    <d v="2025-08-01T00:00:00"/>
    <d v="1899-12-30T17:00:00"/>
    <d v="2025-08-04T00:00:00"/>
    <x v="83"/>
    <s v="BG22768"/>
    <d v="2025-08-01T00:00:00"/>
    <d v="1899-12-30T17:13:00"/>
    <x v="9"/>
    <s v="BUCARAMANGA"/>
    <s v="CIPROFLOX X 1KG"/>
    <n v="2"/>
    <n v="2"/>
    <n v="113700"/>
    <d v="2025-08-05T00:00:00"/>
    <d v="2025-08-04T00:00:00"/>
    <x v="10"/>
  </r>
  <r>
    <m/>
    <s v="004-OSC-49013"/>
    <d v="2025-08-01T00:00:00"/>
    <d v="1899-12-30T14:43:00"/>
    <d v="2025-08-05T00:00:00"/>
    <x v="84"/>
    <s v="BG22817"/>
    <d v="2025-08-01T00:00:00"/>
    <d v="1899-12-30T17:15:00"/>
    <x v="4"/>
    <s v="CARTAGO"/>
    <s v="LOTUS X 10 KG"/>
    <n v="150"/>
    <n v="15"/>
    <n v="5775000"/>
    <d v="2025-08-05T00:00:00"/>
    <d v="2025-08-05T00:00:00"/>
    <x v="0"/>
  </r>
  <r>
    <m/>
    <s v="103-OCC-00036185"/>
    <d v="2025-08-01T00:00:00"/>
    <d v="1899-12-30T12:30:00"/>
    <d v="2025-08-05T00:00:00"/>
    <x v="85"/>
    <s v="BG22731"/>
    <d v="2025-08-01T00:00:00"/>
    <d v="1899-12-30T17:22:00"/>
    <x v="13"/>
    <s v="GIRARDOTA"/>
    <s v="FRACTAL P X 25 KG"/>
    <n v="1000"/>
    <n v="40"/>
    <n v="25500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FRACTAL P X 25 KG"/>
    <n v="150"/>
    <n v="6"/>
    <n v="3825000"/>
    <d v="2025-08-05T00:00:00"/>
    <d v="2025-08-05T00:00:00"/>
    <x v="0"/>
  </r>
  <r>
    <m/>
    <s v="CFMP-1316"/>
    <d v="2025-08-02T00:00:00"/>
    <d v="1899-12-30T09:24:00"/>
    <d v="2025-08-05T00:00:00"/>
    <x v="86"/>
    <s v="BG22780"/>
    <d v="2025-08-01T00:00:00"/>
    <d v="1899-12-30T09:45:00"/>
    <x v="14"/>
    <s v="NUTRITEC"/>
    <s v="CLORTETRAX 20 % X 25 KG"/>
    <n v="200"/>
    <n v="8"/>
    <n v="324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ACCUREMAX 10 % X 25 KG"/>
    <n v="50"/>
    <n v="2"/>
    <n v="11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FRACTAL P X 25 KG"/>
    <n v="500"/>
    <n v="20"/>
    <n v="12750000"/>
    <d v="2025-08-05T00:00:00"/>
    <d v="2025-08-05T00:00:00"/>
    <x v="0"/>
  </r>
  <r>
    <s v="TRANSPORTE "/>
    <s v="001-OC -00008115"/>
    <d v="2025-08-01T00:00:00"/>
    <d v="1899-12-30T17:25:00"/>
    <d v="2025-08-05T00:00:00"/>
    <x v="87"/>
    <s v="BG22747"/>
    <d v="2025-08-04T00:00:00"/>
    <d v="1899-12-30T10:01:00"/>
    <x v="25"/>
    <s v="YUMBO"/>
    <s v="CLORTETRAX 20 % X 25 KG"/>
    <n v="300"/>
    <n v="12"/>
    <n v="4800000"/>
    <d v="2025-08-05T00:00:00"/>
    <d v="2025-08-05T00:00:00"/>
    <x v="0"/>
  </r>
  <r>
    <m/>
    <s v="001-OC-070222"/>
    <d v="2025-08-04T00:00:00"/>
    <d v="1899-12-30T08:01:00"/>
    <d v="2025-08-04T00:00:00"/>
    <x v="88"/>
    <s v="BG22759"/>
    <d v="2025-08-04T00:00:00"/>
    <d v="1899-12-30T10:52:00"/>
    <x v="27"/>
    <s v="BUGA"/>
    <s v="FOSMYCINA 90 X 500 GR"/>
    <n v="20"/>
    <n v="40"/>
    <n v="9919800"/>
    <d v="2025-08-04T00:00:00"/>
    <d v="2025-08-04T00:00:00"/>
    <x v="0"/>
  </r>
  <r>
    <m/>
    <s v="001-OC-070222"/>
    <d v="2025-08-04T00:00:00"/>
    <d v="1899-12-30T08:01:00"/>
    <d v="2025-08-06T00:00:00"/>
    <x v="89"/>
    <s v="BG22760"/>
    <d v="2025-08-04T00:00:00"/>
    <d v="1899-12-30T10:52:00"/>
    <x v="27"/>
    <s v="BUGA"/>
    <s v="FOSMYCINA 90 X 500 GR"/>
    <n v="32"/>
    <n v="64"/>
    <n v="15871680"/>
    <d v="2025-08-04T00:00:00"/>
    <d v="2025-08-06T00:00:00"/>
    <x v="4"/>
  </r>
  <r>
    <m/>
    <s v="1228632"/>
    <d v="2025-08-01T00:00:00"/>
    <d v="1899-12-30T12:23:00"/>
    <d v="2025-08-11T00:00:00"/>
    <x v="90"/>
    <s v="BG22848"/>
    <d v="2025-08-04T00:00:00"/>
    <d v="1899-12-30T12:24:00"/>
    <x v="6"/>
    <s v="BOGOTA"/>
    <s v="ACCUREMAX X 25 KG"/>
    <n v="150"/>
    <n v="6"/>
    <n v="7950000"/>
    <d v="2025-08-11T00:00:00"/>
    <d v="2025-08-11T00:00:00"/>
    <x v="0"/>
  </r>
  <r>
    <m/>
    <s v="1228768 "/>
    <d v="2025-08-01T00:00:00"/>
    <d v="1899-12-30T12:20:00"/>
    <d v="2025-08-08T00:00:00"/>
    <x v="91"/>
    <s v="BG22847"/>
    <d v="2025-08-04T00:00:00"/>
    <d v="1899-12-30T12:24:00"/>
    <x v="5"/>
    <s v="BUGA"/>
    <s v="ACCUREMAX X 25 KG"/>
    <n v="250"/>
    <n v="10"/>
    <n v="13250000"/>
    <d v="2025-08-11T00:00:00"/>
    <d v="2025-08-08T00:00:00"/>
    <x v="2"/>
  </r>
  <r>
    <m/>
    <s v="1228787"/>
    <d v="2025-08-01T00:00:00"/>
    <d v="1899-12-30T15:27:00"/>
    <d v="2025-08-06T00:00:00"/>
    <x v="92"/>
    <s v="BG22741"/>
    <d v="2025-08-04T00:00:00"/>
    <d v="1899-12-30T12:37:00"/>
    <x v="5"/>
    <s v="CIENAGA"/>
    <s v="LOTUS X 10 KG"/>
    <n v="20"/>
    <n v="2"/>
    <n v="690000"/>
    <d v="2025-08-05T00:00:00"/>
    <d v="2025-08-06T00:00:00"/>
    <x v="6"/>
  </r>
  <r>
    <m/>
    <s v="1228914"/>
    <d v="2025-08-01T00:00:00"/>
    <d v="1899-12-30T16:50:00"/>
    <d v="2025-08-05T00:00:00"/>
    <x v="93"/>
    <s v="BG22742"/>
    <d v="2025-08-04T00:00:00"/>
    <d v="1899-12-30T12:40:00"/>
    <x v="5"/>
    <s v="BUCARAMANGA"/>
    <s v="LOTUS X 10 KG"/>
    <n v="40"/>
    <n v="4"/>
    <n v="1380000"/>
    <d v="2025-08-06T00:00:00"/>
    <d v="2025-08-05T00:00:00"/>
    <x v="10"/>
  </r>
  <r>
    <m/>
    <s v="1228945"/>
    <d v="2025-08-01T00:00:00"/>
    <d v="1899-12-30T17:09:00"/>
    <d v="2025-08-08T00:00:00"/>
    <x v="94"/>
    <s v="BG22846"/>
    <d v="2025-08-04T00:00:00"/>
    <d v="1899-12-30T12:55:00"/>
    <x v="6"/>
    <s v="CARTAGO"/>
    <s v="ACCUREMAX X 25 KG"/>
    <n v="100"/>
    <n v="4"/>
    <n v="5300000"/>
    <d v="2025-08-11T00:00:00"/>
    <d v="2025-08-08T00:00:00"/>
    <x v="2"/>
  </r>
  <r>
    <s v="INVENTARIO"/>
    <s v="1229052 "/>
    <d v="2025-08-01T00:00:00"/>
    <d v="1899-12-30T19:46:00"/>
    <d v="2025-08-08T00:00:00"/>
    <x v="95"/>
    <s v="BG22845"/>
    <d v="2025-08-04T00:00:00"/>
    <d v="1899-12-30T12:57:00"/>
    <x v="5"/>
    <s v="MOSQUERA"/>
    <s v="TILCOMIX PREMIX S X 5 KG"/>
    <n v="75"/>
    <n v="15"/>
    <n v="9922500"/>
    <d v="2025-08-08T00:00:00"/>
    <d v="2025-08-08T00:00:00"/>
    <x v="0"/>
  </r>
  <r>
    <m/>
    <s v="4500353403"/>
    <d v="2025-08-02T00:00:00"/>
    <d v="1899-12-30T12:34:00"/>
    <d v="2025-08-12T00:00:00"/>
    <x v="96"/>
    <s v="BG22865"/>
    <d v="2025-08-04T00:00:00"/>
    <d v="1899-12-30T13:13:00"/>
    <x v="2"/>
    <s v="BELLO"/>
    <s v="FRACTAL P X 25 KG"/>
    <n v="200"/>
    <n v="8"/>
    <n v="5100000"/>
    <d v="2025-08-15T00:00:00"/>
    <d v="2025-08-12T00:00:00"/>
    <x v="2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HALQUINOX 800 X 25 KG"/>
    <n v="2000"/>
    <n v="80"/>
    <n v="145734000"/>
    <d v="2025-08-05T00:00:00"/>
    <d v="2025-08-05T00:00:00"/>
    <x v="0"/>
  </r>
  <r>
    <m/>
    <s v="4500081749"/>
    <d v="2025-08-02T00:00:00"/>
    <d v="1899-12-30T13:08:00"/>
    <d v="2025-08-05T00:00:00"/>
    <x v="97"/>
    <s v="BG22786"/>
    <d v="2025-08-04T00:00:00"/>
    <d v="1899-12-30T13:18:00"/>
    <x v="42"/>
    <s v="PREMEX MEDELLIN"/>
    <s v="DINAMIX 800 X 25 KILOS"/>
    <n v="1000"/>
    <n v="40"/>
    <n v="123150000"/>
    <d v="2025-08-05T00:00:00"/>
    <d v="2025-08-05T00:00:00"/>
    <x v="0"/>
  </r>
  <r>
    <m/>
    <s v="1229348 "/>
    <d v="2025-08-04T00:00:00"/>
    <d v="1899-12-30T09:08:00"/>
    <d v="2025-08-05T00:00:00"/>
    <x v="98"/>
    <s v="BG22748"/>
    <d v="2025-08-04T00:00:00"/>
    <d v="1899-12-30T13:25:00"/>
    <x v="43"/>
    <s v="CALDAS- ANTIOQUIA"/>
    <s v="FRACTAL L X 20 KILOS"/>
    <n v="160"/>
    <n v="6.4"/>
    <n v="5520000"/>
    <d v="2025-08-05T00:00:00"/>
    <d v="2025-08-05T00:00:00"/>
    <x v="0"/>
  </r>
  <r>
    <m/>
    <s v="OCO-00009626"/>
    <d v="2025-08-04T00:00:00"/>
    <d v="1899-12-30T11:16:00"/>
    <d v="2025-08-08T00:00:00"/>
    <x v="99"/>
    <s v="BG22818"/>
    <d v="2025-08-04T00:00:00"/>
    <d v="1899-12-30T13:29:00"/>
    <x v="44"/>
    <s v="BOGOTA"/>
    <s v="NORFLOX X 1 KG"/>
    <n v="96"/>
    <n v="96"/>
    <n v="5328000"/>
    <d v="2025-08-05T00:00:00"/>
    <d v="2025-08-08T00:00:00"/>
    <x v="3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NEOCYN X 25 KG "/>
    <n v="200"/>
    <n v="8"/>
    <n v="14000000"/>
    <d v="2025-08-06T00:00:00"/>
    <d v="2025-08-06T00:00:00"/>
    <x v="0"/>
  </r>
  <r>
    <m/>
    <s v="105-OCC-16565"/>
    <d v="2025-08-04T00:00:00"/>
    <d v="1899-12-30T11:19:00"/>
    <d v="2025-08-06T00:00:00"/>
    <x v="100"/>
    <s v="BG22765"/>
    <d v="2025-08-04T00:00:00"/>
    <d v="1899-12-30T13:32:00"/>
    <x v="13"/>
    <s v="PEREIRA"/>
    <s v="DMB 11 X 25 KG"/>
    <n v="1000"/>
    <n v="40"/>
    <n v="18200000"/>
    <d v="2025-08-06T00:00:00"/>
    <d v="2025-08-06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OSMYCINA 90 X 500 GR"/>
    <n v="5"/>
    <n v="10"/>
    <n v="2475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FENIFLOR ORAL X 500 GR"/>
    <n v="10"/>
    <n v="20"/>
    <n v="972000"/>
    <d v="2025-08-13T00:00:00"/>
    <d v="2025-08-13T00:00:00"/>
    <x v="0"/>
  </r>
  <r>
    <m/>
    <s v="90.929"/>
    <d v="2025-08-04T00:00:00"/>
    <d v="1899-12-30T11:41:00"/>
    <d v="2025-08-13T00:00:00"/>
    <x v="101"/>
    <s v="BG22864"/>
    <d v="2025-08-04T00:00:00"/>
    <d v="1899-12-30T13:38:00"/>
    <x v="45"/>
    <s v="BUGA"/>
    <s v="AMOXIN X 1 KG"/>
    <n v="30"/>
    <n v="30"/>
    <n v="4350000"/>
    <d v="2025-08-13T00:00:00"/>
    <d v="2025-08-13T00:00:00"/>
    <x v="0"/>
  </r>
  <r>
    <m/>
    <s v="90.931"/>
    <d v="2025-08-04T00:00:00"/>
    <d v="1899-12-30T11:41:00"/>
    <d v="2025-08-06T00:00:00"/>
    <x v="102"/>
    <s v="BG22799"/>
    <d v="2025-08-04T00:00:00"/>
    <d v="1899-12-30T13:38:00"/>
    <x v="41"/>
    <s v="BUGA"/>
    <s v="FRACTAL L X 20 KILOS"/>
    <n v="1200"/>
    <n v="60"/>
    <n v="46620000"/>
    <d v="2025-08-06T00:00:00"/>
    <d v="2025-08-06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OSMYCINA 90 X 500 GR"/>
    <n v="10"/>
    <n v="20"/>
    <n v="495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FENIFLOR ORAL X 500 GR"/>
    <n v="500"/>
    <n v="1000"/>
    <n v="486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NORFLOX X 1 KG"/>
    <n v="30"/>
    <n v="30"/>
    <n v="1800000"/>
    <d v="2025-08-13T00:00:00"/>
    <d v="2025-08-13T00:00:00"/>
    <x v="0"/>
  </r>
  <r>
    <m/>
    <s v="90.927"/>
    <d v="2025-08-04T00:00:00"/>
    <d v="1899-12-30T11:41:00"/>
    <d v="2025-08-13T00:00:00"/>
    <x v="103"/>
    <s v="BG22863"/>
    <d v="2025-08-04T00:00:00"/>
    <d v="1899-12-30T13:38:00"/>
    <x v="46"/>
    <s v="BUGA"/>
    <s v="AMOXIN X 1 KG"/>
    <n v="60"/>
    <n v="60"/>
    <n v="8700000"/>
    <d v="2025-08-13T00:00:00"/>
    <d v="2025-08-13T00:00:00"/>
    <x v="0"/>
  </r>
  <r>
    <m/>
    <s v="90.930"/>
    <d v="2025-08-04T00:00:00"/>
    <d v="1899-12-30T11:41:00"/>
    <d v="2025-08-19T00:00:00"/>
    <x v="104"/>
    <s v="BG22922"/>
    <d v="2025-08-04T00:00:00"/>
    <d v="1899-12-30T13:55:00"/>
    <x v="47"/>
    <s v="BUGA"/>
    <s v="AMOXIN X 1 KG"/>
    <n v="12"/>
    <n v="12"/>
    <n v="1740000"/>
    <d v="2025-08-20T00:00:00"/>
    <d v="2025-08-19T00:00:00"/>
    <x v="1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OSMYCINA 90 X 500 GR"/>
    <n v="10"/>
    <n v="20"/>
    <n v="495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FENIFLOR ORAL X 500 GR"/>
    <n v="500"/>
    <n v="1000"/>
    <n v="486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NORFLOX X 1 KG"/>
    <n v="30"/>
    <n v="30"/>
    <n v="1800000"/>
    <d v="2025-08-06T00:00:00"/>
    <d v="2025-08-06T00:00:00"/>
    <x v="0"/>
  </r>
  <r>
    <m/>
    <s v="90.928"/>
    <d v="2025-08-04T00:00:00"/>
    <d v="1899-12-30T11:41:00"/>
    <d v="2025-08-06T00:00:00"/>
    <x v="105"/>
    <s v="BG22819"/>
    <d v="2025-08-04T00:00:00"/>
    <d v="1899-12-30T13:38:00"/>
    <x v="46"/>
    <s v="BUGA"/>
    <s v="AMOXIN X 1 KG"/>
    <n v="60"/>
    <n v="60"/>
    <n v="8700000"/>
    <d v="2025-08-06T00:00:00"/>
    <d v="2025-08-06T00:00:00"/>
    <x v="0"/>
  </r>
  <r>
    <m/>
    <s v="OC-COMPR-18079"/>
    <d v="2025-08-04T00:00:00"/>
    <d v="1899-12-30T12:14:00"/>
    <d v="2025-08-05T00:00:00"/>
    <x v="106"/>
    <s v="BG22745"/>
    <d v="2025-08-04T00:00:00"/>
    <d v="1899-12-30T14:03:00"/>
    <x v="19"/>
    <s v="RICAURTE"/>
    <s v="DQCICLIN X 1 KG"/>
    <n v="20"/>
    <n v="20"/>
    <n v="5000000"/>
    <d v="2025-08-06T00:00:00"/>
    <d v="2025-08-05T00:00:00"/>
    <x v="10"/>
  </r>
  <r>
    <m/>
    <s v="4503783234 "/>
    <d v="2025-08-04T00:00:00"/>
    <d v="1899-12-30T12:59:00"/>
    <d v="2025-08-05T00:00:00"/>
    <x v="107"/>
    <s v="BG22785"/>
    <d v="2025-08-04T00:00:00"/>
    <d v="1899-12-30T14:15:00"/>
    <x v="48"/>
    <s v="BUCARAMANGA"/>
    <s v="NORFLOX X 1 KG"/>
    <n v="144"/>
    <n v="144"/>
    <n v="7956000"/>
    <d v="2025-08-06T00:00:00"/>
    <d v="2025-08-05T00:00:00"/>
    <x v="10"/>
  </r>
  <r>
    <m/>
    <n v="4500138962"/>
    <d v="2025-08-04T00:00:00"/>
    <d v="1899-12-30T14:01:00"/>
    <d v="2025-08-05T00:00:00"/>
    <x v="108"/>
    <s v="BG22784"/>
    <d v="2025-08-04T00:00:00"/>
    <d v="1899-12-30T14:24:00"/>
    <x v="49"/>
    <s v="FUSAGASUGA"/>
    <s v="FOSMYCINA 90 X 500 GR"/>
    <n v="12"/>
    <n v="24"/>
    <n v="6090240"/>
    <d v="2025-08-06T00:00:00"/>
    <d v="2025-08-05T00:00:00"/>
    <x v="10"/>
  </r>
  <r>
    <m/>
    <s v="1229557 "/>
    <d v="2025-08-04T00:00:00"/>
    <d v="1899-12-30T13:15:00"/>
    <d v="2025-08-05T00:00:00"/>
    <x v="109"/>
    <s v="BG22754"/>
    <d v="2025-08-04T00:00:00"/>
    <d v="1899-12-30T14:27:00"/>
    <x v="6"/>
    <s v="BOGOTA"/>
    <s v="DINAMIX PREMIX X 25 KG"/>
    <n v="775"/>
    <n v="31"/>
    <n v="16840750"/>
    <d v="2025-08-05T00:00:00"/>
    <d v="2025-08-05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TILOMIIX 250 PREMIX X 25 KG"/>
    <n v="500"/>
    <n v="20"/>
    <n v="2545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AVINOVA X 25 KG"/>
    <n v="75"/>
    <n v="3"/>
    <n v="14025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FRACTAL P X 25 KG"/>
    <n v="200"/>
    <n v="8"/>
    <n v="4800000"/>
    <d v="2025-08-06T00:00:00"/>
    <d v="2025-08-06T00:00:00"/>
    <x v="0"/>
  </r>
  <r>
    <m/>
    <s v="4500081807"/>
    <d v="2025-08-04T00:00:00"/>
    <d v="1899-12-30T12:30:00"/>
    <d v="2025-08-06T00:00:00"/>
    <x v="110"/>
    <s v="BG22792"/>
    <d v="2025-08-05T00:00:00"/>
    <d v="1899-12-30T10:38:00"/>
    <x v="0"/>
    <s v="CELTA"/>
    <s v="MONECYL X 25 KG"/>
    <n v="1000"/>
    <n v="40"/>
    <n v="188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IPROFLOX X 5 KG"/>
    <n v="100"/>
    <n v="4"/>
    <n v="550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ENIFLOR PREMIX X 25 KG"/>
    <n v="25"/>
    <n v="1"/>
    <n v="18125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FRACTAL P X 25 KG"/>
    <n v="100"/>
    <n v="4"/>
    <n v="2550000"/>
    <d v="2025-08-06T00:00:00"/>
    <d v="2025-08-06T00:00:00"/>
    <x v="0"/>
  </r>
  <r>
    <m/>
    <s v="ORC-2508002"/>
    <d v="2025-08-04T00:00:00"/>
    <d v="1899-12-30T15:51:00"/>
    <d v="2025-08-06T00:00:00"/>
    <x v="111"/>
    <s v="BG22783"/>
    <d v="2025-08-05T00:00:00"/>
    <d v="1899-12-30T10:44:00"/>
    <x v="50"/>
    <s v="MANIZALES"/>
    <s v="CELMANAX X 25 KG"/>
    <n v="250"/>
    <n v="10"/>
    <n v="4328750"/>
    <d v="2025-08-06T00:00:00"/>
    <d v="2025-08-06T00:00:00"/>
    <x v="0"/>
  </r>
  <r>
    <s v="INVENTARIO"/>
    <s v="1229765"/>
    <d v="2025-08-04T00:00:00"/>
    <d v="1899-12-30T16:56:00"/>
    <d v="2025-08-09T00:00:00"/>
    <x v="112"/>
    <s v="BG22844"/>
    <d v="2025-08-05T00:00:00"/>
    <d v="1899-12-30T11:00:00"/>
    <x v="6"/>
    <s v="ENVIGADO"/>
    <s v="TILCOMIX PREMIX S X 5 KG"/>
    <n v="225"/>
    <n v="45"/>
    <n v="29767500"/>
    <d v="2025-08-06T00:00:00"/>
    <d v="2025-08-09T00:00:00"/>
    <x v="3"/>
  </r>
  <r>
    <s v="INVENTARIO"/>
    <s v="1229861 "/>
    <d v="2025-08-04T00:00:00"/>
    <d v="1899-12-30T17:39:00"/>
    <d v="2025-08-12T00:00:00"/>
    <x v="113"/>
    <s v="BG22843"/>
    <d v="2025-08-05T00:00:00"/>
    <d v="1899-12-30T12:27:00"/>
    <x v="6"/>
    <s v="CARTAGO"/>
    <s v="TILCOMIX PREMIX S X 5 KG"/>
    <n v="25"/>
    <n v="5"/>
    <n v="3307500"/>
    <d v="2025-08-06T00:00:00"/>
    <d v="2025-08-12T00:00:00"/>
    <x v="9"/>
  </r>
  <r>
    <m/>
    <s v="1229902"/>
    <d v="2025-08-04T00:00:00"/>
    <d v="1899-12-30T19:12:00"/>
    <d v="2025-08-06T00:00:00"/>
    <x v="114"/>
    <s v="BG22749"/>
    <d v="2025-08-05T00:00:00"/>
    <d v="1899-12-30T12:34:00"/>
    <x v="43"/>
    <s v="PEREIRA"/>
    <s v="FOSMYCINA 90 X 500 GR"/>
    <n v="60"/>
    <n v="120"/>
    <n v="24648000"/>
    <d v="2025-08-06T00:00:00"/>
    <d v="2025-08-06T00:00:00"/>
    <x v="0"/>
  </r>
  <r>
    <m/>
    <s v="1230210"/>
    <d v="2025-08-05T00:00:00"/>
    <d v="1899-12-30T10:59:00"/>
    <d v="2025-08-09T00:00:00"/>
    <x v="115"/>
    <s v="BG22743"/>
    <d v="2025-08-05T00:00:00"/>
    <d v="1899-12-30T12:36:00"/>
    <x v="5"/>
    <s v="CIENAGA"/>
    <s v="ACCUREMAX X 25 KG"/>
    <n v="100"/>
    <n v="4"/>
    <n v="5300000"/>
    <d v="2025-08-08T00:00:00"/>
    <d v="2025-08-09T00:00:00"/>
    <x v="6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LORTETRAX 20 % X 25 KG"/>
    <n v="50"/>
    <n v="2"/>
    <n v="1015000"/>
    <d v="2025-08-06T00:00:00"/>
    <d v="2025-08-08T00:00:00"/>
    <x v="4"/>
  </r>
  <r>
    <m/>
    <s v="OC-COMPR-18121"/>
    <d v="2025-08-05T00:00:00"/>
    <d v="1899-12-30T11:39:00"/>
    <d v="2025-08-08T00:00:00"/>
    <x v="116"/>
    <s v="BG22820"/>
    <d v="2025-08-05T00:00:00"/>
    <d v="1899-12-30T13:15:00"/>
    <x v="19"/>
    <s v="RICAURTE"/>
    <s v="CIGNUS X 20 KILOS"/>
    <n v="20"/>
    <n v="1"/>
    <n v="880000"/>
    <d v="2025-08-06T00:00:00"/>
    <d v="2025-08-08T00:00:00"/>
    <x v="4"/>
  </r>
  <r>
    <s v="INVENTARIO"/>
    <s v="OC-COMPR-18406"/>
    <d v="2025-08-05T00:00:00"/>
    <d v="1899-12-30T11:39:00"/>
    <d v="2025-08-20T00:00:00"/>
    <x v="116"/>
    <s v="BG22953"/>
    <d v="2025-08-05T00:00:00"/>
    <d v="1899-12-30T13:15:00"/>
    <x v="19"/>
    <s v="RICAURTE"/>
    <s v="CIGNUS X 20 KILOS"/>
    <n v="380"/>
    <n v="19"/>
    <n v="16720000"/>
    <d v="2025-08-06T00:00:00"/>
    <d v="2025-08-20T00:00:00"/>
    <x v="15"/>
  </r>
  <r>
    <m/>
    <s v="5503647874"/>
    <d v="2025-08-05T00:00:00"/>
    <d v="1899-12-30T07:53:00"/>
    <d v="2025-08-06T00:00:00"/>
    <x v="117"/>
    <s v="BG22821"/>
    <d v="2025-08-05T00:00:00"/>
    <d v="1899-12-30T13:23:00"/>
    <x v="51"/>
    <s v="BUCARAMANGA"/>
    <s v="TRIMBAC X 5 KG"/>
    <n v="50"/>
    <n v="10"/>
    <n v="7125000"/>
    <d v="2025-08-06T00:00:00"/>
    <d v="2025-08-06T00:00:00"/>
    <x v="0"/>
  </r>
  <r>
    <m/>
    <s v="OC7556"/>
    <d v="2025-08-05T00:00:00"/>
    <d v="1899-12-30T14:30:00"/>
    <d v="2025-08-06T00:00:00"/>
    <x v="118"/>
    <s v="BG22822"/>
    <d v="2025-08-05T00:00:00"/>
    <d v="1899-12-30T14:44:00"/>
    <x v="52"/>
    <s v="ALBATEQ"/>
    <s v="DINAMIX PREMIX X 25 KG"/>
    <n v="250"/>
    <n v="10"/>
    <n v="6519000"/>
    <d v="2025-08-06T00:00:00"/>
    <d v="2025-08-06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ICRO AID X 25 KG"/>
    <n v="250"/>
    <n v="10"/>
    <n v="130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DMB 11 X 25 KG"/>
    <n v="1500"/>
    <n v="60"/>
    <n v="26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IPROFLOX X 5 KG"/>
    <n v="600"/>
    <n v="24"/>
    <n v="279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MOOTH SWEET X 5 KG"/>
    <n v="45"/>
    <n v="1.8"/>
    <n v="45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CELERITY NP X 25 KG"/>
    <n v="5000"/>
    <n v="200"/>
    <n v="53300000"/>
    <d v="2025-08-08T00:00:00"/>
    <d v="2025-08-08T00:00:00"/>
    <x v="0"/>
  </r>
  <r>
    <s v="INVENTARIO"/>
    <s v="4500081859"/>
    <d v="2025-08-05T00:00:00"/>
    <d v="1899-12-30T12:21:00"/>
    <d v="2025-08-09T00:00:00"/>
    <x v="119"/>
    <s v="BG22803"/>
    <d v="2025-08-05T00:00:00"/>
    <d v="1899-12-30T16:43:00"/>
    <x v="0"/>
    <s v="MEDELLIN"/>
    <s v="TILCOMIX PREMIX S X 5 KG"/>
    <n v="500"/>
    <n v="200"/>
    <n v="66150000"/>
    <d v="2025-08-08T00:00:00"/>
    <d v="2025-08-09T00:00:00"/>
    <x v="6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TILOMIIX 250 PREMIX X 25 KG"/>
    <n v="1000"/>
    <n v="40"/>
    <n v="49900000"/>
    <d v="2025-08-08T00:00:00"/>
    <d v="2025-08-08T00:00:00"/>
    <x v="0"/>
  </r>
  <r>
    <s v="INVENTARIO"/>
    <s v="4500081859"/>
    <d v="2025-08-05T00:00:00"/>
    <d v="1899-12-30T12:21:00"/>
    <d v="2025-08-08T00:00:00"/>
    <x v="119"/>
    <s v="BG22872"/>
    <d v="2025-08-05T00:00:00"/>
    <d v="1899-12-30T16:43:00"/>
    <x v="0"/>
    <s v="MEDELLIN"/>
    <s v="FRACTAL P X 25 KG"/>
    <n v="50"/>
    <n v="2"/>
    <n v="126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RACTAL P X 25 KG"/>
    <n v="950"/>
    <n v="38"/>
    <n v="234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MONECYL X 25 KG"/>
    <n v="1000"/>
    <n v="40"/>
    <n v="18850000"/>
    <d v="2025-08-08T00:00:00"/>
    <d v="2025-08-08T00:00:00"/>
    <x v="0"/>
  </r>
  <r>
    <s v="INVENTARIO"/>
    <s v="4500081859"/>
    <d v="2025-08-05T00:00:00"/>
    <d v="1899-12-30T12:21:00"/>
    <d v="2025-08-22T00:00:00"/>
    <x v="119"/>
    <s v="BG22959"/>
    <d v="2025-08-05T00:00:00"/>
    <d v="1899-12-30T16:43:00"/>
    <x v="0"/>
    <s v="MEDELLIN"/>
    <s v="CIGNUS X 20 KILOS"/>
    <n v="100"/>
    <n v="4"/>
    <n v="3450000"/>
    <d v="2025-08-08T00:00:00"/>
    <d v="2025-08-22T00:00:00"/>
    <x v="15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AMOXIN X 1 KG"/>
    <n v="100"/>
    <n v="4"/>
    <n v="13355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NEOCYN X 25 KG "/>
    <n v="300"/>
    <n v="12"/>
    <n v="1851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LOTUS X 10 KG"/>
    <n v="1000"/>
    <n v="40"/>
    <n v="318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SAGAH X 25 KILOS"/>
    <n v="500"/>
    <n v="20"/>
    <n v="15100000"/>
    <d v="2025-08-08T00:00:00"/>
    <d v="2025-08-08T00:00:00"/>
    <x v="0"/>
  </r>
  <r>
    <m/>
    <s v="4500081859"/>
    <d v="2025-08-05T00:00:00"/>
    <d v="1899-12-30T12:21:00"/>
    <d v="2025-08-08T00:00:00"/>
    <x v="119"/>
    <s v="BG22803"/>
    <d v="2025-08-05T00:00:00"/>
    <d v="1899-12-30T16:43:00"/>
    <x v="0"/>
    <s v="MEDELLIN"/>
    <s v="FENIFLOR PREMIX X 25 KG"/>
    <n v="300"/>
    <n v="12"/>
    <n v="15876000"/>
    <d v="2025-08-08T00:00:00"/>
    <d v="2025-08-08T00:00:00"/>
    <x v="0"/>
  </r>
  <r>
    <s v="INVENTARIO"/>
    <s v="4500353459"/>
    <d v="2025-08-05T00:00:00"/>
    <d v="1899-12-30T14:03:00"/>
    <d v="2025-08-11T00:00:00"/>
    <x v="120"/>
    <s v="BG22842"/>
    <d v="2025-08-06T00:00:00"/>
    <d v="1899-12-30T09:05:00"/>
    <x v="2"/>
    <s v="BELLO"/>
    <s v="FRACTAL P X 25 KG"/>
    <n v="100"/>
    <n v="4"/>
    <n v="2550000"/>
    <d v="2025-08-08T00:00:00"/>
    <d v="2025-08-11T00:00:00"/>
    <x v="3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NEOCYN X 25 KG "/>
    <n v="25"/>
    <n v="1"/>
    <n v="18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DINAMIX 200 PREMIX X 25 KG"/>
    <n v="25"/>
    <n v="1"/>
    <n v="13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CLORTETRAX 20 % X 25 KG"/>
    <n v="25"/>
    <n v="1"/>
    <n v="400000"/>
    <d v="2025-08-06T00:00:00"/>
    <d v="2025-08-06T00:00:00"/>
    <x v="0"/>
  </r>
  <r>
    <m/>
    <m/>
    <d v="2025-08-05T00:00:00"/>
    <d v="1899-12-30T15:08:00"/>
    <d v="2025-08-06T00:00:00"/>
    <x v="121"/>
    <s v="BG22791"/>
    <d v="2025-08-06T00:00:00"/>
    <d v="1899-12-30T09:40:00"/>
    <x v="53"/>
    <s v="SAN PEDRO"/>
    <s v="FENIFLOR PREMIX X 25 KG"/>
    <n v="20"/>
    <n v="4"/>
    <n v="1380000"/>
    <d v="2025-08-06T00:00:00"/>
    <d v="2025-08-06T00:00:00"/>
    <x v="0"/>
  </r>
  <r>
    <m/>
    <s v="OC 024"/>
    <d v="2025-08-05T00:00:00"/>
    <d v="1899-12-30T15:52:00"/>
    <d v="2025-08-08T00:00:00"/>
    <x v="122"/>
    <s v="BG22823"/>
    <d v="2025-08-06T00:00:00"/>
    <d v="1899-12-30T09:44:00"/>
    <x v="35"/>
    <s v="ITAGUI"/>
    <s v="DQCICLIN X 1 KG"/>
    <n v="20"/>
    <n v="20"/>
    <n v="5700000"/>
    <d v="2025-08-06T00:00:00"/>
    <d v="2025-08-08T00:00:00"/>
    <x v="4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HALQUINOX 800 X 25 KG"/>
    <n v="1000"/>
    <n v="40"/>
    <n v="72867000"/>
    <d v="2025-08-06T00:00:00"/>
    <d v="2025-08-06T00:00:00"/>
    <x v="0"/>
  </r>
  <r>
    <m/>
    <s v="4500081823"/>
    <d v="2025-08-05T00:00:00"/>
    <d v="1899-12-30T18:02:00"/>
    <d v="2025-08-06T00:00:00"/>
    <x v="123"/>
    <s v="BG22797"/>
    <d v="2025-08-06T00:00:00"/>
    <d v="1899-12-30T09:53:00"/>
    <x v="42"/>
    <s v="PREMEX CELTA"/>
    <s v="DINAMIX 800 X 25 KILOS"/>
    <n v="100"/>
    <n v="4"/>
    <n v="12315000"/>
    <d v="2025-08-06T00:00:00"/>
    <d v="2025-08-06T00:00:00"/>
    <x v="0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TILOMIX ORAL X 1 KG"/>
    <n v="200"/>
    <n v="200"/>
    <n v="44268000"/>
    <d v="2025-08-15T00:00:00"/>
    <d v="2025-08-28T00:00:00"/>
    <x v="16"/>
  </r>
  <r>
    <s v="INVENTARIO"/>
    <s v="5503646005"/>
    <d v="2025-08-04T00:00:00"/>
    <d v="1899-12-30T14:33:00"/>
    <d v="2025-08-28T00:00:00"/>
    <x v="124"/>
    <s v="BG23015"/>
    <d v="2025-08-06T00:00:00"/>
    <d v="1899-12-30T10:09:00"/>
    <x v="51"/>
    <s v="RESTREPO VALLE"/>
    <s v="SMOOTH SWEET X 75 GR"/>
    <n v="15"/>
    <n v="200"/>
    <n v="15"/>
    <d v="2025-08-15T00:00:00"/>
    <d v="2025-08-28T00:00:00"/>
    <x v="16"/>
  </r>
  <r>
    <m/>
    <s v="4500353591"/>
    <s v="6/08/2025"/>
    <d v="1899-12-30T12:00:00"/>
    <d v="2025-08-06T00:00:00"/>
    <x v="125"/>
    <s v="BG22824"/>
    <d v="2025-08-06T00:00:00"/>
    <d v="1899-12-30T11:39:00"/>
    <x v="54"/>
    <s v="BUCARAMANGA"/>
    <s v="FRACTAL L X 20 KILOS"/>
    <n v="40"/>
    <n v="1.6"/>
    <n v="1554000"/>
    <d v="2025-08-06T00:00:00"/>
    <d v="2025-08-06T00:00:00"/>
    <x v="0"/>
  </r>
  <r>
    <m/>
    <n v="4500353591"/>
    <d v="2025-08-04T00:00:00"/>
    <d v="1899-12-30T12:00:00"/>
    <d v="2025-08-05T00:00:00"/>
    <x v="126"/>
    <s v="BG22824"/>
    <d v="2025-08-04T00:00:00"/>
    <d v="1899-12-30T12:44:00"/>
    <x v="54"/>
    <s v="BUCARAMANGA"/>
    <s v="FRACTAL L X 20 KILOS"/>
    <n v="20"/>
    <n v="0.8"/>
    <n v="777000"/>
    <d v="2025-08-04T00:00:00"/>
    <d v="2025-08-05T00:00:00"/>
    <x v="6"/>
  </r>
  <r>
    <m/>
    <n v="4500353591"/>
    <d v="2025-08-04T00:00:00"/>
    <d v="1899-12-30T12:00:00"/>
    <d v="2025-08-08T00:00:00"/>
    <x v="127"/>
    <s v="BG22824"/>
    <d v="2025-08-04T00:00:00"/>
    <d v="1899-12-30T12:44:00"/>
    <x v="54"/>
    <s v="BUCARAMANGA"/>
    <s v="FRACTAL L X 20 KILOS"/>
    <n v="20"/>
    <n v="0.8"/>
    <n v="777000"/>
    <d v="2025-08-04T00:00:00"/>
    <d v="2025-08-08T00:00:00"/>
    <x v="13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MB 11 X 25 KG"/>
    <n v="300"/>
    <n v="12"/>
    <n v="585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INAMIX 800 X 25 KILOS"/>
    <n v="50"/>
    <n v="2"/>
    <n v="865725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DQCICLIN X 1 KG"/>
    <n v="70"/>
    <n v="2.8"/>
    <n v="172725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FENIFLOR PREMIX X 25 KG"/>
    <n v="25"/>
    <n v="1"/>
    <n v="1725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FRACTAL P X 25 KG"/>
    <n v="200"/>
    <n v="8"/>
    <n v="5100000"/>
    <d v="2025-08-08T00:00:00"/>
    <d v="2025-08-08T00:00:00"/>
    <x v="0"/>
  </r>
  <r>
    <m/>
    <m/>
    <d v="2025-08-05T00:00:00"/>
    <d v="1899-12-30T08:30:00"/>
    <d v="2025-08-08T00:00:00"/>
    <x v="128"/>
    <s v="BG22827"/>
    <d v="2025-08-06T00:00:00"/>
    <d v="1899-12-30T13:08:00"/>
    <x v="21"/>
    <s v="GUARNE"/>
    <s v="ESPELIN 88 X 5 KG"/>
    <n v="30"/>
    <n v="1.2"/>
    <n v="1620000"/>
    <d v="2025-08-08T00:00:00"/>
    <d v="2025-08-08T00:00:00"/>
    <x v="0"/>
  </r>
  <r>
    <s v="INVENTARIO"/>
    <m/>
    <d v="2025-08-05T00:00:00"/>
    <d v="1899-12-30T08:30:00"/>
    <d v="2025-08-08T00:00:00"/>
    <x v="128"/>
    <s v="BG22827"/>
    <d v="2025-08-06T00:00:00"/>
    <d v="1899-12-30T13:08:00"/>
    <x v="21"/>
    <s v="GUARNE"/>
    <s v="TILCOMIX PREMIX S X 5 KG"/>
    <n v="50"/>
    <n v="2"/>
    <n v="850500"/>
    <d v="2025-08-08T00:00:00"/>
    <d v="2025-08-08T00:00:00"/>
    <x v="0"/>
  </r>
  <r>
    <m/>
    <s v="4500353483"/>
    <d v="2025-08-05T00:00:00"/>
    <d v="1899-12-30T18:14:00"/>
    <d v="2025-08-08T00:00:00"/>
    <x v="129"/>
    <s v="BG22825"/>
    <d v="2025-08-06T00:00:00"/>
    <d v="1899-12-30T13:12:00"/>
    <x v="54"/>
    <s v="BUCARAMANGA"/>
    <s v="CIPROFLOX X 1KG"/>
    <n v="97"/>
    <n v="98"/>
    <n v="5423000"/>
    <d v="2025-08-06T00:00:00"/>
    <d v="2025-08-08T00:00:00"/>
    <x v="4"/>
  </r>
  <r>
    <m/>
    <s v="4500353483"/>
    <d v="2025-08-05T00:00:00"/>
    <d v="1899-12-30T18:14:00"/>
    <d v="2025-08-08T00:00:00"/>
    <x v="130"/>
    <s v="BG22825"/>
    <d v="2025-08-06T00:00:00"/>
    <d v="1899-12-30T13:12:00"/>
    <x v="54"/>
    <s v="BUCARAMANGA"/>
    <s v="CIPROFLOX X 1KG"/>
    <n v="3"/>
    <n v="2"/>
    <n v="168000"/>
    <d v="2025-08-06T00:00:00"/>
    <d v="2025-08-08T00:00:00"/>
    <x v="4"/>
  </r>
  <r>
    <m/>
    <m/>
    <d v="2025-08-06T00:00:00"/>
    <d v="1899-12-30T10:33:00"/>
    <d v="2025-08-08T00:00:00"/>
    <x v="131"/>
    <s v="BG22828"/>
    <d v="2025-08-06T00:00:00"/>
    <d v="1899-12-30T13:17:00"/>
    <x v="9"/>
    <s v="BUCARAMANGA"/>
    <s v="CIPROFLOX X 1KG"/>
    <n v="1"/>
    <n v="1"/>
    <n v="56850"/>
    <d v="2025-08-06T00:00:00"/>
    <d v="2025-08-08T00:00:00"/>
    <x v="4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FENIFLOR PREMIX X 25 KG"/>
    <n v="250"/>
    <n v="10"/>
    <n v="17250000"/>
    <d v="2025-08-06T00:00:00"/>
    <d v="2025-08-06T00:00:00"/>
    <x v="0"/>
  </r>
  <r>
    <m/>
    <m/>
    <d v="2025-08-06T00:00:00"/>
    <d v="1899-12-30T09:40:00"/>
    <d v="2025-08-06T00:00:00"/>
    <x v="132"/>
    <s v="BG22829"/>
    <d v="2025-08-06T00:00:00"/>
    <d v="1899-12-30T10:35:00"/>
    <x v="55"/>
    <s v="ENTRERIOS"/>
    <s v="ESPELIN 88 X 25 KG"/>
    <n v="100"/>
    <n v="4"/>
    <n v="5400000"/>
    <d v="2025-08-06T00:00:00"/>
    <d v="2025-08-06T00:00:00"/>
    <x v="0"/>
  </r>
  <r>
    <m/>
    <s v="101-OCC-33841"/>
    <d v="2025-08-06T00:00:00"/>
    <d v="1899-12-30T11:28:00"/>
    <d v="2025-08-12T00:00:00"/>
    <x v="133"/>
    <s v="BG22830"/>
    <d v="2025-08-06T00:00:00"/>
    <d v="1899-12-30T13:28:00"/>
    <x v="13"/>
    <s v="PALMIRA"/>
    <s v="DMB 11 X 25 KG"/>
    <n v="500"/>
    <n v="20"/>
    <n v="9100000"/>
    <d v="2025-08-08T00:00:00"/>
    <d v="2025-08-12T00:00:00"/>
    <x v="13"/>
  </r>
  <r>
    <s v="TRANSPORTE "/>
    <m/>
    <d v="2025-08-06T00:00:00"/>
    <d v="1899-12-30T13:40:00"/>
    <d v="2025-08-11T00:00:00"/>
    <x v="134"/>
    <s v="BG22831"/>
    <d v="2025-08-06T00:00:00"/>
    <d v="1899-12-30T14:36:00"/>
    <x v="9"/>
    <s v="CUCUTA"/>
    <s v="TILVASYN X 25 KG"/>
    <n v="25"/>
    <n v="1"/>
    <n v="5375000"/>
    <d v="2025-08-08T00:00:00"/>
    <d v="2025-08-11T00:00:00"/>
    <x v="3"/>
  </r>
  <r>
    <s v="INVENTARIO"/>
    <m/>
    <d v="2025-08-06T00:00:00"/>
    <d v="1899-12-30T14:50:00"/>
    <d v="2025-08-15T00:00:00"/>
    <x v="135"/>
    <s v="BG22987"/>
    <d v="2025-08-06T00:00:00"/>
    <d v="1899-12-30T14:58:00"/>
    <x v="56"/>
    <s v="BUCARAMANGA"/>
    <s v="CIGNUS X 20 KILOS"/>
    <n v="20"/>
    <n v="0.8"/>
    <n v="760000"/>
    <d v="2025-08-08T00:00:00"/>
    <d v="2025-08-15T00:00:00"/>
    <x v="14"/>
  </r>
  <r>
    <m/>
    <s v="10544"/>
    <d v="2025-08-06T00:00:00"/>
    <d v="1899-12-30T14:39:00"/>
    <d v="2025-08-08T00:00:00"/>
    <x v="136"/>
    <s v="BG22956"/>
    <d v="2025-08-06T00:00:00"/>
    <d v="1899-12-30T14:57:00"/>
    <x v="10"/>
    <s v="BUCARAMANGA"/>
    <s v="FOSMYCINA 90 X 500 GR"/>
    <n v="7"/>
    <n v="14"/>
    <n v="3605000"/>
    <d v="2025-08-06T00:00:00"/>
    <d v="2025-08-08T00:00:00"/>
    <x v="4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NEOCYN X 1 KG "/>
    <n v="10"/>
    <n v="10"/>
    <n v="720000"/>
    <d v="2025-08-08T00:00:00"/>
    <d v="2025-08-08T00:00:00"/>
    <x v="0"/>
  </r>
  <r>
    <m/>
    <m/>
    <d v="2025-08-06T00:00:00"/>
    <d v="1899-12-30T14:29:00"/>
    <d v="2025-08-08T00:00:00"/>
    <x v="137"/>
    <s v="BG22802"/>
    <d v="2025-08-06T00:00:00"/>
    <d v="1899-12-30T15:01:00"/>
    <x v="28"/>
    <s v="BUGA"/>
    <s v="FOSMYCINA 90 X 500 GR"/>
    <n v="3.5"/>
    <n v="7"/>
    <n v="1855000"/>
    <d v="2025-08-08T00:00:00"/>
    <d v="2025-08-08T00:00:00"/>
    <x v="0"/>
  </r>
  <r>
    <m/>
    <m/>
    <d v="2025-08-06T00:00:00"/>
    <d v="1899-12-30T13:46:00"/>
    <d v="2025-08-12T00:00:00"/>
    <x v="138"/>
    <s v="BG22832"/>
    <d v="2025-08-06T00:00:00"/>
    <d v="1899-12-30T15:03:00"/>
    <x v="57"/>
    <s v="CUCUTA"/>
    <s v="CELERITY NP X 25 KG"/>
    <n v="250"/>
    <n v="10"/>
    <n v="4200000"/>
    <d v="2025-08-08T00:00:00"/>
    <d v="2025-08-12T00:00:00"/>
    <x v="13"/>
  </r>
  <r>
    <m/>
    <s v="004-OSC-49041"/>
    <d v="2025-08-06T00:00:00"/>
    <d v="1899-12-30T08:09:00"/>
    <d v="2025-08-11T00:00:00"/>
    <x v="139"/>
    <s v="BG22833"/>
    <d v="2025-08-06T00:00:00"/>
    <d v="1899-12-30T15:20:00"/>
    <x v="4"/>
    <s v="CARTAGO"/>
    <s v="FRACTAL P X 25 KG"/>
    <n v="1000"/>
    <n v="40"/>
    <n v="25500000"/>
    <d v="2025-08-11T00:00:00"/>
    <d v="2025-08-11T00:00:00"/>
    <x v="0"/>
  </r>
  <r>
    <m/>
    <s v=" 1230804 "/>
    <d v="2025-08-05T00:00:00"/>
    <d v="1899-12-30T20:50:00"/>
    <d v="2025-08-11T00:00:00"/>
    <x v="140"/>
    <s v="BG22841"/>
    <d v="2025-08-08T00:00:00"/>
    <d v="1899-12-30T10:09:00"/>
    <x v="6"/>
    <s v="ENVIGADO"/>
    <s v="ACCUREMAX X 25 KG"/>
    <n v="100"/>
    <n v="4"/>
    <n v="5300000"/>
    <d v="2025-08-11T00:00:00"/>
    <d v="2025-08-11T00:00:00"/>
    <x v="0"/>
  </r>
  <r>
    <s v="INVENTARIO"/>
    <s v="1230884 "/>
    <d v="2025-08-06T00:00:00"/>
    <d v="1899-12-30T07:36:00"/>
    <d v="2025-08-21T00:00:00"/>
    <x v="141"/>
    <s v="BG22949"/>
    <d v="2025-08-08T00:00:00"/>
    <d v="1899-12-30T10:11:00"/>
    <x v="6"/>
    <s v="BARBOSA- ANTIOQUIA"/>
    <s v="CIGNUS X 20 KILOS"/>
    <n v="500"/>
    <n v="20"/>
    <n v="17250000"/>
    <d v="2025-08-12T00:00:00"/>
    <d v="2025-08-21T00:00:00"/>
    <x v="17"/>
  </r>
  <r>
    <m/>
    <s v="1231041 "/>
    <d v="2025-08-06T00:00:00"/>
    <d v="1899-12-30T09:55:00"/>
    <d v="2025-08-11T00:00:00"/>
    <x v="142"/>
    <s v="BG22840"/>
    <d v="2025-08-08T00:00:00"/>
    <d v="1899-12-30T10:15:00"/>
    <x v="5"/>
    <s v="CIENAGA"/>
    <s v="DINAMIX PREMIX X 25 KG"/>
    <n v="75"/>
    <n v="3"/>
    <n v="1629750"/>
    <d v="2025-08-11T00:00:00"/>
    <d v="2025-08-11T00:00:00"/>
    <x v="0"/>
  </r>
  <r>
    <m/>
    <s v="4500353703"/>
    <d v="2025-08-06T00:00:00"/>
    <d v="1899-12-30T16:48:00"/>
    <d v="2025-08-12T00:00:00"/>
    <x v="143"/>
    <s v="BG22826"/>
    <d v="2025-08-08T00:00:00"/>
    <d v="1899-12-30T10:18:00"/>
    <x v="54"/>
    <s v="BUCARAMANGA"/>
    <s v="CIPROFLOX X  5 KG"/>
    <n v="200"/>
    <n v="8"/>
    <n v="11200000"/>
    <d v="2025-08-11T00:00:00"/>
    <d v="2025-08-12T00:00:00"/>
    <x v="6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FRACTAL P X 25 KG"/>
    <n v="1250"/>
    <n v="50"/>
    <n v="31875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LOTUS X 10 KG"/>
    <n v="500"/>
    <n v="20"/>
    <n v="19400000"/>
    <d v="2025-08-11T00:00:00"/>
    <d v="2025-08-09T00:00:00"/>
    <x v="5"/>
  </r>
  <r>
    <m/>
    <s v="3131"/>
    <d v="2025-08-07T00:00:00"/>
    <d v="1899-12-30T10:18:00"/>
    <d v="2025-08-09T00:00:00"/>
    <x v="144"/>
    <s v="BG22804"/>
    <d v="2025-08-08T00:00:00"/>
    <d v="1899-12-30T10:22:00"/>
    <x v="15"/>
    <s v="BUGA"/>
    <s v="DMB 11 X 25 KG"/>
    <n v="50"/>
    <n v="2"/>
    <n v="1000000"/>
    <d v="2025-08-11T00:00:00"/>
    <d v="2025-08-09T00:00:00"/>
    <x v="5"/>
  </r>
  <r>
    <m/>
    <s v="1231837 "/>
    <d v="2025-08-07T00:00:00"/>
    <d v="1899-12-30T15:54:00"/>
    <d v="2025-08-11T00:00:00"/>
    <x v="145"/>
    <s v="BG22839"/>
    <d v="2025-08-08T00:00:00"/>
    <d v="1899-12-30T10:29:00"/>
    <x v="5"/>
    <s v="MOSQUERA"/>
    <s v="FENIFLOR PREMIX X 25 KG"/>
    <n v="100"/>
    <n v="4"/>
    <n v="5292000"/>
    <d v="2025-08-12T00:00:00"/>
    <d v="2025-08-11T00:00:00"/>
    <x v="10"/>
  </r>
  <r>
    <m/>
    <s v="POP-00006980"/>
    <d v="2025-08-08T00:00:00"/>
    <d v="1899-12-30T07:31:00"/>
    <d v="2025-08-11T00:00:00"/>
    <x v="146"/>
    <s v="BG22838"/>
    <d v="2025-08-08T00:00:00"/>
    <d v="1899-12-30T12:14:00"/>
    <x v="58"/>
    <s v="MEJIA"/>
    <s v="DMB 11 X 25 KG"/>
    <n v="150"/>
    <n v="6"/>
    <n v="2730000"/>
    <d v="2025-08-11T00:00:00"/>
    <d v="2025-08-11T00:00:00"/>
    <x v="0"/>
  </r>
  <r>
    <m/>
    <s v="236-ORC-00008741"/>
    <d v="2025-08-08T00:00:00"/>
    <d v="1899-12-30T08:00:00"/>
    <d v="2025-08-14T00:00:00"/>
    <x v="147"/>
    <s v="BG22886"/>
    <d v="2025-08-08T00:00:00"/>
    <d v="1899-12-30T12:19:00"/>
    <x v="59"/>
    <s v="IBAGUE"/>
    <s v="DINAMIX PREMIX X 25 KG"/>
    <n v="3000"/>
    <n v="120"/>
    <n v="76128000"/>
    <d v="2025-08-14T00:00:00"/>
    <d v="2025-08-14T00:00:00"/>
    <x v="0"/>
  </r>
  <r>
    <s v="INVENTARIO"/>
    <s v="236-ORC-00008741"/>
    <d v="2025-08-08T00:00:00"/>
    <d v="1899-12-30T08:00:00"/>
    <d v="2025-08-26T00:00:00"/>
    <x v="147"/>
    <s v="BG23028"/>
    <d v="2025-08-08T00:00:00"/>
    <d v="1899-12-30T12:19:00"/>
    <x v="59"/>
    <s v="IBAGUE"/>
    <s v="DINAMIX PREMIX X 25 KG"/>
    <n v="2600"/>
    <n v="104"/>
    <n v="65977600"/>
    <d v="2025-08-27T00:00:00"/>
    <d v="2025-08-26T00:00:00"/>
    <x v="10"/>
  </r>
  <r>
    <m/>
    <s v="1232057 "/>
    <d v="2025-08-08T00:00:00"/>
    <d v="1899-12-30T09:19:00"/>
    <d v="2025-08-12T00:00:00"/>
    <x v="148"/>
    <s v="BG22837"/>
    <d v="2025-08-08T00:00:00"/>
    <d v="1899-12-30T12:30:00"/>
    <x v="5"/>
    <s v="BUGA"/>
    <s v="ACCUREMAX X 25 KG"/>
    <n v="225"/>
    <n v="9"/>
    <n v="11925000"/>
    <d v="2025-08-11T00:00:00"/>
    <d v="2025-08-12T00:00:00"/>
    <x v="6"/>
  </r>
  <r>
    <m/>
    <s v="1232088"/>
    <d v="2025-08-08T00:00:00"/>
    <d v="1899-12-30T09:39:00"/>
    <d v="2025-08-15T00:00:00"/>
    <x v="149"/>
    <s v="BG22905"/>
    <d v="2025-08-08T00:00:00"/>
    <d v="1899-12-30T12:33:00"/>
    <x v="5"/>
    <s v="BUCARAMANGA"/>
    <s v="ACCUREMAX X 25 KG"/>
    <n v="25"/>
    <n v="1"/>
    <n v="1325000"/>
    <d v="2025-08-18T00:00:00"/>
    <d v="2025-08-15T00:00:00"/>
    <x v="2"/>
  </r>
  <r>
    <m/>
    <s v="1232096 "/>
    <d v="2025-08-08T00:00:00"/>
    <d v="1899-12-30T09:41:00"/>
    <d v="2025-08-12T00:00:00"/>
    <x v="150"/>
    <s v="BG22862"/>
    <d v="2025-08-08T00:00:00"/>
    <d v="1899-12-30T12:35:00"/>
    <x v="6"/>
    <s v="ENVIGADO"/>
    <s v="TILCOMIX PREMIX S X 5 KG"/>
    <n v="200"/>
    <n v="8"/>
    <n v="26460000"/>
    <d v="2025-08-12T00:00:00"/>
    <d v="2025-08-12T00:00:00"/>
    <x v="0"/>
  </r>
  <r>
    <m/>
    <m/>
    <d v="2025-08-08T00:00:00"/>
    <d v="1899-12-30T09:57:00"/>
    <d v="2025-08-09T00:00:00"/>
    <x v="151"/>
    <s v="BG22834"/>
    <d v="2025-08-08T00:00:00"/>
    <d v="1899-12-30T12:40:00"/>
    <x v="60"/>
    <s v="GRANADA"/>
    <s v="CLORTETRAX 20 % X 25 KG"/>
    <n v="200"/>
    <n v="8"/>
    <n v="3680000"/>
    <d v="2025-08-12T00:00:00"/>
    <d v="2025-08-09T00:00:00"/>
    <x v="2"/>
  </r>
  <r>
    <m/>
    <m/>
    <d v="2025-08-08T00:00:00"/>
    <d v="1899-12-30T12:25:00"/>
    <d v="2025-08-11T00:00:00"/>
    <x v="152"/>
    <s v="BG22836"/>
    <d v="2025-08-08T00:00:00"/>
    <d v="1899-12-30T14:34:00"/>
    <x v="61"/>
    <s v="NEIVA"/>
    <s v="FRACTAL P X 25 KG"/>
    <n v="1000"/>
    <n v="40"/>
    <n v="25500000"/>
    <d v="2025-08-12T00:00:00"/>
    <d v="2025-08-11T00:00:00"/>
    <x v="1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DMB 11 X 25 KG"/>
    <n v="1000"/>
    <n v="40"/>
    <n v="18350000"/>
    <d v="2025-08-11T00:00:00"/>
    <d v="2025-08-11T00:00:00"/>
    <x v="0"/>
  </r>
  <r>
    <m/>
    <s v="004-OSC-49053"/>
    <d v="2025-08-08T00:00:00"/>
    <d v="1899-12-30T14:09:00"/>
    <d v="2025-08-11T00:00:00"/>
    <x v="153"/>
    <s v="BG22835"/>
    <d v="2025-08-08T00:00:00"/>
    <d v="1899-12-30T14:38:00"/>
    <x v="4"/>
    <s v="CARTAGO"/>
    <s v="CELMANAX X 25 KG"/>
    <n v="50"/>
    <n v="2"/>
    <n v="810000"/>
    <d v="2025-08-11T00:00:00"/>
    <d v="2025-08-11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800"/>
    <n v="32"/>
    <n v="12432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FRACTAL P X 25 KG"/>
    <n v="2000"/>
    <n v="80"/>
    <n v="480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MANAX X 25 KG"/>
    <n v="500"/>
    <n v="20"/>
    <n v="7125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CELERITY NP X 25 KG"/>
    <n v="5000"/>
    <n v="200"/>
    <n v="533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DMB 11 X 25 KG"/>
    <n v="1500"/>
    <n v="60"/>
    <n v="264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LOTUS X 10 KG"/>
    <n v="1000"/>
    <n v="40"/>
    <n v="3180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MONECYL X 25 KG"/>
    <n v="1000"/>
    <n v="40"/>
    <n v="18850000"/>
    <d v="2025-08-12T00:00:00"/>
    <d v="2025-08-12T00:00:00"/>
    <x v="0"/>
  </r>
  <r>
    <m/>
    <s v="4500081996"/>
    <d v="2025-08-08T00:00:00"/>
    <d v="1899-12-30T16:41:00"/>
    <d v="2025-08-12T00:00:00"/>
    <x v="154"/>
    <s v="BG22861"/>
    <d v="2025-08-11T00:00:00"/>
    <d v="1899-12-30T08:43:00"/>
    <x v="0"/>
    <s v="MEDELLIN"/>
    <s v="TILOMIIX 250 PREMIX X 25 KG"/>
    <n v="1000"/>
    <n v="40"/>
    <n v="49900000"/>
    <d v="2025-08-12T00:00:00"/>
    <d v="2025-08-12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AGAH X 25 KILOS"/>
    <n v="400"/>
    <n v="16"/>
    <n v="12080000"/>
    <d v="2025-08-11T00:00:00"/>
    <d v="2025-08-11T00:00:00"/>
    <x v="0"/>
  </r>
  <r>
    <m/>
    <s v="4500081994"/>
    <d v="2025-08-08T00:00:00"/>
    <d v="1899-12-30T16:31:00"/>
    <d v="2025-08-11T00:00:00"/>
    <x v="155"/>
    <s v="BG23007"/>
    <d v="2025-08-11T00:00:00"/>
    <d v="1899-12-30T09:00:00"/>
    <x v="0"/>
    <s v="CELTA"/>
    <s v="DMB 11 X 25 KG"/>
    <n v="400"/>
    <n v="16"/>
    <n v="704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ACCUREMAX 20% X 25 KG"/>
    <n v="25"/>
    <n v="1"/>
    <n v="110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MONECYL X 25 KG"/>
    <n v="1700"/>
    <n v="68"/>
    <n v="32045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CIPROFLOX X 5 KG"/>
    <n v="80"/>
    <n v="3.2"/>
    <n v="372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SMOOTH SWEET X 5 KG"/>
    <n v="5"/>
    <n v="0.2"/>
    <n v="5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FRACTAL P X 25 KG"/>
    <n v="300"/>
    <n v="12"/>
    <n v="720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TILOMIIX 250 PREMIX X 25 KG"/>
    <n v="300"/>
    <n v="12"/>
    <n v="14970000"/>
    <d v="2025-08-11T00:00:00"/>
    <d v="2025-08-11T00:00:00"/>
    <x v="0"/>
  </r>
  <r>
    <m/>
    <s v="4500081994"/>
    <d v="2025-08-08T00:00:00"/>
    <d v="1899-12-30T16:31:00"/>
    <d v="2025-08-11T00:00:00"/>
    <x v="155"/>
    <s v="BG22860"/>
    <d v="2025-08-11T00:00:00"/>
    <d v="1899-12-30T09:00:00"/>
    <x v="0"/>
    <s v="CELTA"/>
    <s v="KIRA 24 X 25 KG"/>
    <n v="300"/>
    <n v="12"/>
    <n v="5703000"/>
    <d v="2025-08-11T00:00:00"/>
    <d v="2025-08-11T00:00:00"/>
    <x v="0"/>
  </r>
  <r>
    <m/>
    <s v="1232168 "/>
    <d v="2025-08-08T00:00:00"/>
    <d v="1899-12-30T10:38:00"/>
    <d v="2025-08-13T00:00:00"/>
    <x v="156"/>
    <s v="BG22859"/>
    <d v="2025-08-11T00:00:00"/>
    <d v="1899-12-30T10:01:00"/>
    <x v="5"/>
    <s v="CIENAGA"/>
    <s v="ACCUREMAX X 25 KG"/>
    <n v="150"/>
    <n v="6"/>
    <n v="7950000"/>
    <d v="2025-08-12T00:00:00"/>
    <d v="2025-08-13T00:00:00"/>
    <x v="6"/>
  </r>
  <r>
    <m/>
    <s v="1232473 "/>
    <d v="2025-08-08T00:00:00"/>
    <d v="1899-12-30T14:56:00"/>
    <d v="2025-08-12T00:00:00"/>
    <x v="157"/>
    <s v="BG22858"/>
    <d v="2025-08-11T00:00:00"/>
    <d v="1899-12-30T10:04:00"/>
    <x v="5"/>
    <s v="ITAGUI"/>
    <s v="LOTUS X 10 KG"/>
    <n v="40"/>
    <n v="4"/>
    <n v="138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CIPROFLOX X 5 KG"/>
    <n v="80"/>
    <n v="16"/>
    <n v="4360000"/>
    <d v="2025-08-12T00:00:00"/>
    <d v="2025-08-12T00:00:00"/>
    <x v="0"/>
  </r>
  <r>
    <m/>
    <s v="1232515"/>
    <d v="2025-08-08T00:00:00"/>
    <d v="1899-12-30T15:37:00"/>
    <d v="2025-08-12T00:00:00"/>
    <x v="158"/>
    <s v="BG22881"/>
    <d v="2025-08-11T00:00:00"/>
    <d v="1899-12-30T10:08:00"/>
    <x v="43"/>
    <s v="BUCARAMANGA"/>
    <s v="SMOOTH SWEET X 75 GR"/>
    <n v="6"/>
    <n v="80"/>
    <n v="6"/>
    <d v="2025-08-12T00:00:00"/>
    <d v="2025-08-12T00:00:00"/>
    <x v="0"/>
  </r>
  <r>
    <m/>
    <s v="1232576"/>
    <d v="2025-08-08T00:00:00"/>
    <d v="1899-12-30T16:33:00"/>
    <d v="2025-08-12T00:00:00"/>
    <x v="159"/>
    <s v="BG22857"/>
    <d v="2025-08-11T00:00:00"/>
    <d v="1899-12-30T10:10:00"/>
    <x v="5"/>
    <s v="BUGA"/>
    <s v="FENIFLOR PREMIX X 25 KG"/>
    <n v="50"/>
    <n v="2"/>
    <n v="2646000"/>
    <d v="2025-08-12T00:00:00"/>
    <d v="2025-08-12T00:00:00"/>
    <x v="0"/>
  </r>
  <r>
    <m/>
    <s v="1232583 "/>
    <d v="2025-08-08T00:00:00"/>
    <d v="1899-12-30T16:35:00"/>
    <d v="2025-08-12T00:00:00"/>
    <x v="160"/>
    <s v="BG22856"/>
    <d v="2025-08-11T00:00:00"/>
    <d v="1899-12-30T10:16:00"/>
    <x v="6"/>
    <s v="ENVIGADO"/>
    <s v="ACCUREMAX X 25 KG"/>
    <n v="300"/>
    <n v="12"/>
    <n v="15900000"/>
    <d v="2025-08-12T00:00:00"/>
    <d v="2025-08-12T00:00:00"/>
    <x v="0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SAGAH X 25 KILOS"/>
    <n v="50"/>
    <n v="2"/>
    <n v="1750000"/>
    <d v="2025-08-12T00:00:00"/>
    <d v="2025-08-14T00:00:00"/>
    <x v="4"/>
  </r>
  <r>
    <m/>
    <n v="4500096152"/>
    <d v="2025-08-08T00:00:00"/>
    <d v="1899-12-30T17:25:00"/>
    <d v="2025-08-14T00:00:00"/>
    <x v="161"/>
    <s v="BG22855"/>
    <d v="2025-08-11T00:00:00"/>
    <d v="1899-12-30T10:30:00"/>
    <x v="16"/>
    <s v="CIENAGA"/>
    <s v="CLORTETRAX 20 % X 25 KG"/>
    <n v="700"/>
    <n v="28"/>
    <n v="11200000"/>
    <d v="2025-08-12T00:00:00"/>
    <d v="2025-08-14T00:00:00"/>
    <x v="4"/>
  </r>
  <r>
    <m/>
    <s v="001-OSC-63691"/>
    <d v="2025-08-11T00:00:00"/>
    <d v="1899-12-30T09:08:00"/>
    <d v="2025-08-11T00:00:00"/>
    <x v="162"/>
    <s v="BG22854"/>
    <d v="2025-08-11T00:00:00"/>
    <d v="1899-12-30T10:34:00"/>
    <x v="4"/>
    <s v="BELLO"/>
    <s v="DMB 11 X 25 KG"/>
    <n v="2000"/>
    <n v="80"/>
    <n v="36700000"/>
    <d v="2025-08-12T00:00:00"/>
    <d v="2025-08-11T00:00:00"/>
    <x v="1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HALQUINOX 500 X 25 KG"/>
    <n v="500"/>
    <n v="20"/>
    <s v="65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DINAMIX 200 PREMIX X 25 KG"/>
    <n v="300"/>
    <n v="12"/>
    <s v="330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NEOCYN X 25 KG "/>
    <n v="200"/>
    <n v="8"/>
    <s v="2950 USD"/>
    <d v="2025-08-21T00:00:00"/>
    <d v="2025-08-21T00:00:00"/>
    <x v="0"/>
  </r>
  <r>
    <m/>
    <m/>
    <d v="2025-08-11T00:00:00"/>
    <d v="1899-12-30T15:08:00"/>
    <d v="2025-08-21T00:00:00"/>
    <x v="163"/>
    <s v="BG22961"/>
    <d v="2025-08-11T00:00:00"/>
    <d v="1899-12-30T11:25:00"/>
    <x v="62"/>
    <s v="ECUADOR"/>
    <s v="CIPROFLOX X 5 KG"/>
    <n v="120"/>
    <n v="24"/>
    <s v="1617,6USD"/>
    <d v="2025-08-21T00:00:00"/>
    <d v="2025-08-21T00:00:00"/>
    <x v="0"/>
  </r>
  <r>
    <m/>
    <s v="OC PENDIENTE"/>
    <d v="2025-08-11T00:00:00"/>
    <d v="1899-12-30T07:15:00"/>
    <d v="2025-08-13T00:00:00"/>
    <x v="164"/>
    <s v="BG22851"/>
    <d v="2025-08-11T00:00:00"/>
    <d v="1899-12-30T11:29:00"/>
    <x v="11"/>
    <s v="EL BRUJAL"/>
    <s v="NEOCYN X 25 KG "/>
    <n v="300"/>
    <n v="12"/>
    <n v="20400000"/>
    <d v="2025-08-12T00:00:00"/>
    <d v="2025-08-13T00:00:00"/>
    <x v="6"/>
  </r>
  <r>
    <m/>
    <s v="10584"/>
    <d v="2025-08-11T00:00:00"/>
    <d v="1899-12-30T07:20:00"/>
    <d v="2025-08-11T00:00:00"/>
    <x v="165"/>
    <s v="BG22942"/>
    <d v="2025-08-11T00:00:00"/>
    <d v="1899-12-30T11:32:00"/>
    <x v="10"/>
    <s v="BUCARAMANGA"/>
    <s v="FOSMYCINA 90 X 500 GR"/>
    <n v="5"/>
    <n v="10"/>
    <n v="2575000"/>
    <d v="2025-08-12T00:00:00"/>
    <d v="2025-08-11T00:00:00"/>
    <x v="10"/>
  </r>
  <r>
    <m/>
    <s v="4503785261"/>
    <d v="2025-08-11T00:00:00"/>
    <d v="1899-12-30T07:31:00"/>
    <d v="2025-08-14T00:00:00"/>
    <x v="166"/>
    <s v="BG22885"/>
    <d v="2025-08-11T00:00:00"/>
    <d v="1899-12-30T11:36:00"/>
    <x v="63"/>
    <s v="BUGA"/>
    <s v="DMB 11 X 25 KG"/>
    <n v="9200"/>
    <n v="368"/>
    <n v="163300000"/>
    <d v="2025-08-14T00:00:00"/>
    <d v="2025-08-14T00:00:00"/>
    <x v="0"/>
  </r>
  <r>
    <m/>
    <m/>
    <d v="2025-08-11T00:00:00"/>
    <d v="1899-12-30T07:33:00"/>
    <d v="2025-08-11T00:00:00"/>
    <x v="167"/>
    <s v="BG22973"/>
    <d v="2025-08-11T00:00:00"/>
    <d v="1899-12-30T11:47:00"/>
    <x v="9"/>
    <s v="BUCARAMANGA"/>
    <s v="FENIFLOR ORAL X 500 GR"/>
    <d v="2025-05-12T00:00:00"/>
    <n v="25"/>
    <n v="137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TILCOMIX ORAL X 1 LITRO"/>
    <n v="5"/>
    <n v="5"/>
    <n v="1125000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SMOOTH SWEET X 75 GR"/>
    <n v="750"/>
    <n v="10"/>
    <n v="0.75"/>
    <d v="2025-08-11T00:00:00"/>
    <d v="2025-08-11T00:00:00"/>
    <x v="0"/>
  </r>
  <r>
    <m/>
    <m/>
    <d v="2025-08-11T00:00:00"/>
    <d v="1899-12-30T09:49:00"/>
    <d v="2025-08-11T00:00:00"/>
    <x v="168"/>
    <s v="BG22880"/>
    <d v="2025-08-11T00:00:00"/>
    <d v="1899-12-30T11:53:00"/>
    <x v="64"/>
    <s v="SANTA ROSA DE OSOS"/>
    <s v="ROFLOX X 1 LITRO"/>
    <n v="10"/>
    <n v="10"/>
    <n v="550000"/>
    <d v="2025-08-11T00:00:00"/>
    <d v="2025-08-11T00:00:00"/>
    <x v="0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TILCOMIX ORAL X 1 LITRO"/>
    <n v="5"/>
    <n v="5"/>
    <n v="1125000"/>
    <d v="2025-08-11T00:00:00"/>
    <d v="2025-08-13T00:00:00"/>
    <x v="4"/>
  </r>
  <r>
    <m/>
    <m/>
    <d v="2025-08-11T00:00:00"/>
    <d v="1899-12-30T09:49:00"/>
    <d v="2025-08-13T00:00:00"/>
    <x v="169"/>
    <s v="BG22879"/>
    <d v="2025-08-11T00:00:00"/>
    <d v="1899-12-30T11:53:00"/>
    <x v="64"/>
    <s v="SANTA ROSA DE OSOS"/>
    <s v="FENIFLOR ORAL X 500 GR"/>
    <n v="10"/>
    <n v="20"/>
    <n v="1100000"/>
    <d v="2025-08-11T00:00:00"/>
    <d v="2025-08-13T00:00:00"/>
    <x v="4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CIPROFLOX X 5 KG"/>
    <n v="100"/>
    <n v="4"/>
    <n v="530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5 KG"/>
    <n v="5"/>
    <n v="0.2"/>
    <n v="5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SMOOTH SWEET X 75 GR"/>
    <n v="2.5"/>
    <n v="0.1"/>
    <n v="2.2999999999999998"/>
    <d v="2025-08-12T00:00:00"/>
    <d v="2025-08-13T00:00:00"/>
    <x v="6"/>
  </r>
  <r>
    <s v="TRANSPORTE "/>
    <m/>
    <d v="2025-08-11T00:00:00"/>
    <d v="1899-12-30T10:07:00"/>
    <d v="2025-08-13T00:00:00"/>
    <x v="170"/>
    <s v="BG22850"/>
    <d v="2025-08-11T00:00:00"/>
    <d v="1899-12-30T12:13:00"/>
    <x v="37"/>
    <s v="SANTA ROSA DE OSOS"/>
    <s v="CLORTETRAX 20 % X 25 KG"/>
    <n v="200"/>
    <n v="8"/>
    <n v="32400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DMB 11 X 25 KG"/>
    <n v="50"/>
    <n v="2"/>
    <n v="931700"/>
    <d v="2025-08-12T00:00:00"/>
    <d v="2025-08-13T00:00:00"/>
    <x v="6"/>
  </r>
  <r>
    <m/>
    <m/>
    <d v="2025-08-11T00:00:00"/>
    <d v="1899-12-30T10:07:00"/>
    <d v="2025-08-13T00:00:00"/>
    <x v="170"/>
    <s v="BG22850"/>
    <d v="2025-08-11T00:00:00"/>
    <d v="1899-12-30T12:13:00"/>
    <x v="37"/>
    <s v="SANTA ROSA DE OSOS"/>
    <s v="NEOCYN X 25 KG "/>
    <n v="200"/>
    <n v="8"/>
    <n v="14400000"/>
    <d v="2025-08-12T00:00:00"/>
    <d v="2025-08-13T00:00:00"/>
    <x v="6"/>
  </r>
  <r>
    <m/>
    <m/>
    <d v="2025-08-11T00:00:00"/>
    <d v="1899-12-30T11:51:00"/>
    <d v="2025-08-11T00:00:00"/>
    <x v="171"/>
    <s v="BG22849"/>
    <d v="2025-08-11T00:00:00"/>
    <d v="1899-12-30T12:26:00"/>
    <x v="65"/>
    <s v="BUCARAMANGA"/>
    <s v="FOSMYCINA 90 X 500 GR"/>
    <n v="2.5"/>
    <n v="5"/>
    <n v="1300520"/>
    <d v="2025-08-11T00:00:00"/>
    <d v="2025-08-11T00:00:00"/>
    <x v="0"/>
  </r>
  <r>
    <m/>
    <s v="91.206"/>
    <d v="2025-08-11T00:00:00"/>
    <d v="1899-12-30T11:38:00"/>
    <d v="2025-08-13T00:00:00"/>
    <x v="172"/>
    <s v="BG22853"/>
    <d v="2025-08-11T00:00:00"/>
    <d v="1899-12-30T12:31:00"/>
    <x v="41"/>
    <s v="BUGA"/>
    <s v="AMOXIN X 1 KG"/>
    <n v="14"/>
    <n v="14"/>
    <n v="2030000"/>
    <d v="2025-08-12T00:00:00"/>
    <d v="2025-08-13T00:00:00"/>
    <x v="6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CLORTETRAX 20 % X 25 KG"/>
    <n v="600"/>
    <n v="24"/>
    <n v="12120000"/>
    <d v="2025-08-15T00:00:00"/>
    <d v="2025-08-15T00:00:00"/>
    <x v="0"/>
  </r>
  <r>
    <m/>
    <s v="1001884133"/>
    <d v="2025-08-11T00:00:00"/>
    <d v="1899-12-30T10:50:00"/>
    <d v="2025-08-15T00:00:00"/>
    <x v="173"/>
    <s v="BG22908"/>
    <d v="2025-08-11T00:00:00"/>
    <d v="1899-12-30T12:36:00"/>
    <x v="66"/>
    <s v="MOSQUERA"/>
    <s v="ACCUREMAX 10 % X 25 KG"/>
    <n v="50"/>
    <n v="2"/>
    <n v="12000000"/>
    <d v="2025-08-15T00:00:00"/>
    <d v="2025-08-15T00:00:00"/>
    <x v="0"/>
  </r>
  <r>
    <m/>
    <s v="005-OSC-9650"/>
    <d v="2025-08-11T00:00:00"/>
    <d v="1899-12-30T09:50:00"/>
    <d v="2025-08-15T00:00:00"/>
    <x v="174"/>
    <s v="BG22907"/>
    <d v="2025-08-11T00:00:00"/>
    <d v="1899-12-30T12:38:00"/>
    <x v="4"/>
    <s v="MOSQUERA"/>
    <s v="CLORTETRAX 20 % X 25 KG"/>
    <n v="2000"/>
    <n v="80"/>
    <n v="32600000"/>
    <d v="2025-08-15T00:00:00"/>
    <d v="2025-08-15T00:00:00"/>
    <x v="0"/>
  </r>
  <r>
    <m/>
    <s v="OCO-00009661"/>
    <d v="2025-08-11T00:00:00"/>
    <d v="1899-12-30T13:23:00"/>
    <d v="2025-08-12T00:00:00"/>
    <x v="175"/>
    <s v="BG22852"/>
    <d v="2025-08-11T00:00:00"/>
    <d v="1899-12-30T14:12:00"/>
    <x v="44"/>
    <s v="BOGOTA"/>
    <s v="NORFLOX X 1 KG"/>
    <n v="96"/>
    <n v="96"/>
    <n v="5328000"/>
    <d v="2025-08-12T00:00:00"/>
    <d v="2025-08-12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AMOXIN X 1 KG"/>
    <n v="10"/>
    <n v="10"/>
    <n v="150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FENIFLOR ORAL X 500 GR"/>
    <n v="50"/>
    <n v="100"/>
    <n v="5250000"/>
    <d v="2025-08-13T00:00:00"/>
    <d v="2025-08-13T00:00:00"/>
    <x v="0"/>
  </r>
  <r>
    <m/>
    <s v="O.C. 45666"/>
    <d v="2025-08-12T00:00:00"/>
    <d v="1899-12-30T07:23:00"/>
    <d v="2025-08-13T00:00:00"/>
    <x v="176"/>
    <s v="BG22869"/>
    <d v="2025-08-12T00:00:00"/>
    <d v="1899-12-30T09:55:00"/>
    <x v="67"/>
    <s v="ITAGUI"/>
    <s v="NEOCYN X 1 KG "/>
    <n v="10"/>
    <n v="10"/>
    <n v="700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DMB 11 X 25 KG"/>
    <n v="875"/>
    <n v="35"/>
    <n v="18075000"/>
    <d v="2025-08-13T00:00:00"/>
    <d v="2025-08-13T00:00:00"/>
    <x v="0"/>
  </r>
  <r>
    <m/>
    <s v="10589"/>
    <d v="2025-08-11T00:00:00"/>
    <d v="1899-12-30T17:56:00"/>
    <d v="2025-08-13T00:00:00"/>
    <x v="177"/>
    <s v="BG22941"/>
    <d v="2025-08-12T00:00:00"/>
    <d v="1899-12-30T10:05:00"/>
    <x v="10"/>
    <s v="BUCARAMANGA"/>
    <s v="TILVASYN X 25 KG"/>
    <n v="25"/>
    <n v="1"/>
    <n v="5375000"/>
    <d v="2025-08-13T00:00:00"/>
    <d v="2025-08-13T00:00:00"/>
    <x v="0"/>
  </r>
  <r>
    <m/>
    <s v="1233493"/>
    <d v="2025-08-11T00:00:00"/>
    <d v="1899-12-30T14:51:00"/>
    <d v="2025-08-13T00:00:00"/>
    <x v="178"/>
    <s v="BG22868"/>
    <d v="2025-08-12T00:00:00"/>
    <d v="1899-12-30T10:15:00"/>
    <x v="5"/>
    <s v="BUGA"/>
    <s v="FENIFLOR PREMIX X 25 KG"/>
    <n v="75"/>
    <n v="3"/>
    <n v="3969000"/>
    <d v="2025-08-13T00:00:00"/>
    <d v="2025-08-13T00:00:00"/>
    <x v="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AMOXIN X 1 KG"/>
    <n v="150"/>
    <n v="150"/>
    <n v="21207000"/>
    <d v="2025-08-20T00:00:00"/>
    <d v="2025-08-19T00:00:00"/>
    <x v="10"/>
  </r>
  <r>
    <m/>
    <s v="AG-0032-25"/>
    <d v="2025-08-11T00:00:00"/>
    <d v="1899-12-30T15:01:00"/>
    <d v="2025-08-19T00:00:00"/>
    <x v="179"/>
    <s v="BG22921"/>
    <d v="2025-08-12T00:00:00"/>
    <d v="1899-12-30T10:22:00"/>
    <x v="23"/>
    <s v="PLANTA"/>
    <s v="CLORTETRAX 20 % X 25 KG"/>
    <n v="500"/>
    <n v="20"/>
    <n v="8100000"/>
    <d v="2025-08-20T00:00:00"/>
    <d v="2025-08-19T00:00:00"/>
    <x v="10"/>
  </r>
  <r>
    <m/>
    <s v="1233680 "/>
    <d v="2025-08-11T00:00:00"/>
    <d v="1899-12-30T16:28:00"/>
    <d v="2025-08-13T00:00:00"/>
    <x v="180"/>
    <s v="BG22867"/>
    <d v="2025-08-12T00:00:00"/>
    <d v="1899-12-30T10:25:00"/>
    <x v="6"/>
    <s v="ENVIGADO"/>
    <s v="LOTUS X 10 KG"/>
    <n v="60"/>
    <n v="6"/>
    <n v="2070000"/>
    <d v="2025-08-12T00:00:00"/>
    <d v="2025-08-13T00:00:00"/>
    <x v="6"/>
  </r>
  <r>
    <m/>
    <s v="001-OSC-63770"/>
    <d v="2025-08-11T00:00:00"/>
    <d v="1899-12-30T16:52:00"/>
    <d v="2025-08-15T00:00:00"/>
    <x v="181"/>
    <s v="BG22898"/>
    <d v="2025-08-12T00:00:00"/>
    <d v="1899-12-30T10:29:00"/>
    <x v="4"/>
    <s v="BELLO"/>
    <s v="LOTUS X 10 KG"/>
    <n v="200"/>
    <n v="20"/>
    <n v="7700000"/>
    <d v="2025-08-18T00:00:00"/>
    <d v="2025-08-15T00:00:00"/>
    <x v="2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CLORTETRAX 20 % X 25 KG"/>
    <n v="400"/>
    <n v="16"/>
    <n v="64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ACCUREMAX 10 % X 25 KG"/>
    <n v="25"/>
    <n v="1"/>
    <n v="5875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DINAMIX 800 X 25 KILOS"/>
    <n v="25"/>
    <n v="1"/>
    <n v="4100000"/>
    <d v="2025-08-15T00:00:00"/>
    <d v="2025-08-15T00:00:00"/>
    <x v="0"/>
  </r>
  <r>
    <s v="INVENTARIO"/>
    <s v="001-OC -00008166"/>
    <d v="2025-08-11T00:00:00"/>
    <d v="1899-12-30T18:05:00"/>
    <d v="2025-08-15T00:00:00"/>
    <x v="182"/>
    <s v="BG22957"/>
    <d v="2025-08-12T00:00:00"/>
    <d v="1899-12-30T12:00:00"/>
    <x v="25"/>
    <s v="YUMBO"/>
    <s v="CIGNUS X 20 KILOS"/>
    <n v="100"/>
    <n v="4"/>
    <n v="420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FRACTAL P X 25 KG"/>
    <n v="300"/>
    <n v="12"/>
    <n v="7650000"/>
    <d v="2025-08-15T00:00:00"/>
    <d v="2025-08-15T00:00:00"/>
    <x v="0"/>
  </r>
  <r>
    <m/>
    <s v="001-OC -00008166"/>
    <d v="2025-08-11T00:00:00"/>
    <d v="1899-12-30T18:05:00"/>
    <d v="2025-08-15T00:00:00"/>
    <x v="182"/>
    <s v="BG22896"/>
    <d v="2025-08-12T00:00:00"/>
    <d v="1899-12-30T12:00:00"/>
    <x v="25"/>
    <s v="YUMBO"/>
    <s v="HALQUINOX 800 X 25 KG"/>
    <n v="25"/>
    <n v="1"/>
    <n v="2675000"/>
    <d v="2025-08-15T00:00:00"/>
    <d v="2025-08-15T00:00:00"/>
    <x v="0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CLORTETRAX 20 % X 25 KG"/>
    <n v="400"/>
    <n v="16"/>
    <n v="64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ACCUREMAX 10 % X 25 KG"/>
    <n v="50"/>
    <n v="2"/>
    <n v="1175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INAMIX 800 X 25 KILOS"/>
    <n v="50"/>
    <n v="2"/>
    <n v="82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DMB 11 X 25 KG"/>
    <n v="50"/>
    <n v="2"/>
    <n v="975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FRACTAL P X 25 KG"/>
    <n v="200"/>
    <n v="8"/>
    <n v="5100000"/>
    <d v="2025-08-21T00:00:00"/>
    <d v="2025-08-15T00:00:00"/>
    <x v="18"/>
  </r>
  <r>
    <m/>
    <s v="001-OC -00008167"/>
    <d v="2025-08-11T00:00:00"/>
    <d v="1899-12-30T18:05:00"/>
    <d v="2025-08-15T00:00:00"/>
    <x v="183"/>
    <s v="BG22926"/>
    <d v="2025-08-12T00:00:00"/>
    <d v="1899-12-30T12:23:00"/>
    <x v="25"/>
    <s v="YUMBO"/>
    <s v="HALQUINOX 800 X 25 KG"/>
    <n v="50"/>
    <n v="2"/>
    <n v="2675000"/>
    <d v="2025-08-21T00:00:00"/>
    <d v="2025-08-15T00:00:00"/>
    <x v="18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DMB 11 X 25 KG"/>
    <n v="100"/>
    <n v="4"/>
    <n v="1950000"/>
    <d v="2025-08-28T00:00:00"/>
    <d v="2025-08-26T00:00:00"/>
    <x v="5"/>
  </r>
  <r>
    <m/>
    <s v="001-OC -00008168"/>
    <d v="2025-08-11T00:00:00"/>
    <d v="1899-12-30T18:05:00"/>
    <d v="2025-08-26T00:00:00"/>
    <x v="184"/>
    <s v="BG23023"/>
    <d v="2025-08-12T00:00:00"/>
    <d v="1899-12-30T12:25:00"/>
    <x v="25"/>
    <s v="YUMBO"/>
    <s v="CIGNUS X 20 KILOS"/>
    <n v="100"/>
    <n v="4"/>
    <n v="4200000"/>
    <d v="2025-08-28T00:00:00"/>
    <d v="2025-08-26T00:00:00"/>
    <x v="5"/>
  </r>
  <r>
    <m/>
    <s v="1234287"/>
    <d v="2025-08-12T00:00:00"/>
    <d v="1899-12-30T11:11:00"/>
    <d v="2025-08-14T00:00:00"/>
    <x v="185"/>
    <s v="BG22890"/>
    <d v="2025-08-12T00:00:00"/>
    <d v="1899-12-30T13:00:00"/>
    <x v="6"/>
    <s v="BOGOTA"/>
    <s v="FENIFLOR PREMIX X 25 KG"/>
    <n v="75"/>
    <n v="3"/>
    <n v="3969000"/>
    <d v="2025-08-15T00:00:00"/>
    <d v="2025-08-14T00:00:00"/>
    <x v="10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DINAMIX PREMIX X 25 KG"/>
    <n v="250"/>
    <n v="10"/>
    <n v="6500000"/>
    <d v="2025-08-13T00:00:00"/>
    <d v="2025-08-14T00:00:00"/>
    <x v="6"/>
  </r>
  <r>
    <m/>
    <m/>
    <d v="2025-08-12T00:00:00"/>
    <d v="1899-12-30T11:25:00"/>
    <d v="2025-08-14T00:00:00"/>
    <x v="186"/>
    <s v="BG22878"/>
    <d v="2025-08-12T00:00:00"/>
    <d v="1899-12-30T13:06:00"/>
    <x v="26"/>
    <s v="CUCUTA"/>
    <s v="MONECYL X 25 KG"/>
    <n v="50"/>
    <n v="2"/>
    <n v="1050000"/>
    <d v="2025-08-13T00:00:00"/>
    <d v="2025-08-14T00:00:00"/>
    <x v="6"/>
  </r>
  <r>
    <m/>
    <s v="4500354094"/>
    <d v="2025-08-12T00:00:00"/>
    <d v="1899-12-30T11:39:00"/>
    <d v="2025-08-26T00:00:00"/>
    <x v="187"/>
    <s v="BG23005"/>
    <d v="2025-08-13T00:00:00"/>
    <d v="1899-12-30T09:30:00"/>
    <x v="2"/>
    <s v="BUGA"/>
    <s v="FRACTAL P X 25 KG"/>
    <n v="1200"/>
    <n v="48"/>
    <n v="30600000"/>
    <d v="2025-08-26T00:00:00"/>
    <d v="2025-08-26T00:00:00"/>
    <x v="0"/>
  </r>
  <r>
    <m/>
    <s v="1234614 "/>
    <d v="2025-08-12T00:00:00"/>
    <d v="1899-12-30T15:22:00"/>
    <d v="2025-08-25T00:00:00"/>
    <x v="188"/>
    <s v="BG22948"/>
    <d v="2025-08-13T00:00:00"/>
    <d v="1899-12-30T09:34:00"/>
    <x v="6"/>
    <s v="CARTAGO"/>
    <s v="ACCUREMAX X 25 KG"/>
    <n v="50"/>
    <n v="2"/>
    <n v="2650000"/>
    <d v="2025-08-26T00:00:00"/>
    <d v="2025-08-25T00:00:00"/>
    <x v="10"/>
  </r>
  <r>
    <m/>
    <s v="1234641 "/>
    <d v="2025-08-12T00:00:00"/>
    <d v="1899-12-30T15:38:00"/>
    <d v="2025-08-14T00:00:00"/>
    <x v="189"/>
    <s v="BG22971"/>
    <d v="2025-08-13T00:00:00"/>
    <d v="1899-12-30T10:51:00"/>
    <x v="43"/>
    <s v="BUCARAMANGA"/>
    <s v="CIPROFLOX X 5 KG"/>
    <n v="60"/>
    <n v="12"/>
    <n v="3270000"/>
    <d v="2025-08-13T00:00:00"/>
    <d v="2025-08-14T00:00:00"/>
    <x v="6"/>
  </r>
  <r>
    <m/>
    <s v="1234641 "/>
    <d v="2025-08-12T00:00:00"/>
    <d v="1899-12-30T15:38:00"/>
    <d v="2025-08-14T00:00:00"/>
    <x v="190"/>
    <s v="BG23038"/>
    <d v="2025-08-13T00:00:00"/>
    <d v="1899-12-30T10:51:00"/>
    <x v="43"/>
    <s v="BUCARAMANGA"/>
    <s v="SMOOTH SWEET X 75 GR"/>
    <n v="4.5"/>
    <n v="60"/>
    <n v="4.5"/>
    <d v="2025-08-13T00:00:00"/>
    <d v="2025-08-14T00:00:00"/>
    <x v="6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MB 11 X 25 KG"/>
    <n v="25"/>
    <n v="1"/>
    <n v="480000"/>
    <d v="2025-08-19T00:00:00"/>
    <d v="2025-08-19T00:00:00"/>
    <x v="0"/>
  </r>
  <r>
    <s v="INVENTARIO"/>
    <s v="A02-COC-280783"/>
    <d v="2025-08-12T00:00:00"/>
    <d v="1899-12-30T15:52:00"/>
    <d v="2025-08-21T00:00:00"/>
    <x v="191"/>
    <s v="BG22955"/>
    <d v="2025-08-13T00:00:00"/>
    <d v="1899-12-30T11:04:00"/>
    <x v="12"/>
    <s v="ITAGUI"/>
    <s v="CIGNUS X 20 KILOS"/>
    <n v="60"/>
    <n v="2.4"/>
    <n v="2520000"/>
    <d v="2025-08-19T00:00:00"/>
    <d v="2025-08-21T00:00:00"/>
    <x v="4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DINAMIX 800 X 25 KILOS"/>
    <n v="400"/>
    <n v="16"/>
    <n v="65600000"/>
    <d v="2025-08-19T00:00:00"/>
    <d v="2025-08-19T00:00:00"/>
    <x v="0"/>
  </r>
  <r>
    <m/>
    <s v="A02-COC-280783"/>
    <d v="2025-08-12T00:00:00"/>
    <d v="1899-12-30T15:52:00"/>
    <d v="2025-08-19T00:00:00"/>
    <x v="191"/>
    <s v="BG22911"/>
    <d v="2025-08-13T00:00:00"/>
    <d v="1899-12-30T11:04:00"/>
    <x v="12"/>
    <s v="ITAGUI"/>
    <s v="MONECYL X 25 KG"/>
    <n v="4000"/>
    <n v="160"/>
    <n v="82000000"/>
    <d v="2025-08-19T00:00:00"/>
    <d v="2025-08-19T00:00:00"/>
    <x v="0"/>
  </r>
  <r>
    <m/>
    <s v="28507"/>
    <d v="2025-08-13T00:00:00"/>
    <d v="1899-12-30T07:27:00"/>
    <d v="2025-08-20T00:00:00"/>
    <x v="192"/>
    <s v="BG22889"/>
    <d v="2025-08-13T00:00:00"/>
    <d v="1899-12-30T11:06:00"/>
    <x v="68"/>
    <s v="LA MESA"/>
    <s v="DQCICLIN X 1 KG"/>
    <n v="7"/>
    <n v="7"/>
    <n v="1960000"/>
    <d v="2025-08-14T00:00:00"/>
    <d v="2025-08-20T00:00:00"/>
    <x v="9"/>
  </r>
  <r>
    <m/>
    <s v="4500354301"/>
    <d v="2025-08-13T00:00:00"/>
    <d v="1899-12-30T08:19:00"/>
    <d v="2025-08-26T00:00:00"/>
    <x v="193"/>
    <s v="BG23004"/>
    <d v="2025-08-13T00:00:00"/>
    <d v="1899-12-30T11:29:00"/>
    <x v="2"/>
    <s v="BUGA"/>
    <s v="LOTUS X 10 KG"/>
    <n v="800"/>
    <n v="80"/>
    <n v="30800000"/>
    <d v="2025-08-26T00:00:00"/>
    <d v="2025-08-26T00:00:00"/>
    <x v="0"/>
  </r>
  <r>
    <m/>
    <s v="1235043 "/>
    <d v="2025-08-13T00:00:00"/>
    <d v="1899-12-30T08:52:00"/>
    <d v="2025-08-15T00:00:00"/>
    <x v="194"/>
    <s v="BG22904"/>
    <d v="2025-08-13T00:00:00"/>
    <d v="1899-12-30T11:31:00"/>
    <x v="5"/>
    <s v="BUGA"/>
    <s v="CELERITY NP X 25 KG"/>
    <n v="50"/>
    <n v="2"/>
    <n v="675000"/>
    <d v="2025-08-18T00:00:00"/>
    <d v="2025-08-15T00:00:00"/>
    <x v="2"/>
  </r>
  <r>
    <m/>
    <m/>
    <d v="2025-08-13T00:00:00"/>
    <d v="1899-12-30T11:22:00"/>
    <d v="2025-08-14T00:00:00"/>
    <x v="195"/>
    <s v="BG22894"/>
    <d v="2025-08-13T00:00:00"/>
    <d v="1899-12-30T12:11:00"/>
    <x v="31"/>
    <s v="RECOGE EN BODEGA"/>
    <s v="CLORTETRAX 20 % X 25 KG"/>
    <n v="200"/>
    <n v="8"/>
    <n v="3160000"/>
    <d v="2025-08-14T00:00:00"/>
    <d v="2025-08-14T00:00:00"/>
    <x v="0"/>
  </r>
  <r>
    <m/>
    <s v="Y-001-2831"/>
    <d v="2025-08-13T00:00:00"/>
    <d v="1899-12-30T11:48:00"/>
    <d v="2025-08-15T00:00:00"/>
    <x v="196"/>
    <s v="BG22888"/>
    <d v="2025-08-13T00:00:00"/>
    <d v="1899-12-30T12:14:00"/>
    <x v="69"/>
    <s v="PALMIRA"/>
    <s v="DMB 11 X 25 KG"/>
    <n v="75"/>
    <n v="3"/>
    <n v="1462500"/>
    <d v="2025-08-14T00:00:00"/>
    <d v="2025-08-15T00:00:00"/>
    <x v="6"/>
  </r>
  <r>
    <m/>
    <s v="4503792904"/>
    <d v="2025-08-13T00:00:00"/>
    <d v="1899-12-30T13:01:00"/>
    <d v="2025-08-15T00:00:00"/>
    <x v="197"/>
    <s v="BG22895"/>
    <d v="2025-08-13T00:00:00"/>
    <d v="1899-12-30T14:17:00"/>
    <x v="63"/>
    <s v="BUGA"/>
    <s v="CLORTETRAX 20 % X 25 KG"/>
    <n v="5000"/>
    <n v="200"/>
    <n v="77500000"/>
    <d v="2025-08-15T00:00:00"/>
    <d v="2025-08-15T00:00:00"/>
    <x v="0"/>
  </r>
  <r>
    <m/>
    <s v="4503792905"/>
    <d v="2025-08-13T00:00:00"/>
    <d v="1899-12-30T13:01:00"/>
    <d v="2025-08-22T00:00:00"/>
    <x v="198"/>
    <s v="BG22972"/>
    <d v="2025-08-13T00:00:00"/>
    <d v="1899-12-30T14:17:00"/>
    <x v="63"/>
    <s v="BUGA"/>
    <s v="CLORTETRAX 20 % X 25 KG"/>
    <n v="5000"/>
    <n v="200"/>
    <n v="77500000"/>
    <d v="2025-08-22T00:00:00"/>
    <d v="2025-08-22T00:00:00"/>
    <x v="0"/>
  </r>
  <r>
    <m/>
    <s v="4500354287"/>
    <d v="2025-08-13T00:00:00"/>
    <d v="1899-12-30T14:00:00"/>
    <d v="2025-08-14T00:00:00"/>
    <x v="199"/>
    <s v="BG22893"/>
    <d v="2025-08-13T00:00:00"/>
    <d v="1899-12-30T14:21:00"/>
    <x v="54"/>
    <s v="BUCARAMANGA"/>
    <s v="CIPROFLOX X 5 KG"/>
    <n v="200"/>
    <n v="80"/>
    <n v="11200000"/>
    <d v="2025-08-14T00:00:00"/>
    <d v="2025-08-14T00:00:00"/>
    <x v="0"/>
  </r>
  <r>
    <m/>
    <s v="OSC 62557"/>
    <d v="2025-06-25T00:00:00"/>
    <d v="1899-12-30T11:05:00"/>
    <s v="JULIO"/>
    <x v="200"/>
    <s v="BG22892"/>
    <d v="2025-06-25T00:00:00"/>
    <d v="1899-12-30T11:50:00"/>
    <x v="4"/>
    <s v="BELLO"/>
    <s v="FRACTAL P X 25 KG"/>
    <n v="75"/>
    <n v="3"/>
    <n v="1912500"/>
    <d v="2025-07-02T00:00:00"/>
    <s v="JULIO"/>
    <x v="0"/>
  </r>
  <r>
    <m/>
    <s v="OC-COMPR-18076"/>
    <d v="2025-08-12T00:00:00"/>
    <d v="1899-12-30T14:26:00"/>
    <d v="2025-08-15T00:00:00"/>
    <x v="201"/>
    <s v="BG22910"/>
    <d v="2025-08-13T00:00:00"/>
    <d v="1899-12-30T16:13:00"/>
    <x v="19"/>
    <s v="RICAURTE"/>
    <s v="BIMMU X 25 KG"/>
    <n v="190"/>
    <n v="7.6"/>
    <n v="6650000"/>
    <d v="2025-08-14T00:00:00"/>
    <d v="2025-08-15T00:00:00"/>
    <x v="6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HALQUINOX 800 X 25 KG"/>
    <n v="2500"/>
    <n v="100"/>
    <n v="182167500"/>
    <d v="2025-08-15T00:00:00"/>
    <d v="2025-08-15T00:00:00"/>
    <x v="0"/>
  </r>
  <r>
    <m/>
    <s v="4500081860"/>
    <d v="2025-08-14T00:00:00"/>
    <d v="1899-12-30T08:55:00"/>
    <d v="2025-08-15T00:00:00"/>
    <x v="202"/>
    <s v="BG22897"/>
    <d v="2025-08-14T00:00:00"/>
    <d v="1899-12-30T09:09:00"/>
    <x v="42"/>
    <s v="MEDELLIN"/>
    <s v="DINAMIX 800 X 25 KILOS"/>
    <n v="1500"/>
    <n v="60"/>
    <n v="184725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TILOMIIX 250 PREMIX X 25 KG"/>
    <n v="1000"/>
    <n v="40"/>
    <n v="499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ERITY NP X 25 KG"/>
    <n v="2000"/>
    <n v="80"/>
    <n v="2132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ELMANAX X 25 KG"/>
    <n v="250"/>
    <n v="10"/>
    <n v="35625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DMB 11 X 25 KG"/>
    <n v="2000"/>
    <n v="80"/>
    <n v="352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FENIFLOR PREMIX X 25 KG"/>
    <n v="300"/>
    <n v="12"/>
    <n v="15876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NEOCYN X 25 KG "/>
    <n v="400"/>
    <n v="16"/>
    <n v="2468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AMOXIN X 1 KG"/>
    <n v="200"/>
    <n v="8"/>
    <n v="2710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CIPROFLOX X 5 KG"/>
    <n v="300"/>
    <n v="12"/>
    <n v="13950000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CIPROFLOX X 5 KG"/>
    <n v="700"/>
    <n v="28"/>
    <n v="32550000"/>
    <d v="2025-08-15T00:00:00"/>
    <d v="2025-08-15T00:00:00"/>
    <x v="0"/>
  </r>
  <r>
    <m/>
    <s v="4500082125"/>
    <d v="2025-08-13T00:00:00"/>
    <d v="1899-12-30T18:21:00"/>
    <d v="2025-08-15T00:00:00"/>
    <x v="203"/>
    <s v="BG22913"/>
    <d v="2025-08-14T00:00:00"/>
    <d v="1899-12-30T08:30:00"/>
    <x v="0"/>
    <s v="MEDELLIN"/>
    <s v="SMOOTH SWEET X 5 KG"/>
    <n v="30"/>
    <n v="1.2"/>
    <n v="30"/>
    <d v="2025-08-15T00:00:00"/>
    <d v="2025-08-15T00:00:00"/>
    <x v="0"/>
  </r>
  <r>
    <s v="INVENTARIO"/>
    <s v="4500082125"/>
    <d v="2025-08-13T00:00:00"/>
    <d v="1899-12-30T18:21:00"/>
    <d v="2025-08-15T00:00:00"/>
    <x v="204"/>
    <s v="BG23047"/>
    <d v="2025-08-14T00:00:00"/>
    <d v="1899-12-30T08:30:00"/>
    <x v="0"/>
    <s v="MEDELLIN"/>
    <s v="SMOOTH SWEET X 5 KG"/>
    <n v="15"/>
    <n v="0.6"/>
    <n v="15"/>
    <d v="2025-08-15T00:00:00"/>
    <d v="2025-08-15T00:00:00"/>
    <x v="0"/>
  </r>
  <r>
    <s v="INVENTARIO"/>
    <s v="4500082125"/>
    <d v="2025-08-13T00:00:00"/>
    <d v="1899-12-30T18:21:00"/>
    <d v="2025-08-15T00:00:00"/>
    <x v="203"/>
    <s v="BG23047"/>
    <d v="2025-08-14T00:00:00"/>
    <d v="1899-12-30T08:30:00"/>
    <x v="0"/>
    <s v="MEDELLIN"/>
    <s v="SMOOTH SWEET X 5 KG"/>
    <n v="30"/>
    <n v="1.2"/>
    <n v="45"/>
    <d v="2025-08-15T00:00:00"/>
    <d v="2025-08-15T00:00:00"/>
    <x v="0"/>
  </r>
  <r>
    <s v="INVENTARIO"/>
    <s v="1235660 "/>
    <d v="2025-08-14T00:00:00"/>
    <d v="1899-12-30T07:18:00"/>
    <d v="2025-08-23T00:00:00"/>
    <x v="205"/>
    <s v="BG22943"/>
    <d v="2025-08-14T00:00:00"/>
    <d v="1899-12-30T11:59:00"/>
    <x v="6"/>
    <s v="BOGOTA"/>
    <s v="DINAMIX PREMIX X 25 KG"/>
    <n v="75"/>
    <n v="3"/>
    <n v="1629750"/>
    <d v="2025-08-18T00:00:00"/>
    <d v="2025-08-23T00:00:00"/>
    <x v="8"/>
  </r>
  <r>
    <m/>
    <s v="1235660 "/>
    <d v="2025-08-14T00:00:00"/>
    <d v="1899-12-30T07:18:00"/>
    <d v="2025-08-15T00:00:00"/>
    <x v="206"/>
    <s v="BG22903"/>
    <d v="2025-08-14T00:00:00"/>
    <d v="1899-12-30T11:59:00"/>
    <x v="6"/>
    <s v="BOGOTA"/>
    <s v="DINAMIX PREMIX X 25 KG"/>
    <n v="200"/>
    <n v="8"/>
    <n v="4346000"/>
    <d v="2025-08-18T00:00:00"/>
    <d v="2025-08-15T00:00:00"/>
    <x v="2"/>
  </r>
  <r>
    <m/>
    <s v="1235660 "/>
    <d v="2025-08-14T00:00:00"/>
    <d v="1899-12-30T07:18:00"/>
    <d v="2025-08-15T00:00:00"/>
    <x v="207"/>
    <s v="BG22902"/>
    <d v="2025-08-14T00:00:00"/>
    <d v="1899-12-30T11:59:00"/>
    <x v="6"/>
    <s v="BOGOTA"/>
    <s v="LOTUS X 10 KG"/>
    <n v="60"/>
    <n v="6"/>
    <n v="2070000"/>
    <d v="2025-08-18T00:00:00"/>
    <d v="2025-08-15T00:00:00"/>
    <x v="2"/>
  </r>
  <r>
    <m/>
    <s v="022-OC-005268"/>
    <d v="2025-08-14T00:00:00"/>
    <d v="1899-12-30T07:36:00"/>
    <d v="2025-08-15T00:00:00"/>
    <x v="208"/>
    <s v="BG22901"/>
    <d v="2025-08-14T00:00:00"/>
    <d v="1899-12-30T12:09:00"/>
    <x v="27"/>
    <s v="ITALCOL FUNZA"/>
    <s v="LOTUS X 10 KG"/>
    <n v="200"/>
    <n v="8"/>
    <n v="7700000"/>
    <d v="2025-08-15T00:00:00"/>
    <d v="2025-08-15T00:00:00"/>
    <x v="0"/>
  </r>
  <r>
    <m/>
    <s v="1235875"/>
    <d v="2025-08-14T00:00:00"/>
    <d v="1899-12-30T08:50:00"/>
    <d v="2025-08-15T00:00:00"/>
    <x v="209"/>
    <s v="BG22900"/>
    <d v="2025-08-14T00:00:00"/>
    <d v="1899-12-30T12:12:00"/>
    <x v="5"/>
    <s v="BUCARAMANGA"/>
    <s v="TILVASYN X 25 KG"/>
    <n v="50"/>
    <n v="2"/>
    <n v="8750000"/>
    <d v="2025-08-15T00:00:00"/>
    <d v="2025-08-15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MANAX X 25 KG"/>
    <n v="500"/>
    <n v="20"/>
    <n v="7125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LOTUS X 10 KG"/>
    <n v="1000"/>
    <n v="40"/>
    <n v="31800000"/>
    <d v="2025-08-20T00:00:00"/>
    <d v="2025-08-20T00:00:00"/>
    <x v="0"/>
  </r>
  <r>
    <m/>
    <s v="4500082143"/>
    <d v="2025-08-14T00:00:00"/>
    <d v="1899-12-30T10:10:00"/>
    <d v="2025-08-20T00:00:00"/>
    <x v="210"/>
    <s v="BG22924"/>
    <d v="2025-08-14T00:00:00"/>
    <d v="1899-12-30T12:39:00"/>
    <x v="0"/>
    <s v="MEDELLIN"/>
    <s v="CELERITY NP X 25 KG"/>
    <n v="2000"/>
    <n v="80"/>
    <n v="21320000"/>
    <d v="2025-08-20T00:00:00"/>
    <d v="2025-08-20T00:00:00"/>
    <x v="0"/>
  </r>
  <r>
    <m/>
    <s v="4500082142"/>
    <d v="2025-08-14T00:00:00"/>
    <d v="1899-12-30T10:10:00"/>
    <d v="2025-08-15T00:00:00"/>
    <x v="211"/>
    <s v="BG22914"/>
    <d v="2025-08-14T00:00:00"/>
    <d v="1899-12-30T10:43:00"/>
    <x v="0"/>
    <s v="MEDELLIN"/>
    <s v="CELERITY NP X 25 KG"/>
    <n v="600"/>
    <n v="24"/>
    <n v="9324000"/>
    <d v="2025-08-15T00:00:00"/>
    <d v="2025-08-15T00:00:00"/>
    <x v="0"/>
  </r>
  <r>
    <m/>
    <s v="P-1286"/>
    <d v="2025-08-14T00:00:00"/>
    <d v="1899-12-30T11:42:00"/>
    <d v="2025-08-15T00:00:00"/>
    <x v="212"/>
    <s v="BG22899"/>
    <d v="2025-08-14T00:00:00"/>
    <d v="1899-12-30T12:46:00"/>
    <x v="32"/>
    <s v="CALI"/>
    <s v="FOSMYCINA 90 X 500 GR"/>
    <n v="4.5"/>
    <n v="9"/>
    <m/>
    <d v="2025-08-15T00:00:00"/>
    <d v="2025-08-15T00:00:00"/>
    <x v="0"/>
  </r>
  <r>
    <s v="SAC ( MAL FACTURADO)"/>
    <n v="1202632"/>
    <d v="2025-06-25T00:00:00"/>
    <d v="1899-12-30T14:02:00"/>
    <m/>
    <x v="213"/>
    <s v="BG23045"/>
    <d v="2025-06-26T00:00:00"/>
    <d v="1899-12-30T11:49:00"/>
    <x v="43"/>
    <s v="CALDAS - ANTIOQUIA"/>
    <s v="FOSMYCINA 90 X 500 GR"/>
    <n v="12.5"/>
    <n v="25"/>
    <n v="5135000"/>
    <d v="2025-07-03T00:00:00"/>
    <m/>
    <x v="0"/>
  </r>
  <r>
    <m/>
    <m/>
    <d v="2025-08-14T00:00:00"/>
    <d v="1899-12-30T10:30:00"/>
    <d v="2025-08-15T00:00:00"/>
    <x v="214"/>
    <s v="BG22912"/>
    <d v="2025-08-15T00:00:00"/>
    <d v="1899-12-30T09:13:00"/>
    <x v="70"/>
    <s v="SABANETA"/>
    <s v="ROFLOX X 1 LITRO"/>
    <n v="7"/>
    <n v="7"/>
    <n v="446250"/>
    <d v="2025-08-15T00:00:00"/>
    <d v="2025-08-15T00:00:00"/>
    <x v="0"/>
  </r>
  <r>
    <m/>
    <s v="4500139591"/>
    <d v="2025-08-15T00:00:00"/>
    <d v="1899-12-30T08:07:00"/>
    <d v="2025-08-15T00:00:00"/>
    <x v="215"/>
    <s v="BG22909"/>
    <d v="2025-08-15T00:00:00"/>
    <d v="1899-12-30T09:17:00"/>
    <x v="49"/>
    <s v="FUSAGASUGA"/>
    <s v="FOSMYCINA 90 X 500 GR"/>
    <n v="24"/>
    <n v="48"/>
    <n v="12180000"/>
    <d v="2025-08-15T00:00:00"/>
    <d v="2025-08-15T00:00:00"/>
    <x v="0"/>
  </r>
  <r>
    <m/>
    <s v="432-25"/>
    <d v="2025-08-14T00:00:00"/>
    <d v="1899-12-30T14:58:00"/>
    <d v="2025-08-20T00:00:00"/>
    <x v="216"/>
    <s v="BG22919"/>
    <d v="2025-08-15T00:00:00"/>
    <d v="1899-12-30T10:01:00"/>
    <x v="22"/>
    <s v="RIONEGRO"/>
    <s v="FRACTAL P X 25 KG"/>
    <n v="250"/>
    <n v="10"/>
    <n v="6375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FRACTAL L X 20 KILOS"/>
    <n v="60"/>
    <n v="3"/>
    <n v="2310000"/>
    <d v="2025-08-18T00:00:00"/>
    <d v="2025-08-20T00:00:00"/>
    <x v="4"/>
  </r>
  <r>
    <m/>
    <s v="O.C. 45714 "/>
    <d v="2025-08-14T00:00:00"/>
    <d v="1899-12-30T15:10:00"/>
    <d v="2025-08-20T00:00:00"/>
    <x v="217"/>
    <s v="BG22918"/>
    <d v="2025-08-15T00:00:00"/>
    <d v="1899-12-30T10:25:00"/>
    <x v="71"/>
    <s v="ITAGUI"/>
    <s v="ROFLOX X 1 LITRO"/>
    <n v="5"/>
    <n v="5"/>
    <n v="275000"/>
    <d v="2025-08-18T00:00:00"/>
    <d v="2025-08-20T00:00:00"/>
    <x v="4"/>
  </r>
  <r>
    <s v="INVENTARIO"/>
    <s v="1236319"/>
    <d v="2025-08-14T00:00:00"/>
    <d v="1899-12-30T15:35:00"/>
    <s v="DIA DE HOY"/>
    <x v="218"/>
    <s v="BG22940"/>
    <d v="2025-08-15T00:00:00"/>
    <d v="1899-12-30T10:49:00"/>
    <x v="5"/>
    <s v="BUGA"/>
    <s v="DINAMIX PREMIX X 25 KG"/>
    <n v="75"/>
    <n v="3"/>
    <n v="1629750"/>
    <d v="2025-08-18T00:00:00"/>
    <d v="2025-08-18T00:00:00"/>
    <x v="0"/>
  </r>
  <r>
    <m/>
    <s v="A02-COC-281283"/>
    <d v="2025-08-14T00:00:00"/>
    <d v="1899-12-30T15:55:00"/>
    <d v="2025-08-19T00:00:00"/>
    <x v="219"/>
    <s v="BG22917"/>
    <d v="2025-08-15T00:00:00"/>
    <d v="1899-12-30T10:52:00"/>
    <x v="12"/>
    <s v="ITAGUI"/>
    <s v="CLORTETRAX 20 % X 25 KG"/>
    <n v="2500"/>
    <n v="100"/>
    <n v="40000000"/>
    <d v="2025-08-19T00:00:00"/>
    <d v="2025-08-19T00:00:00"/>
    <x v="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LOTUS X 10 KG"/>
    <n v="100"/>
    <n v="4"/>
    <n v="385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CELMANAX X 25 KG"/>
    <n v="50"/>
    <n v="2"/>
    <n v="810000"/>
    <d v="2025-08-21T00:00:00"/>
    <d v="2025-08-20T00:00:00"/>
    <x v="10"/>
  </r>
  <r>
    <m/>
    <s v="004-OSC-49123"/>
    <d v="2025-08-14T00:00:00"/>
    <d v="1899-12-30T16:23:00"/>
    <d v="2025-08-20T00:00:00"/>
    <x v="220"/>
    <s v="BG22947"/>
    <d v="2025-08-15T00:00:00"/>
    <d v="1899-12-30T11:24:00"/>
    <x v="4"/>
    <s v="CARTAGO"/>
    <s v="FRACTAL P X 25 KG"/>
    <n v="1000"/>
    <n v="40"/>
    <n v="25500000"/>
    <d v="2025-08-21T00:00:00"/>
    <d v="2025-08-20T00:00:00"/>
    <x v="10"/>
  </r>
  <r>
    <m/>
    <s v="1236496"/>
    <d v="2025-08-14T00:00:00"/>
    <d v="1899-12-30T18:21:00"/>
    <d v="2025-08-19T00:00:00"/>
    <x v="221"/>
    <s v="BG22970"/>
    <d v="2025-08-15T00:00:00"/>
    <d v="1899-12-30T11:40:00"/>
    <x v="43"/>
    <s v="CALDAS - ANTIOQUIA"/>
    <s v="ROFLOX X 1 LITRO"/>
    <n v="72"/>
    <n v="72"/>
    <n v="3355200"/>
    <d v="2025-08-18T00:00:00"/>
    <d v="2025-08-19T00:00:00"/>
    <x v="6"/>
  </r>
  <r>
    <m/>
    <s v="1236797 "/>
    <d v="2025-08-15T00:00:00"/>
    <d v="1899-12-30T08:57:00"/>
    <d v="2025-08-25T00:00:00"/>
    <x v="222"/>
    <s v="BG23002"/>
    <d v="2025-08-15T00:00:00"/>
    <d v="1899-12-30T11:44:00"/>
    <x v="6"/>
    <s v="BOGOTA"/>
    <s v="ACCUREMAX X 25 KG"/>
    <n v="150"/>
    <n v="6"/>
    <n v="7950000"/>
    <d v="2025-08-25T00:00:00"/>
    <d v="2025-08-2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TILOMIX ORAL X 1 KG"/>
    <n v="1"/>
    <n v="1"/>
    <n v="210800"/>
    <d v="2025-08-15T00:00:00"/>
    <d v="2025-08-15T00:00:00"/>
    <x v="0"/>
  </r>
  <r>
    <m/>
    <m/>
    <d v="2025-08-15T00:00:00"/>
    <d v="1899-12-30T11:01:00"/>
    <d v="2025-08-15T00:00:00"/>
    <x v="223"/>
    <s v="BG22969"/>
    <d v="2025-08-15T00:00:00"/>
    <d v="1899-12-30T11:57:00"/>
    <x v="9"/>
    <s v="BUCARAMANGA"/>
    <s v="SMOOTH SWEET X 15 GR"/>
    <n v="1.4999999999999999E-2"/>
    <n v="1"/>
    <n v="1"/>
    <d v="2025-08-15T00:00:00"/>
    <d v="2025-08-15T00:00:00"/>
    <x v="0"/>
  </r>
  <r>
    <m/>
    <s v="1236978 "/>
    <d v="2025-08-15T00:00:00"/>
    <d v="1899-12-30T11:36:00"/>
    <d v="2025-08-22T00:00:00"/>
    <x v="224"/>
    <s v="BG22968"/>
    <d v="2025-08-15T00:00:00"/>
    <d v="1899-12-30T12:16:00"/>
    <x v="5"/>
    <s v="BUGA"/>
    <s v="ACCUREMAX X 25 KG"/>
    <n v="275"/>
    <n v="11"/>
    <n v="14575000"/>
    <d v="2025-08-25T00:00:00"/>
    <d v="2025-08-22T00:00:00"/>
    <x v="2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5 KG"/>
    <n v="165"/>
    <n v="6.6"/>
    <n v="8745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SMOOTH SWEET X 5 KG"/>
    <n v="30"/>
    <n v="6"/>
    <n v="3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VASYN X 25 KG"/>
    <n v="150"/>
    <n v="6"/>
    <n v="30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TILCOMIX PREMIX S X 5 KG"/>
    <n v="100"/>
    <n v="4"/>
    <n v="16000000"/>
    <d v="2025-08-18T00:00:00"/>
    <d v="2025-08-19T00:00:00"/>
    <x v="6"/>
  </r>
  <r>
    <m/>
    <s v="No. COC-00000140"/>
    <d v="2025-08-15T00:00:00"/>
    <d v="1899-12-30T12:12:00"/>
    <d v="2025-08-19T00:00:00"/>
    <x v="225"/>
    <s v="BG22916"/>
    <d v="2025-08-15T00:00:00"/>
    <d v="1899-12-30T13:01:00"/>
    <x v="37"/>
    <s v="DON MATIAS"/>
    <s v="CIPROFLOX X 1KG"/>
    <n v="35"/>
    <n v="35"/>
    <n v="1855000"/>
    <d v="2025-08-18T00:00:00"/>
    <d v="2025-08-19T00:00:00"/>
    <x v="6"/>
  </r>
  <r>
    <m/>
    <s v="No. COC-00000140"/>
    <d v="2025-08-15T00:00:00"/>
    <d v="1899-12-30T12:12:00"/>
    <d v="2025-08-19T00:00:00"/>
    <x v="226"/>
    <s v="BG22923"/>
    <d v="2025-08-15T00:00:00"/>
    <d v="1899-12-30T13:01:00"/>
    <x v="37"/>
    <s v="DON MATIAS"/>
    <s v="CIPROFLOX X 5 KG"/>
    <n v="100"/>
    <n v="20"/>
    <n v="5300000"/>
    <d v="2025-08-18T00:00:00"/>
    <d v="2025-08-19T00:00:00"/>
    <x v="6"/>
  </r>
  <r>
    <m/>
    <m/>
    <d v="2025-08-15T00:00:00"/>
    <d v="1899-12-30T12:43:00"/>
    <d v="2025-08-19T00:00:00"/>
    <x v="227"/>
    <s v="BG22915"/>
    <d v="2025-08-15T00:00:00"/>
    <d v="1899-12-30T13:17:00"/>
    <x v="34"/>
    <s v="DON MATIAS"/>
    <s v="FRACTAL L X 20 KILOS"/>
    <n v="40"/>
    <n v="1.6"/>
    <n v="1540000"/>
    <d v="2025-08-18T00:00:00"/>
    <d v="2025-08-19T00:00:00"/>
    <x v="6"/>
  </r>
  <r>
    <m/>
    <m/>
    <d v="2025-08-15T00:00:00"/>
    <d v="1899-12-30T13:00:00"/>
    <d v="2025-08-19T00:00:00"/>
    <x v="228"/>
    <s v="BG22920"/>
    <d v="2025-08-15T00:00:00"/>
    <d v="1899-12-30T14:48:00"/>
    <x v="72"/>
    <s v="BARCON"/>
    <s v="CLORTETRAX 20 % X 25 KG"/>
    <n v="450"/>
    <n v="18"/>
    <n v="7110000"/>
    <d v="2025-08-20T00:00:00"/>
    <d v="2025-08-19T00:00:00"/>
    <x v="10"/>
  </r>
  <r>
    <s v="CANCELADO"/>
    <s v="OSC 62557"/>
    <d v="2025-06-25T00:00:00"/>
    <d v="1899-12-30T11:05:00"/>
    <s v="3 DE JULIO"/>
    <x v="200"/>
    <s v="BG22892"/>
    <d v="2025-06-25T00:00:00"/>
    <d v="1899-12-30T11:50:00"/>
    <x v="4"/>
    <s v="BELLO"/>
    <s v="FRACTAL P X 25 KG"/>
    <n v="75"/>
    <n v="3"/>
    <n v="1912500"/>
    <d v="2025-07-02T00:00:00"/>
    <s v="3 DE JULIO"/>
    <x v="0"/>
  </r>
  <r>
    <m/>
    <s v="4503791390"/>
    <d v="2025-08-15T00:00:00"/>
    <d v="1899-12-30T12:48:00"/>
    <d v="2025-08-21T00:00:00"/>
    <x v="229"/>
    <s v="BG22939"/>
    <d v="2025-08-19T00:00:00"/>
    <d v="1899-12-30T08:10:00"/>
    <x v="63"/>
    <s v="BUGA"/>
    <s v="SAGAH X 25 KILOS"/>
    <n v="200"/>
    <n v="8"/>
    <n v="6200000"/>
    <d v="2025-08-20T00:00:00"/>
    <d v="2025-08-21T00:00:00"/>
    <x v="6"/>
  </r>
  <r>
    <m/>
    <s v="4503791401"/>
    <d v="2025-08-15T00:00:00"/>
    <d v="1899-12-30T12:48:00"/>
    <d v="2025-08-21T00:00:00"/>
    <x v="230"/>
    <s v="BG22938"/>
    <d v="2025-08-19T00:00:00"/>
    <d v="1899-12-30T08:10:00"/>
    <x v="48"/>
    <s v="BUGA"/>
    <s v="SAGAH X 25 KILOS"/>
    <n v="11000"/>
    <n v="440"/>
    <n v="341000000"/>
    <d v="2025-08-20T00:00:00"/>
    <d v="2025-08-21T00:00:00"/>
    <x v="6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DMB 11 X 25 KG"/>
    <n v="125"/>
    <n v="5"/>
    <n v="2486000"/>
    <d v="2025-08-20T00:00:00"/>
    <d v="2025-08-20T00:00:00"/>
    <x v="0"/>
  </r>
  <r>
    <s v="TRANSPORTE "/>
    <s v="CFMP-1350"/>
    <d v="2025-08-16T00:00:00"/>
    <d v="1899-12-30T10:20:00"/>
    <d v="2025-08-20T00:00:00"/>
    <x v="231"/>
    <s v="BG22925"/>
    <d v="2025-08-19T00:00:00"/>
    <d v="1899-12-30T08:24:00"/>
    <x v="14"/>
    <s v="NUTRITEC"/>
    <s v="CLORTETRAX 20 % X 25 KG"/>
    <n v="650"/>
    <n v="26"/>
    <n v="10530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FRACTAL P X 25 KG"/>
    <n v="370"/>
    <n v="14.8"/>
    <n v="8925000"/>
    <d v="2025-08-20T00:00:00"/>
    <d v="2025-08-20T00:00:00"/>
    <x v="0"/>
  </r>
  <r>
    <m/>
    <s v="CFMP-1350"/>
    <d v="2025-08-16T00:00:00"/>
    <d v="1899-12-30T10:20:00"/>
    <d v="2025-08-20T00:00:00"/>
    <x v="231"/>
    <s v="BG22925"/>
    <d v="2025-08-19T00:00:00"/>
    <d v="1899-12-30T08:24:00"/>
    <x v="14"/>
    <s v="NUTRITEC"/>
    <s v="HALQUINOX 800 X 25 KG"/>
    <n v="75"/>
    <n v="3"/>
    <n v="7687500"/>
    <d v="2025-08-20T00:00:00"/>
    <d v="2025-08-20T00:00:00"/>
    <x v="0"/>
  </r>
  <r>
    <s v="INVENTARIO"/>
    <s v="CFMP-1350"/>
    <d v="2025-08-16T00:00:00"/>
    <d v="1899-12-30T10:20:00"/>
    <d v="2025-08-25T00:00:00"/>
    <x v="231"/>
    <s v="BG22954"/>
    <d v="2025-08-19T00:00:00"/>
    <d v="1899-12-30T08:24:00"/>
    <x v="14"/>
    <s v="NUTRITEC"/>
    <s v="CIGNUS X 20 KILOS"/>
    <n v="40"/>
    <n v="1.6"/>
    <n v="1680000"/>
    <d v="2025-08-20T00:00:00"/>
    <d v="2025-08-25T00:00:00"/>
    <x v="8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FRACTAL P X 25 KG"/>
    <n v="200"/>
    <n v="8"/>
    <n v="4800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MONECYL X 25 KG"/>
    <n v="700"/>
    <n v="28"/>
    <n v="13195000"/>
    <d v="2025-08-20T00:00:00"/>
    <d v="2025-08-20T00:00:00"/>
    <x v="0"/>
  </r>
  <r>
    <m/>
    <n v="4500082189"/>
    <d v="2025-08-15T00:00:00"/>
    <d v="1899-12-30T11:40:00"/>
    <d v="2025-08-20T00:00:00"/>
    <x v="232"/>
    <s v="BG22937"/>
    <d v="2025-08-19T00:00:00"/>
    <d v="1899-12-30T11:28:00"/>
    <x v="0"/>
    <s v="CELTA"/>
    <s v="PRENEO X 25 KG"/>
    <n v="50"/>
    <n v="2"/>
    <n v="31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CLORTETRAX 20 % X 25 KG"/>
    <n v="2000"/>
    <n v="80"/>
    <n v="32600000"/>
    <d v="2025-08-20T00:00:00"/>
    <d v="2025-08-20T00:00:00"/>
    <x v="0"/>
  </r>
  <r>
    <m/>
    <s v="001-OSC-63950"/>
    <d v="2025-08-15T00:00:00"/>
    <d v="1899-12-30T13:49:00"/>
    <d v="2025-08-20T00:00:00"/>
    <x v="233"/>
    <s v="BG22936"/>
    <d v="2025-08-19T00:00:00"/>
    <d v="1899-12-30T11:31:00"/>
    <x v="4"/>
    <s v="BELLO"/>
    <s v="DMB 11 X 25 KG"/>
    <n v="1000"/>
    <n v="40"/>
    <n v="18350000"/>
    <d v="2025-08-20T00:00:00"/>
    <d v="2025-08-20T00:00:00"/>
    <x v="0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1 KG"/>
    <n v="15"/>
    <n v="0.6"/>
    <n v="912300"/>
    <d v="2025-08-20T00:00:00"/>
    <d v="2025-08-21T00:00:00"/>
    <x v="6"/>
  </r>
  <r>
    <s v="INVENTARIO"/>
    <s v="3016-0948"/>
    <d v="2025-08-15T00:00:00"/>
    <d v="1899-12-30T14:15:00"/>
    <d v="2025-08-21T00:00:00"/>
    <x v="234"/>
    <s v="BG22951"/>
    <d v="2025-08-19T00:00:00"/>
    <d v="1899-12-30T11:36:00"/>
    <x v="29"/>
    <s v="BOGOTA"/>
    <s v="CIPROFLOX X 5 KG"/>
    <n v="25"/>
    <n v="1"/>
    <n v="1520500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SMOOTH SWEET X 75 GR"/>
    <n v="3"/>
    <n v="0.12"/>
    <n v="3"/>
    <d v="2025-08-20T00:00:00"/>
    <d v="2025-08-21T00:00:00"/>
    <x v="6"/>
  </r>
  <r>
    <m/>
    <s v="3016-0948"/>
    <d v="2025-08-15T00:00:00"/>
    <d v="1899-12-30T14:15:00"/>
    <d v="2025-08-21T00:00:00"/>
    <x v="234"/>
    <s v="BG22951"/>
    <d v="2025-08-19T00:00:00"/>
    <d v="1899-12-30T11:36:00"/>
    <x v="29"/>
    <s v="BOGOTA"/>
    <s v="DQCICLIN X 1 KG"/>
    <n v="20"/>
    <n v="0.8"/>
    <n v="4700000"/>
    <d v="2025-08-20T00:00:00"/>
    <d v="2025-08-21T00:00:00"/>
    <x v="6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TILVASYN X 25 KG"/>
    <n v="200"/>
    <n v="8"/>
    <n v="39040000"/>
    <d v="2025-08-22T00:00:00"/>
    <d v="2025-08-22T00:00:00"/>
    <x v="0"/>
  </r>
  <r>
    <m/>
    <s v="100-CON-00022443"/>
    <d v="2025-08-15T00:00:00"/>
    <d v="1899-12-30T15:17:00"/>
    <d v="2025-08-22T00:00:00"/>
    <x v="235"/>
    <s v="BG22967"/>
    <d v="2025-08-19T00:00:00"/>
    <d v="1899-12-30T11:39:00"/>
    <x v="30"/>
    <s v="GIRARDOTA"/>
    <s v="CLORTETRAX 20 % X 25 KG"/>
    <n v="3000"/>
    <n v="120"/>
    <n v="47100000"/>
    <d v="2025-08-22T00:00:00"/>
    <d v="2025-08-22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HALQUINOX 800 X 25 KG"/>
    <n v="3000"/>
    <n v="120"/>
    <n v="218601000"/>
    <d v="2025-08-20T00:00:00"/>
    <d v="2025-08-20T00:00:00"/>
    <x v="0"/>
  </r>
  <r>
    <m/>
    <s v="4500082157"/>
    <d v="2025-08-15T00:00:00"/>
    <d v="1899-12-30T15:24:00"/>
    <d v="2025-08-20T00:00:00"/>
    <x v="236"/>
    <s v="BG22935"/>
    <d v="2025-08-19T00:00:00"/>
    <d v="1899-12-30T11:56:00"/>
    <x v="42"/>
    <s v="PREMEX MEDELLIN"/>
    <s v="DINAMIX 800 X 25 KILOS"/>
    <n v="1000"/>
    <n v="40"/>
    <n v="12515000"/>
    <d v="2025-08-20T00:00:00"/>
    <d v="2025-08-20T00:00:00"/>
    <x v="0"/>
  </r>
  <r>
    <s v="INVENTARIO"/>
    <s v="1237232 "/>
    <d v="2025-08-15T00:00:00"/>
    <d v="1899-12-30T15:38:00"/>
    <d v="2025-08-21T00:00:00"/>
    <x v="237"/>
    <s v="BG22966"/>
    <d v="2025-08-19T00:00:00"/>
    <d v="1899-12-30T12:04:00"/>
    <x v="43"/>
    <s v="BUCARAMANGA"/>
    <s v="CIPROFLOX X 5 KG"/>
    <n v="100"/>
    <n v="4"/>
    <n v="5450000"/>
    <d v="2025-08-22T00:00:00"/>
    <d v="2025-08-21T00:00:00"/>
    <x v="10"/>
  </r>
  <r>
    <m/>
    <s v="1237232 "/>
    <d v="2025-08-15T00:00:00"/>
    <d v="1899-12-30T15:38:00"/>
    <d v="2025-08-21T00:00:00"/>
    <x v="237"/>
    <s v="BG22966"/>
    <d v="2025-08-19T00:00:00"/>
    <d v="1899-12-30T12:04:00"/>
    <x v="43"/>
    <s v="BUCARAMANGA"/>
    <s v="SMOOTH SWEET X 75 GR"/>
    <n v="7.5"/>
    <n v="100"/>
    <n v="7.5"/>
    <d v="2025-08-22T00:00:00"/>
    <d v="2025-08-21T00:00:00"/>
    <x v="1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CLORTETRAX 20 % X 25 KG"/>
    <n v="3000"/>
    <n v="120"/>
    <n v="48900000"/>
    <d v="2025-08-22T00:00:00"/>
    <d v="2025-08-22T00:00:00"/>
    <x v="0"/>
  </r>
  <r>
    <m/>
    <s v="005-OSC-9698"/>
    <d v="2025-08-15T00:00:00"/>
    <d v="1899-12-30T08:46:00"/>
    <d v="2025-08-22T00:00:00"/>
    <x v="238"/>
    <s v="BG22988"/>
    <d v="2025-08-19T00:00:00"/>
    <d v="1899-12-30T12:07:00"/>
    <x v="4"/>
    <s v="MOSQUERA"/>
    <s v="DMB 11 X 25 KG"/>
    <n v="500"/>
    <n v="20"/>
    <n v="9175000"/>
    <d v="2025-08-22T00:00:00"/>
    <d v="2025-08-22T00:00:00"/>
    <x v="0"/>
  </r>
  <r>
    <m/>
    <m/>
    <d v="2025-08-18T00:00:00"/>
    <d v="1899-12-30T21:18:00"/>
    <d v="2025-08-20T00:00:00"/>
    <x v="239"/>
    <s v="BG22965"/>
    <d v="2025-08-19T00:00:00"/>
    <d v="1899-12-30T12:18:00"/>
    <x v="73"/>
    <s v="BUGA"/>
    <s v="MONECYL X 25 KG"/>
    <n v="100"/>
    <n v="4"/>
    <n v="2100000"/>
    <d v="2025-08-20T00:00:00"/>
    <d v="2025-08-20T00:00:00"/>
    <x v="0"/>
  </r>
  <r>
    <m/>
    <s v="OCO-00009710"/>
    <d v="2025-08-19T00:00:00"/>
    <d v="1899-12-30T08:54:00"/>
    <d v="2025-08-20T00:00:00"/>
    <x v="240"/>
    <s v="BG22930"/>
    <d v="2025-08-19T00:00:00"/>
    <d v="1899-12-30T12:20:00"/>
    <x v="44"/>
    <s v="BOGOTA"/>
    <s v="NORFLOX X 1 KG"/>
    <n v="96"/>
    <n v="96"/>
    <n v="5328000"/>
    <d v="2025-08-20T00:00:00"/>
    <d v="2025-08-20T00:00:00"/>
    <x v="0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DINAMIX 200 PREMIX X 25 KG"/>
    <n v="25"/>
    <n v="1"/>
    <n v="1446250"/>
    <d v="2025-08-20T00:00:00"/>
    <d v="2025-08-21T00:00:00"/>
    <x v="6"/>
  </r>
  <r>
    <m/>
    <m/>
    <d v="2025-08-19T00:00:00"/>
    <d v="1899-12-30T09:21:00"/>
    <d v="2025-08-21T00:00:00"/>
    <x v="241"/>
    <s v="BG22929"/>
    <d v="2025-08-19T00:00:00"/>
    <d v="1899-12-30T12:36:00"/>
    <x v="74"/>
    <s v="BUGA"/>
    <s v="CLORTETRAX 20 % X 25 KG"/>
    <n v="125"/>
    <n v="5"/>
    <n v="2312500"/>
    <d v="2025-08-20T00:00:00"/>
    <d v="2025-08-21T00:00:00"/>
    <x v="6"/>
  </r>
  <r>
    <m/>
    <m/>
    <d v="2025-08-19T00:00:00"/>
    <d v="1899-12-30T12:50:00"/>
    <d v="2025-08-19T00:00:00"/>
    <x v="242"/>
    <s v="BG22975"/>
    <d v="2025-08-19T00:00:00"/>
    <d v="1899-12-30T12:55:00"/>
    <x v="75"/>
    <s v="SANTA ROSA DE OSOS"/>
    <s v="FENIFLOR PREMIX X 5 KG"/>
    <n v="25"/>
    <n v="1"/>
    <n v="1620000"/>
    <d v="2025-08-20T00:00:00"/>
    <d v="2025-08-19T00:00:00"/>
    <x v="10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CIPROFLOX X 1 KG"/>
    <n v="200"/>
    <n v="200"/>
    <n v="11400000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SMOOTH SWEET X 5 KG"/>
    <n v="15"/>
    <n v="3"/>
    <n v="15"/>
    <d v="2025-08-20T00:00:00"/>
    <d v="2025-08-21T00:00:00"/>
    <x v="6"/>
  </r>
  <r>
    <m/>
    <m/>
    <d v="2025-08-19T00:00:00"/>
    <d v="1899-12-30T12:50:00"/>
    <d v="2025-08-21T00:00:00"/>
    <x v="243"/>
    <s v="BG22976"/>
    <d v="2025-08-19T00:00:00"/>
    <d v="1899-12-30T12:55:00"/>
    <x v="75"/>
    <s v="SANTA ROSA DE OSOS"/>
    <s v="FENIFLOR PREMIX X 5 KG"/>
    <n v="270"/>
    <n v="54"/>
    <n v="14580000"/>
    <d v="2025-08-20T00:00:00"/>
    <d v="2025-08-21T00:00:00"/>
    <x v="6"/>
  </r>
  <r>
    <m/>
    <s v="OC-1-493"/>
    <d v="2025-08-19T00:00:00"/>
    <d v="1899-12-30T10:46:00"/>
    <d v="2025-08-21T00:00:00"/>
    <x v="244"/>
    <s v="BG22927"/>
    <d v="2025-08-19T00:00:00"/>
    <d v="1899-12-30T13:15:00"/>
    <x v="76"/>
    <s v="YARUMAL"/>
    <s v="CLORTETRAX 20 % X 25 KG"/>
    <n v="100"/>
    <n v="4"/>
    <n v="1600000"/>
    <d v="2025-08-20T00:00:00"/>
    <d v="2025-08-21T00:00:00"/>
    <x v="6"/>
  </r>
  <r>
    <m/>
    <m/>
    <d v="2025-08-19T00:00:00"/>
    <d v="1899-12-30T12:00:00"/>
    <d v="2025-08-20T00:00:00"/>
    <x v="245"/>
    <s v="BG22928"/>
    <d v="2025-08-19T00:00:00"/>
    <d v="1899-12-30T13:30:00"/>
    <x v="77"/>
    <s v="GRANADA"/>
    <s v="DINAMIX 200 PREMIX X 25 KG"/>
    <n v="100"/>
    <n v="4"/>
    <n v="5450000"/>
    <d v="2025-08-20T00:00:00"/>
    <d v="2025-08-20T00:00:00"/>
    <x v="0"/>
  </r>
  <r>
    <m/>
    <s v="691"/>
    <d v="2025-08-19T00:00:00"/>
    <d v="1899-12-30T06:53:00"/>
    <d v="2025-08-20T00:00:00"/>
    <x v="246"/>
    <s v="BG22931"/>
    <d v="2025-08-19T00:00:00"/>
    <d v="1899-12-30T15:01:00"/>
    <x v="78"/>
    <s v="LERIDA"/>
    <s v="FRACTAL P X 25 KG"/>
    <n v="550"/>
    <n v="22"/>
    <n v="14025000"/>
    <d v="2025-08-21T00:00:00"/>
    <d v="2025-08-20T00:00:00"/>
    <x v="10"/>
  </r>
  <r>
    <s v="INVENTARIO"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IPROFLOX X 1 KG"/>
    <n v="100"/>
    <n v="4"/>
    <n v="5500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FRACTAL P X 25 KG"/>
    <n v="150"/>
    <n v="6"/>
    <n v="382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TILCOMIX PREMIX S X 5 KG"/>
    <n v="25"/>
    <n v="1"/>
    <n v="3875000"/>
    <d v="2025-08-21T00:00:00"/>
    <d v="2025-08-21T00:00:00"/>
    <x v="0"/>
  </r>
  <r>
    <m/>
    <s v="ORC-2508007"/>
    <d v="2025-08-19T00:00:00"/>
    <d v="1899-12-30T09:57:00"/>
    <d v="2025-08-21T00:00:00"/>
    <x v="247"/>
    <s v="BG22974"/>
    <d v="2025-08-19T00:00:00"/>
    <d v="1899-12-30T15:29:00"/>
    <x v="50"/>
    <s v="MANIZALES"/>
    <s v="SMOOTH SWEET X 5 KG"/>
    <n v="15"/>
    <n v="5"/>
    <n v="15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ACCUREMAX X 25 KG"/>
    <n v="100"/>
    <n v="4"/>
    <n v="64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FRACTAL P X 25 KG"/>
    <n v="200"/>
    <n v="8"/>
    <n v="5100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MANAX X 25 KG"/>
    <n v="250"/>
    <n v="10"/>
    <n v="432875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CELERITY NP X 25 KG"/>
    <n v="100"/>
    <n v="4"/>
    <n v="1617000"/>
    <d v="2025-08-21T00:00:00"/>
    <d v="2025-08-21T00:00:00"/>
    <x v="0"/>
  </r>
  <r>
    <m/>
    <s v="ORC-2508013"/>
    <d v="2025-08-19T00:00:00"/>
    <d v="1899-12-30T09:57:00"/>
    <d v="2025-08-21T00:00:00"/>
    <x v="248"/>
    <s v="BG22933"/>
    <d v="2025-08-19T00:00:00"/>
    <d v="1899-12-30T15:29:00"/>
    <x v="50"/>
    <s v="MANIZALES"/>
    <s v="DMB 11 X 25 KG"/>
    <n v="200"/>
    <n v="8"/>
    <n v="4100000"/>
    <d v="2025-08-21T00:00:00"/>
    <d v="2025-08-21T00:00:00"/>
    <x v="0"/>
  </r>
  <r>
    <m/>
    <s v="103-OCC-36339"/>
    <d v="2025-08-19T00:00:00"/>
    <d v="1899-12-30T15:49:00"/>
    <d v="2025-08-21T00:00:00"/>
    <x v="249"/>
    <s v="BG22932"/>
    <d v="2025-08-19T00:00:00"/>
    <d v="1899-12-30T16:06:00"/>
    <x v="13"/>
    <s v="GIRARDOTA"/>
    <s v="FRACTAL P X 25 KG"/>
    <n v="600"/>
    <n v="24"/>
    <n v="15300000"/>
    <d v="2025-08-21T00:00:00"/>
    <d v="2025-08-21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IGNUS X 20 KILOS"/>
    <n v="600"/>
    <n v="24"/>
    <n v="20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LOTUS X 25 KG"/>
    <n v="4000"/>
    <n v="160"/>
    <n v="127200000"/>
    <d v="2025-08-21T00:00:00"/>
    <d v="2025-08-22T00:00:00"/>
    <x v="6"/>
  </r>
  <r>
    <s v="INVENTARIO"/>
    <s v="4500082246"/>
    <d v="2025-08-19T00:00:00"/>
    <d v="1899-12-30T22:20:00"/>
    <d v="2025-08-22T00:00:00"/>
    <x v="250"/>
    <s v="BG22952"/>
    <d v="2025-08-20T00:00:00"/>
    <d v="1899-12-30T08:15:00"/>
    <x v="0"/>
    <s v="MEDELLIN"/>
    <s v="CIPROFLOX X 5 KG"/>
    <n v="1000"/>
    <n v="40"/>
    <n v="46500000"/>
    <d v="2025-08-21T00:00:00"/>
    <d v="2025-08-22T00:00:00"/>
    <x v="6"/>
  </r>
  <r>
    <m/>
    <s v="4500082246"/>
    <d v="2025-08-19T00:00:00"/>
    <d v="1899-12-30T22:20:00"/>
    <d v="2025-08-28T00:00:00"/>
    <x v="250"/>
    <s v="BG22952"/>
    <d v="2025-08-20T00:00:00"/>
    <d v="1899-12-30T08:15:00"/>
    <x v="0"/>
    <s v="MEDELLIN"/>
    <s v="SMOOTH SWEET X 5 KG"/>
    <n v="25"/>
    <n v="1"/>
    <n v="25"/>
    <d v="2025-08-21T00:00:00"/>
    <d v="2025-08-28T00:00:00"/>
    <x v="14"/>
  </r>
  <r>
    <s v="INVENTARIO"/>
    <s v="4500082246"/>
    <d v="2025-08-19T00:00:00"/>
    <d v="1899-12-30T22:20:00"/>
    <d v="2025-08-28T00:00:00"/>
    <x v="250"/>
    <s v="BG23047"/>
    <d v="2025-08-20T00:00:00"/>
    <d v="1899-12-30T08:15:00"/>
    <x v="0"/>
    <s v="MEDELLIN"/>
    <s v="SMOOTH SWEET X 5 KG"/>
    <n v="50"/>
    <n v="2"/>
    <n v="50"/>
    <d v="2025-08-21T00:00:00"/>
    <d v="2025-08-28T00:00:00"/>
    <x v="14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NEOCYN X 25 KG "/>
    <n v="700"/>
    <n v="28"/>
    <n v="4319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ERITY NP X 25 KG"/>
    <n v="5000"/>
    <n v="200"/>
    <n v="533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TILOMIIX 250 PREMIX X 25 KG"/>
    <n v="800"/>
    <n v="32"/>
    <n v="3992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AMOXIN X 1 KG"/>
    <n v="200"/>
    <n v="8"/>
    <n v="271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CELMANAX X 25 KG"/>
    <n v="400"/>
    <n v="16"/>
    <n v="57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DMB 11 X 25 KG"/>
    <n v="1000"/>
    <n v="40"/>
    <n v="17600000"/>
    <d v="2025-08-21T00:00:00"/>
    <d v="2025-08-22T00:00:00"/>
    <x v="6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FENIFLOR PREMIX X 25 KG"/>
    <n v="150"/>
    <n v="6"/>
    <n v="7938000"/>
    <d v="2025-08-22T00:00:00"/>
    <d v="2025-08-22T00:00:00"/>
    <x v="0"/>
  </r>
  <r>
    <m/>
    <s v="4500082246"/>
    <d v="2025-08-19T00:00:00"/>
    <d v="1899-12-30T22:20:00"/>
    <d v="2025-08-22T00:00:00"/>
    <x v="250"/>
    <s v="BG22952"/>
    <d v="2025-08-20T00:00:00"/>
    <d v="1899-12-30T08:15:00"/>
    <x v="0"/>
    <s v="MEDELLIN"/>
    <s v="MICRO AID X 25 KG"/>
    <n v="50"/>
    <n v="2"/>
    <n v="2600000"/>
    <d v="2025-08-22T00:00:00"/>
    <d v="2025-08-22T00:00:00"/>
    <x v="0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NORFLOX X 1 KG"/>
    <n v="10"/>
    <n v="10"/>
    <n v="68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TILCOMIX ORAL X 1 LITRO"/>
    <n v="10"/>
    <n v="10"/>
    <n v="2310000"/>
    <d v="2025-08-21T00:00:00"/>
    <d v="2025-08-22T00:00:00"/>
    <x v="6"/>
  </r>
  <r>
    <m/>
    <s v="39-S"/>
    <d v="2025-08-19T00:00:00"/>
    <d v="1899-12-30T16:56:00"/>
    <d v="2025-08-22T00:00:00"/>
    <x v="251"/>
    <s v="BG22934"/>
    <d v="2025-08-20T00:00:00"/>
    <d v="1899-12-30T08:22:00"/>
    <x v="4"/>
    <s v="DON MATIAS"/>
    <s v="SMOOTH SWEET X 75 GR"/>
    <n v="0.75"/>
    <n v="10"/>
    <n v="1"/>
    <d v="2025-08-21T00:00:00"/>
    <d v="2025-08-22T00:00:00"/>
    <x v="6"/>
  </r>
  <r>
    <s v="INVENTARIO"/>
    <s v="1238232 "/>
    <d v="2025-08-19T00:00:00"/>
    <d v="1899-12-30T15:44:00"/>
    <d v="2025-08-26T00:00:00"/>
    <x v="252"/>
    <s v="BG23022"/>
    <d v="2025-08-20T00:00:00"/>
    <d v="1899-12-30T10:15:00"/>
    <x v="6"/>
    <s v="RIVERA"/>
    <s v="DINAMIX PREMIX X 25 KG"/>
    <n v="175"/>
    <n v="7"/>
    <n v="3802750"/>
    <d v="2025-08-25T00:00:00"/>
    <d v="2025-08-26T00:00:00"/>
    <x v="6"/>
  </r>
  <r>
    <s v="CANCELADO"/>
    <s v="1238232 "/>
    <d v="2025-08-19T00:00:00"/>
    <d v="1899-12-30T15:44:00"/>
    <m/>
    <x v="253"/>
    <s v="CANCELADO"/>
    <d v="2025-08-20T00:00:00"/>
    <d v="1899-12-30T10:15:00"/>
    <x v="6"/>
    <s v="RIVERA"/>
    <s v="DINAMIX PREMIX X 25 KG"/>
    <n v="100"/>
    <n v="4"/>
    <n v="2173000"/>
    <d v="2025-08-25T00:00:00"/>
    <m/>
    <x v="0"/>
  </r>
  <r>
    <m/>
    <s v="1238251 "/>
    <d v="2025-08-19T00:00:00"/>
    <d v="1899-12-30T16:07:00"/>
    <d v="2025-08-22T00:00:00"/>
    <x v="254"/>
    <s v="BG22964"/>
    <d v="2025-08-20T00:00:00"/>
    <d v="1899-12-30T10:21:00"/>
    <x v="5"/>
    <s v="BUGA"/>
    <s v="FENIFLOR PREMIX X 25 KG"/>
    <n v="125"/>
    <n v="5"/>
    <n v="6615000"/>
    <d v="2025-08-25T00:00:00"/>
    <d v="2025-08-22T00:00:00"/>
    <x v="2"/>
  </r>
  <r>
    <m/>
    <s v="1238286"/>
    <d v="2025-08-19T00:00:00"/>
    <d v="1899-12-30T16:22:00"/>
    <d v="2025-08-26T00:00:00"/>
    <x v="255"/>
    <s v="BG23013"/>
    <d v="2025-08-20T00:00:00"/>
    <d v="1899-12-30T12:29:00"/>
    <x v="6"/>
    <s v="CARTAGO"/>
    <s v="ACCUREMAX X 25 KG"/>
    <n v="100"/>
    <n v="4"/>
    <n v="5300000"/>
    <d v="2025-08-28T00:00:00"/>
    <d v="2025-08-26T00:00:00"/>
    <x v="5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AMOXIN X 1 KG"/>
    <n v="150"/>
    <n v="150"/>
    <n v="21207000"/>
    <d v="2025-08-21T00:00:00"/>
    <d v="2025-08-21T00:00:00"/>
    <x v="0"/>
  </r>
  <r>
    <m/>
    <s v="AG-0033-25"/>
    <d v="2025-08-19T00:00:00"/>
    <d v="1899-12-30T16:42:00"/>
    <d v="2025-08-21T00:00:00"/>
    <x v="256"/>
    <s v="BG22946"/>
    <d v="2025-08-20T00:00:00"/>
    <d v="1899-12-30T12:32:00"/>
    <x v="23"/>
    <s v="PLANTA"/>
    <s v="FRACTAL P X 25 KG"/>
    <n v="200"/>
    <n v="8"/>
    <n v="5100000"/>
    <d v="2025-08-21T00:00:00"/>
    <d v="2025-08-21T00:00:00"/>
    <x v="0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FENIFLOR ORAL X 500 GR"/>
    <n v="30"/>
    <n v="60"/>
    <n v="3300000"/>
    <d v="2025-08-21T00:00:00"/>
    <d v="2025-08-22T00:00:00"/>
    <x v="6"/>
  </r>
  <r>
    <m/>
    <m/>
    <d v="2025-08-20T00:00:00"/>
    <d v="1899-12-30T09:55:00"/>
    <d v="2025-08-22T00:00:00"/>
    <x v="257"/>
    <s v="BG22990"/>
    <d v="2025-08-20T00:00:00"/>
    <d v="1899-12-30T12:55:00"/>
    <x v="79"/>
    <s v="EL ROBLE"/>
    <s v="AMOXIN X 1 KG"/>
    <n v="30"/>
    <n v="30"/>
    <n v="4500000"/>
    <d v="2025-08-21T00:00:00"/>
    <d v="2025-08-22T00:00:00"/>
    <x v="6"/>
  </r>
  <r>
    <m/>
    <m/>
    <d v="2025-08-20T00:00:00"/>
    <d v="1899-12-30T09:55:00"/>
    <d v="2025-08-22T00:00:00"/>
    <x v="258"/>
    <s v="BG23027"/>
    <d v="2025-08-20T00:00:00"/>
    <d v="1899-12-30T12:55:00"/>
    <x v="79"/>
    <s v="EL ROBLE"/>
    <s v="TILVASYN X 5 KG"/>
    <n v="5"/>
    <n v="1"/>
    <n v="1000000"/>
    <d v="2025-08-22T00:00:00"/>
    <d v="2025-08-22T00:00:00"/>
    <x v="0"/>
  </r>
  <r>
    <m/>
    <s v="60574 "/>
    <d v="2025-08-19T00:00:00"/>
    <d v="1899-12-30T16:52:00"/>
    <d v="2025-08-21T00:00:00"/>
    <x v="259"/>
    <s v="BG22986"/>
    <d v="2025-08-20T00:00:00"/>
    <d v="1899-12-30T13:02:00"/>
    <x v="56"/>
    <s v="BUCARAMANGA"/>
    <s v="CIGNUS X 20 KILOS"/>
    <n v="300"/>
    <n v="12"/>
    <n v="11400000"/>
    <d v="2025-08-22T00:00:00"/>
    <d v="2025-08-21T00:00:00"/>
    <x v="10"/>
  </r>
  <r>
    <m/>
    <s v="10786"/>
    <d v="2025-08-20T00:00:00"/>
    <d v="1899-12-30T07:58:00"/>
    <d v="2025-08-20T00:00:00"/>
    <x v="260"/>
    <s v="BG23014"/>
    <d v="2025-08-20T00:00:00"/>
    <d v="1899-12-30T13:06:00"/>
    <x v="10"/>
    <s v="LEBRIJA"/>
    <s v="FOSMYCINA 90 X 500 GR"/>
    <n v="8"/>
    <n v="16"/>
    <n v="4120000"/>
    <d v="2025-08-20T00:00:00"/>
    <d v="2025-08-20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AMOXIN X 1 KG"/>
    <n v="70"/>
    <n v="2.8"/>
    <n v="10493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NEOCYN X 1 KG "/>
    <n v="25"/>
    <n v="1"/>
    <n v="1570000"/>
    <d v="2025-08-21T00:00:00"/>
    <d v="2025-08-21T00:00:00"/>
    <x v="0"/>
  </r>
  <r>
    <m/>
    <s v="OCO-0042524"/>
    <d v="2025-08-20T00:00:00"/>
    <d v="1899-12-30T14:00:00"/>
    <d v="2025-08-21T00:00:00"/>
    <x v="261"/>
    <s v="BG22945"/>
    <d v="2025-08-20T00:00:00"/>
    <d v="1899-12-30T14:17:00"/>
    <x v="14"/>
    <s v="TULUA"/>
    <s v="FRACTAL L X 20 KILOS"/>
    <n v="100"/>
    <n v="5"/>
    <n v="3885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FRACTAL P X 25 KG"/>
    <n v="100"/>
    <n v="4"/>
    <n v="2550000"/>
    <d v="2025-08-21T00:00:00"/>
    <d v="2025-08-21T00:00:00"/>
    <x v="0"/>
  </r>
  <r>
    <m/>
    <m/>
    <d v="2025-08-20T00:00:00"/>
    <d v="1899-12-30T12:00:00"/>
    <d v="2025-08-21T00:00:00"/>
    <x v="262"/>
    <s v="BG22944"/>
    <d v="2025-08-20T00:00:00"/>
    <d v="1899-12-30T14:30:00"/>
    <x v="23"/>
    <s v="PLANTA"/>
    <s v="LOTUS X 10 KG"/>
    <n v="200"/>
    <n v="8"/>
    <n v="7760000"/>
    <d v="2025-08-21T00:00:00"/>
    <d v="2025-08-21T00:00:00"/>
    <x v="0"/>
  </r>
  <r>
    <m/>
    <s v="Y-001-2839"/>
    <d v="2025-08-20T00:00:00"/>
    <d v="1899-12-30T17:44:00"/>
    <d v="2025-08-21T00:00:00"/>
    <x v="263"/>
    <s v="BG22958"/>
    <d v="2025-08-21T00:00:00"/>
    <d v="1899-12-30T08:51:00"/>
    <x v="69"/>
    <s v="RECOGE EN BODEGA"/>
    <s v="FENIFLOR ORAL X 500 GR"/>
    <n v="15"/>
    <n v="30"/>
    <n v="1749000"/>
    <d v="2025-08-21T00:00:00"/>
    <d v="2025-08-21T00:00:00"/>
    <x v="0"/>
  </r>
  <r>
    <m/>
    <s v="1239316 "/>
    <d v="2025-08-20T00:00:00"/>
    <d v="1899-12-30T16:13:00"/>
    <d v="2025-08-25T00:00:00"/>
    <x v="264"/>
    <s v="BG22963"/>
    <d v="2025-08-21T00:00:00"/>
    <d v="1899-12-30T09:11:00"/>
    <x v="5"/>
    <s v="CIENAGA"/>
    <s v="ACCUREMAX X 25 KG"/>
    <n v="250"/>
    <n v="10"/>
    <n v="13250000"/>
    <d v="2025-08-27T00:00:00"/>
    <d v="2025-08-25T00:00:00"/>
    <x v="5"/>
  </r>
  <r>
    <m/>
    <s v="1239366 "/>
    <d v="2025-08-20T00:00:00"/>
    <d v="1899-12-30T16:32:00"/>
    <d v="2025-08-27T00:00:00"/>
    <x v="265"/>
    <s v="BG23041"/>
    <d v="2025-08-21T00:00:00"/>
    <d v="1899-12-30T09:11:00"/>
    <x v="5"/>
    <s v="MOSQUERA"/>
    <s v="ACCUREMAX X 25 KG"/>
    <n v="250"/>
    <n v="10"/>
    <n v="13250000"/>
    <d v="2025-08-27T00:00:00"/>
    <d v="2025-08-27T00:00:00"/>
    <x v="0"/>
  </r>
  <r>
    <m/>
    <m/>
    <d v="2025-08-20T00:00:00"/>
    <d v="1899-12-30T15:28:00"/>
    <d v="2025-08-23T00:00:00"/>
    <x v="266"/>
    <s v="BG22962"/>
    <d v="2025-08-21T00:00:00"/>
    <d v="1899-12-30T09:24:00"/>
    <x v="19"/>
    <s v="RICAURTE"/>
    <s v="CLORTETRAX 20 % X 25 KG"/>
    <n v="50"/>
    <n v="2"/>
    <n v="1015000"/>
    <d v="2025-08-22T00:00:00"/>
    <d v="2025-08-23T00:00:00"/>
    <x v="6"/>
  </r>
  <r>
    <m/>
    <s v="OC-COMP-18406"/>
    <d v="2025-08-20T00:00:00"/>
    <d v="1899-12-30T15:28:00"/>
    <d v="2025-08-27T00:00:00"/>
    <x v="267"/>
    <s v="BG23017"/>
    <d v="2025-08-21T00:00:00"/>
    <d v="1899-12-30T11:22:00"/>
    <x v="19"/>
    <s v="RICAURTE"/>
    <s v="BIMMU X 25 KG"/>
    <n v="300"/>
    <n v="12"/>
    <n v="10500000"/>
    <d v="2025-08-22T00:00:00"/>
    <d v="2025-08-27T00:00:00"/>
    <x v="8"/>
  </r>
  <r>
    <m/>
    <s v="5503698655"/>
    <d v="2025-08-20T00:00:00"/>
    <d v="1899-12-30T16:37:00"/>
    <d v="2025-08-25T00:00:00"/>
    <x v="268"/>
    <s v="BG22996"/>
    <d v="2025-08-21T00:00:00"/>
    <d v="1899-12-30T09:36:00"/>
    <x v="51"/>
    <s v="CAVASA"/>
    <s v="NEOCYN X 25 KG "/>
    <n v="1000"/>
    <n v="40"/>
    <n v="67500000"/>
    <d v="2025-08-25T00:00:00"/>
    <d v="2025-08-25T00:00:00"/>
    <x v="0"/>
  </r>
  <r>
    <s v="INVENTARIO"/>
    <s v=" 1239481"/>
    <d v="2025-08-20T00:00:00"/>
    <d v="1899-12-30T17:36:00"/>
    <d v="2025-08-27T00:00:00"/>
    <x v="269"/>
    <s v="BG23035"/>
    <d v="2025-08-21T00:00:00"/>
    <d v="1899-12-30T09:39:00"/>
    <x v="5"/>
    <s v="BUGA"/>
    <s v="DINAMIX PREMIX X 25 KG"/>
    <n v="100"/>
    <n v="4"/>
    <n v="2173000"/>
    <d v="2025-08-27T00:00:00"/>
    <d v="2025-08-27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DINAMIX 800 X 25 KILOS"/>
    <n v="300"/>
    <n v="12"/>
    <n v="36945000"/>
    <d v="2025-08-26T00:00:00"/>
    <d v="2025-08-26T00:00:00"/>
    <x v="0"/>
  </r>
  <r>
    <m/>
    <s v="4500082284_x000a_"/>
    <d v="2025-08-20T00:00:00"/>
    <d v="1899-12-30T18:11:00"/>
    <d v="2025-08-26T00:00:00"/>
    <x v="270"/>
    <s v="BG23003"/>
    <d v="2025-08-21T00:00:00"/>
    <d v="1899-12-30T09:42:00"/>
    <x v="42"/>
    <s v="PREMEX MEDELLIN"/>
    <s v="HALQUINOX 800 X 25 KG"/>
    <n v="3000"/>
    <n v="120"/>
    <n v="218601000"/>
    <d v="2025-08-26T00:00:00"/>
    <d v="2025-08-26T00:00:00"/>
    <x v="0"/>
  </r>
  <r>
    <m/>
    <s v="1239701 "/>
    <d v="2025-08-21T00:00:00"/>
    <d v="1899-12-30T08:13:00"/>
    <d v="2025-08-27T00:00:00"/>
    <x v="271"/>
    <s v="BG23021"/>
    <d v="2025-08-21T00:00:00"/>
    <d v="1899-12-30T12:27:00"/>
    <x v="6"/>
    <s v="BARBOSA ANTIOQUIA"/>
    <s v="CIGNUS X 20 KILOS"/>
    <n v="1000"/>
    <n v="50"/>
    <n v="34500000"/>
    <d v="2025-08-27T00:00:00"/>
    <d v="2025-08-27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HALQUINOX 800 X 25 KG"/>
    <n v="200"/>
    <n v="8"/>
    <n v="205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ENIFLOR PREMIX X 25 KG"/>
    <n v="750"/>
    <n v="30"/>
    <n v="48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ILOMIIX 250 PREMIX X 25 KG"/>
    <n v="50"/>
    <n v="2"/>
    <n v="2825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IPROFLOX X 5 KG"/>
    <n v="100"/>
    <n v="4"/>
    <n v="53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TYLVASIN X 25 KG"/>
    <n v="25"/>
    <n v="1"/>
    <n v="475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FRACTAL P X 25 KG"/>
    <n v="25"/>
    <n v="1"/>
    <n v="6375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CLORTETRAX 20 % X 25 KG"/>
    <n v="200"/>
    <n v="8"/>
    <n v="3200000"/>
    <d v="2025-08-25T00:00:00"/>
    <d v="2025-08-25T00:00:00"/>
    <x v="0"/>
  </r>
  <r>
    <m/>
    <s v="MPN - 5,312"/>
    <d v="2025-08-21T00:00:00"/>
    <d v="1899-12-30T10:13:00"/>
    <d v="2025-08-25T00:00:00"/>
    <x v="272"/>
    <s v="BG22995"/>
    <d v="2025-08-21T00:00:00"/>
    <d v="1899-12-30T13:02:00"/>
    <x v="80"/>
    <s v="NUTREXCOL"/>
    <s v="SMOOTH SWEET X 75 GR"/>
    <n v="7.5"/>
    <n v="100"/>
    <n v="7.5"/>
    <d v="2025-08-25T00:00:00"/>
    <d v="2025-08-25T00:00:00"/>
    <x v="0"/>
  </r>
  <r>
    <m/>
    <s v="P-1301"/>
    <d v="2025-08-21T00:00:00"/>
    <d v="1899-12-30T11:33:00"/>
    <d v="2025-08-22T00:00:00"/>
    <x v="273"/>
    <s v="BG22982"/>
    <d v="2025-08-21T00:00:00"/>
    <d v="1899-12-30T13:08:00"/>
    <x v="32"/>
    <s v="CALI"/>
    <s v="FOSMYCINA 90 X 500 GR"/>
    <n v="1"/>
    <n v="2"/>
    <n v="501176"/>
    <d v="2025-08-22T00:00:00"/>
    <d v="2025-08-22T00:00:00"/>
    <x v="0"/>
  </r>
  <r>
    <m/>
    <s v="COC-00001807"/>
    <d v="2025-08-21T00:00:00"/>
    <d v="1899-12-30T16:20:00"/>
    <d v="2025-08-22T00:00:00"/>
    <x v="274"/>
    <s v="BG22989"/>
    <d v="2025-08-22T00:00:00"/>
    <d v="1899-12-30T08:51:00"/>
    <x v="31"/>
    <s v="RECOGE EN BODEGA"/>
    <s v="CLORTETRAX 20 % X 25 KG"/>
    <n v="300"/>
    <n v="12"/>
    <n v="4740000"/>
    <d v="2025-08-22T00:00:00"/>
    <d v="2025-08-22T00:00:00"/>
    <x v="0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FRACTAL P X 25 KG"/>
    <n v="75"/>
    <n v="3"/>
    <n v="1912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CLORTETRAX 20 % X 25 KG"/>
    <n v="2000"/>
    <n v="80"/>
    <n v="32600000"/>
    <d v="2025-08-27T00:00:00"/>
    <d v="2025-08-25T00:00:00"/>
    <x v="5"/>
  </r>
  <r>
    <m/>
    <s v="001-OSC-64080"/>
    <d v="2025-08-21T00:00:00"/>
    <d v="1899-12-30T10:40:00"/>
    <d v="2025-08-25T00:00:00"/>
    <x v="275"/>
    <s v="BG22998"/>
    <d v="2025-08-22T00:00:00"/>
    <d v="1899-12-30T11:08:00"/>
    <x v="4"/>
    <s v="BELLO"/>
    <s v="DMB 11 X 25 KG"/>
    <n v="3000"/>
    <n v="120"/>
    <n v="55050000"/>
    <d v="2025-08-27T00:00:00"/>
    <d v="2025-08-25T00:00:00"/>
    <x v="5"/>
  </r>
  <r>
    <m/>
    <s v="1240347"/>
    <d v="2025-08-21T00:00:00"/>
    <d v="1899-12-30T16:07:00"/>
    <d v="2025-08-27T00:00:00"/>
    <x v="276"/>
    <s v="BG23012"/>
    <d v="2025-08-22T00:00:00"/>
    <d v="1899-12-30T11:11:00"/>
    <x v="5"/>
    <s v="BUCARAMANGA"/>
    <s v="ACCUREMAX X 25 KG"/>
    <n v="25"/>
    <n v="1"/>
    <n v="1325000"/>
    <d v="2025-08-26T00:00:00"/>
    <d v="2025-08-27T00:00:00"/>
    <x v="6"/>
  </r>
  <r>
    <m/>
    <s v="1240347"/>
    <d v="2025-08-21T00:00:00"/>
    <d v="1899-12-30T16:07:00"/>
    <d v="2025-08-27T00:00:00"/>
    <x v="277"/>
    <s v="BG23011"/>
    <d v="2025-08-22T00:00:00"/>
    <d v="1899-12-30T11:11:00"/>
    <x v="5"/>
    <s v="BUCARAMANGA"/>
    <s v="TILVASYN X 25 KG"/>
    <n v="25"/>
    <n v="1"/>
    <n v="4375000"/>
    <d v="2025-08-26T00:00:00"/>
    <d v="2025-08-27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FRACTAL P X 25 KG"/>
    <n v="275"/>
    <n v="11"/>
    <n v="7012500"/>
    <d v="2025-08-25T00:00:00"/>
    <d v="2025-08-26T00:00:00"/>
    <x v="6"/>
  </r>
  <r>
    <m/>
    <s v="3153"/>
    <d v="2025-08-21T00:00:00"/>
    <d v="1899-12-30T16:10:00"/>
    <d v="2025-08-26T00:00:00"/>
    <x v="278"/>
    <s v="BG22994"/>
    <d v="2025-08-22T00:00:00"/>
    <d v="1899-12-30T11:22:00"/>
    <x v="15"/>
    <s v="SAN PEDRO"/>
    <s v="LOTUS X 10 KG"/>
    <n v="440"/>
    <n v="44"/>
    <n v="17072000"/>
    <d v="2025-08-25T00:00:00"/>
    <d v="2025-08-26T00:00:00"/>
    <x v="6"/>
  </r>
  <r>
    <m/>
    <s v="1240844 "/>
    <d v="2025-08-22T00:00:00"/>
    <d v="1899-12-30T09:36:00"/>
    <d v="2025-08-26T00:00:00"/>
    <x v="279"/>
    <s v="BG23001"/>
    <d v="2025-08-22T00:00:00"/>
    <d v="1899-12-30T11:24:00"/>
    <x v="5"/>
    <s v="CIENAGA"/>
    <s v="LOTUS X 10 KG"/>
    <n v="20"/>
    <n v="2"/>
    <n v="690000"/>
    <d v="2025-08-25T00:00:00"/>
    <d v="2025-08-26T00:00:00"/>
    <x v="6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LOTUS X 10 KG"/>
    <n v="160"/>
    <n v="6.4"/>
    <n v="5600000"/>
    <d v="2025-08-25T00:00:00"/>
    <d v="2025-08-25T00:00:00"/>
    <x v="0"/>
  </r>
  <r>
    <m/>
    <s v="100-CON-00022562_x000a_"/>
    <d v="2025-08-22T00:00:00"/>
    <d v="1899-12-30T10:14:00"/>
    <d v="2025-08-25T00:00:00"/>
    <x v="280"/>
    <s v="BG22997"/>
    <d v="2025-08-22T00:00:00"/>
    <d v="1899-12-30T11:40:00"/>
    <x v="30"/>
    <s v="GIRARDOTA"/>
    <s v="FRACTAL P X 25 KG"/>
    <n v="100"/>
    <n v="4"/>
    <n v="2550000"/>
    <d v="2025-08-25T00:00:00"/>
    <d v="2025-08-25T00:00:00"/>
    <x v="0"/>
  </r>
  <r>
    <m/>
    <s v="91.880"/>
    <d v="2025-08-22T00:00:00"/>
    <d v="1899-12-30T10:48:00"/>
    <d v="2025-08-26T00:00:00"/>
    <x v="281"/>
    <s v="BG23000"/>
    <d v="2025-08-22T00:00:00"/>
    <d v="1899-12-30T11:44:00"/>
    <x v="41"/>
    <s v="BUGA"/>
    <s v="CLORTETRAX 20 % X 25 KG"/>
    <n v="150"/>
    <n v="6"/>
    <n v="24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FRACTAL P X 25 KG"/>
    <n v="1000"/>
    <n v="40"/>
    <n v="25500000"/>
    <d v="2025-08-25T00:00:00"/>
    <d v="2025-08-26T00:00:00"/>
    <x v="6"/>
  </r>
  <r>
    <m/>
    <s v="103-OCC-36384"/>
    <d v="2025-08-21T00:00:00"/>
    <d v="1899-12-30T08:46:00"/>
    <d v="2025-08-26T00:00:00"/>
    <x v="282"/>
    <s v="BG22992"/>
    <d v="2025-08-22T00:00:00"/>
    <d v="1899-12-30T12:19:00"/>
    <x v="13"/>
    <s v="GIRARDOTA"/>
    <s v="DMB 11 X 25 KG"/>
    <n v="200"/>
    <n v="8"/>
    <n v="3640000"/>
    <d v="2025-08-25T00:00:00"/>
    <d v="2025-08-26T00:00:00"/>
    <x v="6"/>
  </r>
  <r>
    <m/>
    <m/>
    <d v="2025-08-22T00:00:00"/>
    <d v="1899-12-30T12:25:00"/>
    <d v="2025-08-26T00:00:00"/>
    <x v="283"/>
    <s v="BG23024"/>
    <d v="2025-08-22T00:00:00"/>
    <d v="1899-12-30T14:22:00"/>
    <x v="81"/>
    <s v="RISARALDA"/>
    <s v="CLORTETRAX 20 % X 25 KG"/>
    <n v="100"/>
    <n v="4"/>
    <n v="1700000"/>
    <d v="2025-08-25T00:00:00"/>
    <d v="2025-08-26T00:00:00"/>
    <x v="6"/>
  </r>
  <r>
    <m/>
    <m/>
    <d v="2025-08-22T00:00:00"/>
    <d v="1899-12-30T12:35:00"/>
    <d v="2025-08-26T00:00:00"/>
    <x v="283"/>
    <s v="BG23024"/>
    <d v="2025-08-22T00:00:00"/>
    <d v="1899-12-30T14:22:00"/>
    <x v="81"/>
    <s v="RISARALDA"/>
    <s v="TILVASYN X 25 KG"/>
    <n v="50"/>
    <n v="2"/>
    <n v="10750000"/>
    <d v="2025-08-25T00:00:00"/>
    <d v="2025-08-26T00:00:00"/>
    <x v="6"/>
  </r>
  <r>
    <s v="CANCELADO"/>
    <m/>
    <d v="2025-08-22T00:00:00"/>
    <d v="1899-12-30T14:00:00"/>
    <s v="FRACCIONAMIENTO"/>
    <x v="284"/>
    <m/>
    <d v="2025-08-22T00:00:00"/>
    <d v="1899-12-30T14:26:00"/>
    <x v="79"/>
    <s v="EL ROBLE"/>
    <s v="TILVASYN X 5 KG"/>
    <n v="10"/>
    <n v="2"/>
    <n v="2000000"/>
    <d v="2025-08-25T00:00:00"/>
    <s v="FRACCIONAMIENTO"/>
    <x v="0"/>
  </r>
  <r>
    <m/>
    <m/>
    <d v="2025-08-22T00:00:00"/>
    <d v="1899-12-30T14:30:00"/>
    <d v="2025-08-26T00:00:00"/>
    <x v="285"/>
    <s v="BG22999"/>
    <d v="2025-08-22T00:00:00"/>
    <d v="1899-12-30T14:35:00"/>
    <x v="82"/>
    <s v="BUGA"/>
    <s v="CLORTETRAX 20 % X 25 KG"/>
    <n v="200"/>
    <n v="8"/>
    <n v="3260000"/>
    <d v="2025-08-25T00:00:00"/>
    <d v="2025-08-26T00:00:00"/>
    <x v="6"/>
  </r>
  <r>
    <m/>
    <m/>
    <d v="2025-08-25T00:00:00"/>
    <d v="1899-12-30T08:00:00"/>
    <d v="2025-08-26T00:00:00"/>
    <x v="286"/>
    <s v="BG23020"/>
    <d v="2025-08-25T00:00:00"/>
    <d v="1899-12-30T08:50:00"/>
    <x v="83"/>
    <s v="RECOGE EN BODEGA"/>
    <s v="CLORTETRAX 20 % X 25 KG"/>
    <n v="400"/>
    <n v="16"/>
    <n v="6320000"/>
    <d v="2025-08-25T00:00:00"/>
    <d v="2025-08-26T00:00:00"/>
    <x v="6"/>
  </r>
  <r>
    <s v="INVENTARIO"/>
    <s v="1241128"/>
    <d v="2025-08-22T00:00:00"/>
    <d v="1899-12-30T14:19:00"/>
    <d v="2025-08-27T00:00:00"/>
    <x v="287"/>
    <s v="BG23034"/>
    <d v="2025-08-25T00:00:00"/>
    <d v="1899-12-30T12:01:00"/>
    <x v="6"/>
    <s v="CARTAGO"/>
    <s v="DINAMIX PREMIX X 25 KG"/>
    <n v="50"/>
    <n v="2"/>
    <n v="1086500"/>
    <d v="2025-08-26T00:00:00"/>
    <d v="2025-08-27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CIPROFLOX X 5 KG"/>
    <n v="5"/>
    <n v="1"/>
    <m/>
    <d v="2025-08-25T00:00:00"/>
    <d v="2025-08-26T00:00:00"/>
    <x v="6"/>
  </r>
  <r>
    <m/>
    <s v="OC PENDIENTE"/>
    <d v="2025-08-25T00:00:00"/>
    <d v="1899-12-30T10:00:00"/>
    <d v="2025-08-26T00:00:00"/>
    <x v="288"/>
    <s v="BG23036"/>
    <d v="2025-08-25T00:00:00"/>
    <d v="1899-12-30T10:30:00"/>
    <x v="19"/>
    <s v="RICAURTE"/>
    <s v="SMOOTH SWEET X 75 GR"/>
    <n v="0.375"/>
    <n v="5"/>
    <m/>
    <d v="2025-08-25T00:00:00"/>
    <d v="2025-08-26T00:00:00"/>
    <x v="6"/>
  </r>
  <r>
    <m/>
    <s v="005-OSC-9721"/>
    <d v="2025-08-22T00:00:00"/>
    <d v="1899-12-30T14:30:00"/>
    <d v="2025-08-27T00:00:00"/>
    <x v="289"/>
    <s v="BG23040"/>
    <d v="2025-08-25T00:00:00"/>
    <d v="1899-12-30T12:17:00"/>
    <x v="4"/>
    <s v="MOSQUERA"/>
    <s v="DMB 11 X 25 KG"/>
    <n v="500"/>
    <n v="20"/>
    <n v="9175000"/>
    <d v="2025-08-27T00:00:00"/>
    <d v="2025-08-27T00:00:00"/>
    <x v="0"/>
  </r>
  <r>
    <m/>
    <s v="001-OSC-64169"/>
    <d v="2025-08-22T00:00:00"/>
    <d v="1899-12-30T16:00:00"/>
    <d v="2025-08-26T00:00:00"/>
    <x v="290"/>
    <s v="BG23008"/>
    <d v="2025-08-25T00:00:00"/>
    <d v="1899-12-30T12:26:00"/>
    <x v="4"/>
    <s v="BELLO"/>
    <s v="DMB 11 X 25 KG"/>
    <n v="400"/>
    <n v="16"/>
    <n v="7340000"/>
    <d v="2025-08-25T00:00:00"/>
    <d v="2025-08-26T00:00:00"/>
    <x v="6"/>
  </r>
  <r>
    <m/>
    <s v="001-SC-015404"/>
    <d v="2025-08-22T00:00:00"/>
    <d v="1899-12-30T14:56:00"/>
    <d v="2025-08-26T00:00:00"/>
    <x v="291"/>
    <s v="BG23018"/>
    <d v="2025-08-25T00:00:00"/>
    <d v="1899-12-30T13:03:00"/>
    <x v="38"/>
    <s v="ARMENIA"/>
    <s v="FENIFLOR PREMIX X 5 KG"/>
    <n v="25"/>
    <n v="1"/>
    <n v="1725000"/>
    <d v="2025-08-26T00:00:00"/>
    <d v="2025-08-26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LOTUS X 25 KG"/>
    <n v="100"/>
    <n v="4"/>
    <n v="385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ELMANAX X 25 KG"/>
    <n v="50"/>
    <n v="2"/>
    <n v="810000"/>
    <d v="2025-08-28T00:00:00"/>
    <d v="2025-08-28T00:00:00"/>
    <x v="0"/>
  </r>
  <r>
    <m/>
    <s v="004-OSC-49176"/>
    <d v="2025-08-22T00:00:00"/>
    <d v="1899-12-30T15:03:00"/>
    <d v="2025-08-28T00:00:00"/>
    <x v="292"/>
    <s v="BG23043"/>
    <d v="2025-08-25T00:00:00"/>
    <d v="1899-12-30T13:05:00"/>
    <x v="4"/>
    <s v="CARTAGO"/>
    <s v="CLORTETRAX 20 % X 25 KG"/>
    <n v="1000"/>
    <n v="40"/>
    <n v="16300000"/>
    <d v="2025-08-28T00:00:00"/>
    <d v="2025-08-28T00:00:00"/>
    <x v="0"/>
  </r>
  <r>
    <m/>
    <s v="4500355106"/>
    <d v="2025-08-22T00:00:00"/>
    <d v="1899-12-30T16:51:00"/>
    <d v="2025-08-27T00:00:00"/>
    <x v="293"/>
    <s v="BG23010"/>
    <d v="2025-08-25T00:00:00"/>
    <d v="1899-12-30T14:26:00"/>
    <x v="54"/>
    <s v="BUCARAMANGA"/>
    <s v="FRACTAL L X 20 KILOS"/>
    <n v="300"/>
    <n v="15"/>
    <n v="11655000"/>
    <d v="2025-08-26T00:00:00"/>
    <d v="2025-08-27T00:00:00"/>
    <x v="6"/>
  </r>
  <r>
    <m/>
    <s v="1241879 "/>
    <d v="2025-08-22T00:00:00"/>
    <d v="1899-12-30T08:37:00"/>
    <d v="2025-08-28T00:00:00"/>
    <x v="294"/>
    <s v="BG23019"/>
    <d v="2025-08-25T00:00:00"/>
    <d v="1899-12-30T14:28:00"/>
    <x v="6"/>
    <s v="ENVIGADO"/>
    <s v="FRACTAL P X 25 KG"/>
    <n v="75"/>
    <n v="3"/>
    <n v="1800000"/>
    <d v="2025-08-26T00:00:00"/>
    <d v="2025-08-28T00:00:00"/>
    <x v="4"/>
  </r>
  <r>
    <m/>
    <m/>
    <d v="2025-08-25T00:00:00"/>
    <d v="1899-12-30T15:12:00"/>
    <d v="2025-08-26T00:00:00"/>
    <x v="295"/>
    <s v="BG23009"/>
    <d v="2025-08-25T00:00:00"/>
    <d v="1899-12-30T15:02:00"/>
    <x v="28"/>
    <s v="BUGA"/>
    <s v="CLORTETRAX 20 % X 25 KG"/>
    <n v="25"/>
    <n v="1"/>
    <n v="425000"/>
    <d v="2025-08-26T00:00:00"/>
    <d v="2025-08-26T00:00:00"/>
    <x v="0"/>
  </r>
  <r>
    <s v="CARTERA"/>
    <m/>
    <d v="2025-08-25T00:00:00"/>
    <d v="1899-12-30T15:00:00"/>
    <d v="2025-08-27T00:00:00"/>
    <x v="296"/>
    <s v="BG23033"/>
    <d v="2025-08-25T00:00:00"/>
    <d v="1899-12-30T15:40:00"/>
    <x v="84"/>
    <s v="BUCARAMANGA"/>
    <s v="FOSMYCINA 90 X 500 GR"/>
    <n v="10"/>
    <n v="20"/>
    <n v="5202080"/>
    <d v="2025-08-25T00:00:00"/>
    <d v="2025-08-27T00:00:00"/>
    <x v="4"/>
  </r>
  <r>
    <m/>
    <s v="1241736"/>
    <d v="2025-08-24T00:00:00"/>
    <d v="1899-12-30T14:17:00"/>
    <d v="2025-08-27T00:00:00"/>
    <x v="297"/>
    <s v="BG23039"/>
    <d v="2025-08-25T00:00:00"/>
    <d v="1899-12-30T15:48:00"/>
    <x v="5"/>
    <s v="MOSQUERA"/>
    <s v="DINAMIX 200 PREMIX X 25 KG"/>
    <n v="100"/>
    <n v="4"/>
    <n v="3990000"/>
    <d v="2025-08-28T00:00:00"/>
    <d v="2025-08-27T00:00:00"/>
    <x v="1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ESPELIN 88 X 25 KG"/>
    <n v="400"/>
    <n v="16"/>
    <n v="148216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ENIFLOR PREMIX X 25 KG"/>
    <n v="100"/>
    <n v="4"/>
    <n v="5292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FRACTAL P X 25 KG"/>
    <n v="100"/>
    <n v="4"/>
    <n v="240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TILOMIX 250 PREMIX X 25 KG"/>
    <n v="500"/>
    <n v="20"/>
    <n v="2495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MONECYL X 25 KG"/>
    <n v="1200"/>
    <n v="48"/>
    <n v="22620000"/>
    <d v="2025-08-27T00:00:00"/>
    <d v="2025-08-27T00:00:00"/>
    <x v="0"/>
  </r>
  <r>
    <m/>
    <s v="4500082361"/>
    <d v="2025-08-25T00:00:00"/>
    <d v="1899-12-30T12:21:00"/>
    <d v="2025-08-27T00:00:00"/>
    <x v="298"/>
    <s v="BG23046"/>
    <d v="2025-08-25T00:00:00"/>
    <d v="1899-12-30T16:59:00"/>
    <x v="0"/>
    <s v="CELTA"/>
    <s v="SAGAH X 25 KILOS"/>
    <n v="100"/>
    <n v="4"/>
    <n v="3020000"/>
    <d v="2025-08-27T00:00:00"/>
    <d v="2025-08-27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1 KG"/>
    <n v="169"/>
    <n v="6.76"/>
    <n v="101738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OSMYCINA 90 X 500 GR"/>
    <n v="60"/>
    <n v="2.4"/>
    <n v="3007056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1KG"/>
    <n v="64"/>
    <n v="2.56"/>
    <n v="44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5 KG"/>
    <n v="55"/>
    <n v="2.2000000000000002"/>
    <n v="308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LORTETRAX 20 % X 25 KG"/>
    <n v="150"/>
    <n v="6"/>
    <n v="24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FENIFLOR ORAL X 500 GR"/>
    <n v="65.5"/>
    <n v="2.62"/>
    <n v="6681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DQCICLIN X 1 KG"/>
    <n v="51"/>
    <n v="2.04"/>
    <n v="1479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CIPROFLOX X 5 KG"/>
    <n v="50"/>
    <n v="2"/>
    <n v="301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NEOCYN X 25 KG "/>
    <n v="125"/>
    <n v="5"/>
    <n v="875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ESPELIN 88 X 25 KG"/>
    <n v="250"/>
    <n v="10"/>
    <n v="14000000"/>
    <d v="2025-08-25T00:00:00"/>
    <d v="2025-08-25T00:00:00"/>
    <x v="0"/>
  </r>
  <r>
    <m/>
    <m/>
    <d v="2025-08-25T00:00:00"/>
    <d v="1899-12-30T15:00:00"/>
    <d v="2025-08-25T00:00:00"/>
    <x v="299"/>
    <s v="BG23016"/>
    <d v="2025-08-25T00:00:00"/>
    <d v="1899-12-30T17:21:00"/>
    <x v="85"/>
    <s v="BOGOTA"/>
    <s v="TILVASYN X 25 KG"/>
    <n v="25"/>
    <n v="1"/>
    <n v="5250000"/>
    <d v="2025-08-25T00:00:00"/>
    <d v="2025-08-25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DQCICLIN X 1 KG"/>
    <n v="6"/>
    <n v="6"/>
    <n v="1948116"/>
    <d v="2025-08-26T00:00:00"/>
    <d v="2025-08-26T00:00:00"/>
    <x v="0"/>
  </r>
  <r>
    <s v="CARTERA"/>
    <s v="144"/>
    <d v="2025-08-26T00:00:00"/>
    <d v="1899-12-30T09:27:00"/>
    <d v="2025-08-26T00:00:00"/>
    <x v="300"/>
    <s v="BG23032"/>
    <d v="2025-08-26T00:00:00"/>
    <d v="1899-12-30T09:47:00"/>
    <x v="86"/>
    <s v="BUCARAMANGA"/>
    <s v="FOSMYCINA 90 X 500 GR"/>
    <n v="7.5"/>
    <n v="15"/>
    <n v="3901560"/>
    <d v="2025-08-26T00:00:00"/>
    <d v="2025-08-26T00:00:00"/>
    <x v="0"/>
  </r>
  <r>
    <m/>
    <s v="47162"/>
    <d v="2025-08-25T00:00:00"/>
    <d v="1899-12-30T11:52:00"/>
    <s v="ela en mandar y servir 27/08/2025"/>
    <x v="301"/>
    <s v="BG23037"/>
    <d v="2025-08-26T00:00:00"/>
    <d v="1899-12-30T09:50:00"/>
    <x v="79"/>
    <s v="EL ROBLE"/>
    <s v="TILVASYN X 5 KG"/>
    <n v="5"/>
    <n v="1"/>
    <n v="1000000"/>
    <d v="2025-08-27T00:00:00"/>
    <d v="2025-08-27T00:00:00"/>
    <x v="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CLORTETRAX 20 % X 25 KG"/>
    <n v="500"/>
    <n v="20"/>
    <n v="8100000"/>
    <d v="2025-08-28T00:00:00"/>
    <d v="2025-08-27T00:00:00"/>
    <x v="10"/>
  </r>
  <r>
    <m/>
    <s v="AG-0033-25"/>
    <d v="2025-08-25T00:00:00"/>
    <d v="1899-12-30T17:41:00"/>
    <d v="2025-08-27T00:00:00"/>
    <x v="302"/>
    <s v="BG23029"/>
    <d v="2025-08-26T00:00:00"/>
    <d v="1899-12-30T10:09:00"/>
    <x v="23"/>
    <s v="PLANTA"/>
    <s v="SALINOMIX 12% X 25 KG"/>
    <n v="75"/>
    <n v="3"/>
    <n v="900000"/>
    <d v="2025-08-28T00:00:00"/>
    <d v="2025-08-27T00:00:00"/>
    <x v="1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AMOXIN X 1 KG"/>
    <n v="30"/>
    <n v="1.2"/>
    <n v="48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OMIX 250 PREMIX X 25 KG"/>
    <n v="35"/>
    <n v="1.4"/>
    <n v="155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FENIFLOR PREMIX X 25 KG"/>
    <n v="25"/>
    <n v="1"/>
    <n v="18125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TILCOMIX PREMIX S X 5 KG"/>
    <n v="25"/>
    <n v="1"/>
    <n v="3875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PROFLOX X 5 KG"/>
    <n v="200"/>
    <n v="8"/>
    <n v="1100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SMOOTH SWEET X 75 GR"/>
    <n v="15"/>
    <n v="200"/>
    <n v="15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IGNUS X 20 KILOS"/>
    <n v="60"/>
    <n v="3"/>
    <n v="2520000"/>
    <d v="2025-08-27T00:00:00"/>
    <d v="2025-08-27T00:00:00"/>
    <x v="0"/>
  </r>
  <r>
    <m/>
    <s v="ORC-2508023"/>
    <d v="2025-08-26T00:00:00"/>
    <d v="1899-12-30T08:11:00"/>
    <d v="2025-08-27T00:00:00"/>
    <x v="303"/>
    <s v="BG23031"/>
    <d v="2025-08-26T00:00:00"/>
    <d v="1899-12-30T11:53:00"/>
    <x v="50"/>
    <s v="MANIZALES"/>
    <s v="CELMANAX X 25 KG"/>
    <n v="500"/>
    <n v="20"/>
    <n v="8657500"/>
    <d v="2025-08-27T00:00:00"/>
    <d v="2025-08-27T00:00:00"/>
    <x v="0"/>
  </r>
  <r>
    <m/>
    <s v="1242991 "/>
    <d v="2025-08-26T00:00:00"/>
    <d v="1899-12-30T11:19:00"/>
    <d v="2025-08-27T00:00:00"/>
    <x v="304"/>
    <s v="BG23038"/>
    <d v="2025-08-26T00:00:00"/>
    <d v="1899-12-30T12:14:00"/>
    <x v="43"/>
    <s v="BUCARAMANGA"/>
    <s v="CIPROFLOX X 5 KG"/>
    <n v="80"/>
    <n v="3.2"/>
    <n v="4360000"/>
    <d v="2025-08-27T00:00:00"/>
    <d v="2025-08-27T00:00:00"/>
    <x v="0"/>
  </r>
  <r>
    <m/>
    <s v="1242991 "/>
    <d v="2025-08-26T00:00:00"/>
    <d v="1899-12-30T11:19:00"/>
    <d v="2025-08-27T00:00:00"/>
    <x v="305"/>
    <s v="BG23038"/>
    <d v="2025-08-26T00:00:00"/>
    <d v="1899-12-30T12:14:00"/>
    <x v="43"/>
    <s v="BUCARAMANGA"/>
    <s v="SMOOTH SWEET X 75 GR"/>
    <n v="6"/>
    <n v="80"/>
    <n v="6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HALQUINOX 800 X 25 KG"/>
    <n v="500"/>
    <n v="20"/>
    <n v="36433500"/>
    <d v="2025-08-27T00:00:00"/>
    <d v="2025-08-27T00:00:00"/>
    <x v="0"/>
  </r>
  <r>
    <m/>
    <s v="4500082360"/>
    <d v="2025-08-26T00:00:00"/>
    <d v="1899-12-30T11:24:00"/>
    <d v="2025-08-27T00:00:00"/>
    <x v="306"/>
    <s v="BG23042"/>
    <d v="2025-08-26T00:00:00"/>
    <d v="1899-12-30T12:19:00"/>
    <x v="42"/>
    <s v="PREMEX CELTA"/>
    <s v="DINAMIX 800 X 25 KILOS"/>
    <n v="350"/>
    <n v="14"/>
    <n v="43102500"/>
    <d v="2025-08-27T00:00:00"/>
    <d v="2025-08-27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FENIFLOR PREMIX X 25 KG"/>
    <n v="1000"/>
    <n v="40"/>
    <n v="529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TILOMIX 250 PREMIX X 25 KG"/>
    <n v="2000"/>
    <n v="80"/>
    <n v="998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CCUREMAX 20% X 25 KG"/>
    <n v="400"/>
    <n v="16"/>
    <n v="176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MANAX X 25 KG"/>
    <n v="1000"/>
    <n v="40"/>
    <n v="1425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MB 11 X 25 KG"/>
    <n v="2500"/>
    <n v="100"/>
    <n v="440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PROFLOX X 5 KG"/>
    <n v="200"/>
    <n v="8"/>
    <n v="9300000"/>
    <d v="2025-08-28T00:00:00"/>
    <d v="2025-08-28T00:00:00"/>
    <x v="0"/>
  </r>
  <r>
    <s v="INVENTARIO"/>
    <s v="4500082398"/>
    <d v="2025-08-26T00:00:00"/>
    <d v="1899-12-30T12:41:00"/>
    <d v="2025-08-28T00:00:00"/>
    <x v="307"/>
    <s v="BG23048"/>
    <d v="2025-08-26T00:00:00"/>
    <d v="1899-12-30T16:33:00"/>
    <x v="0"/>
    <s v="MEDELLIN"/>
    <s v="SMOOTH SWEET X 5 KG"/>
    <n v="75"/>
    <n v="3"/>
    <n v="75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ONECYL X 25 KG"/>
    <n v="1200"/>
    <n v="48"/>
    <n v="2262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IGNUS X 20 KILOS"/>
    <n v="260"/>
    <n v="10.4"/>
    <n v="897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CELERITY NP X 25 KG"/>
    <n v="3000"/>
    <n v="120"/>
    <n v="3198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AMOXIN X 1 KG"/>
    <n v="200"/>
    <n v="8"/>
    <n v="27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SAGAH X 25 KILOS"/>
    <n v="500"/>
    <n v="20"/>
    <n v="151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MICRO AID X 25 KG"/>
    <n v="100"/>
    <n v="4"/>
    <n v="5200000"/>
    <d v="2025-08-28T00:00:00"/>
    <d v="2025-08-28T00:00:00"/>
    <x v="0"/>
  </r>
  <r>
    <m/>
    <s v="4500082398"/>
    <d v="2025-08-26T00:00:00"/>
    <d v="1899-12-30T12:41:00"/>
    <d v="2025-08-28T00:00:00"/>
    <x v="307"/>
    <s v="BG23048"/>
    <d v="2025-08-26T00:00:00"/>
    <d v="1899-12-30T16:33:00"/>
    <x v="0"/>
    <s v="MEDELLIN"/>
    <s v="DQCICLIN X 1 KG"/>
    <n v="40"/>
    <n v="1.6"/>
    <n v="7000000"/>
    <d v="2025-08-28T00:00:00"/>
    <d v="2025-08-28T00:00:00"/>
    <x v="0"/>
  </r>
  <r>
    <m/>
    <s v="4500082414"/>
    <d v="2025-08-26T00:00:00"/>
    <d v="1899-12-30T16:51:00"/>
    <d v="2025-08-28T00:00:00"/>
    <x v="308"/>
    <s v="BG23049"/>
    <d v="2025-08-26T00:00:00"/>
    <d v="1899-12-30T17:09:00"/>
    <x v="0"/>
    <s v="MEDELLIN"/>
    <s v="DMB 11 X 25 KG"/>
    <n v="2000"/>
    <n v="80"/>
    <m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ROFLOX X 1 LITRO"/>
    <n v="4"/>
    <n v="4"/>
    <n v="220000"/>
    <d v="2025-08-28T00:00:00"/>
    <d v="2025-08-28T00:00:00"/>
    <x v="0"/>
  </r>
  <r>
    <m/>
    <s v="NA"/>
    <d v="2025-08-28T00:00:00"/>
    <d v="1899-12-30T07:00:00"/>
    <d v="2025-08-28T00:00:00"/>
    <x v="309"/>
    <s v="BG23128"/>
    <d v="2025-08-28T00:00:00"/>
    <d v="1899-12-30T08:25:00"/>
    <x v="87"/>
    <s v="SANTA ROSA DE OSOS"/>
    <s v="NORFLOX X 1 KG"/>
    <n v="1"/>
    <n v="1"/>
    <n v="65000"/>
    <d v="2025-08-28T00:00:00"/>
    <d v="2025-08-28T00:00:00"/>
    <x v="0"/>
  </r>
  <r>
    <m/>
    <s v="NA"/>
    <d v="2025-08-28T00:00:00"/>
    <d v="1899-12-30T07:00:00"/>
    <d v="2025-08-28T00:00:00"/>
    <x v="310"/>
    <s v="BG23129"/>
    <d v="2025-08-28T00:00:00"/>
    <d v="1899-12-30T08:25:00"/>
    <x v="87"/>
    <s v="SANTA ROSA DE OSOS"/>
    <s v="ROFLOX X 1 LITRO"/>
    <n v="2"/>
    <n v="2"/>
    <n v="110000"/>
    <d v="2025-08-28T00:00:00"/>
    <d v="2025-08-28T00:00:00"/>
    <x v="0"/>
  </r>
  <r>
    <m/>
    <s v="NA"/>
    <d v="2025-08-28T00:00:00"/>
    <d v="1899-12-30T08:38:00"/>
    <d v="2025-08-29T00:00:00"/>
    <x v="311"/>
    <s v="BG23056"/>
    <d v="2025-08-28T00:00:00"/>
    <d v="1899-12-30T09:24:00"/>
    <x v="88"/>
    <s v="VILLAVICENCIO"/>
    <s v="HALQUINOX 800 X 25 KG"/>
    <n v="25"/>
    <n v="1"/>
    <n v="2874375"/>
    <d v="2025-08-30T00:00:00"/>
    <d v="2025-08-29T00:00:00"/>
    <x v="10"/>
  </r>
  <r>
    <m/>
    <s v="01-OC -00003850"/>
    <d v="2025-08-27T00:00:00"/>
    <d v="1899-12-30T10:21:00"/>
    <d v="2025-08-29T00:00:00"/>
    <x v="312"/>
    <s v="BG23051"/>
    <d v="2025-08-27T00:00:00"/>
    <d v="1899-12-30T13:24:00"/>
    <x v="7"/>
    <s v="NUTRITEC"/>
    <s v="DMB 11 X 25 KG"/>
    <n v="125"/>
    <n v="5"/>
    <n v="2425000"/>
    <d v="2025-08-28T00:00:00"/>
    <d v="2025-08-29T00:00:00"/>
    <x v="6"/>
  </r>
  <r>
    <m/>
    <s v="OC00001612BX"/>
    <d v="2025-08-27T00:00:00"/>
    <d v="1899-12-30T11:16:00"/>
    <d v="2025-08-30T00:00:00"/>
    <x v="313"/>
    <s v="BG23057"/>
    <d v="2025-08-27T00:00:00"/>
    <d v="1899-12-30T14:57:00"/>
    <x v="8"/>
    <s v="SABANETA"/>
    <s v="CLORTETRAX 20 % X 25 KG"/>
    <n v="500"/>
    <n v="20"/>
    <n v="8000000"/>
    <d v="2025-09-02T00:00:00"/>
    <d v="2025-08-30T00:00:00"/>
    <x v="2"/>
  </r>
  <r>
    <m/>
    <s v=" 1242824"/>
    <d v="2025-08-26T00:00:00"/>
    <d v="1899-12-30T09:10:00"/>
    <d v="2025-08-30T00:00:00"/>
    <x v="314"/>
    <s v="BG23059"/>
    <d v="2025-08-26T00:00:00"/>
    <d v="1899-12-30T12:04:00"/>
    <x v="89"/>
    <s v="CARTAGO"/>
    <s v="DINAMIX PREMIX X 25 KG"/>
    <n v="50"/>
    <n v="2"/>
    <n v="1086500"/>
    <d v="2025-09-03T00:00:00"/>
    <d v="2025-08-30T00:00:00"/>
    <x v="19"/>
  </r>
  <r>
    <m/>
    <m/>
    <d v="2025-08-25T00:00:00"/>
    <d v="1899-12-30T15:12:00"/>
    <d v="2025-08-30T00:00:00"/>
    <x v="315"/>
    <s v="BG23060"/>
    <d v="2025-08-25T00:00:00"/>
    <d v="1899-12-30T15:02:00"/>
    <x v="28"/>
    <s v="BUGA"/>
    <s v="CLORTETRAX 20 % X 25 KG"/>
    <n v="25"/>
    <n v="1"/>
    <n v="425000"/>
    <d v="2025-09-02T00:00:00"/>
    <d v="2025-08-30T00:00:0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">
  <r>
    <x v="0"/>
    <n v="4700008139"/>
    <d v="2025-08-26T00:00:00"/>
    <d v="1899-12-30T18:51:00"/>
    <m/>
    <x v="0"/>
    <s v="BG24432"/>
    <d v="2025-12-10T00:00:00"/>
    <d v="1899-12-30T16:36:00"/>
    <x v="0"/>
    <s v="MEDELLIN"/>
    <x v="0"/>
    <n v="26000"/>
    <n v="1040"/>
    <n v="335140000"/>
    <m/>
  </r>
  <r>
    <x v="0"/>
    <n v="4700008140"/>
    <d v="2025-08-26T00:00:00"/>
    <d v="1899-12-30T18:51:00"/>
    <m/>
    <x v="1"/>
    <s v="BG24678"/>
    <d v="2025-12-29T00:00:00"/>
    <d v="1899-12-30T15:23:00"/>
    <x v="0"/>
    <s v="MEDELLIN"/>
    <x v="0"/>
    <n v="26000"/>
    <n v="1040"/>
    <n v="0"/>
    <m/>
  </r>
  <r>
    <x v="0"/>
    <n v="4700008276"/>
    <d v="2025-10-10T00:00:00"/>
    <d v="1899-12-30T15:20:00"/>
    <m/>
    <x v="2"/>
    <s v="BG24523"/>
    <d v="2025-12-17T00:00:00"/>
    <d v="1899-12-30T11:05:00"/>
    <x v="0"/>
    <s v="MEDELLIN"/>
    <x v="0"/>
    <n v="56000"/>
    <n v="2240"/>
    <n v="719600000"/>
    <m/>
  </r>
  <r>
    <x v="0"/>
    <n v="7000395851"/>
    <m/>
    <m/>
    <s v="ENTREGADO EL 01-12-2025"/>
    <x v="3"/>
    <s v="BG24295"/>
    <d v="2025-11-27T00:00:00"/>
    <d v="1899-12-30T15:34:00"/>
    <x v="1"/>
    <s v="REFRILOGISTICA"/>
    <x v="1"/>
    <n v="1700"/>
    <n v="68"/>
    <n v="107304000"/>
    <m/>
  </r>
  <r>
    <x v="0"/>
    <n v="7000395687"/>
    <d v="2025-10-10T00:00:00"/>
    <d v="1899-12-30T16:29:00"/>
    <m/>
    <x v="4"/>
    <s v="BG24365"/>
    <d v="2025-11-27T00:00:00"/>
    <d v="1899-12-30T15:54:00"/>
    <x v="1"/>
    <s v="REFRILOGISTICA"/>
    <x v="1"/>
    <n v="1000"/>
    <n v="40"/>
    <n v="63120000"/>
    <m/>
  </r>
  <r>
    <x v="0"/>
    <s v="A02-COC-298588"/>
    <d v="2025-11-12T00:00:00"/>
    <d v="1899-12-30T22:01:00"/>
    <m/>
    <x v="5"/>
    <s v="BG24403"/>
    <d v="2025-11-13T00:00:00"/>
    <d v="1899-12-30T07:38:00"/>
    <x v="2"/>
    <s v="ITAGUI"/>
    <x v="2"/>
    <n v="800"/>
    <n v="32"/>
    <n v="131200000"/>
    <m/>
  </r>
  <r>
    <x v="0"/>
    <s v="A02-COC-298588"/>
    <d v="2025-11-12T00:00:00"/>
    <d v="1899-12-30T22:01:00"/>
    <m/>
    <x v="5"/>
    <s v="BG24403"/>
    <d v="2025-11-13T00:00:00"/>
    <d v="1899-12-30T07:38:00"/>
    <x v="2"/>
    <s v="ITAGUI"/>
    <x v="3"/>
    <n v="10000"/>
    <n v="400"/>
    <n v="205000000"/>
    <m/>
  </r>
  <r>
    <x v="0"/>
    <s v="004-OSC-00050013"/>
    <d v="2025-11-19T00:00:00"/>
    <d v="1899-12-30T16:07:00"/>
    <m/>
    <x v="6"/>
    <s v="BG24400"/>
    <d v="2025-11-20T00:00:00"/>
    <d v="1899-12-30T07:16:00"/>
    <x v="3"/>
    <s v="CARTAGO"/>
    <x v="4"/>
    <n v="2500"/>
    <n v="100"/>
    <n v="63750000"/>
    <m/>
  </r>
  <r>
    <x v="0"/>
    <s v="004-OSC-00050012"/>
    <d v="2025-11-19T00:00:00"/>
    <d v="1899-12-30T16:07:00"/>
    <m/>
    <x v="7"/>
    <s v="BG24333"/>
    <d v="2025-11-20T00:00:00"/>
    <d v="1899-12-30T07:16:00"/>
    <x v="3"/>
    <s v="CARTAGO"/>
    <x v="5"/>
    <n v="300"/>
    <n v="12"/>
    <n v="11550000"/>
    <m/>
  </r>
  <r>
    <x v="1"/>
    <n v="1300879"/>
    <d v="2025-11-19T00:00:00"/>
    <d v="1899-12-30T20:17:00"/>
    <m/>
    <x v="8"/>
    <s v="-"/>
    <d v="2025-11-20T00:00:00"/>
    <d v="1899-12-30T10:44:00"/>
    <x v="4"/>
    <s v="CARTAGO"/>
    <x v="6"/>
    <n v="75"/>
    <n v="3"/>
    <n v="0"/>
    <m/>
  </r>
  <r>
    <x v="0"/>
    <s v="OC00002403BX"/>
    <d v="2025-11-19T00:00:00"/>
    <d v="1899-12-30T16:10:00"/>
    <s v="EN REPARTO"/>
    <x v="9"/>
    <s v="BG24332"/>
    <d v="2025-11-20T00:00:00"/>
    <d v="1899-12-30T10:59:00"/>
    <x v="5"/>
    <s v="SABANETA"/>
    <x v="7"/>
    <n v="300"/>
    <n v="12"/>
    <n v="585000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6"/>
    <n v="8000"/>
    <n v="320"/>
    <s v="297,798,540.0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8"/>
    <n v="3000"/>
    <n v="120"/>
    <s v="47,418,690.6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0"/>
    <n v="1000"/>
    <n v="40"/>
    <s v="17,371,581.50"/>
    <m/>
  </r>
  <r>
    <x v="0"/>
    <n v="4700008408"/>
    <d v="2025-11-20T00:00:00"/>
    <d v="1899-12-30T11:23:00"/>
    <m/>
    <x v="10"/>
    <s v="BG24559"/>
    <d v="2025-11-20T00:00:00"/>
    <d v="1899-12-30T11:36:00"/>
    <x v="6"/>
    <s v="GUATEMALA"/>
    <x v="9"/>
    <n v="8000"/>
    <n v="320"/>
    <s v="390,650,597.6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0"/>
    <n v="350"/>
    <n v="14"/>
    <n v="35875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1"/>
    <n v="1300"/>
    <n v="52"/>
    <n v="84500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0"/>
    <n v="400"/>
    <n v="16"/>
    <n v="6400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2"/>
    <n v="150"/>
    <n v="6"/>
    <n v="7950000"/>
    <m/>
  </r>
  <r>
    <x v="0"/>
    <s v="MPN - 5,436"/>
    <d v="2025-11-19T00:00:00"/>
    <d v="1899-12-30T17:47:00"/>
    <s v="ENTREGADO EL 02-12-2025"/>
    <x v="11"/>
    <s v="BG24331"/>
    <d v="2025-11-20T00:00:00"/>
    <d v="1899-12-30T15:27:00"/>
    <x v="7"/>
    <s v="NUTREXCOL"/>
    <x v="13"/>
    <n v="150"/>
    <n v="6"/>
    <n v="28500000"/>
    <m/>
  </r>
  <r>
    <x v="2"/>
    <s v="MPN - 5,436"/>
    <d v="2025-11-19T00:00:00"/>
    <d v="1899-12-30T17:47:00"/>
    <m/>
    <x v="11"/>
    <s v="BG24331"/>
    <d v="2025-11-20T00:00:00"/>
    <d v="1899-12-30T15:27:00"/>
    <x v="7"/>
    <s v="NUTREXCOL"/>
    <x v="13"/>
    <n v="100"/>
    <n v="4"/>
    <n v="19000000"/>
    <m/>
  </r>
  <r>
    <x v="0"/>
    <s v="MPN - 5,436"/>
    <d v="2025-11-19T00:00:00"/>
    <d v="1899-12-30T17:47:00"/>
    <s v="ENTREGADO EL 02-12-2025"/>
    <x v="12"/>
    <s v="BG24330"/>
    <d v="2025-11-20T00:00:00"/>
    <d v="1899-12-30T15:27:00"/>
    <x v="7"/>
    <s v="NUTREXCOL"/>
    <x v="14"/>
    <n v="11.25"/>
    <n v="0"/>
    <n v="0"/>
    <m/>
  </r>
  <r>
    <x v="0"/>
    <s v="100-CON-00023593_x000a_"/>
    <d v="2025-11-20T00:00:00"/>
    <d v="1899-12-30T08:04:00"/>
    <s v="ENTREGADO EL 28-11-2025"/>
    <x v="13"/>
    <s v="BG24313"/>
    <d v="2025-11-27T00:00:00"/>
    <d v="1899-12-30T12:31:00"/>
    <x v="8"/>
    <s v="GIRARDOTA"/>
    <x v="13"/>
    <n v="350"/>
    <n v="14"/>
    <n v="68320000"/>
    <m/>
  </r>
  <r>
    <x v="0"/>
    <s v="100-CON-00023593"/>
    <d v="2025-11-20T00:00:00"/>
    <d v="1899-12-30T08:04:00"/>
    <s v="ENTREGADO EL 28-11-2025"/>
    <x v="13"/>
    <s v="BG24313"/>
    <d v="2025-11-27T00:00:00"/>
    <d v="1899-12-30T12:31:00"/>
    <x v="8"/>
    <s v="GIRARDOTA"/>
    <x v="5"/>
    <n v="350"/>
    <n v="14"/>
    <n v="12250000"/>
    <m/>
  </r>
  <r>
    <x v="1"/>
    <s v="OC PENDIENTE"/>
    <d v="2025-11-20T00:00:00"/>
    <d v="1899-12-30T08:04:00"/>
    <m/>
    <x v="14"/>
    <s v="-"/>
    <d v="2025-11-21T00:00:00"/>
    <d v="1899-12-30T07:12:00"/>
    <x v="8"/>
    <s v="GIRARDOTA"/>
    <x v="13"/>
    <n v="450"/>
    <n v="18"/>
    <n v="78080000"/>
    <m/>
  </r>
  <r>
    <x v="0"/>
    <n v="5504023042"/>
    <d v="2025-11-20T00:00:00"/>
    <d v="1899-12-30T14:31:00"/>
    <s v="EN ESPERA DE CARGUE"/>
    <x v="15"/>
    <s v="BG24466"/>
    <d v="2025-11-21T00:00:00"/>
    <d v="1899-12-30T07:18:00"/>
    <x v="9"/>
    <s v="BUCARAMANGA"/>
    <x v="15"/>
    <n v="50"/>
    <n v="2"/>
    <n v="3375000"/>
    <m/>
  </r>
  <r>
    <x v="0"/>
    <n v="5504023010"/>
    <d v="2025-11-20T00:00:00"/>
    <d v="1899-12-30T14:31:00"/>
    <s v="EN ESPERA DE CARGUE"/>
    <x v="16"/>
    <s v="BG24467"/>
    <d v="2025-11-21T00:00:00"/>
    <d v="1899-12-30T07:18:00"/>
    <x v="9"/>
    <s v="BUCARAMANGA"/>
    <x v="16"/>
    <n v="100"/>
    <n v="100"/>
    <n v="5550000"/>
    <m/>
  </r>
  <r>
    <x v="0"/>
    <n v="1301448"/>
    <d v="2025-11-20T00:00:00"/>
    <d v="1899-12-30T14:22:00"/>
    <s v="ENTREGADO EL 01-12-2025"/>
    <x v="17"/>
    <s v="BG24329"/>
    <d v="2025-11-21T00:00:00"/>
    <d v="1899-12-30T07:24:00"/>
    <x v="10"/>
    <s v="BUCARAMANGA"/>
    <x v="6"/>
    <n v="25"/>
    <n v="1"/>
    <n v="1325000"/>
    <m/>
  </r>
  <r>
    <x v="1"/>
    <s v="OC PENDIENTE"/>
    <d v="2025-11-20T00:00:00"/>
    <d v="1899-12-30T15:59:00"/>
    <m/>
    <x v="18"/>
    <s v="-"/>
    <d v="2025-11-21T00:00:00"/>
    <d v="1899-12-30T07:26:00"/>
    <x v="11"/>
    <s v="BELLO"/>
    <x v="13"/>
    <n v="225"/>
    <n v="9"/>
    <n v="40500000"/>
    <m/>
  </r>
  <r>
    <x v="0"/>
    <n v="1301538"/>
    <d v="2025-11-20T00:00:00"/>
    <d v="1899-12-30T16:05:00"/>
    <s v="ENTREGADO EL 29-11-2025"/>
    <x v="19"/>
    <s v="BG24328"/>
    <d v="2025-11-21T00:00:00"/>
    <d v="1899-12-30T07:35:00"/>
    <x v="4"/>
    <s v="ENVIGADO"/>
    <x v="17"/>
    <n v="175"/>
    <n v="7"/>
    <n v="23150000"/>
    <m/>
  </r>
  <r>
    <x v="0"/>
    <s v="ORC-00042390"/>
    <d v="2025-11-20T00:00:00"/>
    <d v="1899-12-30T18:00:00"/>
    <s v="ENTREGADO EL 28-11-2025"/>
    <x v="20"/>
    <s v="BG24366"/>
    <d v="2025-11-21T00:00:00"/>
    <d v="1899-12-30T07:39:00"/>
    <x v="12"/>
    <s v="IBAGUE"/>
    <x v="16"/>
    <n v="300"/>
    <n v="300"/>
    <n v="16650000"/>
    <m/>
  </r>
  <r>
    <x v="0"/>
    <n v="1301798"/>
    <d v="2025-11-20T00:00:00"/>
    <d v="1899-12-30T19:10:00"/>
    <s v="ENTREGADO EL 01-12-2025"/>
    <x v="21"/>
    <s v="BG24326"/>
    <d v="2025-11-21T00:00:00"/>
    <d v="1899-12-30T07:41:00"/>
    <x v="4"/>
    <s v="BOGOTA"/>
    <x v="11"/>
    <n v="100"/>
    <n v="4"/>
    <n v="5292000"/>
    <m/>
  </r>
  <r>
    <x v="0"/>
    <n v="5504024657"/>
    <d v="2025-11-21T00:00:00"/>
    <d v="1899-12-30T07:32:00"/>
    <s v="EN ESPERA DE CARGUE"/>
    <x v="22"/>
    <s v="BG24468"/>
    <d v="2025-11-24T00:00:00"/>
    <d v="1899-12-30T10:34:00"/>
    <x v="9"/>
    <s v="BUCARAMANGA"/>
    <x v="18"/>
    <n v="120"/>
    <n v="5"/>
    <n v="17100000"/>
    <m/>
  </r>
  <r>
    <x v="0"/>
    <n v="5504024657"/>
    <d v="2025-11-21T00:00:00"/>
    <d v="1899-12-30T07:32:00"/>
    <s v="EN ESPERA DE CARGUE"/>
    <x v="22"/>
    <s v="BG24468"/>
    <d v="2025-11-24T00:00:00"/>
    <d v="1899-12-30T10:34:00"/>
    <x v="9"/>
    <s v="BUCARAMANGA"/>
    <x v="19"/>
    <n v="50"/>
    <n v="2"/>
    <n v="2325000"/>
    <m/>
  </r>
  <r>
    <x v="0"/>
    <n v="5504076287"/>
    <d v="2025-11-21T00:00:00"/>
    <d v="1899-12-30T07:32:00"/>
    <s v="EN ESPERA DE CARGUE"/>
    <x v="22"/>
    <s v="BG24468"/>
    <d v="2025-11-24T00:00:00"/>
    <d v="1899-12-30T10:34:00"/>
    <x v="9"/>
    <s v="BUCARAMANGA"/>
    <x v="20"/>
    <n v="100"/>
    <n v="200"/>
    <n v="10600000"/>
    <m/>
  </r>
  <r>
    <x v="0"/>
    <n v="5504076287"/>
    <d v="2025-12-05T00:00:00"/>
    <m/>
    <m/>
    <x v="23"/>
    <s v="BG24519"/>
    <d v="2025-12-05T00:00:00"/>
    <m/>
    <x v="9"/>
    <s v="ESMERALDA"/>
    <x v="20"/>
    <n v="100"/>
    <n v="200"/>
    <n v="0"/>
    <m/>
  </r>
  <r>
    <x v="3"/>
    <n v="5504076287"/>
    <d v="2025-11-21T00:00:00"/>
    <d v="1899-12-30T07:32:00"/>
    <s v="EN ESPERA DE CARGUE"/>
    <x v="24"/>
    <s v="-"/>
    <d v="2025-12-05T00:00:00"/>
    <d v="1899-12-30T13:27:00"/>
    <x v="9"/>
    <s v="BUCARAMANGA"/>
    <x v="20"/>
    <n v="100"/>
    <n v="200"/>
    <n v="10600000"/>
    <m/>
  </r>
  <r>
    <x v="0"/>
    <n v="5504062067"/>
    <d v="2025-12-02T00:00:00"/>
    <d v="1899-12-30T16:39:00"/>
    <s v="EN ESPERA DE CARGUE"/>
    <x v="25"/>
    <s v="BG24363"/>
    <d v="2025-12-03T00:00:00"/>
    <d v="1899-12-30T12:32:00"/>
    <x v="9"/>
    <s v="BUCARAMANGA"/>
    <x v="20"/>
    <n v="200"/>
    <n v="400"/>
    <n v="21200000"/>
    <m/>
  </r>
  <r>
    <x v="0"/>
    <n v="4503895269"/>
    <d v="2025-11-21T00:00:00"/>
    <d v="1899-12-30T19:17:00"/>
    <s v="ENTREGADO EL 25-11-2025"/>
    <x v="26"/>
    <s v="BG24324"/>
    <d v="2025-11-24T00:00:00"/>
    <d v="1899-12-30T11:29:00"/>
    <x v="13"/>
    <s v="RIO FRIO"/>
    <x v="16"/>
    <n v="144"/>
    <n v="6"/>
    <n v="7956000"/>
    <m/>
  </r>
  <r>
    <x v="0"/>
    <n v="62993"/>
    <d v="2025-11-23T00:00:00"/>
    <d v="1899-12-30T19:22:00"/>
    <s v="ENTREGADO EL 25-11-2025"/>
    <x v="27"/>
    <s v="BG24342"/>
    <d v="2025-11-24T00:00:00"/>
    <d v="1899-12-30T12:41:00"/>
    <x v="14"/>
    <s v="BUCARAMANGA"/>
    <x v="21"/>
    <n v="300"/>
    <n v="12"/>
    <n v="11400000"/>
    <m/>
  </r>
  <r>
    <x v="0"/>
    <n v="63138"/>
    <d v="2025-11-23T00:00:00"/>
    <d v="1899-12-30T19:22:00"/>
    <s v="ENTREGADO EL 25-11-2025"/>
    <x v="28"/>
    <s v="BG24341"/>
    <d v="2025-11-24T00:00:00"/>
    <d v="1899-12-30T12:41:00"/>
    <x v="14"/>
    <s v="BUCARAMANGA"/>
    <x v="3"/>
    <n v="25"/>
    <n v="1"/>
    <n v="525000"/>
    <m/>
  </r>
  <r>
    <x v="0"/>
    <s v="001-OSC-00067727"/>
    <m/>
    <m/>
    <s v="ENTREGADO EL 02-12-2025"/>
    <x v="29"/>
    <s v="BG24325"/>
    <m/>
    <m/>
    <x v="3"/>
    <s v="BELLO"/>
    <x v="7"/>
    <n v="1500"/>
    <n v="60"/>
    <n v="27525000"/>
    <m/>
  </r>
  <r>
    <x v="0"/>
    <s v="MPN - 5,440"/>
    <d v="2025-11-24T00:00:00"/>
    <d v="1899-12-30T10:10:00"/>
    <s v="ENTREGADO EL 26-11-2025"/>
    <x v="30"/>
    <s v="BG24323"/>
    <d v="2025-11-24T00:00:00"/>
    <d v="1899-12-30T13:10:00"/>
    <x v="7"/>
    <s v="NUTREXCOL"/>
    <x v="4"/>
    <n v="225"/>
    <n v="9"/>
    <n v="5737500"/>
    <m/>
  </r>
  <r>
    <x v="0"/>
    <n v="8901047193"/>
    <d v="2025-11-24T00:00:00"/>
    <d v="1899-12-30T12:45:00"/>
    <s v="ENTREGADO EL 26-11-2025"/>
    <x v="31"/>
    <s v="BG24322"/>
    <d v="2025-11-24T00:00:00"/>
    <d v="1899-12-30T13:33:00"/>
    <x v="15"/>
    <s v="MALAMBO"/>
    <x v="22"/>
    <n v="24"/>
    <n v="24"/>
    <n v="3600000"/>
    <m/>
  </r>
  <r>
    <x v="0"/>
    <n v="4503900475"/>
    <d v="2025-11-24T00:00:00"/>
    <d v="1899-12-30T17:29:00"/>
    <s v="ENTREGADO EL 26-11-2025"/>
    <x v="32"/>
    <s v="BG24321"/>
    <d v="2025-11-25T00:00:00"/>
    <d v="1899-12-30T11:32:00"/>
    <x v="16"/>
    <s v="BUGA"/>
    <x v="0"/>
    <n v="4000"/>
    <n v="160"/>
    <n v="62000000"/>
    <m/>
  </r>
  <r>
    <x v="0"/>
    <s v="001-OCN-00013470"/>
    <d v="2025-11-24T00:00:00"/>
    <d v="1899-12-30T17:23:00"/>
    <s v="ENTEGADO EL 01-12-2025"/>
    <x v="33"/>
    <s v="BG24320"/>
    <d v="2025-11-25T00:00:00"/>
    <d v="1899-12-30T11:39:00"/>
    <x v="17"/>
    <s v="MOSQUERA"/>
    <x v="10"/>
    <n v="300"/>
    <n v="12"/>
    <n v="32947500"/>
    <m/>
  </r>
  <r>
    <x v="0"/>
    <n v="4500364437"/>
    <d v="2025-11-25T00:00:00"/>
    <d v="1899-12-30T11:29:00"/>
    <s v="ENTREGADO EL 26-11-2025"/>
    <x v="34"/>
    <s v="BG24319"/>
    <d v="2025-11-25T00:00:00"/>
    <d v="1899-12-30T13:00:00"/>
    <x v="18"/>
    <s v="BUCARAMANGA"/>
    <x v="23"/>
    <n v="100"/>
    <n v="100"/>
    <n v="5600000"/>
    <m/>
  </r>
  <r>
    <x v="0"/>
    <s v="001-SC-015687"/>
    <d v="2025-11-25T00:00:00"/>
    <d v="1899-12-30T09:11:00"/>
    <s v="ENTREGADO EL 02-12-2025"/>
    <x v="35"/>
    <s v="BG24318"/>
    <d v="2025-11-25T00:00:00"/>
    <d v="1899-12-30T13:31:00"/>
    <x v="19"/>
    <s v="ARMENIA"/>
    <x v="0"/>
    <n v="2000"/>
    <n v="80"/>
    <n v="32000000"/>
    <m/>
  </r>
  <r>
    <x v="0"/>
    <s v="001-SC-015687"/>
    <d v="2025-11-25T00:00:00"/>
    <d v="1899-12-30T09:11:00"/>
    <s v="ENTREGADO EL 02-12-2025"/>
    <x v="35"/>
    <s v="BG24318"/>
    <d v="2025-11-25T00:00:00"/>
    <d v="1899-12-30T13:31:00"/>
    <x v="19"/>
    <s v="ARMENIA"/>
    <x v="11"/>
    <n v="25"/>
    <n v="1"/>
    <n v="1725000"/>
    <m/>
  </r>
  <r>
    <x v="0"/>
    <n v="1303776"/>
    <d v="2025-11-24T00:00:00"/>
    <d v="1899-12-30T14:35:00"/>
    <s v="ENTEGADO EL 28-11-2025"/>
    <x v="36"/>
    <s v="BG24251"/>
    <d v="2025-11-25T00:00:00"/>
    <d v="1899-12-30T13:33:00"/>
    <x v="4"/>
    <s v="CARTAGO"/>
    <x v="17"/>
    <n v="200"/>
    <n v="8"/>
    <n v="26460000"/>
    <m/>
  </r>
  <r>
    <x v="0"/>
    <s v="004-OSC-00050083"/>
    <d v="2025-11-24T00:00:00"/>
    <d v="1899-12-30T17:02:00"/>
    <m/>
    <x v="37"/>
    <s v="BG24399"/>
    <d v="2025-11-25T00:00:00"/>
    <d v="1899-12-30T13:36:00"/>
    <x v="3"/>
    <s v="CARTAGO"/>
    <x v="5"/>
    <n v="600"/>
    <n v="24"/>
    <n v="23100000"/>
    <m/>
  </r>
  <r>
    <x v="0"/>
    <s v="004-OSC-00050083"/>
    <d v="2025-11-24T00:00:00"/>
    <d v="1899-12-30T17:02:00"/>
    <m/>
    <x v="37"/>
    <s v="BG24399"/>
    <d v="2025-11-25T00:00:00"/>
    <d v="1899-12-30T13:36:00"/>
    <x v="3"/>
    <s v="CARTAGO"/>
    <x v="7"/>
    <n v="2000"/>
    <n v="80"/>
    <n v="36700000"/>
    <m/>
  </r>
  <r>
    <x v="0"/>
    <n v="1304034"/>
    <d v="2025-11-24T00:00:00"/>
    <d v="1899-12-30T17:32:00"/>
    <s v="ENTEGADO EL 01-12-2025"/>
    <x v="38"/>
    <s v="BG24317"/>
    <d v="2025-11-25T00:00:00"/>
    <d v="1899-12-30T13:38:00"/>
    <x v="10"/>
    <s v="BUGA"/>
    <x v="13"/>
    <n v="50"/>
    <n v="2"/>
    <n v="8750000"/>
    <m/>
  </r>
  <r>
    <x v="0"/>
    <n v="4500084955"/>
    <d v="2025-11-25T00:00:00"/>
    <d v="1899-12-30T08:42:00"/>
    <s v="AUN NO SE ENCUENTRA PRODUCTO DISPONIBLE"/>
    <x v="39"/>
    <s v="BG24372"/>
    <d v="2025-11-25T00:00:00"/>
    <d v="1899-12-30T13:41:00"/>
    <x v="0"/>
    <s v="SABANETA"/>
    <x v="24"/>
    <n v="300"/>
    <n v="12"/>
    <n v="5655000"/>
    <m/>
  </r>
  <r>
    <x v="0"/>
    <s v="022-OC-005535"/>
    <d v="2025-11-21T00:00:00"/>
    <d v="1899-12-30T13:31:00"/>
    <s v="ENTEGADO EL 01-12-2025"/>
    <x v="40"/>
    <s v="BG24337"/>
    <m/>
    <m/>
    <x v="20"/>
    <s v="JORGE TORRES"/>
    <x v="23"/>
    <n v="6"/>
    <n v="0"/>
    <n v="361200"/>
    <m/>
  </r>
  <r>
    <x v="0"/>
    <s v="022-OC-005535"/>
    <d v="2025-11-21T00:00:00"/>
    <d v="1899-12-30T13:31:00"/>
    <s v="ENTEGADO EL 01-12-2025"/>
    <x v="41"/>
    <s v="BG24343"/>
    <m/>
    <m/>
    <x v="20"/>
    <s v="JORGE TORRES"/>
    <x v="25"/>
    <n v="1.23"/>
    <n v="0"/>
    <n v="0"/>
    <m/>
  </r>
  <r>
    <x v="0"/>
    <s v="022-OC-005535"/>
    <d v="2025-11-21T00:00:00"/>
    <d v="1899-12-30T13:31:00"/>
    <s v="ENTEGADO EL 01-12-2025"/>
    <x v="42"/>
    <s v="BG24337"/>
    <m/>
    <m/>
    <x v="20"/>
    <s v="JORGE TORRES"/>
    <x v="23"/>
    <n v="12"/>
    <n v="0"/>
    <n v="722400"/>
    <m/>
  </r>
  <r>
    <x v="4"/>
    <s v="999-OCN-00020268"/>
    <d v="2025-11-23T00:00:00"/>
    <d v="1899-12-30T19:28:00"/>
    <s v="ENTREGADO EL 03-12-2025"/>
    <x v="43"/>
    <s v="BG24430"/>
    <d v="2025-11-25T00:00:00"/>
    <d v="1899-12-30T17:19:00"/>
    <x v="21"/>
    <s v="BRUJAL"/>
    <x v="4"/>
    <n v="3000"/>
    <n v="120"/>
    <n v="76500000"/>
    <m/>
  </r>
  <r>
    <x v="0"/>
    <s v="999-OCN-00020267"/>
    <d v="2025-11-23T00:00:00"/>
    <d v="1899-12-30T19:28:00"/>
    <s v="ENTREGADO EL 27-11-2025"/>
    <x v="44"/>
    <s v="BG24431"/>
    <d v="2025-11-25T00:00:00"/>
    <d v="1899-12-30T17:19:00"/>
    <x v="21"/>
    <s v="LEBRIJA"/>
    <x v="4"/>
    <n v="3000"/>
    <n v="120"/>
    <n v="76500000"/>
    <m/>
  </r>
  <r>
    <x v="0"/>
    <n v="4500085007"/>
    <d v="2025-11-25T00:00:00"/>
    <d v="1899-12-30T23:32:00"/>
    <m/>
    <x v="45"/>
    <s v="BG24371"/>
    <d v="2025-11-26T00:00:00"/>
    <d v="1899-12-30T08:08:00"/>
    <x v="0"/>
    <s v="MEDELLIN"/>
    <x v="24"/>
    <n v="2000"/>
    <n v="80"/>
    <n v="37700000"/>
    <m/>
  </r>
  <r>
    <x v="0"/>
    <n v="4500085008"/>
    <d v="2025-11-25T00:00:00"/>
    <d v="1899-12-30T23:32:00"/>
    <m/>
    <x v="46"/>
    <s v="BG24369"/>
    <d v="2025-11-26T00:00:00"/>
    <d v="1899-12-30T08:08:00"/>
    <x v="0"/>
    <s v="CELTA"/>
    <x v="24"/>
    <n v="2000"/>
    <n v="80"/>
    <n v="37700000"/>
    <m/>
  </r>
  <r>
    <x v="0"/>
    <n v="1001974502"/>
    <d v="2025-11-25T00:00:00"/>
    <d v="1899-12-30T14:05:00"/>
    <m/>
    <x v="47"/>
    <s v="BG24395"/>
    <d v="2025-11-26T00:00:00"/>
    <d v="1899-12-30T11:43:00"/>
    <x v="22"/>
    <s v="MOSQUERA"/>
    <x v="0"/>
    <n v="400"/>
    <n v="16"/>
    <n v="8080000"/>
    <m/>
  </r>
  <r>
    <x v="0"/>
    <s v="001-OSC-00067878"/>
    <d v="2025-11-25T00:00:00"/>
    <d v="1899-12-30T14:12:00"/>
    <m/>
    <x v="48"/>
    <s v="BG24334"/>
    <d v="2025-11-26T00:00:00"/>
    <d v="1899-12-30T11:46:00"/>
    <x v="3"/>
    <s v="BELLO"/>
    <x v="7"/>
    <n v="2000"/>
    <n v="80"/>
    <n v="36700000"/>
    <m/>
  </r>
  <r>
    <x v="0"/>
    <s v="001-OSC-00067879"/>
    <d v="2025-11-25T00:00:00"/>
    <d v="1899-12-30T14:13:00"/>
    <m/>
    <x v="49"/>
    <s v="BG24362"/>
    <d v="2025-11-26T00:00:00"/>
    <d v="1899-12-30T11:46:00"/>
    <x v="3"/>
    <s v="BELLO"/>
    <x v="7"/>
    <n v="200"/>
    <n v="8"/>
    <n v="3670000"/>
    <m/>
  </r>
  <r>
    <x v="0"/>
    <s v="001-OSC-00067880"/>
    <d v="2025-11-25T00:00:00"/>
    <d v="1899-12-30T14:12:00"/>
    <m/>
    <x v="50"/>
    <s v="BG24529"/>
    <d v="2025-11-26T00:00:00"/>
    <d v="1899-12-30T11:46:00"/>
    <x v="3"/>
    <s v="BELLO"/>
    <x v="7"/>
    <n v="2000"/>
    <n v="80"/>
    <n v="36700000"/>
    <m/>
  </r>
  <r>
    <x v="0"/>
    <m/>
    <d v="2025-11-25T00:00:00"/>
    <d v="1899-12-30T17:55:00"/>
    <s v="ENTREGADO EL 27-11-2025"/>
    <x v="51"/>
    <s v="BG24315"/>
    <d v="2025-11-26T00:00:00"/>
    <d v="1899-12-30T12:46:00"/>
    <x v="23"/>
    <s v="MADRID"/>
    <x v="26"/>
    <n v="50"/>
    <n v="2"/>
    <n v="1260000"/>
    <m/>
  </r>
  <r>
    <x v="0"/>
    <m/>
    <d v="2025-11-25T00:00:00"/>
    <d v="1899-12-30T17:55:00"/>
    <s v="ENTREGADO EL 27-11-2025"/>
    <x v="51"/>
    <s v="BG24315"/>
    <d v="2025-11-26T00:00:00"/>
    <d v="1899-12-30T12:46:00"/>
    <x v="23"/>
    <s v="MADRID"/>
    <x v="0"/>
    <n v="75"/>
    <n v="3"/>
    <n v="1312500"/>
    <m/>
  </r>
  <r>
    <x v="5"/>
    <m/>
    <d v="2025-11-19T00:00:00"/>
    <d v="1899-12-30T11:16:00"/>
    <m/>
    <x v="52"/>
    <s v="BG24310"/>
    <d v="2025-11-19T00:00:00"/>
    <d v="1899-12-30T13:05:00"/>
    <x v="24"/>
    <s v="MAICAO"/>
    <x v="27"/>
    <n v="500"/>
    <n v="20"/>
    <n v="118500000"/>
    <m/>
  </r>
  <r>
    <x v="5"/>
    <m/>
    <d v="2025-11-19T00:00:00"/>
    <d v="1899-12-30T11:16:00"/>
    <m/>
    <x v="52"/>
    <s v="BG24310"/>
    <d v="2025-11-19T00:00:00"/>
    <d v="1899-12-30T13:05:00"/>
    <x v="24"/>
    <s v="MAICAO"/>
    <x v="23"/>
    <n v="9"/>
    <n v="9"/>
    <n v="558000"/>
    <m/>
  </r>
  <r>
    <x v="0"/>
    <s v="100-CON-00023594"/>
    <d v="2025-11-26T00:00:00"/>
    <d v="1899-12-30T13:30:00"/>
    <m/>
    <x v="53"/>
    <s v="BG24312"/>
    <d v="2025-11-27T00:00:00"/>
    <d v="1899-12-30T12:35:00"/>
    <x v="8"/>
    <s v="GIRARDOTA"/>
    <x v="0"/>
    <n v="300"/>
    <n v="12"/>
    <n v="46500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0"/>
    <n v="3700"/>
    <n v="148"/>
    <n v="573500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28"/>
    <n v="475"/>
    <n v="19"/>
    <n v="121125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4"/>
    <n v="500"/>
    <n v="20"/>
    <n v="16750000"/>
    <m/>
  </r>
  <r>
    <x v="0"/>
    <s v="100-CON-00023594"/>
    <d v="2025-11-26T00:00:00"/>
    <d v="1899-12-30T13:30:00"/>
    <m/>
    <x v="53"/>
    <s v="BG24538"/>
    <d v="2025-11-27T00:00:00"/>
    <d v="1899-12-30T12:35:00"/>
    <x v="8"/>
    <s v="GIRARDOTA"/>
    <x v="5"/>
    <n v="400"/>
    <n v="16"/>
    <n v="14000000"/>
    <m/>
  </r>
  <r>
    <x v="0"/>
    <n v="1305598"/>
    <d v="2025-11-26T00:00:00"/>
    <d v="1899-12-30T11:16:00"/>
    <s v="ENTREGADO EL 03-12-2025"/>
    <x v="54"/>
    <s v="BG24311"/>
    <d v="2025-11-27T00:00:00"/>
    <d v="1899-12-30T12:54:00"/>
    <x v="25"/>
    <s v="FRESNO"/>
    <x v="12"/>
    <n v="20"/>
    <n v="4"/>
    <n v="930000"/>
    <m/>
  </r>
  <r>
    <x v="0"/>
    <n v="1305598"/>
    <d v="2025-11-26T00:00:00"/>
    <d v="1899-12-30T11:16:00"/>
    <s v="ENTREGADO EL 03-12-2025"/>
    <x v="55"/>
    <s v="BG24303"/>
    <d v="2025-11-27T00:00:00"/>
    <d v="1899-12-30T12:54:00"/>
    <x v="25"/>
    <s v="FRESNO"/>
    <x v="25"/>
    <n v="1.5"/>
    <n v="0"/>
    <n v="0"/>
    <m/>
  </r>
  <r>
    <x v="0"/>
    <s v="103-OCC-37397"/>
    <d v="2025-11-26T00:00:00"/>
    <d v="1899-12-30T15:59:00"/>
    <s v="ENTREGADO EL 02-12-2025"/>
    <x v="56"/>
    <s v="BG24302"/>
    <d v="2025-11-27T00:00:00"/>
    <d v="1899-12-30T13:03:00"/>
    <x v="26"/>
    <s v="GIRARDOTA"/>
    <x v="26"/>
    <n v="500"/>
    <n v="20"/>
    <n v="12750000"/>
    <m/>
  </r>
  <r>
    <x v="0"/>
    <n v="4500364093"/>
    <d v="2025-11-27T00:00:00"/>
    <d v="1899-12-30T06:30:00"/>
    <s v="ENTREGADO EL 28-11-2025"/>
    <x v="57"/>
    <s v="BG24301"/>
    <d v="2025-11-27T00:00:00"/>
    <d v="1899-12-30T13:09:00"/>
    <x v="18"/>
    <s v="BUCARAMANGA"/>
    <x v="29"/>
    <n v="24"/>
    <n v="48"/>
    <n v="11940000"/>
    <m/>
  </r>
  <r>
    <x v="0"/>
    <n v="1306507"/>
    <d v="2025-11-27T00:00:00"/>
    <d v="1899-12-30T08:30:00"/>
    <s v="ENTREGADO EL 02-12-2025"/>
    <x v="58"/>
    <s v="BG24300"/>
    <d v="2025-11-27T00:00:00"/>
    <d v="1899-12-30T13:12:00"/>
    <x v="4"/>
    <s v="BARBOSA"/>
    <x v="21"/>
    <n v="1000"/>
    <n v="40"/>
    <n v="34500000"/>
    <m/>
  </r>
  <r>
    <x v="0"/>
    <m/>
    <d v="2025-11-27T00:00:00"/>
    <d v="1899-12-30T08:53:00"/>
    <s v="ENTEGADO EL 01-12-2025"/>
    <x v="59"/>
    <s v="BG24299"/>
    <d v="2025-11-27T00:00:00"/>
    <d v="1899-12-30T13:38:00"/>
    <x v="27"/>
    <s v="ARMENIA"/>
    <x v="30"/>
    <n v="15"/>
    <n v="3"/>
    <n v="2775000"/>
    <m/>
  </r>
  <r>
    <x v="0"/>
    <m/>
    <d v="2025-11-27T00:00:00"/>
    <d v="1899-12-30T08:53:00"/>
    <s v="ENTEGADO EL 01-12-2025"/>
    <x v="60"/>
    <s v="BG24256"/>
    <d v="2025-11-27T00:00:00"/>
    <d v="1899-12-30T13:38:00"/>
    <x v="27"/>
    <s v="ARMENIA"/>
    <x v="20"/>
    <n v="1.5"/>
    <n v="0"/>
    <n v="145800"/>
    <m/>
  </r>
  <r>
    <x v="0"/>
    <m/>
    <d v="2025-11-27T00:00:00"/>
    <d v="1899-12-30T09:56:00"/>
    <s v="ENTREGADO EL 28-11-2025"/>
    <x v="61"/>
    <s v="BG24298"/>
    <d v="2025-11-27T00:00:00"/>
    <d v="1899-12-30T13:45:00"/>
    <x v="28"/>
    <s v="BUCARAMANGA"/>
    <x v="29"/>
    <n v="3"/>
    <n v="0"/>
    <n v="1560240"/>
    <m/>
  </r>
  <r>
    <x v="0"/>
    <m/>
    <d v="2025-11-27T00:00:00"/>
    <d v="1899-12-30T09:56:00"/>
    <s v="ENTREGADO EL 28-11-2025"/>
    <x v="61"/>
    <s v="BG24298"/>
    <d v="2025-11-27T00:00:00"/>
    <d v="1899-12-30T13:45:00"/>
    <x v="28"/>
    <s v="BUCARAMANGA"/>
    <x v="22"/>
    <n v="4"/>
    <n v="0"/>
    <n v="64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22"/>
    <n v="200"/>
    <n v="8"/>
    <n v="271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17"/>
    <n v="200"/>
    <n v="8"/>
    <n v="2646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31"/>
    <n v="6000"/>
    <n v="240"/>
    <n v="726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32"/>
    <n v="100"/>
    <n v="4"/>
    <n v="125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7"/>
    <n v="2000"/>
    <n v="80"/>
    <n v="35200000"/>
    <m/>
  </r>
  <r>
    <x v="0"/>
    <n v="4500085039"/>
    <d v="2025-11-27T00:00:00"/>
    <d v="1899-12-30T10:12:00"/>
    <s v="ENTREGADO EL 02-12-2025"/>
    <x v="62"/>
    <s v="BG24297"/>
    <d v="2025-11-27T00:00:00"/>
    <d v="1899-12-30T14:20:00"/>
    <x v="0"/>
    <s v="MEDELLIN"/>
    <x v="30"/>
    <n v="100"/>
    <n v="4"/>
    <n v="17500000"/>
    <m/>
  </r>
  <r>
    <x v="0"/>
    <m/>
    <d v="2025-11-27T00:00:00"/>
    <d v="1899-12-30T10:59:00"/>
    <s v="ENTEGADO EL 02-12-2025"/>
    <x v="63"/>
    <s v="BG24296"/>
    <d v="2025-11-27T00:00:00"/>
    <s v="14;24"/>
    <x v="29"/>
    <s v="OCAÑA"/>
    <x v="31"/>
    <n v="500"/>
    <n v="20"/>
    <n v="8400000"/>
    <m/>
  </r>
  <r>
    <x v="5"/>
    <n v="4500144154"/>
    <d v="2025-11-27T00:00:00"/>
    <d v="1899-12-30T12:46:00"/>
    <m/>
    <x v="64"/>
    <s v="BG24454"/>
    <d v="2025-11-27T00:00:00"/>
    <d v="1899-12-30T14:28:00"/>
    <x v="15"/>
    <s v="MALAMBO"/>
    <x v="22"/>
    <n v="11"/>
    <n v="11"/>
    <n v="1650000"/>
    <m/>
  </r>
  <r>
    <x v="0"/>
    <n v="4500364909"/>
    <d v="2025-11-27T00:00:00"/>
    <d v="1899-12-30T12:00:00"/>
    <m/>
    <x v="65"/>
    <s v="BG24361"/>
    <d v="2025-11-27T00:00:00"/>
    <d v="1899-12-30T14:31:00"/>
    <x v="11"/>
    <s v="BUGA"/>
    <x v="5"/>
    <n v="600"/>
    <n v="24"/>
    <n v="23100000"/>
    <m/>
  </r>
  <r>
    <x v="0"/>
    <n v="4500364909"/>
    <d v="2025-11-27T00:00:00"/>
    <d v="1899-12-30T12:00:00"/>
    <m/>
    <x v="66"/>
    <s v="BG24495"/>
    <d v="2025-11-27T00:00:00"/>
    <d v="1899-12-30T14:31:00"/>
    <x v="11"/>
    <s v="BUGA"/>
    <x v="5"/>
    <n v="500"/>
    <n v="20"/>
    <n v="19250000"/>
    <m/>
  </r>
  <r>
    <x v="0"/>
    <n v="4500364805"/>
    <d v="2025-11-27T00:00:00"/>
    <d v="1899-12-30T13:51:00"/>
    <m/>
    <x v="67"/>
    <s v="BG24366"/>
    <d v="2025-11-27T00:00:00"/>
    <d v="1899-12-30T14:36:00"/>
    <x v="11"/>
    <s v="BUGA"/>
    <x v="4"/>
    <n v="1400"/>
    <n v="56"/>
    <n v="25500000"/>
    <m/>
  </r>
  <r>
    <x v="0"/>
    <n v="4500364805"/>
    <d v="2025-11-27T00:00:00"/>
    <d v="1899-12-30T13:51:00"/>
    <m/>
    <x v="68"/>
    <s v="BG24438"/>
    <d v="2025-11-27T00:00:00"/>
    <d v="1899-12-30T14:36:00"/>
    <x v="11"/>
    <s v="BUGA"/>
    <x v="4"/>
    <n v="1750"/>
    <n v="70"/>
    <n v="44625000"/>
    <m/>
  </r>
  <r>
    <x v="2"/>
    <n v="4500364805"/>
    <d v="2025-11-27T00:00:00"/>
    <d v="1899-12-30T13:51:00"/>
    <m/>
    <x v="68"/>
    <s v="BG24621"/>
    <d v="2025-11-27T00:00:00"/>
    <d v="1899-12-30T14:36:00"/>
    <x v="11"/>
    <s v="BUGA"/>
    <x v="13"/>
    <n v="175"/>
    <n v="7"/>
    <n v="3150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22"/>
    <n v="100"/>
    <n v="100"/>
    <n v="14138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0"/>
    <n v="500"/>
    <n v="20"/>
    <n v="810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9"/>
    <n v="100"/>
    <n v="4"/>
    <n v="622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5"/>
    <n v="300"/>
    <n v="12"/>
    <n v="11640000"/>
    <m/>
  </r>
  <r>
    <x v="0"/>
    <s v="AG-0044-25"/>
    <d v="2025-11-25T00:00:00"/>
    <d v="1899-12-30T15:47:00"/>
    <m/>
    <x v="69"/>
    <s v="BG24411"/>
    <d v="2025-11-27T00:00:00"/>
    <d v="1899-12-30T14:57:00"/>
    <x v="30"/>
    <s v="BUGA"/>
    <x v="4"/>
    <n v="700"/>
    <n v="28"/>
    <n v="17850000"/>
    <m/>
  </r>
  <r>
    <x v="0"/>
    <n v="152"/>
    <d v="2025-11-26T00:00:00"/>
    <d v="1899-12-30T15:21:00"/>
    <s v="ENTREGADO EL 21-11-2025"/>
    <x v="70"/>
    <s v="BG24253"/>
    <d v="2025-11-20T00:00:00"/>
    <d v="1899-12-30T16:04:00"/>
    <x v="31"/>
    <s v="BUCARAMANGA"/>
    <x v="33"/>
    <n v="23.5"/>
    <n v="47"/>
    <n v="2740000"/>
    <m/>
  </r>
  <r>
    <x v="2"/>
    <n v="5504038172"/>
    <d v="2025-11-25T00:00:00"/>
    <d v="1899-12-30T17:37:00"/>
    <s v="ENTREGADO EL 01-12-2025"/>
    <x v="71"/>
    <s v="BG24292"/>
    <d v="2025-11-28T00:00:00"/>
    <d v="1899-12-30T11:28:00"/>
    <x v="9"/>
    <s v="CAVASA"/>
    <x v="34"/>
    <n v="1000"/>
    <n v="40"/>
    <n v="70000000"/>
    <m/>
  </r>
  <r>
    <x v="0"/>
    <n v="48453"/>
    <d v="2025-11-28T00:00:00"/>
    <d v="1899-12-30T10:00:00"/>
    <s v="ENTREGADO EL 28-11-2025"/>
    <x v="72"/>
    <s v="BG24294"/>
    <d v="2025-11-28T00:00:00"/>
    <d v="1899-12-30T11:19:00"/>
    <x v="32"/>
    <s v="LOS ROBLES"/>
    <x v="33"/>
    <n v="20"/>
    <n v="40"/>
    <n v="2200000"/>
    <m/>
  </r>
  <r>
    <x v="0"/>
    <n v="48452"/>
    <d v="2025-11-28T00:00:00"/>
    <d v="1899-12-30T10:00:00"/>
    <s v="ENTREGADO EL 28-11-2025"/>
    <x v="73"/>
    <s v="BG24293"/>
    <d v="2025-11-28T00:00:00"/>
    <d v="1899-12-30T11:19:00"/>
    <x v="32"/>
    <s v="LOS ROBLES"/>
    <x v="33"/>
    <n v="25"/>
    <n v="50"/>
    <n v="2750000"/>
    <m/>
  </r>
  <r>
    <x v="0"/>
    <n v="354418"/>
    <m/>
    <m/>
    <s v="ENTREGADO 31-10-2025"/>
    <x v="74"/>
    <s v="BG24463-BG24483-BG24499"/>
    <m/>
    <m/>
    <x v="33"/>
    <s v="BUCARAMANGA"/>
    <x v="2"/>
    <n v="800"/>
    <n v="32"/>
    <n v="151600000"/>
    <m/>
  </r>
  <r>
    <x v="0"/>
    <s v="001-OC -00048847"/>
    <d v="2025-11-26T00:00:00"/>
    <d v="1899-12-30T09:34:00"/>
    <s v="ENTREGADO EL 27-11-2025"/>
    <x v="75"/>
    <s v="BG24316"/>
    <d v="2025-11-26T00:00:00"/>
    <d v="1899-12-30T12:14:00"/>
    <x v="34"/>
    <s v="LIMON"/>
    <x v="35"/>
    <n v="200"/>
    <n v="200"/>
    <n v="9331800"/>
    <m/>
  </r>
  <r>
    <x v="0"/>
    <n v="1305448"/>
    <d v="2025-11-26T00:00:00"/>
    <d v="1899-12-30T09:45:00"/>
    <s v="ENTREGADO EL 28-11-2025"/>
    <x v="76"/>
    <s v="BG24314"/>
    <d v="2025-11-26T00:00:00"/>
    <d v="1899-12-30T13:31:00"/>
    <x v="10"/>
    <s v="BUGA"/>
    <x v="36"/>
    <n v="100"/>
    <n v="4"/>
    <n v="3705400"/>
    <m/>
  </r>
  <r>
    <x v="0"/>
    <n v="13328"/>
    <d v="2025-11-21T00:00:00"/>
    <d v="1899-12-30T14:20:00"/>
    <s v="ENTREGADO EL 26-11-2025"/>
    <x v="77"/>
    <s v="BG24260"/>
    <d v="2025-11-21T00:00:00"/>
    <d v="1899-12-30T14:25:00"/>
    <x v="35"/>
    <s v="SAN PEDRO"/>
    <x v="22"/>
    <n v="20"/>
    <n v="20"/>
    <n v="722400"/>
    <m/>
  </r>
  <r>
    <x v="0"/>
    <n v="4500085040"/>
    <d v="2025-11-28T00:00:00"/>
    <d v="1899-12-30T09:46:00"/>
    <s v="ENTREGADO EL 02-12-2025"/>
    <x v="78"/>
    <s v="BG24291"/>
    <d v="2025-12-01T00:00:00"/>
    <d v="1899-12-30T07:22:00"/>
    <x v="36"/>
    <s v="PREMEX MEDELLIN"/>
    <x v="2"/>
    <n v="1200"/>
    <n v="48"/>
    <n v="147481200"/>
    <m/>
  </r>
  <r>
    <x v="0"/>
    <n v="4500085040"/>
    <d v="2025-11-28T00:00:00"/>
    <d v="1899-12-30T09:46:00"/>
    <s v="ENTREGADO EL 02-12-2025"/>
    <x v="78"/>
    <s v="BG24291"/>
    <d v="2025-12-01T00:00:00"/>
    <d v="1899-12-30T07:22:00"/>
    <x v="36"/>
    <s v="PREMEX MEDELLIN"/>
    <x v="10"/>
    <n v="3500"/>
    <n v="140"/>
    <n v="255034500"/>
    <m/>
  </r>
  <r>
    <x v="0"/>
    <n v="1307914"/>
    <d v="2025-11-28T00:00:00"/>
    <d v="1899-12-30T11:03:00"/>
    <s v="ENTREGADO EL 01-12-2025"/>
    <x v="79"/>
    <s v="BG24290"/>
    <d v="2025-12-01T00:00:00"/>
    <d v="1899-12-30T07:28:00"/>
    <x v="25"/>
    <s v="BUCARAMANGA"/>
    <x v="12"/>
    <n v="50"/>
    <n v="2"/>
    <n v="2325000"/>
    <m/>
  </r>
  <r>
    <x v="0"/>
    <n v="1307914"/>
    <d v="2025-11-28T00:00:00"/>
    <d v="1899-12-30T11:03:00"/>
    <s v="ENTREGADO EL 01-12-2025"/>
    <x v="80"/>
    <s v="BG24289"/>
    <d v="2025-12-01T00:00:00"/>
    <d v="1899-12-30T07:28:00"/>
    <x v="25"/>
    <s v="BUCARAMANGA"/>
    <x v="25"/>
    <n v="3.75"/>
    <n v="50"/>
    <n v="0"/>
    <m/>
  </r>
  <r>
    <x v="0"/>
    <s v="P-1455"/>
    <d v="2025-11-28T00:00:00"/>
    <d v="1899-12-30T11:22:00"/>
    <s v="ENTREGADO EL 03-12-2025"/>
    <x v="81"/>
    <s v="BG24288"/>
    <d v="2025-12-01T00:00:00"/>
    <d v="1899-12-30T07:35:00"/>
    <x v="37"/>
    <s v="CALI"/>
    <x v="29"/>
    <n v="5"/>
    <n v="10"/>
    <n v="2505800"/>
    <m/>
  </r>
  <r>
    <x v="0"/>
    <s v="P-1455"/>
    <d v="2025-11-28T00:00:00"/>
    <d v="1899-12-30T11:22:00"/>
    <s v="ENTREGADO EL 03-12-2025"/>
    <x v="81"/>
    <s v="BG24288"/>
    <d v="2025-12-01T00:00:00"/>
    <d v="1899-12-30T07:35:00"/>
    <x v="37"/>
    <s v="CALI"/>
    <x v="22"/>
    <n v="10"/>
    <n v="10"/>
    <n v="1600000"/>
    <m/>
  </r>
  <r>
    <x v="0"/>
    <n v="1492"/>
    <d v="2025-11-28T00:00:00"/>
    <d v="1899-12-30T15:30:00"/>
    <s v="EN REPARTO"/>
    <x v="82"/>
    <s v="BG24287"/>
    <d v="2025-12-01T00:00:00"/>
    <d v="1899-12-30T07:41:00"/>
    <x v="38"/>
    <s v="BUGA"/>
    <x v="37"/>
    <n v="300"/>
    <n v="12"/>
    <n v="16830000"/>
    <m/>
  </r>
  <r>
    <x v="2"/>
    <n v="5504051929"/>
    <d v="2025-11-28T00:00:00"/>
    <d v="1899-12-30T15:58:00"/>
    <s v="EN ESPERA DE LIBERACION DE PRODUCTO"/>
    <x v="83"/>
    <s v="BG24392"/>
    <d v="2025-12-01T00:00:00"/>
    <d v="1899-12-30T07:57:00"/>
    <x v="9"/>
    <s v="CAVASA"/>
    <x v="5"/>
    <n v="10000"/>
    <n v="400"/>
    <n v="350000000"/>
    <m/>
  </r>
  <r>
    <x v="2"/>
    <n v="5504051929"/>
    <d v="2025-11-28T00:00:00"/>
    <d v="1899-12-30T15:58:00"/>
    <s v="EN ESPERA DE LIBERACION DE PRODUCTO"/>
    <x v="83"/>
    <s v="BG24469"/>
    <d v="2025-12-01T00:00:00"/>
    <d v="1899-12-30T07:57:00"/>
    <x v="9"/>
    <s v="CAVASA"/>
    <x v="5"/>
    <n v="5000"/>
    <n v="200"/>
    <n v="175000000"/>
    <m/>
  </r>
  <r>
    <x v="0"/>
    <s v="OCP-1027"/>
    <d v="2025-12-01T00:00:00"/>
    <d v="1899-12-30T07:02:00"/>
    <m/>
    <x v="84"/>
    <s v="BG24286"/>
    <d v="2025-12-01T00:00:00"/>
    <d v="1899-12-30T08:36:00"/>
    <x v="39"/>
    <s v="BUGA"/>
    <x v="16"/>
    <n v="10"/>
    <n v="0"/>
    <n v="650000"/>
    <m/>
  </r>
  <r>
    <x v="0"/>
    <s v="OCP-1027"/>
    <d v="2025-12-01T00:00:00"/>
    <d v="1899-12-30T07:02:00"/>
    <m/>
    <x v="84"/>
    <s v="BG24286"/>
    <d v="2025-12-01T00:00:00"/>
    <d v="1899-12-30T08:36:00"/>
    <x v="39"/>
    <s v="BUGA"/>
    <x v="22"/>
    <n v="20"/>
    <n v="1"/>
    <n v="3400000"/>
    <m/>
  </r>
  <r>
    <x v="0"/>
    <s v="OCP-1027"/>
    <d v="2025-12-01T00:00:00"/>
    <d v="1899-12-30T07:02:00"/>
    <m/>
    <x v="84"/>
    <s v="BG24286"/>
    <d v="2025-12-01T00:00:00"/>
    <d v="1899-12-30T08:36:00"/>
    <x v="39"/>
    <s v="BUGA"/>
    <x v="29"/>
    <n v="5"/>
    <n v="0"/>
    <n v="265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27"/>
    <n v="150"/>
    <n v="6"/>
    <n v="3525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7"/>
    <n v="100"/>
    <n v="4"/>
    <n v="1989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4"/>
    <n v="100"/>
    <n v="4"/>
    <n v="255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2"/>
    <n v="150"/>
    <n v="6"/>
    <n v="2463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10"/>
    <n v="200"/>
    <n v="8"/>
    <n v="20500000"/>
    <m/>
  </r>
  <r>
    <x v="0"/>
    <s v="CFMP-1596"/>
    <d v="2025-12-29T00:00:00"/>
    <d v="1899-12-30T13:06:00"/>
    <m/>
    <x v="85"/>
    <s v="BG24285"/>
    <d v="2025-12-01T00:00:00"/>
    <d v="1899-12-30T08:49:00"/>
    <x v="40"/>
    <s v="NUTRITEC"/>
    <x v="0"/>
    <n v="1000"/>
    <n v="40"/>
    <n v="16200000"/>
    <m/>
  </r>
  <r>
    <x v="0"/>
    <m/>
    <d v="2025-12-01T00:00:00"/>
    <d v="1899-12-30T08:25:00"/>
    <s v="ENTEGADO EL 01-12-2025"/>
    <x v="86"/>
    <s v="BG24261"/>
    <d v="2025-12-01T00:00:00"/>
    <d v="1899-12-30T08:56:00"/>
    <x v="41"/>
    <s v="RECOGE EN BODEGA"/>
    <x v="0"/>
    <n v="400"/>
    <n v="16"/>
    <n v="6320000"/>
    <m/>
  </r>
  <r>
    <x v="0"/>
    <s v="OC 035"/>
    <d v="2025-12-01T00:00:00"/>
    <d v="1899-12-30T08:35:00"/>
    <s v="ENTREGADO EL 03-12-2025"/>
    <x v="87"/>
    <s v="BG24255"/>
    <d v="2025-12-01T00:00:00"/>
    <d v="1899-12-30T12:37:00"/>
    <x v="42"/>
    <s v="ITAGUI"/>
    <x v="20"/>
    <n v="30"/>
    <n v="60"/>
    <n v="3150000"/>
    <m/>
  </r>
  <r>
    <x v="0"/>
    <s v="N/A"/>
    <d v="2025-12-01T00:00:00"/>
    <d v="1899-12-30T09:05:00"/>
    <s v="ENTREGADO EL 03-12-2025"/>
    <x v="88"/>
    <s v="BG24270"/>
    <d v="2025-12-01T00:00:00"/>
    <d v="1899-12-30T11:31:00"/>
    <x v="43"/>
    <s v="LOMA DEL ESCOBERO"/>
    <x v="16"/>
    <n v="8"/>
    <n v="8"/>
    <n v="520000"/>
    <m/>
  </r>
  <r>
    <x v="0"/>
    <s v="004-OSC-00050140"/>
    <d v="2025-12-01T00:00:00"/>
    <d v="1899-12-30T11:58:00"/>
    <m/>
    <x v="89"/>
    <s v="BG24531"/>
    <d v="2025-12-01T00:00:00"/>
    <d v="1899-12-30T11:58:00"/>
    <x v="3"/>
    <s v="CARTAGO"/>
    <x v="5"/>
    <n v="600"/>
    <n v="24"/>
    <n v="23100000"/>
    <m/>
  </r>
  <r>
    <x v="0"/>
    <s v="004-OSC-00050140"/>
    <d v="2025-12-01T00:00:00"/>
    <d v="1899-12-30T11:58:00"/>
    <m/>
    <x v="89"/>
    <s v="BG24531"/>
    <d v="2025-12-01T00:00:00"/>
    <d v="1899-12-30T11:58:00"/>
    <x v="3"/>
    <s v="CARTAGO"/>
    <x v="4"/>
    <n v="1500"/>
    <n v="60"/>
    <n v="38250000"/>
    <m/>
  </r>
  <r>
    <x v="4"/>
    <n v="107221"/>
    <d v="2025-12-01T00:00:00"/>
    <d v="1899-12-30T13:08:00"/>
    <s v="EN REPARTO"/>
    <x v="90"/>
    <s v="BG24283"/>
    <d v="2025-12-01T00:00:00"/>
    <d v="1899-12-30T14:43:00"/>
    <x v="44"/>
    <s v="CARMEN DE VIBORAL"/>
    <x v="31"/>
    <n v="500"/>
    <n v="20"/>
    <n v="8400000"/>
    <m/>
  </r>
  <r>
    <x v="5"/>
    <m/>
    <d v="2025-12-01T00:00:00"/>
    <d v="1899-12-30T14:41:00"/>
    <s v="ENTREGADO EL 03-12-2025"/>
    <x v="91"/>
    <s v="BG24282"/>
    <d v="2025-12-01T00:00:00"/>
    <d v="1899-12-30T14:50:00"/>
    <x v="45"/>
    <s v="MEDELLIN"/>
    <x v="36"/>
    <n v="75"/>
    <n v="3"/>
    <n v="4200000"/>
    <m/>
  </r>
  <r>
    <x v="0"/>
    <m/>
    <d v="2025-12-01T00:00:00"/>
    <d v="1899-12-30T14:45:00"/>
    <s v="ENTREGADO EL 02-12-2025"/>
    <x v="92"/>
    <s v="BG24281"/>
    <d v="2025-12-01T00:00:00"/>
    <d v="1899-12-30T15:11:00"/>
    <x v="28"/>
    <s v="BUCARAMANGA"/>
    <x v="29"/>
    <n v="5"/>
    <n v="10"/>
    <n v="2601040"/>
    <m/>
  </r>
  <r>
    <x v="0"/>
    <m/>
    <d v="2025-12-01T00:00:00"/>
    <d v="1899-12-30T14:30:00"/>
    <s v="ENTREGADO EL 04-12-2025"/>
    <x v="93"/>
    <s v="BG24280"/>
    <d v="2025-12-01T00:00:00"/>
    <d v="1899-12-30T15:46:00"/>
    <x v="46"/>
    <s v="DON MATIAS"/>
    <x v="38"/>
    <n v="30"/>
    <n v="1"/>
    <n v="6750000"/>
    <m/>
  </r>
  <r>
    <x v="0"/>
    <m/>
    <d v="2025-12-01T00:00:00"/>
    <d v="1899-12-30T14:30:00"/>
    <s v="ENTREGADO EL 04-12-2025"/>
    <x v="94"/>
    <s v="BG24279"/>
    <d v="2025-12-01T00:00:00"/>
    <d v="1899-12-30T15:46:00"/>
    <x v="46"/>
    <s v="DON MATIAS"/>
    <x v="25"/>
    <n v="2.25"/>
    <n v="0"/>
    <n v="0"/>
    <m/>
  </r>
  <r>
    <x v="0"/>
    <n v="1309230"/>
    <d v="2025-12-01T00:00:00"/>
    <d v="1899-12-30T11:04:00"/>
    <m/>
    <x v="95"/>
    <s v="BG24278"/>
    <d v="2025-12-01T00:00:00"/>
    <d v="1899-12-30T16:02:00"/>
    <x v="4"/>
    <s v="BOGOTA"/>
    <x v="11"/>
    <n v="75"/>
    <n v="3"/>
    <n v="3969000"/>
    <m/>
  </r>
  <r>
    <x v="0"/>
    <n v="5504055372"/>
    <d v="2025-12-01T00:00:00"/>
    <d v="1899-12-30T09:57:00"/>
    <s v="EN RUTA"/>
    <x v="96"/>
    <s v="BG24277"/>
    <d v="2025-12-01T00:00:00"/>
    <d v="1899-12-30T16:14:00"/>
    <x v="9"/>
    <s v="MANANTIALES"/>
    <x v="16"/>
    <n v="50"/>
    <n v="2"/>
    <n v="2775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7"/>
    <n v="500"/>
    <n v="20"/>
    <n v="1025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4"/>
    <n v="500"/>
    <n v="20"/>
    <n v="1275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12"/>
    <n v="200"/>
    <n v="8"/>
    <n v="110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22"/>
    <n v="10"/>
    <n v="0"/>
    <n v="16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11"/>
    <n v="50"/>
    <n v="2"/>
    <n v="3625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34"/>
    <n v="50"/>
    <n v="2"/>
    <n v="31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6"/>
    <n v="100"/>
    <n v="4"/>
    <n v="6400000"/>
    <m/>
  </r>
  <r>
    <x v="0"/>
    <s v="ORC-2511038"/>
    <d v="2025-12-01T00:00:00"/>
    <d v="1899-12-30T16:00:00"/>
    <s v="ENTREGADO EL 03-12-2025"/>
    <x v="97"/>
    <s v="BG24276"/>
    <d v="2025-12-01T00:00:00"/>
    <d v="1899-12-30T06:53:00"/>
    <x v="47"/>
    <s v="MANIZALES"/>
    <x v="39"/>
    <n v="750"/>
    <n v="30"/>
    <n v="12986250"/>
    <m/>
  </r>
  <r>
    <x v="0"/>
    <s v="ORC-2511038"/>
    <d v="2025-12-01T00:00:00"/>
    <d v="1899-12-30T16:00:00"/>
    <s v="ENTREGADO EL 03-12-2025"/>
    <x v="98"/>
    <s v="BG24275"/>
    <d v="2025-12-01T00:00:00"/>
    <d v="1899-12-30T06:53:00"/>
    <x v="47"/>
    <s v="MANIZALES"/>
    <x v="25"/>
    <n v="14.5"/>
    <n v="1"/>
    <n v="0"/>
    <m/>
  </r>
  <r>
    <x v="0"/>
    <n v="5504045659"/>
    <d v="2025-12-01T00:00:00"/>
    <d v="1899-12-30T14:29:00"/>
    <s v="ENTREGADO EL 03-12-2025"/>
    <x v="99"/>
    <s v="BG24274"/>
    <d v="2025-12-01T00:00:00"/>
    <d v="1899-12-30T07:01:00"/>
    <x v="9"/>
    <s v="SUPER AGRO"/>
    <x v="15"/>
    <n v="50"/>
    <n v="50"/>
    <n v="3375000"/>
    <m/>
  </r>
  <r>
    <x v="0"/>
    <s v="022-OC-005539"/>
    <d v="2025-12-01T00:00:00"/>
    <d v="1899-12-30T16:00:00"/>
    <s v="ENTEGADO EL 02-12-2025"/>
    <x v="100"/>
    <s v="BG24347"/>
    <d v="2025-12-01T00:00:00"/>
    <d v="1899-12-30T07:05:00"/>
    <x v="20"/>
    <s v="RECOGE EN BODEGA"/>
    <x v="23"/>
    <n v="10"/>
    <n v="10"/>
    <n v="602000"/>
    <m/>
  </r>
  <r>
    <x v="0"/>
    <s v="022-OC-005539"/>
    <d v="2025-12-01T00:00:00"/>
    <d v="1899-12-30T16:00:00"/>
    <s v="ENTEGADO EL 02-12-2025"/>
    <x v="101"/>
    <s v="BG24346"/>
    <d v="2025-12-01T00:00:00"/>
    <d v="1899-12-30T07:05:00"/>
    <x v="20"/>
    <s v="RECOGE EN BODEGA"/>
    <x v="25"/>
    <n v="0.75"/>
    <n v="10"/>
    <n v="0"/>
    <m/>
  </r>
  <r>
    <x v="0"/>
    <m/>
    <d v="2025-12-01T00:00:00"/>
    <d v="1899-12-30T16:30:00"/>
    <s v="ENTREGADO EL 03-12-2025"/>
    <x v="102"/>
    <s v="BG24271"/>
    <d v="2025-12-01T00:00:00"/>
    <d v="1899-12-30T07:10:00"/>
    <x v="48"/>
    <s v="LA ESTRELLA"/>
    <x v="18"/>
    <n v="10"/>
    <n v="2"/>
    <n v="1700000"/>
    <m/>
  </r>
  <r>
    <x v="0"/>
    <m/>
    <d v="2025-12-01T00:00:00"/>
    <d v="1899-12-30T13:43:00"/>
    <s v="ENTREGADO EL 03-12-2025"/>
    <x v="103"/>
    <s v="BG24269"/>
    <d v="2025-12-02T00:00:00"/>
    <d v="1899-12-30T07:12:00"/>
    <x v="49"/>
    <s v="NEIVA"/>
    <x v="4"/>
    <n v="1000"/>
    <n v="40"/>
    <n v="25500000"/>
    <m/>
  </r>
  <r>
    <x v="0"/>
    <s v="020-OC-003597"/>
    <d v="2025-12-01T00:00:00"/>
    <d v="1899-12-30T16:01:00"/>
    <s v="EN REPARTO"/>
    <x v="104"/>
    <s v="BG24345"/>
    <d v="2025-12-02T00:00:00"/>
    <d v="1899-12-30T07:14:00"/>
    <x v="20"/>
    <s v="ITALCOL IBAGUE"/>
    <x v="5"/>
    <n v="75"/>
    <n v="3"/>
    <n v="2887500"/>
    <m/>
  </r>
  <r>
    <x v="0"/>
    <s v="OCO-00010279"/>
    <d v="2025-12-01T00:00:00"/>
    <d v="1899-12-30T16:01:00"/>
    <s v="ENTREGADO EL 03-12-2025"/>
    <x v="105"/>
    <s v="BG24268"/>
    <d v="2025-12-02T00:00:00"/>
    <d v="1899-12-30T07:18:00"/>
    <x v="50"/>
    <s v="BOGOTA"/>
    <x v="16"/>
    <n v="48"/>
    <n v="48"/>
    <n v="2664000"/>
    <m/>
  </r>
  <r>
    <x v="0"/>
    <s v="004-OSC-00050156"/>
    <d v="2025-12-01T00:00:00"/>
    <d v="1899-12-30T17:41:00"/>
    <m/>
    <x v="106"/>
    <s v="BG24267"/>
    <d v="2025-12-02T00:00:00"/>
    <d v="1899-12-30T07:21:00"/>
    <x v="3"/>
    <s v="CARTAGO"/>
    <x v="4"/>
    <n v="800"/>
    <n v="32"/>
    <n v="20400000"/>
    <m/>
  </r>
  <r>
    <x v="0"/>
    <m/>
    <d v="2025-12-01T00:00:00"/>
    <d v="1899-12-30T16:26:00"/>
    <s v="EN RUTA"/>
    <x v="107"/>
    <s v="BG24266"/>
    <d v="2025-12-02T00:00:00"/>
    <d v="1899-12-30T07:30:00"/>
    <x v="51"/>
    <s v="RICAURTE"/>
    <x v="0"/>
    <n v="50"/>
    <n v="2"/>
    <n v="1015000"/>
    <m/>
  </r>
  <r>
    <x v="0"/>
    <m/>
    <d v="2025-12-01T00:00:00"/>
    <d v="1899-12-30T16:26:00"/>
    <s v="EN RUTA"/>
    <x v="107"/>
    <s v="BG24266"/>
    <d v="2025-12-02T00:00:00"/>
    <d v="1899-12-30T07:30:00"/>
    <x v="51"/>
    <s v="RICAURTE"/>
    <x v="21"/>
    <n v="160"/>
    <n v="6"/>
    <n v="7040000"/>
    <m/>
  </r>
  <r>
    <x v="0"/>
    <n v="4500180013"/>
    <d v="2025-12-02T00:00:00"/>
    <d v="1899-12-30T12:15:00"/>
    <s v="ENTREGADO EL 03-12-2025"/>
    <x v="108"/>
    <s v="BG24265"/>
    <d v="2025-12-02T00:00:00"/>
    <d v="1899-12-30T12:31:00"/>
    <x v="52"/>
    <s v="PLANTA"/>
    <x v="40"/>
    <n v="300"/>
    <n v="12"/>
    <n v="20250000"/>
    <m/>
  </r>
  <r>
    <x v="0"/>
    <n v="4500179941"/>
    <d v="2025-12-02T00:00:00"/>
    <d v="1899-12-30T09:14:00"/>
    <s v="ENTREGADO EL 03-12-2025"/>
    <x v="109"/>
    <s v="BG24264"/>
    <d v="2025-12-02T00:00:00"/>
    <d v="1899-12-30T12:00:00"/>
    <x v="52"/>
    <s v="PLANTA"/>
    <x v="2"/>
    <n v="800"/>
    <n v="32"/>
    <n v="118040000"/>
    <m/>
  </r>
  <r>
    <x v="0"/>
    <m/>
    <d v="2025-12-02T00:00:00"/>
    <d v="1899-12-30T09:55:00"/>
    <s v="ENTREGADO EL 02-12-2025"/>
    <x v="110"/>
    <s v="BG24263"/>
    <d v="2025-12-02T00:00:00"/>
    <d v="1899-12-30T12:42:00"/>
    <x v="46"/>
    <s v="DON MATIAS"/>
    <x v="15"/>
    <n v="20"/>
    <n v="1"/>
    <n v="1400000"/>
    <m/>
  </r>
  <r>
    <x v="0"/>
    <m/>
    <d v="2025-12-02T00:00:00"/>
    <d v="1899-12-30T12:44:00"/>
    <s v="ENTREGADO EL 03-12-2025"/>
    <x v="111"/>
    <s v="BG24262"/>
    <d v="2025-12-02T00:00:00"/>
    <d v="1899-12-30T12:48:00"/>
    <x v="53"/>
    <s v="BOGOTA"/>
    <x v="41"/>
    <n v="30"/>
    <n v="30"/>
    <n v="7050000"/>
    <m/>
  </r>
  <r>
    <x v="0"/>
    <m/>
    <d v="2025-12-02T00:00:00"/>
    <d v="1899-12-30T07:49:00"/>
    <m/>
    <x v="112"/>
    <s v="BG24273"/>
    <d v="2025-12-02T00:00:00"/>
    <d v="1899-12-30T13:32:00"/>
    <x v="54"/>
    <s v="ITAGUI"/>
    <x v="0"/>
    <n v="50"/>
    <n v="2"/>
    <n v="775000"/>
    <m/>
  </r>
  <r>
    <x v="0"/>
    <m/>
    <d v="2025-12-02T00:00:00"/>
    <d v="1899-12-30T07:49:00"/>
    <m/>
    <x v="113"/>
    <s v="BG24272"/>
    <d v="2025-12-02T00:00:00"/>
    <d v="1899-12-30T13:36:00"/>
    <x v="54"/>
    <s v="ITAGUI"/>
    <x v="29"/>
    <n v="3"/>
    <n v="6"/>
    <n v="1560000"/>
    <m/>
  </r>
  <r>
    <x v="1"/>
    <n v="4500085190"/>
    <d v="2025-12-01T00:00:00"/>
    <d v="1899-12-30T15:41:00"/>
    <m/>
    <x v="114"/>
    <s v="-"/>
    <d v="2025-12-02T00:00:00"/>
    <d v="1899-12-30T15:45:00"/>
    <x v="0"/>
    <s v="CELTA"/>
    <x v="12"/>
    <n v="200"/>
    <n v="8"/>
    <n v="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3"/>
    <n v="300"/>
    <n v="12"/>
    <n v="565500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7"/>
    <n v="100"/>
    <n v="4"/>
    <n v="176000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42"/>
    <n v="100"/>
    <n v="4"/>
    <n v="1901000"/>
    <m/>
  </r>
  <r>
    <x v="0"/>
    <n v="4500085190"/>
    <d v="2025-12-01T00:00:00"/>
    <d v="1899-12-30T15:41:00"/>
    <s v="ENTREGADO EL 04-12-2025"/>
    <x v="114"/>
    <s v="BG24309"/>
    <d v="2025-12-02T00:00:00"/>
    <d v="1899-12-30T15:45:00"/>
    <x v="0"/>
    <s v="CELTA"/>
    <x v="36"/>
    <n v="50"/>
    <n v="2"/>
    <n v="1852700"/>
    <m/>
  </r>
  <r>
    <x v="2"/>
    <n v="4500085190"/>
    <d v="2025-12-01T00:00:00"/>
    <d v="1899-12-30T15:41:00"/>
    <s v="ENTREGADO EL 04-12-2025"/>
    <x v="114"/>
    <s v="BG24461"/>
    <d v="2025-12-02T00:00:00"/>
    <d v="1899-12-30T15:45:00"/>
    <x v="0"/>
    <s v="CELTA"/>
    <x v="43"/>
    <n v="50"/>
    <n v="2"/>
    <n v="22000000"/>
    <m/>
  </r>
  <r>
    <x v="0"/>
    <n v="4503909400"/>
    <d v="2025-12-02T00:00:00"/>
    <d v="1899-12-30T11:31:00"/>
    <m/>
    <x v="115"/>
    <s v="BG24369"/>
    <d v="2025-12-02T00:00:00"/>
    <d v="1899-12-30T16:00:00"/>
    <x v="16"/>
    <s v="BUGA"/>
    <x v="0"/>
    <n v="3000"/>
    <n v="120"/>
    <n v="46500000"/>
    <m/>
  </r>
  <r>
    <x v="0"/>
    <n v="1309737"/>
    <d v="2025-12-02T00:00:00"/>
    <d v="1899-12-30T08:03:00"/>
    <m/>
    <x v="116"/>
    <s v="BG24308"/>
    <d v="2025-12-03T00:00:00"/>
    <d v="1899-12-30T07:58:00"/>
    <x v="10"/>
    <s v="MOSQUERA"/>
    <x v="13"/>
    <n v="50"/>
    <n v="2"/>
    <n v="8750000"/>
    <m/>
  </r>
  <r>
    <x v="0"/>
    <n v="1309882"/>
    <d v="2025-12-02T00:00:00"/>
    <d v="1899-12-30T09:50:00"/>
    <m/>
    <x v="117"/>
    <s v="BG24307"/>
    <d v="2025-12-03T00:00:00"/>
    <d v="1899-12-30T08:02:00"/>
    <x v="10"/>
    <s v="BUGA"/>
    <x v="11"/>
    <n v="250"/>
    <n v="10"/>
    <n v="13230000"/>
    <m/>
  </r>
  <r>
    <x v="0"/>
    <n v="1309882"/>
    <d v="2025-12-02T00:00:00"/>
    <d v="1899-12-30T09:50:00"/>
    <m/>
    <x v="117"/>
    <s v="BG24307"/>
    <d v="2025-12-03T00:00:00"/>
    <d v="1899-12-30T08:02:00"/>
    <x v="10"/>
    <s v="BUGA"/>
    <x v="13"/>
    <n v="75"/>
    <n v="3"/>
    <n v="13125000"/>
    <m/>
  </r>
  <r>
    <x v="0"/>
    <m/>
    <d v="2025-12-03T00:00:00"/>
    <d v="1899-12-30T10:29:00"/>
    <s v="ENTREGADO EL 03-12-2025"/>
    <x v="118"/>
    <s v="BG24284"/>
    <d v="2025-12-03T00:00:00"/>
    <d v="1899-12-30T10:30:00"/>
    <x v="41"/>
    <s v="RECOGE EN BODEGA"/>
    <x v="0"/>
    <n v="400"/>
    <n v="16"/>
    <n v="6320000"/>
    <m/>
  </r>
  <r>
    <x v="5"/>
    <n v="4500144393"/>
    <d v="2025-12-02T00:00:00"/>
    <d v="1899-12-30T18:57:00"/>
    <m/>
    <x v="119"/>
    <s v="BG24436"/>
    <d v="2025-12-03T00:00:00"/>
    <d v="1899-12-30T11:39:00"/>
    <x v="55"/>
    <s v="SITIONUEVO"/>
    <x v="0"/>
    <n v="1200"/>
    <n v="48"/>
    <n v="18840000"/>
    <m/>
  </r>
  <r>
    <x v="5"/>
    <n v="4500144393"/>
    <d v="2025-12-02T00:00:00"/>
    <d v="1899-12-30T18:57:00"/>
    <m/>
    <x v="119"/>
    <s v="BG24436"/>
    <d v="2025-12-03T00:00:00"/>
    <d v="1899-12-30T11:39:00"/>
    <x v="55"/>
    <s v="SITIONUEVO"/>
    <x v="4"/>
    <n v="150"/>
    <n v="6"/>
    <n v="3825000"/>
    <m/>
  </r>
  <r>
    <x v="5"/>
    <n v="4500144393"/>
    <d v="2025-12-02T00:00:00"/>
    <d v="1899-12-30T18:57:00"/>
    <m/>
    <x v="119"/>
    <s v="BG24436"/>
    <d v="2025-12-03T00:00:00"/>
    <d v="1899-12-30T11:39:00"/>
    <x v="55"/>
    <s v="SITIONUEVO"/>
    <x v="40"/>
    <n v="100"/>
    <n v="4"/>
    <n v="7190000"/>
    <m/>
  </r>
  <r>
    <x v="2"/>
    <n v="4500144393"/>
    <d v="2025-12-02T00:00:00"/>
    <d v="1899-12-30T18:57:00"/>
    <m/>
    <x v="119"/>
    <s v="BG24623"/>
    <d v="2025-12-03T00:00:00"/>
    <d v="1899-12-30T11:39:00"/>
    <x v="55"/>
    <s v="SITIONUEVO"/>
    <x v="13"/>
    <n v="50"/>
    <n v="2"/>
    <n v="10750000"/>
    <m/>
  </r>
  <r>
    <x v="0"/>
    <n v="4500144393"/>
    <d v="2025-12-02T00:00:00"/>
    <d v="1899-12-30T18:57:00"/>
    <m/>
    <x v="119"/>
    <s v="BG24436"/>
    <d v="2025-12-03T00:00:00"/>
    <d v="1899-12-30T11:39:00"/>
    <x v="55"/>
    <s v="SITIONUEVO"/>
    <x v="23"/>
    <n v="75"/>
    <n v="75"/>
    <n v="4515000"/>
    <m/>
  </r>
  <r>
    <x v="0"/>
    <m/>
    <d v="2025-12-02T00:00:00"/>
    <d v="1899-12-30T16:22:00"/>
    <m/>
    <x v="120"/>
    <s v="BG24421"/>
    <d v="2025-12-03T00:00:00"/>
    <d v="1899-12-30T12:06:00"/>
    <x v="56"/>
    <s v="PLANTA"/>
    <x v="4"/>
    <n v="1000"/>
    <n v="40"/>
    <n v="25500000"/>
    <m/>
  </r>
  <r>
    <x v="0"/>
    <m/>
    <d v="2025-12-02T00:00:00"/>
    <d v="1899-12-30T16:22:00"/>
    <m/>
    <x v="120"/>
    <s v="BG24421"/>
    <d v="2025-12-03T00:00:00"/>
    <d v="1899-12-30T12:06:00"/>
    <x v="56"/>
    <s v="PLANTA"/>
    <x v="5"/>
    <n v="500"/>
    <n v="20"/>
    <n v="19400000"/>
    <m/>
  </r>
  <r>
    <x v="2"/>
    <m/>
    <d v="2025-12-02T00:00:00"/>
    <d v="1899-12-30T16:48:00"/>
    <m/>
    <x v="121"/>
    <s v="BG24597"/>
    <d v="2025-12-03T00:00:00"/>
    <d v="1899-12-30T12:09:00"/>
    <x v="56"/>
    <s v="PLANTA"/>
    <x v="13"/>
    <n v="500"/>
    <n v="20"/>
    <n v="107000000"/>
    <m/>
  </r>
  <r>
    <x v="0"/>
    <s v="001-OSC-00068261"/>
    <d v="2025-12-02T00:00:00"/>
    <d v="1899-12-30T16:50:00"/>
    <m/>
    <x v="122"/>
    <s v="BG24360"/>
    <d v="2025-12-03T00:00:00"/>
    <d v="1899-12-30T12:35:00"/>
    <x v="3"/>
    <s v="BELLO"/>
    <x v="4"/>
    <n v="150"/>
    <n v="6"/>
    <n v="3825000"/>
    <m/>
  </r>
  <r>
    <x v="0"/>
    <s v="001-OSC-00068261"/>
    <d v="2025-12-02T00:00:00"/>
    <d v="1899-12-30T16:50:00"/>
    <m/>
    <x v="122"/>
    <s v="BG24360"/>
    <d v="2025-12-03T00:00:00"/>
    <d v="1899-12-30T12:35:00"/>
    <x v="3"/>
    <s v="BELLO"/>
    <x v="5"/>
    <n v="300"/>
    <n v="12"/>
    <n v="11550000"/>
    <m/>
  </r>
  <r>
    <x v="0"/>
    <n v="1310551"/>
    <d v="2025-12-03T00:00:00"/>
    <d v="1899-12-30T09:00:00"/>
    <s v="EN ESPERA DE CARGUE"/>
    <x v="123"/>
    <s v="BG24340"/>
    <d v="2025-12-03T00:00:00"/>
    <d v="1899-12-30T12:38:00"/>
    <x v="10"/>
    <s v="BUCARAMANGA"/>
    <x v="4"/>
    <n v="475"/>
    <n v="19"/>
    <n v="11400000"/>
    <m/>
  </r>
  <r>
    <x v="0"/>
    <s v="103-OCC-37495"/>
    <d v="2025-12-03T00:00:00"/>
    <d v="1899-12-30T10:45:00"/>
    <m/>
    <x v="124"/>
    <s v="BG24398"/>
    <d v="2025-12-03T00:00:00"/>
    <d v="1899-12-30T12:55:00"/>
    <x v="26"/>
    <s v="GIRARDOTA"/>
    <x v="4"/>
    <n v="3000"/>
    <n v="120"/>
    <n v="76500000"/>
    <m/>
  </r>
  <r>
    <x v="0"/>
    <s v="103-OCC-37495"/>
    <d v="2025-12-03T00:00:00"/>
    <d v="1899-12-30T10:45:00"/>
    <m/>
    <x v="124"/>
    <s v="BG24398"/>
    <d v="2025-12-03T00:00:00"/>
    <d v="1899-12-30T12:55:00"/>
    <x v="26"/>
    <s v="GIRARDOTA"/>
    <x v="26"/>
    <n v="600"/>
    <n v="24"/>
    <n v="15300000"/>
    <m/>
  </r>
  <r>
    <x v="0"/>
    <m/>
    <d v="2025-12-03T00:00:00"/>
    <d v="1899-12-30T12:35:00"/>
    <s v="EN REPARTO"/>
    <x v="125"/>
    <s v="BG24306"/>
    <d v="2025-12-03T00:00:00"/>
    <d v="1899-12-30T12:58:00"/>
    <x v="57"/>
    <s v="ZIPAQUIRA"/>
    <x v="10"/>
    <n v="550"/>
    <n v="22"/>
    <n v="57750000"/>
    <m/>
  </r>
  <r>
    <x v="0"/>
    <n v="63238"/>
    <d v="2025-12-03T00:00:00"/>
    <d v="1899-12-30T10:58:00"/>
    <s v="EN ESPERA DE CARGUE"/>
    <x v="126"/>
    <s v="BG24344"/>
    <d v="2025-12-03T00:00:00"/>
    <d v="1899-12-30T13:03:00"/>
    <x v="14"/>
    <s v="BUCARAMANGA"/>
    <x v="39"/>
    <n v="700"/>
    <n v="28"/>
    <n v="12495000"/>
    <m/>
  </r>
  <r>
    <x v="0"/>
    <n v="1310555"/>
    <d v="2025-12-03T00:00:00"/>
    <d v="1899-12-30T09:03:00"/>
    <s v="EN ESPERA DE CARGUE"/>
    <x v="127"/>
    <s v="BG24339"/>
    <d v="2025-12-03T00:00:00"/>
    <d v="1899-12-30T13:08:00"/>
    <x v="10"/>
    <s v="BUCARAMANGA"/>
    <x v="26"/>
    <n v="225"/>
    <n v="9"/>
    <n v="4889250"/>
    <m/>
  </r>
  <r>
    <x v="1"/>
    <n v="1310555"/>
    <d v="2025-12-03T00:00:00"/>
    <d v="1899-12-30T09:03:00"/>
    <m/>
    <x v="127"/>
    <s v="-"/>
    <d v="2025-12-03T00:00:00"/>
    <d v="1899-12-30T13:08:00"/>
    <x v="10"/>
    <s v="BUCARAMANGA"/>
    <x v="13"/>
    <n v="75"/>
    <n v="3"/>
    <n v="0"/>
    <m/>
  </r>
  <r>
    <x v="0"/>
    <n v="1310555"/>
    <d v="2025-12-03T00:00:00"/>
    <d v="1899-12-30T09:03:00"/>
    <s v="EN ESPERA DE CARGUE"/>
    <x v="128"/>
    <s v="BG24338"/>
    <d v="2025-12-03T00:00:00"/>
    <d v="1899-12-30T13:15:00"/>
    <x v="10"/>
    <s v="BUCARAMANGA"/>
    <x v="5"/>
    <n v="75"/>
    <n v="3"/>
    <n v="2587500"/>
    <m/>
  </r>
  <r>
    <x v="0"/>
    <s v="PO_OC00002539BX"/>
    <d v="2025-12-03T00:00:00"/>
    <d v="1899-12-30T11:47:00"/>
    <m/>
    <x v="129"/>
    <s v="BG24336"/>
    <d v="2025-12-03T00:00:00"/>
    <d v="1899-12-30T13:25:00"/>
    <x v="5"/>
    <s v="SABANETA"/>
    <x v="0"/>
    <n v="1000"/>
    <n v="40"/>
    <n v="16000000"/>
    <m/>
  </r>
  <r>
    <x v="0"/>
    <n v="1310765"/>
    <d v="2025-12-03T00:00:00"/>
    <d v="1899-12-30T13:04:00"/>
    <m/>
    <x v="130"/>
    <s v="BG24305"/>
    <d v="2025-12-03T00:00:00"/>
    <d v="1899-12-30T13:30:00"/>
    <x v="10"/>
    <s v="CIENAGA"/>
    <x v="11"/>
    <n v="125"/>
    <n v="5"/>
    <n v="6615000"/>
    <m/>
  </r>
  <r>
    <x v="0"/>
    <n v="1310765"/>
    <d v="2025-12-03T00:00:00"/>
    <d v="1899-12-30T13:04:00"/>
    <m/>
    <x v="131"/>
    <s v="BG24304"/>
    <d v="2025-12-03T00:00:00"/>
    <d v="1899-12-30T13:30:00"/>
    <x v="10"/>
    <s v="CIENAGA"/>
    <x v="5"/>
    <n v="75"/>
    <n v="3"/>
    <n v="2587500"/>
    <m/>
  </r>
  <r>
    <x v="0"/>
    <n v="4503910770"/>
    <d v="2025-12-03T00:00:00"/>
    <d v="1899-12-30T13:05:00"/>
    <m/>
    <x v="132"/>
    <s v="BG24368"/>
    <d v="2025-12-03T00:00:00"/>
    <d v="1899-12-30T13:30:00"/>
    <x v="16"/>
    <s v="BUGA"/>
    <x v="7"/>
    <n v="2000"/>
    <n v="80"/>
    <n v="35500000"/>
    <m/>
  </r>
  <r>
    <x v="0"/>
    <m/>
    <d v="2025-12-03T00:00:00"/>
    <d v="1899-12-30T12:34:00"/>
    <m/>
    <x v="133"/>
    <s v="BG24335"/>
    <d v="2025-12-03T00:00:00"/>
    <d v="1899-12-30T14:45:00"/>
    <x v="58"/>
    <s v="GUARNE"/>
    <x v="7"/>
    <n v="25"/>
    <n v="1"/>
    <n v="487500"/>
    <m/>
  </r>
  <r>
    <x v="0"/>
    <m/>
    <d v="2025-12-03T00:00:00"/>
    <d v="1899-12-30T12:34:00"/>
    <m/>
    <x v="133"/>
    <s v="BG24335"/>
    <d v="2025-12-03T00:00:00"/>
    <d v="1899-12-30T14:45:00"/>
    <x v="58"/>
    <s v="GUARNE"/>
    <x v="0"/>
    <n v="400"/>
    <n v="16"/>
    <n v="6200000"/>
    <m/>
  </r>
  <r>
    <x v="0"/>
    <m/>
    <d v="2025-12-03T00:00:00"/>
    <d v="1899-12-30T12:34:00"/>
    <m/>
    <x v="133"/>
    <s v="BG24335"/>
    <d v="2025-12-03T00:00:00"/>
    <d v="1899-12-30T14:45:00"/>
    <x v="58"/>
    <s v="GUARNE"/>
    <x v="2"/>
    <n v="75"/>
    <n v="3"/>
    <n v="12985875"/>
    <m/>
  </r>
  <r>
    <x v="0"/>
    <m/>
    <d v="2025-12-03T00:00:00"/>
    <d v="1899-12-30T12:34:00"/>
    <m/>
    <x v="133"/>
    <s v="BG24335"/>
    <d v="2025-12-03T00:00:00"/>
    <d v="1899-12-30T14:45:00"/>
    <x v="58"/>
    <s v="GUARNE"/>
    <x v="41"/>
    <n v="60"/>
    <n v="2"/>
    <n v="14805000"/>
    <m/>
  </r>
  <r>
    <x v="0"/>
    <m/>
    <d v="2025-12-03T00:00:00"/>
    <d v="1899-12-30T12:34:00"/>
    <m/>
    <x v="133"/>
    <s v="BG24335"/>
    <d v="2025-12-03T00:00:00"/>
    <d v="1899-12-30T14:45:00"/>
    <x v="58"/>
    <s v="GUARNE"/>
    <x v="11"/>
    <n v="25"/>
    <n v="1"/>
    <n v="1725000"/>
    <m/>
  </r>
  <r>
    <x v="0"/>
    <m/>
    <d v="2025-12-03T00:00:00"/>
    <d v="1899-12-30T12:34:00"/>
    <m/>
    <x v="133"/>
    <s v="BG24335"/>
    <d v="2025-12-03T00:00:00"/>
    <d v="1899-12-30T14:45:00"/>
    <x v="58"/>
    <s v="GUARNE"/>
    <x v="4"/>
    <n v="100"/>
    <n v="4"/>
    <n v="2550000"/>
    <m/>
  </r>
  <r>
    <x v="1"/>
    <s v="CANCELADO POR EL CLIENTE"/>
    <d v="2025-12-03T00:00:00"/>
    <d v="1899-12-30T14:35:00"/>
    <m/>
    <x v="134"/>
    <s v="-"/>
    <d v="2025-12-03T00:00:00"/>
    <d v="1899-12-30T14:57:00"/>
    <x v="59"/>
    <s v="CALI"/>
    <x v="42"/>
    <n v="100"/>
    <n v="4"/>
    <n v="0"/>
    <m/>
  </r>
  <r>
    <x v="1"/>
    <s v="CANCELADO POR EL CLIENTE"/>
    <d v="2025-12-03T00:00:00"/>
    <d v="1899-12-30T14:35:00"/>
    <m/>
    <x v="134"/>
    <s v="-"/>
    <d v="2025-12-03T00:00:00"/>
    <d v="1899-12-30T14:57:00"/>
    <x v="59"/>
    <s v="CALI"/>
    <x v="28"/>
    <n v="100"/>
    <n v="4"/>
    <n v="0"/>
    <m/>
  </r>
  <r>
    <x v="0"/>
    <s v="3016 - 1156"/>
    <d v="2025-12-04T00:00:00"/>
    <d v="1899-12-30T10:20:00"/>
    <m/>
    <x v="135"/>
    <s v="BG24357"/>
    <d v="2025-12-04T00:00:00"/>
    <d v="1899-12-30T11:57:00"/>
    <x v="53"/>
    <s v="BOGOTA"/>
    <x v="44"/>
    <n v="2.2650000000000001"/>
    <n v="0"/>
    <n v="0"/>
    <m/>
  </r>
  <r>
    <x v="0"/>
    <s v="3016 - 1156"/>
    <d v="2025-12-04T00:00:00"/>
    <d v="1899-12-30T10:20:00"/>
    <m/>
    <x v="136"/>
    <s v="BG24358"/>
    <d v="2025-12-04T00:00:00"/>
    <d v="1899-12-30T11:57:00"/>
    <x v="53"/>
    <s v="BOGOTA"/>
    <x v="2"/>
    <n v="25"/>
    <n v="1"/>
    <n v="4444250"/>
    <m/>
  </r>
  <r>
    <x v="0"/>
    <s v="3016 - 1156"/>
    <d v="2025-12-04T00:00:00"/>
    <d v="1899-12-30T10:20:00"/>
    <m/>
    <x v="136"/>
    <s v="BG24358"/>
    <d v="2025-12-04T00:00:00"/>
    <d v="1899-12-30T11:57:00"/>
    <x v="53"/>
    <s v="BOGOTA"/>
    <x v="23"/>
    <n v="35"/>
    <n v="1"/>
    <n v="2128700"/>
    <m/>
  </r>
  <r>
    <x v="0"/>
    <s v="101-OCC-0034776"/>
    <d v="2025-12-04T00:00:00"/>
    <d v="1899-12-30T08:57:00"/>
    <m/>
    <x v="137"/>
    <s v="BG24390"/>
    <d v="2025-12-04T00:00:00"/>
    <d v="1899-12-30T12:08:00"/>
    <x v="26"/>
    <s v="PALMIRA"/>
    <x v="7"/>
    <n v="200"/>
    <n v="8"/>
    <n v="3640000"/>
    <m/>
  </r>
  <r>
    <x v="0"/>
    <n v="450390254"/>
    <d v="2025-12-04T00:00:00"/>
    <d v="1899-12-30T10:12:00"/>
    <m/>
    <x v="138"/>
    <s v="BG24373"/>
    <d v="2025-12-04T00:00:00"/>
    <d v="1899-12-30T12:22:00"/>
    <x v="13"/>
    <s v="BUGA"/>
    <x v="28"/>
    <n v="8500"/>
    <n v="340"/>
    <n v="263500000"/>
    <m/>
  </r>
  <r>
    <x v="0"/>
    <n v="4503910110"/>
    <d v="2025-12-04T00:00:00"/>
    <d v="1899-12-30T10:12:00"/>
    <m/>
    <x v="139"/>
    <s v="BG24367"/>
    <d v="2025-12-04T00:00:00"/>
    <d v="1899-12-30T12:27:00"/>
    <x v="13"/>
    <s v="BUGA"/>
    <x v="7"/>
    <n v="2900"/>
    <n v="116"/>
    <n v="51475000"/>
    <m/>
  </r>
  <r>
    <x v="0"/>
    <n v="4503907632"/>
    <d v="2025-12-04T00:00:00"/>
    <d v="1899-12-30T10:12:00"/>
    <m/>
    <x v="140"/>
    <s v="BG24374"/>
    <d v="2025-12-04T00:00:00"/>
    <s v="12;32"/>
    <x v="13"/>
    <s v="RIO FRIO"/>
    <x v="16"/>
    <n v="200"/>
    <n v="8"/>
    <n v="50568000"/>
    <m/>
  </r>
  <r>
    <x v="0"/>
    <n v="4503907632"/>
    <d v="2025-12-04T00:00:00"/>
    <d v="1899-12-30T10:12:00"/>
    <m/>
    <x v="141"/>
    <s v="BG24384"/>
    <d v="2025-12-04T00:00:00"/>
    <s v="12;32"/>
    <x v="13"/>
    <s v="RIO FRIO"/>
    <x v="16"/>
    <n v="88"/>
    <n v="4"/>
    <n v="4682000"/>
    <m/>
  </r>
  <r>
    <x v="0"/>
    <s v="006-OC-028671"/>
    <d v="2025-12-04T00:00:00"/>
    <d v="1899-12-30T11:08:00"/>
    <m/>
    <x v="142"/>
    <s v="BG24353"/>
    <d v="2025-12-04T00:00:00"/>
    <d v="1899-12-30T13:28:00"/>
    <x v="20"/>
    <s v="GIRARDOT"/>
    <x v="45"/>
    <n v="300"/>
    <n v="12"/>
    <n v="11655000"/>
    <m/>
  </r>
  <r>
    <x v="0"/>
    <s v="006-OC-028671"/>
    <d v="2025-12-04T00:00:00"/>
    <d v="1899-12-30T11:08:00"/>
    <m/>
    <x v="142"/>
    <s v="BG24353"/>
    <d v="2025-12-04T00:00:00"/>
    <d v="1899-12-30T13:28:00"/>
    <x v="20"/>
    <s v="GIRARDOT"/>
    <x v="23"/>
    <n v="5"/>
    <n v="5"/>
    <n v="301000"/>
    <m/>
  </r>
  <r>
    <x v="0"/>
    <s v="006-OC-028671"/>
    <d v="2025-12-04T00:00:00"/>
    <d v="1899-12-30T11:08:00"/>
    <m/>
    <x v="143"/>
    <s v="BG24352"/>
    <d v="2025-12-04T00:00:00"/>
    <d v="1899-12-30T13:28:00"/>
    <x v="20"/>
    <s v="GIRARDOT"/>
    <x v="25"/>
    <n v="0.375"/>
    <n v="5"/>
    <n v="0"/>
    <m/>
  </r>
  <r>
    <x v="0"/>
    <s v="007-OC-050466"/>
    <d v="2025-12-04T00:00:00"/>
    <d v="1899-12-30T11:08:00"/>
    <m/>
    <x v="144"/>
    <s v="BG24351"/>
    <d v="2025-12-04T00:00:00"/>
    <d v="1899-12-30T13:28:00"/>
    <x v="20"/>
    <s v="GIRON"/>
    <x v="45"/>
    <n v="300"/>
    <n v="12"/>
    <n v="11655000"/>
    <m/>
  </r>
  <r>
    <x v="0"/>
    <m/>
    <d v="2025-12-04T00:00:00"/>
    <d v="1899-12-30T13:05:00"/>
    <m/>
    <x v="145"/>
    <s v="BG24349"/>
    <d v="2025-12-04T00:00:00"/>
    <d v="1899-12-30T13:37:00"/>
    <x v="58"/>
    <s v="EL POBLADO"/>
    <x v="23"/>
    <n v="6"/>
    <n v="6"/>
    <n v="351000"/>
    <m/>
  </r>
  <r>
    <x v="0"/>
    <m/>
    <d v="2025-12-04T00:00:00"/>
    <d v="1899-12-30T13:05:00"/>
    <m/>
    <x v="145"/>
    <s v="BG24348"/>
    <d v="2025-12-04T00:00:00"/>
    <d v="1899-12-30T13:37:00"/>
    <x v="58"/>
    <s v="EL POBLADO"/>
    <x v="25"/>
    <n v="0.375"/>
    <n v="6"/>
    <n v="0"/>
    <m/>
  </r>
  <r>
    <x v="0"/>
    <n v="1310943"/>
    <d v="2025-12-03T00:00:00"/>
    <d v="1899-12-30T14:33:00"/>
    <m/>
    <x v="146"/>
    <s v="BG24356"/>
    <d v="2025-12-04T00:00:00"/>
    <d v="1899-12-30T13:42:00"/>
    <x v="25"/>
    <s v="PEREIRA"/>
    <x v="12"/>
    <n v="50"/>
    <n v="2"/>
    <n v="2325000"/>
    <m/>
  </r>
  <r>
    <x v="0"/>
    <n v="1310984"/>
    <d v="2025-12-03T00:00:00"/>
    <d v="1899-12-30T15:03:00"/>
    <m/>
    <x v="147"/>
    <s v="BG24355"/>
    <d v="2025-12-04T00:00:00"/>
    <d v="1899-12-30T13:55:00"/>
    <x v="25"/>
    <s v="BUCARAMANGA"/>
    <x v="12"/>
    <n v="55"/>
    <n v="2"/>
    <n v="2557500"/>
    <m/>
  </r>
  <r>
    <x v="0"/>
    <n v="1310984"/>
    <d v="2025-12-03T00:00:00"/>
    <d v="1899-12-30T15:03:00"/>
    <m/>
    <x v="147"/>
    <s v="BG24355"/>
    <d v="2025-12-04T00:00:00"/>
    <d v="1899-12-30T13:55:00"/>
    <x v="25"/>
    <s v="BUCARAMANGA"/>
    <x v="29"/>
    <n v="10"/>
    <n v="20"/>
    <n v="4108000"/>
    <m/>
  </r>
  <r>
    <x v="0"/>
    <n v="1310984"/>
    <d v="2025-12-03T00:00:00"/>
    <d v="1899-12-30T15:03:00"/>
    <m/>
    <x v="147"/>
    <s v="BG24354"/>
    <d v="2025-12-04T00:00:00"/>
    <d v="1899-12-30T13:55:00"/>
    <x v="25"/>
    <s v="BUCARAMANGA"/>
    <x v="25"/>
    <n v="4.12"/>
    <n v="55"/>
    <n v="0"/>
    <m/>
  </r>
  <r>
    <x v="0"/>
    <n v="5504067809"/>
    <d v="2025-12-03T00:00:00"/>
    <d v="1899-12-30T14:51:00"/>
    <m/>
    <x v="148"/>
    <s v="BG24470"/>
    <d v="2025-12-04T00:00:00"/>
    <d v="1899-12-30T14:12:00"/>
    <x v="9"/>
    <s v="MANANTIALES"/>
    <x v="16"/>
    <n v="50"/>
    <n v="2"/>
    <n v="2775000"/>
    <m/>
  </r>
  <r>
    <x v="0"/>
    <n v="1311044"/>
    <d v="2025-12-03T00:00:00"/>
    <d v="1899-12-30T15:48:00"/>
    <m/>
    <x v="149"/>
    <s v="BG24364"/>
    <d v="2025-12-04T00:00:00"/>
    <d v="1899-12-30T14:14:00"/>
    <x v="4"/>
    <s v="BARBOSA"/>
    <x v="21"/>
    <n v="2000"/>
    <n v="80"/>
    <n v="69000000"/>
    <m/>
  </r>
  <r>
    <x v="0"/>
    <s v="105-OCC-00017069"/>
    <d v="2025-12-04T00:00:00"/>
    <d v="1899-12-30T09:40:00"/>
    <m/>
    <x v="150"/>
    <s v="BG24394"/>
    <d v="2025-12-04T00:00:00"/>
    <d v="1899-12-30T14:27:00"/>
    <x v="26"/>
    <s v="PEREIRA"/>
    <x v="7"/>
    <n v="2500"/>
    <n v="100"/>
    <n v="45500000"/>
    <m/>
  </r>
  <r>
    <x v="0"/>
    <s v="N/A"/>
    <d v="2025-12-04T00:00:00"/>
    <d v="1899-12-30T11:31:00"/>
    <m/>
    <x v="151"/>
    <s v="BG24350"/>
    <d v="2025-12-04T00:00:00"/>
    <d v="1899-12-30T14:18:00"/>
    <x v="60"/>
    <s v="BUGA"/>
    <x v="37"/>
    <n v="50"/>
    <n v="2"/>
    <n v="2892000"/>
    <m/>
  </r>
  <r>
    <x v="0"/>
    <s v="N/A"/>
    <d v="2025-12-04T00:00:00"/>
    <d v="1899-12-30T11:31:00"/>
    <m/>
    <x v="151"/>
    <s v="BG24350"/>
    <d v="2025-12-04T00:00:00"/>
    <d v="1899-12-30T14:18:00"/>
    <x v="60"/>
    <s v="BUGA"/>
    <x v="0"/>
    <n v="50"/>
    <n v="2"/>
    <n v="925000"/>
    <m/>
  </r>
  <r>
    <x v="0"/>
    <s v="MED - 6,851"/>
    <d v="2025-12-04T00:00:00"/>
    <d v="1899-12-30T08:14:00"/>
    <m/>
    <x v="152"/>
    <s v="BG24393"/>
    <d v="2025-12-04T00:00:00"/>
    <d v="1899-12-30T15:20:00"/>
    <x v="7"/>
    <s v="PEREIRA"/>
    <x v="46"/>
    <n v="14.5"/>
    <n v="1"/>
    <n v="1486250"/>
    <m/>
  </r>
  <r>
    <x v="0"/>
    <s v="MED - 6,851"/>
    <d v="2025-12-04T00:00:00"/>
    <d v="1899-12-30T08:14:00"/>
    <m/>
    <x v="152"/>
    <s v="BG24393"/>
    <d v="2025-12-04T00:00:00"/>
    <d v="1899-12-30T15:20:00"/>
    <x v="7"/>
    <s v="PEREIRA"/>
    <x v="16"/>
    <n v="10"/>
    <n v="0"/>
    <n v="545000"/>
    <m/>
  </r>
  <r>
    <x v="0"/>
    <n v="1312745"/>
    <d v="2025-12-05T00:00:00"/>
    <d v="1899-12-30T08:30:00"/>
    <m/>
    <x v="153"/>
    <s v="BG24375"/>
    <s v="5/12/20205"/>
    <d v="1899-12-30T08:45:00"/>
    <x v="25"/>
    <s v="CALDAS ANTIOQUIA"/>
    <x v="35"/>
    <n v="72"/>
    <n v="3"/>
    <n v="3355200"/>
    <m/>
  </r>
  <r>
    <x v="0"/>
    <n v="1312745"/>
    <d v="2025-12-05T00:00:00"/>
    <d v="1899-12-30T08:30:00"/>
    <m/>
    <x v="154"/>
    <s v="BG24389"/>
    <s v="5/12/20205"/>
    <d v="1899-12-30T08:45:00"/>
    <x v="25"/>
    <s v="CALDAS ANTIOQUIA"/>
    <x v="23"/>
    <n v="100"/>
    <n v="4"/>
    <n v="4650000"/>
    <m/>
  </r>
  <r>
    <x v="0"/>
    <n v="1312745"/>
    <d v="2025-12-05T00:00:00"/>
    <d v="1899-12-30T08:30:00"/>
    <m/>
    <x v="155"/>
    <s v="BG24546"/>
    <s v="5/12/20205"/>
    <d v="1899-12-30T08:45:00"/>
    <x v="25"/>
    <s v="CALDAS ANTIOQUIA"/>
    <x v="25"/>
    <n v="7.5"/>
    <n v="0"/>
    <n v="0"/>
    <m/>
  </r>
  <r>
    <x v="0"/>
    <n v="1312212"/>
    <d v="2025-12-04T00:00:00"/>
    <d v="1899-12-30T16:33:00"/>
    <m/>
    <x v="156"/>
    <s v="BG24397"/>
    <s v="5/12/20205"/>
    <d v="1899-12-30T09:38:00"/>
    <x v="10"/>
    <s v="BUCARAMANGA"/>
    <x v="4"/>
    <n v="4000"/>
    <n v="160"/>
    <n v="96000000"/>
    <m/>
  </r>
  <r>
    <x v="0"/>
    <n v="1312378"/>
    <d v="2025-12-04T00:00:00"/>
    <d v="1899-12-30T16:33:00"/>
    <m/>
    <x v="157"/>
    <s v="BG24388"/>
    <s v="5/12/20205"/>
    <d v="1899-12-30T09:43:00"/>
    <x v="10"/>
    <s v="BUCARAMANGA"/>
    <x v="5"/>
    <n v="100"/>
    <n v="4"/>
    <n v="3450000"/>
    <m/>
  </r>
  <r>
    <x v="2"/>
    <m/>
    <m/>
    <m/>
    <m/>
    <x v="157"/>
    <s v="BG24622"/>
    <s v="5/12/20205"/>
    <d v="1899-12-30T09:43:00"/>
    <x v="10"/>
    <s v="BUCARAMANGA"/>
    <x v="13"/>
    <n v="75"/>
    <n v="3"/>
    <n v="13125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47"/>
    <n v="500"/>
    <n v="20"/>
    <n v="26500000"/>
    <m/>
  </r>
  <r>
    <x v="2"/>
    <s v="COC-00000294"/>
    <d v="2025-12-05T00:00:00"/>
    <d v="1899-12-30T15:38:00"/>
    <m/>
    <x v="158"/>
    <s v="BG24675"/>
    <d v="2025-12-05T00:00:00"/>
    <d v="1899-12-30T11:27:00"/>
    <x v="61"/>
    <s v="DON MATIAS"/>
    <x v="47"/>
    <n v="100"/>
    <n v="4"/>
    <n v="5300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4"/>
    <n v="1500"/>
    <n v="60"/>
    <n v="3840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13"/>
    <n v="25"/>
    <n v="1"/>
    <n v="5000000"/>
    <m/>
  </r>
  <r>
    <x v="0"/>
    <s v="COC-00000294"/>
    <d v="2025-12-05T00:00:00"/>
    <d v="1899-12-30T15:38:00"/>
    <m/>
    <x v="158"/>
    <s v="BG24387"/>
    <d v="2025-12-05T00:00:00"/>
    <d v="1899-12-30T11:27:00"/>
    <x v="61"/>
    <s v="DON MATIAS"/>
    <x v="30"/>
    <n v="130"/>
    <n v="5"/>
    <n v="26000000"/>
    <m/>
  </r>
  <r>
    <x v="2"/>
    <s v="COC-00000294"/>
    <d v="2025-12-05T00:00:00"/>
    <d v="1899-12-30T15:38:00"/>
    <m/>
    <x v="159"/>
    <s v="BG24544"/>
    <d v="2025-12-05T00:00:00"/>
    <d v="1899-12-30T11:27:00"/>
    <x v="61"/>
    <s v="DON MATIAS"/>
    <x v="30"/>
    <n v="50"/>
    <n v="2"/>
    <n v="10000000"/>
    <m/>
  </r>
  <r>
    <x v="0"/>
    <s v="COC-00000294"/>
    <d v="2025-12-05T00:00:00"/>
    <d v="1899-12-30T15:38:00"/>
    <m/>
    <x v="160"/>
    <s v="BG24386"/>
    <d v="2025-12-05T00:00:00"/>
    <d v="1899-12-30T11:27:00"/>
    <x v="61"/>
    <s v="DON MATIAS"/>
    <x v="25"/>
    <n v="45"/>
    <n v="2"/>
    <n v="0"/>
    <m/>
  </r>
  <r>
    <x v="0"/>
    <m/>
    <m/>
    <d v="1899-12-30T18:21:00"/>
    <m/>
    <x v="158"/>
    <s v="BG24387"/>
    <d v="2025-12-05T00:00:00"/>
    <d v="1899-12-30T12:15:00"/>
    <x v="61"/>
    <s v="DON MATIAS"/>
    <x v="30"/>
    <n v="130"/>
    <n v="5"/>
    <n v="26000000"/>
    <m/>
  </r>
  <r>
    <x v="0"/>
    <m/>
    <d v="2025-12-04T00:00:00"/>
    <d v="1899-12-30T18:21:00"/>
    <m/>
    <x v="161"/>
    <s v="BG24387"/>
    <d v="2025-12-05T00:00:00"/>
    <d v="1899-12-30T12:15:00"/>
    <x v="62"/>
    <s v="DON MATIAS"/>
    <x v="0"/>
    <n v="200"/>
    <n v="8"/>
    <n v="3200000"/>
    <m/>
  </r>
  <r>
    <x v="0"/>
    <m/>
    <d v="2025-12-04T00:00:00"/>
    <d v="1899-12-30T18:21:00"/>
    <m/>
    <x v="161"/>
    <s v="BG24387"/>
    <d v="2025-12-05T00:00:00"/>
    <d v="1899-12-30T12:15:00"/>
    <x v="62"/>
    <s v="DON MATIAS"/>
    <x v="7"/>
    <n v="300"/>
    <n v="12"/>
    <n v="6390000"/>
    <m/>
  </r>
  <r>
    <x v="0"/>
    <m/>
    <d v="2025-12-04T00:00:00"/>
    <d v="1899-12-30T18:21:00"/>
    <m/>
    <x v="161"/>
    <s v="BG24387"/>
    <d v="2025-12-05T00:00:00"/>
    <d v="1899-12-30T12:15:00"/>
    <x v="62"/>
    <s v="DON MATIAS"/>
    <x v="39"/>
    <n v="300"/>
    <n v="12"/>
    <n v="4860000"/>
    <m/>
  </r>
  <r>
    <x v="2"/>
    <m/>
    <m/>
    <d v="1899-12-30T18:21:00"/>
    <m/>
    <x v="161"/>
    <s v="BG24385"/>
    <d v="2025-12-05T00:00:00"/>
    <d v="1899-12-30T12:15:00"/>
    <x v="62"/>
    <s v="DON MATIAS"/>
    <x v="30"/>
    <n v="15"/>
    <n v="1"/>
    <n v="3075000"/>
    <m/>
  </r>
  <r>
    <x v="0"/>
    <m/>
    <d v="2025-12-04T00:00:00"/>
    <d v="1899-12-30T18:21:00"/>
    <m/>
    <x v="162"/>
    <s v="BG24385"/>
    <d v="2025-12-05T00:00:00"/>
    <d v="1899-12-30T12:15:00"/>
    <x v="62"/>
    <s v="DON MATIAS"/>
    <x v="30"/>
    <n v="70"/>
    <n v="14"/>
    <n v="13225000"/>
    <m/>
  </r>
  <r>
    <x v="0"/>
    <m/>
    <d v="2025-12-04T00:00:00"/>
    <d v="1899-12-30T18:21:00"/>
    <m/>
    <x v="163"/>
    <s v="BG24444"/>
    <d v="2025-12-05T00:00:00"/>
    <d v="1899-12-30T12:15:00"/>
    <x v="62"/>
    <s v="DON MATIAS"/>
    <x v="0"/>
    <n v="200"/>
    <n v="8"/>
    <n v="3200000"/>
    <m/>
  </r>
  <r>
    <x v="0"/>
    <m/>
    <d v="2025-12-04T00:00:00"/>
    <d v="1899-12-30T18:21:00"/>
    <m/>
    <x v="163"/>
    <s v="BG24444"/>
    <d v="2025-12-05T00:00:00"/>
    <d v="1899-12-30T12:15:00"/>
    <x v="62"/>
    <s v="DON MATIAS"/>
    <x v="7"/>
    <n v="300"/>
    <n v="12"/>
    <n v="6390000"/>
    <m/>
  </r>
  <r>
    <x v="0"/>
    <m/>
    <d v="2025-12-04T00:00:00"/>
    <d v="1899-12-30T18:21:00"/>
    <m/>
    <x v="163"/>
    <s v="BG24444"/>
    <d v="2025-12-05T00:00:00"/>
    <d v="1899-12-30T12:15:00"/>
    <x v="62"/>
    <s v="DON MATIAS"/>
    <x v="39"/>
    <n v="300"/>
    <n v="12"/>
    <n v="486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10"/>
    <n v="25"/>
    <n v="1"/>
    <n v="275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40"/>
    <n v="50"/>
    <n v="2"/>
    <n v="276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23"/>
    <n v="150"/>
    <n v="6"/>
    <n v="840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13"/>
    <n v="150"/>
    <n v="6"/>
    <n v="3075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0"/>
    <n v="200"/>
    <n v="8"/>
    <n v="320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7"/>
    <n v="200"/>
    <n v="8"/>
    <n v="4260000"/>
    <m/>
  </r>
  <r>
    <x v="0"/>
    <m/>
    <d v="2025-12-04T00:00:00"/>
    <d v="1899-12-30T18:21:00"/>
    <m/>
    <x v="164"/>
    <s v="BG24571"/>
    <d v="2025-12-05T00:00:00"/>
    <d v="1899-12-30T12:15:00"/>
    <x v="62"/>
    <s v="DON MATIAS"/>
    <x v="39"/>
    <n v="400"/>
    <n v="16"/>
    <n v="6480000"/>
    <m/>
  </r>
  <r>
    <x v="0"/>
    <m/>
    <d v="2025-12-04T00:00:00"/>
    <d v="1899-12-30T18:21:00"/>
    <m/>
    <x v="165"/>
    <s v="BG24638"/>
    <d v="2025-12-05T00:00:00"/>
    <d v="1899-12-30T12:15:00"/>
    <x v="62"/>
    <s v="DON MATIAS"/>
    <x v="25"/>
    <n v="11.25"/>
    <n v="0"/>
    <n v="0"/>
    <m/>
  </r>
  <r>
    <x v="0"/>
    <s v="001-OCN-00013525"/>
    <d v="2025-12-04T00:00:00"/>
    <d v="1899-12-30T16:12:00"/>
    <m/>
    <x v="166"/>
    <s v="BG24383"/>
    <d v="2025-12-05T00:00:00"/>
    <d v="1899-12-30T13:07:00"/>
    <x v="17"/>
    <s v="MOSQUERA"/>
    <x v="10"/>
    <n v="400"/>
    <n v="16"/>
    <n v="43930000"/>
    <m/>
  </r>
  <r>
    <x v="0"/>
    <s v="001-OCN-00013526"/>
    <d v="2025-12-04T00:00:00"/>
    <d v="1899-12-30T16:12:00"/>
    <m/>
    <x v="167"/>
    <s v="BG24453"/>
    <d v="2025-12-05T00:00:00"/>
    <d v="1899-12-30T13:07:00"/>
    <x v="17"/>
    <s v="MOSQUERA"/>
    <x v="28"/>
    <n v="250"/>
    <n v="10"/>
    <n v="8750000"/>
    <m/>
  </r>
  <r>
    <x v="0"/>
    <n v="1312403"/>
    <d v="2025-12-04T00:00:00"/>
    <d v="1899-12-30T19:16:00"/>
    <m/>
    <x v="168"/>
    <s v="BG24382"/>
    <d v="2025-12-05T00:00:00"/>
    <d v="1899-12-30T13:12:00"/>
    <x v="4"/>
    <s v="ENVIGADO"/>
    <x v="17"/>
    <n v="125"/>
    <n v="5"/>
    <n v="16537500"/>
    <m/>
  </r>
  <r>
    <x v="0"/>
    <n v="1312517"/>
    <d v="2025-12-05T00:00:00"/>
    <d v="1899-12-30T07:33:00"/>
    <m/>
    <x v="169"/>
    <s v="BG24381"/>
    <d v="2025-12-05T00:00:00"/>
    <d v="1899-12-30T13:14:00"/>
    <x v="10"/>
    <s v="MOSQUERA"/>
    <x v="11"/>
    <n v="100"/>
    <n v="4"/>
    <n v="5292000"/>
    <m/>
  </r>
  <r>
    <x v="0"/>
    <m/>
    <d v="2025-12-05T00:00:00"/>
    <d v="1899-12-30T09:42:00"/>
    <m/>
    <x v="170"/>
    <s v="BG24380"/>
    <d v="2025-12-05T00:00:00"/>
    <d v="1899-12-30T13:18:00"/>
    <x v="63"/>
    <s v="ENTRERIOS"/>
    <x v="11"/>
    <n v="125"/>
    <n v="5"/>
    <n v="8625000"/>
    <m/>
  </r>
  <r>
    <x v="0"/>
    <m/>
    <d v="2025-12-05T00:00:00"/>
    <d v="1899-12-30T10:22:00"/>
    <m/>
    <x v="171"/>
    <s v="BG24379"/>
    <d v="2025-12-05T00:00:00"/>
    <d v="1899-12-30T13:24:00"/>
    <x v="64"/>
    <s v="BUGA"/>
    <x v="0"/>
    <n v="300"/>
    <n v="12"/>
    <n v="4890000"/>
    <m/>
  </r>
  <r>
    <x v="0"/>
    <m/>
    <d v="2025-12-05T00:00:00"/>
    <d v="1899-12-30T10:22:00"/>
    <m/>
    <x v="171"/>
    <s v="BG24379"/>
    <d v="2025-12-05T00:00:00"/>
    <d v="1899-12-30T13:24:00"/>
    <x v="64"/>
    <s v="BUGA"/>
    <x v="22"/>
    <n v="25"/>
    <n v="1"/>
    <n v="4000000"/>
    <m/>
  </r>
  <r>
    <x v="0"/>
    <n v="4503912867"/>
    <d v="2025-12-05T00:00:00"/>
    <d v="1899-12-30T11:44:00"/>
    <m/>
    <x v="172"/>
    <s v="BG24396"/>
    <d v="2025-12-05T00:00:00"/>
    <d v="1899-12-30T13:28:00"/>
    <x v="13"/>
    <s v="RIO FRIO"/>
    <x v="16"/>
    <n v="288"/>
    <n v="12"/>
    <n v="15912000"/>
    <m/>
  </r>
  <r>
    <x v="0"/>
    <n v="97035"/>
    <d v="2025-12-05T00:00:00"/>
    <d v="1899-12-30T12:34:00"/>
    <m/>
    <x v="173"/>
    <s v="BG24396"/>
    <d v="2025-12-05T00:00:00"/>
    <d v="1899-12-30T13:34:00"/>
    <x v="65"/>
    <s v="BUGA"/>
    <x v="0"/>
    <n v="425"/>
    <n v="17"/>
    <n v="68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27"/>
    <n v="100"/>
    <n v="4"/>
    <n v="235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10"/>
    <n v="100"/>
    <n v="4"/>
    <n v="1025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0"/>
    <n v="500"/>
    <n v="20"/>
    <n v="81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2"/>
    <n v="100"/>
    <n v="4"/>
    <n v="1642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4"/>
    <n v="200"/>
    <n v="8"/>
    <n v="5100000"/>
    <m/>
  </r>
  <r>
    <x v="0"/>
    <s v="CFMP-1608"/>
    <d v="2025-12-05T00:00:00"/>
    <d v="1899-12-30T13:16:00"/>
    <m/>
    <x v="174"/>
    <s v="BG24396"/>
    <d v="2025-12-05T00:00:00"/>
    <d v="1899-12-30T14:28:00"/>
    <x v="40"/>
    <s v="NUTRITEC"/>
    <x v="21"/>
    <n v="200"/>
    <n v="8"/>
    <n v="84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6"/>
    <n v="325"/>
    <n v="13"/>
    <n v="120425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11"/>
    <n v="900"/>
    <n v="36"/>
    <n v="47628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"/>
    <n v="1200"/>
    <n v="48"/>
    <n v="2262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1"/>
    <n v="6000"/>
    <n v="240"/>
    <n v="726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4"/>
    <n v="1425"/>
    <n v="57"/>
    <n v="71107500"/>
    <m/>
  </r>
  <r>
    <x v="2"/>
    <n v="4500085254"/>
    <d v="2025-12-04T00:00:00"/>
    <d v="1899-12-30T08:30:00"/>
    <m/>
    <x v="175"/>
    <s v="BG24460"/>
    <d v="2025-12-04T00:00:00"/>
    <d v="1899-12-30T09:13:00"/>
    <x v="0"/>
    <s v="MEDELLIN"/>
    <x v="34"/>
    <n v="725"/>
    <n v="29"/>
    <n v="36117500"/>
    <m/>
  </r>
  <r>
    <x v="2"/>
    <n v="4500085254"/>
    <d v="2025-12-04T00:00:00"/>
    <d v="1899-12-30T08:30:00"/>
    <m/>
    <x v="175"/>
    <s v="BG24660"/>
    <d v="2025-12-04T00:00:00"/>
    <d v="1899-12-30T09:13:00"/>
    <x v="0"/>
    <s v="MEDELLIN"/>
    <x v="43"/>
    <n v="500"/>
    <n v="20"/>
    <n v="220000000"/>
    <m/>
  </r>
  <r>
    <x v="2"/>
    <n v="4500085254"/>
    <d v="2025-12-04T00:00:00"/>
    <d v="1899-12-30T08:30:00"/>
    <m/>
    <x v="175"/>
    <s v="BG24652"/>
    <d v="2025-12-04T00:00:00"/>
    <d v="1899-12-30T09:13:00"/>
    <x v="0"/>
    <s v="MEDELLIN"/>
    <x v="34"/>
    <n v="275"/>
    <n v="11"/>
    <n v="137225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0"/>
    <n v="200"/>
    <n v="8"/>
    <n v="350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40"/>
    <n v="600"/>
    <n v="24"/>
    <n v="3702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22"/>
    <n v="200"/>
    <n v="8"/>
    <n v="271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28"/>
    <n v="1000"/>
    <n v="40"/>
    <n v="3020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42"/>
    <n v="700"/>
    <n v="28"/>
    <n v="13307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41"/>
    <n v="30"/>
    <n v="1"/>
    <n v="525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21"/>
    <n v="100"/>
    <n v="4"/>
    <n v="3450000"/>
    <m/>
  </r>
  <r>
    <x v="0"/>
    <n v="4500085254"/>
    <d v="2025-12-04T00:00:00"/>
    <d v="1899-12-30T08:30:00"/>
    <m/>
    <x v="175"/>
    <s v="BG24359"/>
    <d v="2025-12-04T00:00:00"/>
    <d v="1899-12-30T09:13:00"/>
    <x v="0"/>
    <s v="MEDELLIN"/>
    <x v="32"/>
    <n v="50"/>
    <n v="2"/>
    <n v="625000"/>
    <m/>
  </r>
  <r>
    <x v="0"/>
    <n v="4500085254"/>
    <d v="2025-12-04T00:00:00"/>
    <d v="1899-12-30T08:30:00"/>
    <m/>
    <x v="176"/>
    <s v="BG24437"/>
    <d v="2025-12-04T00:00:00"/>
    <d v="1899-12-30T09:13:00"/>
    <x v="0"/>
    <s v="MEDELLIN"/>
    <x v="4"/>
    <n v="5000"/>
    <n v="200"/>
    <n v="120000000"/>
    <m/>
  </r>
  <r>
    <x v="1"/>
    <s v="OC PENDIENTE"/>
    <d v="2025-12-05T00:00:00"/>
    <d v="1899-12-30T14:45:00"/>
    <m/>
    <x v="177"/>
    <s v="-"/>
    <d v="2025-12-05T00:00:00"/>
    <d v="1899-12-30T15:02:00"/>
    <x v="66"/>
    <s v="PALMIRA"/>
    <x v="33"/>
    <n v="11"/>
    <n v="22"/>
    <n v="0"/>
    <m/>
  </r>
  <r>
    <x v="0"/>
    <s v="020-OC-003627"/>
    <d v="2025-12-05T00:00:00"/>
    <d v="1899-12-30T12:47:00"/>
    <m/>
    <x v="178"/>
    <s v="BG24376"/>
    <d v="2025-12-05T00:00:00"/>
    <d v="1899-12-30T15:02:00"/>
    <x v="20"/>
    <s v="ITALCOL IBAGUE"/>
    <x v="5"/>
    <n v="75"/>
    <n v="3"/>
    <n v="2887500"/>
    <m/>
  </r>
  <r>
    <x v="0"/>
    <n v="1312922"/>
    <d v="2025-12-05T00:00:00"/>
    <d v="1899-12-30T12:30:00"/>
    <m/>
    <x v="179"/>
    <s v="BG24429"/>
    <s v="9/12/0202"/>
    <d v="1899-12-30T08:50:00"/>
    <x v="25"/>
    <s v="FRESNO"/>
    <x v="23"/>
    <n v="105"/>
    <n v="4"/>
    <n v="4882500"/>
    <m/>
  </r>
  <r>
    <x v="0"/>
    <n v="4500085327"/>
    <d v="2025-12-05T00:00:00"/>
    <d v="1899-12-30T14:42:00"/>
    <m/>
    <x v="180"/>
    <s v="BG24518"/>
    <d v="2025-12-09T00:00:00"/>
    <d v="1899-12-30T09:00:00"/>
    <x v="0"/>
    <s v="SABANETA"/>
    <x v="24"/>
    <n v="325"/>
    <n v="13"/>
    <n v="6126250"/>
    <m/>
  </r>
  <r>
    <x v="0"/>
    <s v="001-OSC-00068509"/>
    <d v="2025-12-05T00:00:00"/>
    <d v="1899-12-30T16:40:00"/>
    <m/>
    <x v="181"/>
    <s v="BG24443"/>
    <d v="2025-12-09T00:00:00"/>
    <d v="1899-12-30T09:28:00"/>
    <x v="3"/>
    <s v="BELLO"/>
    <x v="4"/>
    <n v="200"/>
    <n v="8"/>
    <n v="5100000"/>
    <m/>
  </r>
  <r>
    <x v="0"/>
    <s v="001-OSC-00068510"/>
    <s v="05-15-2025"/>
    <d v="1899-12-30T16:41:00"/>
    <m/>
    <x v="182"/>
    <s v="BG24528"/>
    <d v="2025-12-09T00:00:00"/>
    <d v="1899-12-30T09:35:00"/>
    <x v="3"/>
    <s v="BELLO"/>
    <x v="4"/>
    <n v="100"/>
    <n v="4"/>
    <n v="2550000"/>
    <m/>
  </r>
  <r>
    <x v="2"/>
    <n v="4500085254"/>
    <d v="2025-12-04T00:00:00"/>
    <d v="1899-12-30T08:30:00"/>
    <m/>
    <x v="175"/>
    <m/>
    <d v="2025-12-04T00:00:00"/>
    <d v="1899-12-30T09:13:00"/>
    <x v="0"/>
    <s v="MEDELLIN"/>
    <x v="34"/>
    <n v="75"/>
    <n v="3"/>
    <n v="3742500"/>
    <m/>
  </r>
  <r>
    <x v="2"/>
    <n v="5504078413"/>
    <d v="2025-12-05T00:00:00"/>
    <d v="1899-12-30T19:28:00"/>
    <m/>
    <x v="183"/>
    <m/>
    <d v="2025-12-09T00:00:00"/>
    <d v="1899-12-30T09:47:00"/>
    <x v="9"/>
    <s v="GIRON - CHIMITA"/>
    <x v="34"/>
    <n v="500"/>
    <n v="20"/>
    <n v="36750000"/>
    <m/>
  </r>
  <r>
    <x v="0"/>
    <s v="ORC-00042642"/>
    <d v="2025-12-09T00:00:00"/>
    <d v="1899-12-30T09:06:00"/>
    <m/>
    <x v="184"/>
    <s v="BG24522"/>
    <d v="2025-12-09T00:00:00"/>
    <d v="1899-12-30T10:30:00"/>
    <x v="12"/>
    <s v="IBAGUE"/>
    <x v="16"/>
    <n v="260"/>
    <n v="10"/>
    <n v="14430000"/>
    <m/>
  </r>
  <r>
    <x v="0"/>
    <s v="OC00002575BX"/>
    <d v="2025-12-09T00:00:00"/>
    <d v="1899-12-30T09:30:00"/>
    <m/>
    <x v="185"/>
    <s v="BG24402"/>
    <d v="2025-12-09T00:00:00"/>
    <d v="1899-12-30T10:58:00"/>
    <x v="5"/>
    <s v="SABANETA"/>
    <x v="0"/>
    <n v="1000"/>
    <n v="40"/>
    <n v="16000000"/>
    <m/>
  </r>
  <r>
    <x v="0"/>
    <n v="97.113"/>
    <d v="2025-12-09T00:00:00"/>
    <d v="1899-12-30T13:14:00"/>
    <m/>
    <x v="186"/>
    <s v="BG24407"/>
    <d v="2025-12-09T00:00:00"/>
    <d v="1899-12-30T14:40:00"/>
    <x v="65"/>
    <s v="BUGA"/>
    <x v="45"/>
    <n v="480"/>
    <n v="24"/>
    <n v="19580000"/>
    <m/>
  </r>
  <r>
    <x v="0"/>
    <n v="97.11"/>
    <d v="2025-12-09T00:00:00"/>
    <d v="1899-12-30T13:14:00"/>
    <m/>
    <x v="187"/>
    <s v="BG24408"/>
    <d v="2025-12-09T00:00:00"/>
    <d v="1899-12-30T14:40:00"/>
    <x v="67"/>
    <s v="BUGA"/>
    <x v="29"/>
    <n v="15"/>
    <n v="30"/>
    <n v="7425000"/>
    <m/>
  </r>
  <r>
    <x v="0"/>
    <n v="97.11"/>
    <d v="2025-12-09T00:00:00"/>
    <d v="1899-12-30T13:14:00"/>
    <m/>
    <x v="187"/>
    <s v="BG24408"/>
    <d v="2025-12-09T00:00:00"/>
    <d v="1899-12-30T14:40:00"/>
    <x v="67"/>
    <s v="BUGA"/>
    <x v="20"/>
    <n v="200"/>
    <n v="400"/>
    <n v="19440000"/>
    <m/>
  </r>
  <r>
    <x v="0"/>
    <n v="97.11"/>
    <d v="2025-12-09T00:00:00"/>
    <d v="1899-12-30T13:14:00"/>
    <m/>
    <x v="187"/>
    <s v="BG24408"/>
    <d v="2025-12-09T00:00:00"/>
    <d v="1899-12-30T14:40:00"/>
    <x v="67"/>
    <s v="BUGA"/>
    <x v="22"/>
    <n v="100"/>
    <n v="100"/>
    <n v="14500000"/>
    <m/>
  </r>
  <r>
    <x v="0"/>
    <n v="97.111999999999995"/>
    <d v="2025-12-09T00:00:00"/>
    <d v="1899-12-30T13:14:00"/>
    <m/>
    <x v="188"/>
    <s v="BG24406"/>
    <d v="2025-12-09T00:00:00"/>
    <d v="1899-12-30T14:40:00"/>
    <x v="68"/>
    <s v="BUGA"/>
    <x v="22"/>
    <n v="50"/>
    <n v="50"/>
    <n v="7250000"/>
    <m/>
  </r>
  <r>
    <x v="0"/>
    <n v="97.111999999999995"/>
    <d v="2025-12-09T00:00:00"/>
    <d v="1899-12-30T13:14:00"/>
    <m/>
    <x v="189"/>
    <s v="BG24409"/>
    <d v="2025-12-09T00:00:00"/>
    <d v="1899-12-30T14:40:00"/>
    <x v="69"/>
    <s v="BUGA"/>
    <x v="29"/>
    <n v="15"/>
    <n v="30"/>
    <n v="7425000"/>
    <m/>
  </r>
  <r>
    <x v="0"/>
    <n v="97.111999999999995"/>
    <d v="2025-12-09T00:00:00"/>
    <d v="1899-12-30T13:14:00"/>
    <m/>
    <x v="189"/>
    <s v="BG24409"/>
    <d v="2025-12-09T00:00:00"/>
    <d v="1899-12-30T14:40:00"/>
    <x v="69"/>
    <s v="BUGA"/>
    <x v="20"/>
    <n v="200"/>
    <n v="400"/>
    <n v="19440000"/>
    <m/>
  </r>
  <r>
    <x v="0"/>
    <n v="97.111999999999995"/>
    <d v="2025-12-09T00:00:00"/>
    <d v="1899-12-30T13:14:00"/>
    <m/>
    <x v="189"/>
    <s v="BG24409"/>
    <d v="2025-12-09T00:00:00"/>
    <d v="1899-12-30T14:40:00"/>
    <x v="69"/>
    <s v="BUGA"/>
    <x v="22"/>
    <n v="100"/>
    <n v="100"/>
    <n v="14500000"/>
    <m/>
  </r>
  <r>
    <x v="0"/>
    <s v="N/A"/>
    <d v="2025-12-09T00:00:00"/>
    <d v="1899-12-30T13:19:00"/>
    <m/>
    <x v="190"/>
    <s v="BG24405"/>
    <s v="9/12/20256"/>
    <d v="1899-12-30T13:12:00"/>
    <x v="39"/>
    <s v="CARTAGO"/>
    <x v="29"/>
    <n v="10"/>
    <n v="0"/>
    <n v="5300000"/>
    <m/>
  </r>
  <r>
    <x v="0"/>
    <s v="N/A"/>
    <d v="2025-12-09T00:00:00"/>
    <d v="1899-12-30T14:02:00"/>
    <m/>
    <x v="191"/>
    <s v="BG24404"/>
    <d v="2025-12-09T00:00:00"/>
    <d v="1899-12-30T15:21:00"/>
    <x v="51"/>
    <s v="RICAURTE"/>
    <x v="48"/>
    <n v="100"/>
    <n v="4"/>
    <n v="3675000"/>
    <m/>
  </r>
  <r>
    <x v="0"/>
    <s v="NA"/>
    <d v="2024-12-11T00:00:00"/>
    <d v="1899-12-30T08:54:00"/>
    <m/>
    <x v="192"/>
    <s v="BG24492"/>
    <d v="2025-12-11T00:00:00"/>
    <d v="1899-12-30T08:55:00"/>
    <x v="70"/>
    <s v="Palmira"/>
    <x v="0"/>
    <n v="50"/>
    <n v="2"/>
    <n v="925000"/>
    <m/>
  </r>
  <r>
    <x v="0"/>
    <s v="NA"/>
    <d v="2024-12-11T00:00:00"/>
    <d v="1899-12-30T08:54:00"/>
    <m/>
    <x v="192"/>
    <s v="BG24492"/>
    <d v="2025-12-11T00:00:00"/>
    <d v="1899-12-30T08:55:00"/>
    <x v="70"/>
    <s v="Palmira"/>
    <x v="36"/>
    <n v="50"/>
    <n v="2"/>
    <n v="2750000"/>
    <m/>
  </r>
  <r>
    <x v="0"/>
    <n v="1312922"/>
    <d v="2025-12-05T00:00:00"/>
    <d v="1899-12-30T12:30:00"/>
    <m/>
    <x v="193"/>
    <s v="BG24428"/>
    <s v="9/12/0202"/>
    <d v="1899-12-30T08:50:00"/>
    <x v="25"/>
    <s v="FRESNO"/>
    <x v="25"/>
    <n v="7.875"/>
    <n v="0"/>
    <n v="0"/>
    <m/>
  </r>
  <r>
    <x v="0"/>
    <n v="1314463"/>
    <d v="2025-12-09T00:00:00"/>
    <d v="1899-12-30T16:37:00"/>
    <m/>
    <x v="194"/>
    <s v="BG24452"/>
    <s v="11/12/20225"/>
    <d v="1899-12-30T09:39:00"/>
    <x v="10"/>
    <s v="MOSQUERA"/>
    <x v="11"/>
    <n v="100"/>
    <n v="4"/>
    <n v="5292000"/>
    <m/>
  </r>
  <r>
    <x v="0"/>
    <n v="4503916967"/>
    <d v="2025-12-10T00:00:00"/>
    <d v="1899-12-30T08:17:00"/>
    <m/>
    <x v="195"/>
    <s v="BG24420"/>
    <d v="2025-12-11T00:00:00"/>
    <m/>
    <x v="16"/>
    <s v="BUGA"/>
    <x v="0"/>
    <n v="8000"/>
    <n v="320"/>
    <n v="124000000"/>
    <m/>
  </r>
  <r>
    <x v="0"/>
    <n v="17104"/>
    <d v="2025-12-09T00:00:00"/>
    <d v="1899-12-30T18:04:00"/>
    <m/>
    <x v="196"/>
    <s v="BG24427"/>
    <d v="2025-12-11T00:00:00"/>
    <m/>
    <x v="26"/>
    <s v="PEREIRA"/>
    <x v="40"/>
    <n v="200"/>
    <n v="8"/>
    <n v="14000000"/>
    <m/>
  </r>
  <r>
    <x v="0"/>
    <n v="1316486"/>
    <d v="2025-12-10T00:00:00"/>
    <d v="1899-12-30T07:14:00"/>
    <m/>
    <x v="197"/>
    <s v="BG24410"/>
    <d v="2025-12-11T00:00:00"/>
    <m/>
    <x v="25"/>
    <s v="CALDAS ANTIOQUIA"/>
    <x v="45"/>
    <n v="160"/>
    <n v="6"/>
    <n v="5796000"/>
    <m/>
  </r>
  <r>
    <x v="0"/>
    <n v="4500085380"/>
    <d v="2025-12-10T00:00:00"/>
    <m/>
    <m/>
    <x v="198"/>
    <s v="BG24417"/>
    <d v="2025-12-11T00:00:00"/>
    <d v="1899-12-30T10:45:00"/>
    <x v="0"/>
    <s v="CELTA"/>
    <x v="3"/>
    <n v="1000"/>
    <n v="40"/>
    <n v="18850000"/>
    <m/>
  </r>
  <r>
    <x v="0"/>
    <n v="4500085380"/>
    <d v="2025-12-10T00:00:00"/>
    <m/>
    <m/>
    <x v="198"/>
    <s v="BG24417"/>
    <d v="2025-12-11T00:00:00"/>
    <d v="1899-12-30T10:45:00"/>
    <x v="0"/>
    <s v="CELTA"/>
    <x v="7"/>
    <n v="350"/>
    <n v="14"/>
    <n v="6160000"/>
    <m/>
  </r>
  <r>
    <x v="0"/>
    <n v="4500085380"/>
    <d v="2025-12-10T00:00:00"/>
    <m/>
    <m/>
    <x v="198"/>
    <s v="BG24417"/>
    <d v="2025-12-11T00:00:00"/>
    <d v="1899-12-30T10:45:00"/>
    <x v="0"/>
    <s v="CELTA"/>
    <x v="28"/>
    <n v="800"/>
    <n v="32"/>
    <n v="24160000"/>
    <m/>
  </r>
  <r>
    <x v="0"/>
    <n v="4500085380"/>
    <d v="2025-12-10T00:00:00"/>
    <m/>
    <m/>
    <x v="198"/>
    <s v="BG24417"/>
    <d v="2025-12-11T00:00:00"/>
    <d v="1899-12-30T10:45:00"/>
    <x v="0"/>
    <s v="CELTA"/>
    <x v="42"/>
    <n v="800"/>
    <n v="32"/>
    <n v="15208000"/>
    <m/>
  </r>
  <r>
    <x v="0"/>
    <n v="4500085380"/>
    <d v="2025-12-10T00:00:00"/>
    <m/>
    <m/>
    <x v="198"/>
    <s v="BG24417"/>
    <d v="2025-12-11T00:00:00"/>
    <d v="1899-12-30T10:45:00"/>
    <x v="0"/>
    <s v="CELTA"/>
    <x v="31"/>
    <n v="400"/>
    <n v="16"/>
    <n v="4840000"/>
    <m/>
  </r>
  <r>
    <x v="0"/>
    <n v="4500085380"/>
    <d v="2025-12-10T00:00:00"/>
    <m/>
    <m/>
    <x v="198"/>
    <s v="BG24417"/>
    <d v="2025-12-11T00:00:00"/>
    <d v="1899-12-30T10:45:00"/>
    <x v="0"/>
    <s v="CELTA"/>
    <x v="36"/>
    <n v="200"/>
    <n v="8"/>
    <n v="7410800"/>
    <m/>
  </r>
  <r>
    <x v="0"/>
    <s v="N/A"/>
    <d v="2025-12-10T00:00:00"/>
    <m/>
    <m/>
    <x v="199"/>
    <s v="BG24418"/>
    <d v="2025-12-11T00:00:00"/>
    <d v="1899-12-30T11:08:00"/>
    <x v="28"/>
    <s v="GIRON"/>
    <x v="15"/>
    <n v="30"/>
    <n v="1"/>
    <n v="2175000"/>
    <m/>
  </r>
  <r>
    <x v="0"/>
    <s v="N/A"/>
    <d v="2025-12-10T00:00:00"/>
    <m/>
    <m/>
    <x v="199"/>
    <s v="BG24418"/>
    <d v="2025-12-11T00:00:00"/>
    <d v="1899-12-30T11:08:00"/>
    <x v="28"/>
    <s v="GIRON"/>
    <x v="41"/>
    <n v="20"/>
    <n v="1"/>
    <n v="5800000"/>
    <m/>
  </r>
  <r>
    <x v="0"/>
    <s v="N/A"/>
    <d v="2025-12-10T00:00:00"/>
    <m/>
    <m/>
    <x v="200"/>
    <s v="BG24426"/>
    <d v="2025-12-11T00:00:00"/>
    <d v="1899-12-30T11:08:00"/>
    <x v="28"/>
    <s v="GIRON"/>
    <x v="49"/>
    <n v="20"/>
    <n v="1"/>
    <n v="4216000"/>
    <m/>
  </r>
  <r>
    <x v="0"/>
    <s v="N/A"/>
    <d v="2025-12-10T00:00:00"/>
    <m/>
    <m/>
    <x v="200"/>
    <s v="BG24426"/>
    <d v="2025-12-11T00:00:00"/>
    <d v="1899-12-30T11:08:00"/>
    <x v="28"/>
    <s v="GIRON"/>
    <x v="22"/>
    <n v="6"/>
    <n v="0"/>
    <n v="960000"/>
    <m/>
  </r>
  <r>
    <x v="0"/>
    <s v="N/A"/>
    <d v="2025-12-10T00:00:00"/>
    <m/>
    <m/>
    <x v="201"/>
    <s v="BG24547"/>
    <d v="2025-12-11T00:00:00"/>
    <d v="1899-12-30T11:08:00"/>
    <x v="28"/>
    <s v="GIRON"/>
    <x v="25"/>
    <n v="1.5"/>
    <n v="0"/>
    <n v="0"/>
    <m/>
  </r>
  <r>
    <x v="0"/>
    <n v="11969"/>
    <s v="10/12/20255"/>
    <m/>
    <m/>
    <x v="202"/>
    <s v="BG24423"/>
    <d v="2025-12-11T00:00:00"/>
    <m/>
    <x v="71"/>
    <s v="GIRON"/>
    <x v="35"/>
    <n v="5"/>
    <n v="0"/>
    <n v="233295"/>
    <m/>
  </r>
  <r>
    <x v="2"/>
    <n v="1314983"/>
    <s v="10/12/20255"/>
    <m/>
    <m/>
    <x v="203"/>
    <s v="BG24596"/>
    <d v="2025-12-11T00:00:00"/>
    <m/>
    <x v="10"/>
    <s v="CIENAGA"/>
    <x v="13"/>
    <n v="50"/>
    <n v="2"/>
    <n v="8750000"/>
    <m/>
  </r>
  <r>
    <x v="2"/>
    <n v="4500085399"/>
    <d v="2025-12-10T00:00:00"/>
    <m/>
    <m/>
    <x v="204"/>
    <s v="BG24417"/>
    <d v="2025-12-11T00:00:00"/>
    <m/>
    <x v="0"/>
    <s v="MEDELLIN"/>
    <x v="31"/>
    <n v="2725"/>
    <n v="109"/>
    <n v="32972500"/>
    <m/>
  </r>
  <r>
    <x v="1"/>
    <n v="4500085399"/>
    <d v="2025-12-10T00:00:00"/>
    <m/>
    <m/>
    <x v="204"/>
    <s v="-"/>
    <d v="2025-12-11T00:00:00"/>
    <m/>
    <x v="0"/>
    <s v="MEDELLIN"/>
    <x v="31"/>
    <n v="4275"/>
    <n v="171"/>
    <n v="51727500"/>
    <m/>
  </r>
  <r>
    <x v="1"/>
    <n v="4500085399"/>
    <d v="2025-12-10T00:00:00"/>
    <m/>
    <m/>
    <x v="204"/>
    <s v="-"/>
    <d v="2025-12-11T00:00:00"/>
    <m/>
    <x v="0"/>
    <s v="MEDELLIN"/>
    <x v="31"/>
    <n v="700"/>
    <n v="28"/>
    <n v="10878000"/>
    <m/>
  </r>
  <r>
    <x v="0"/>
    <n v="4500085399"/>
    <d v="2025-12-10T00:00:00"/>
    <m/>
    <m/>
    <x v="204"/>
    <s v="BG24417"/>
    <d v="2025-12-11T00:00:00"/>
    <m/>
    <x v="0"/>
    <s v="MEDELLIN"/>
    <x v="7"/>
    <n v="2000"/>
    <n v="80"/>
    <n v="35200000"/>
    <m/>
  </r>
  <r>
    <x v="0"/>
    <n v="4500085399"/>
    <d v="2025-12-10T00:00:00"/>
    <m/>
    <m/>
    <x v="204"/>
    <s v="BG24417"/>
    <d v="2025-12-11T00:00:00"/>
    <m/>
    <x v="0"/>
    <s v="MEDELLIN"/>
    <x v="28"/>
    <n v="1000"/>
    <n v="40"/>
    <n v="30200000"/>
    <m/>
  </r>
  <r>
    <x v="0"/>
    <n v="4500085399"/>
    <d v="2025-12-10T00:00:00"/>
    <m/>
    <m/>
    <x v="204"/>
    <s v="BG24417"/>
    <d v="2025-12-11T00:00:00"/>
    <m/>
    <x v="0"/>
    <s v="MEDELLIN"/>
    <x v="3"/>
    <n v="1000"/>
    <n v="40"/>
    <n v="18850000"/>
    <m/>
  </r>
  <r>
    <x v="0"/>
    <n v="4500085399"/>
    <d v="2025-12-10T00:00:00"/>
    <m/>
    <m/>
    <x v="204"/>
    <s v="BG24417"/>
    <d v="2025-12-11T00:00:00"/>
    <m/>
    <x v="0"/>
    <s v="MEDELLIN"/>
    <x v="11"/>
    <n v="600"/>
    <n v="24"/>
    <n v="31752000"/>
    <m/>
  </r>
  <r>
    <x v="0"/>
    <n v="4500085399"/>
    <d v="2025-12-10T00:00:00"/>
    <m/>
    <m/>
    <x v="204"/>
    <s v="BG24417"/>
    <d v="2025-12-11T00:00:00"/>
    <m/>
    <x v="0"/>
    <s v="MEDELLIN"/>
    <x v="42"/>
    <n v="700"/>
    <n v="28"/>
    <n v="13307000"/>
    <m/>
  </r>
  <r>
    <x v="0"/>
    <n v="4500085399"/>
    <d v="2025-12-10T00:00:00"/>
    <m/>
    <m/>
    <x v="204"/>
    <s v="BG24417"/>
    <d v="2025-12-11T00:00:00"/>
    <m/>
    <x v="0"/>
    <s v="MEDELLIN"/>
    <x v="39"/>
    <n v="100"/>
    <n v="4"/>
    <n v="12500000"/>
    <m/>
  </r>
  <r>
    <x v="0"/>
    <n v="4500085399"/>
    <d v="2025-12-10T00:00:00"/>
    <m/>
    <m/>
    <x v="204"/>
    <s v="BG24417"/>
    <d v="2025-12-11T00:00:00"/>
    <m/>
    <x v="0"/>
    <s v="MEDELLIN"/>
    <x v="5"/>
    <n v="500"/>
    <n v="20"/>
    <n v="15900000"/>
    <m/>
  </r>
  <r>
    <x v="0"/>
    <n v="4500085399"/>
    <d v="2025-12-10T00:00:00"/>
    <m/>
    <m/>
    <x v="205"/>
    <s v="BG24456"/>
    <d v="2025-12-11T00:00:00"/>
    <m/>
    <x v="0"/>
    <s v="MEDELLIN"/>
    <x v="4"/>
    <n v="4000"/>
    <n v="160"/>
    <n v="96000000"/>
    <m/>
  </r>
  <r>
    <x v="1"/>
    <n v="4500085400"/>
    <d v="2025-12-10T00:00:00"/>
    <m/>
    <m/>
    <x v="206"/>
    <s v="-"/>
    <d v="2025-12-11T00:00:00"/>
    <m/>
    <x v="0"/>
    <s v="MEDELLIN"/>
    <x v="31"/>
    <n v="5000"/>
    <n v="200"/>
    <n v="60500000"/>
    <m/>
  </r>
  <r>
    <x v="0"/>
    <n v="4500085400"/>
    <d v="2025-12-10T00:00:00"/>
    <m/>
    <m/>
    <x v="206"/>
    <s v="BG24422"/>
    <d v="2025-12-11T00:00:00"/>
    <m/>
    <x v="0"/>
    <s v="MEDELLIN"/>
    <x v="7"/>
    <n v="2000"/>
    <n v="80"/>
    <n v="35200000"/>
    <m/>
  </r>
  <r>
    <x v="0"/>
    <n v="4500085400"/>
    <d v="2025-12-10T00:00:00"/>
    <m/>
    <m/>
    <x v="206"/>
    <s v="BG24422"/>
    <d v="2025-12-11T00:00:00"/>
    <m/>
    <x v="0"/>
    <s v="MEDELLIN"/>
    <x v="28"/>
    <n v="1000"/>
    <n v="40"/>
    <n v="30200000"/>
    <m/>
  </r>
  <r>
    <x v="0"/>
    <n v="4500085400"/>
    <d v="2025-12-10T00:00:00"/>
    <m/>
    <m/>
    <x v="206"/>
    <s v="BG24422"/>
    <d v="2025-12-11T00:00:00"/>
    <m/>
    <x v="0"/>
    <s v="MEDELLIN"/>
    <x v="21"/>
    <n v="160"/>
    <n v="6"/>
    <n v="5520000"/>
    <m/>
  </r>
  <r>
    <x v="0"/>
    <n v="4500085400"/>
    <d v="2025-12-10T00:00:00"/>
    <m/>
    <m/>
    <x v="206"/>
    <s v="BG24422"/>
    <d v="2025-12-11T00:00:00"/>
    <m/>
    <x v="0"/>
    <s v="MEDELLIN"/>
    <x v="41"/>
    <n v="40"/>
    <n v="2"/>
    <n v="7000000"/>
    <m/>
  </r>
  <r>
    <x v="0"/>
    <n v="4500085400"/>
    <d v="2025-12-10T00:00:00"/>
    <m/>
    <m/>
    <x v="206"/>
    <s v="BG24422"/>
    <d v="2025-12-11T00:00:00"/>
    <m/>
    <x v="0"/>
    <s v="MEDELLIN"/>
    <x v="22"/>
    <n v="100"/>
    <n v="4"/>
    <n v="13550000"/>
    <m/>
  </r>
  <r>
    <x v="0"/>
    <n v="4500085400"/>
    <d v="2025-12-10T00:00:00"/>
    <m/>
    <m/>
    <x v="206"/>
    <s v="BG24422"/>
    <d v="2025-12-11T00:00:00"/>
    <m/>
    <x v="0"/>
    <s v="MEDELLIN"/>
    <x v="5"/>
    <n v="1000"/>
    <n v="40"/>
    <n v="31800000"/>
    <m/>
  </r>
  <r>
    <x v="0"/>
    <n v="4500085400"/>
    <d v="2025-12-10T00:00:00"/>
    <m/>
    <m/>
    <x v="207"/>
    <s v="BG24455"/>
    <d v="2025-12-11T00:00:00"/>
    <m/>
    <x v="0"/>
    <s v="MEDELLIN"/>
    <x v="4"/>
    <n v="3000"/>
    <n v="120"/>
    <n v="72000000"/>
    <m/>
  </r>
  <r>
    <x v="0"/>
    <n v="1315392"/>
    <s v="10/12/20255"/>
    <m/>
    <m/>
    <x v="208"/>
    <s v="BG24442"/>
    <s v="11/12/20255"/>
    <m/>
    <x v="25"/>
    <s v="BARBOSA ANTIOQUIA"/>
    <x v="12"/>
    <n v="45"/>
    <n v="2"/>
    <n v="2092500"/>
    <m/>
  </r>
  <r>
    <x v="0"/>
    <n v="1315392"/>
    <s v="10/12/20255"/>
    <m/>
    <m/>
    <x v="209"/>
    <s v="BG24441"/>
    <s v="11/12/20255"/>
    <m/>
    <x v="25"/>
    <s v="BARBOSA ANTIOQUIA"/>
    <x v="25"/>
    <n v="3.375"/>
    <n v="0"/>
    <n v="0"/>
    <m/>
  </r>
  <r>
    <x v="0"/>
    <n v="4500085355"/>
    <d v="2025-12-10T00:00:00"/>
    <m/>
    <m/>
    <x v="210"/>
    <s v="BG24464"/>
    <d v="2025-12-11T00:00:00"/>
    <m/>
    <x v="72"/>
    <s v="MEDELLIN"/>
    <x v="10"/>
    <n v="5000"/>
    <n v="200"/>
    <n v="364335000"/>
    <m/>
  </r>
  <r>
    <x v="0"/>
    <n v="4500085355"/>
    <d v="2025-12-10T00:00:00"/>
    <m/>
    <m/>
    <x v="210"/>
    <s v="BG24464"/>
    <d v="2025-12-11T00:00:00"/>
    <m/>
    <x v="72"/>
    <s v="MEDELLIN"/>
    <x v="2"/>
    <n v="1500"/>
    <n v="60"/>
    <n v="184351500"/>
    <m/>
  </r>
  <r>
    <x v="0"/>
    <n v="4500085356"/>
    <d v="2025-12-10T00:00:00"/>
    <m/>
    <m/>
    <x v="211"/>
    <s v="BG24465"/>
    <d v="2025-12-11T00:00:00"/>
    <m/>
    <x v="72"/>
    <s v="MEDELLIN"/>
    <x v="10"/>
    <n v="5000"/>
    <n v="200"/>
    <n v="364335000"/>
    <m/>
  </r>
  <r>
    <x v="0"/>
    <n v="4500085356"/>
    <d v="2025-12-10T00:00:00"/>
    <m/>
    <m/>
    <x v="211"/>
    <s v="BG24465"/>
    <d v="2025-12-11T00:00:00"/>
    <m/>
    <x v="72"/>
    <s v="MEDELLIN"/>
    <x v="2"/>
    <n v="1500"/>
    <n v="60"/>
    <n v="184351500"/>
    <m/>
  </r>
  <r>
    <x v="0"/>
    <n v="1316486"/>
    <d v="2025-12-10T00:00:00"/>
    <m/>
    <m/>
    <x v="212"/>
    <s v="BG24416"/>
    <d v="2025-12-11T00:00:00"/>
    <m/>
    <x v="25"/>
    <s v="CALDAS ANTIOQUIA"/>
    <x v="35"/>
    <n v="168"/>
    <n v="7"/>
    <n v="7828800"/>
    <m/>
  </r>
  <r>
    <x v="0"/>
    <n v="1316486"/>
    <d v="2025-12-10T00:00:00"/>
    <m/>
    <m/>
    <x v="212"/>
    <s v="BG24416"/>
    <d v="2025-12-11T00:00:00"/>
    <m/>
    <x v="25"/>
    <s v="CALDAS ANTIOQUIA"/>
    <x v="12"/>
    <n v="100"/>
    <n v="4"/>
    <n v="4650000"/>
    <m/>
  </r>
  <r>
    <x v="0"/>
    <n v="1316486"/>
    <d v="2025-12-10T00:00:00"/>
    <m/>
    <m/>
    <x v="213"/>
    <s v="BG24415"/>
    <d v="2025-12-11T00:00:00"/>
    <m/>
    <x v="25"/>
    <s v="CALDAS ANTIOQUIA"/>
    <x v="25"/>
    <n v="7.5"/>
    <n v="0"/>
    <n v="0"/>
    <m/>
  </r>
  <r>
    <x v="0"/>
    <n v="1316330"/>
    <d v="2025-12-11T00:00:00"/>
    <m/>
    <m/>
    <x v="214"/>
    <s v="BG24414"/>
    <d v="2025-12-11T00:00:00"/>
    <m/>
    <x v="4"/>
    <s v="ENVIGADO"/>
    <x v="17"/>
    <n v="200"/>
    <n v="8"/>
    <n v="26460000"/>
    <m/>
  </r>
  <r>
    <x v="0"/>
    <s v="N/A"/>
    <d v="2025-12-11T00:00:00"/>
    <m/>
    <m/>
    <x v="215"/>
    <s v="BG24413"/>
    <d v="2025-12-11T00:00:00"/>
    <m/>
    <x v="73"/>
    <s v="GUARNE"/>
    <x v="41"/>
    <n v="2"/>
    <n v="0"/>
    <n v="493500"/>
    <m/>
  </r>
  <r>
    <x v="0"/>
    <s v="N/A"/>
    <d v="2025-12-11T00:00:00"/>
    <m/>
    <m/>
    <x v="215"/>
    <s v="BG24413"/>
    <d v="2025-12-11T00:00:00"/>
    <m/>
    <x v="73"/>
    <s v="GUARNE"/>
    <x v="15"/>
    <n v="20"/>
    <n v="1"/>
    <n v="1440000"/>
    <m/>
  </r>
  <r>
    <x v="0"/>
    <s v="N/A"/>
    <d v="2025-12-11T00:00:00"/>
    <m/>
    <m/>
    <x v="215"/>
    <s v="BG24413"/>
    <d v="2025-12-11T00:00:00"/>
    <m/>
    <x v="73"/>
    <s v="GUARNE"/>
    <x v="22"/>
    <n v="2"/>
    <n v="0"/>
    <n v="311800"/>
    <m/>
  </r>
  <r>
    <x v="0"/>
    <s v="N/A"/>
    <d v="2025-12-11T00:00:00"/>
    <m/>
    <m/>
    <x v="215"/>
    <s v="BG24413"/>
    <d v="2025-12-11T00:00:00"/>
    <m/>
    <x v="73"/>
    <s v="GUARNE"/>
    <x v="0"/>
    <n v="50"/>
    <n v="2"/>
    <n v="775000"/>
    <m/>
  </r>
  <r>
    <x v="0"/>
    <s v="Y-001-2982"/>
    <d v="2025-12-11T00:00:00"/>
    <m/>
    <m/>
    <x v="216"/>
    <s v="BG24435"/>
    <d v="2025-12-11T00:00:00"/>
    <m/>
    <x v="66"/>
    <s v="PALMIRA"/>
    <x v="29"/>
    <n v="4"/>
    <n v="0"/>
    <n v="2055456"/>
    <m/>
  </r>
  <r>
    <x v="0"/>
    <n v="44168"/>
    <d v="2025-12-11T00:00:00"/>
    <m/>
    <m/>
    <x v="217"/>
    <s v="BG24425"/>
    <d v="2025-12-11T00:00:00"/>
    <m/>
    <x v="40"/>
    <s v="TULUA"/>
    <x v="15"/>
    <n v="50"/>
    <n v="2"/>
    <n v="3140000"/>
    <m/>
  </r>
  <r>
    <x v="0"/>
    <n v="44168"/>
    <d v="2025-12-11T00:00:00"/>
    <m/>
    <m/>
    <x v="217"/>
    <s v="BG24425"/>
    <d v="2025-12-11T00:00:00"/>
    <m/>
    <x v="40"/>
    <s v="TULUA"/>
    <x v="50"/>
    <n v="50"/>
    <n v="2"/>
    <n v="9003850"/>
    <m/>
  </r>
  <r>
    <x v="0"/>
    <n v="63483"/>
    <d v="2025-12-11T00:00:00"/>
    <m/>
    <m/>
    <x v="218"/>
    <s v="BG24424"/>
    <d v="2025-12-11T00:00:00"/>
    <m/>
    <x v="14"/>
    <s v="BUCARAMANGA"/>
    <x v="21"/>
    <n v="300"/>
    <n v="12"/>
    <n v="11400000"/>
    <m/>
  </r>
  <r>
    <x v="0"/>
    <n v="11999"/>
    <d v="2025-12-11T00:00:00"/>
    <m/>
    <m/>
    <x v="219"/>
    <s v="BG24434"/>
    <d v="2025-12-11T00:00:00"/>
    <m/>
    <x v="71"/>
    <s v="GIRON"/>
    <x v="7"/>
    <n v="1200"/>
    <n v="48"/>
    <n v="24696000"/>
    <m/>
  </r>
  <r>
    <x v="2"/>
    <n v="11999"/>
    <d v="2025-12-11T00:00:00"/>
    <m/>
    <m/>
    <x v="219"/>
    <s v="BG24599"/>
    <d v="2025-12-11T00:00:00"/>
    <m/>
    <x v="71"/>
    <s v="GIRON"/>
    <x v="13"/>
    <n v="50"/>
    <n v="2"/>
    <n v="10500000"/>
    <m/>
  </r>
  <r>
    <x v="0"/>
    <n v="4500085379"/>
    <d v="2025-12-11T00:00:00"/>
    <m/>
    <m/>
    <x v="220"/>
    <s v="BG24433"/>
    <d v="2025-12-11T00:00:00"/>
    <m/>
    <x v="72"/>
    <s v="CELTA"/>
    <x v="10"/>
    <n v="1500"/>
    <n v="60"/>
    <n v="109300500"/>
    <m/>
  </r>
  <r>
    <x v="0"/>
    <n v="4500085379"/>
    <d v="2025-12-11T00:00:00"/>
    <m/>
    <m/>
    <x v="220"/>
    <s v="BG24433"/>
    <d v="2025-12-11T00:00:00"/>
    <m/>
    <x v="72"/>
    <s v="CELTA"/>
    <x v="2"/>
    <n v="500"/>
    <n v="20"/>
    <n v="61450500"/>
    <m/>
  </r>
  <r>
    <x v="0"/>
    <s v="AG-0046-25"/>
    <d v="2025-12-11T00:00:00"/>
    <m/>
    <m/>
    <x v="221"/>
    <s v="BG24451"/>
    <d v="2025-12-11T00:00:00"/>
    <m/>
    <x v="30"/>
    <s v="MANIZALES"/>
    <x v="0"/>
    <n v="200"/>
    <n v="8"/>
    <n v="3240000"/>
    <m/>
  </r>
  <r>
    <x v="0"/>
    <n v="97347"/>
    <d v="2025-12-11T00:00:00"/>
    <m/>
    <m/>
    <x v="222"/>
    <s v="BG24450"/>
    <d v="2025-12-11T00:00:00"/>
    <m/>
    <x v="65"/>
    <s v="BUGA"/>
    <x v="0"/>
    <n v="325"/>
    <n v="13"/>
    <n v="5200000"/>
    <m/>
  </r>
  <r>
    <x v="0"/>
    <n v="97350"/>
    <d v="2025-12-11T00:00:00"/>
    <m/>
    <m/>
    <x v="223"/>
    <s v="BG24595"/>
    <d v="2025-12-11T00:00:00"/>
    <m/>
    <x v="65"/>
    <s v="BUGA"/>
    <x v="0"/>
    <n v="450"/>
    <n v="18"/>
    <n v="7200000"/>
    <m/>
  </r>
  <r>
    <x v="1"/>
    <s v="N/A"/>
    <d v="2025-12-11T00:00:00"/>
    <m/>
    <m/>
    <x v="224"/>
    <s v="-"/>
    <d v="2025-12-11T00:00:00"/>
    <m/>
    <x v="44"/>
    <s v="CARMEN DE VIBORAL"/>
    <x v="31"/>
    <n v="500"/>
    <n v="20"/>
    <n v="9996000"/>
    <m/>
  </r>
  <r>
    <x v="0"/>
    <s v="N/A"/>
    <d v="2025-12-11T00:00:00"/>
    <m/>
    <m/>
    <x v="225"/>
    <s v="BG24449"/>
    <d v="2025-12-12T00:00:00"/>
    <m/>
    <x v="39"/>
    <s v="CARTAGO"/>
    <x v="29"/>
    <n v="5"/>
    <n v="0"/>
    <n v="2650000"/>
    <m/>
  </r>
  <r>
    <x v="0"/>
    <s v="N/A"/>
    <d v="2025-12-11T00:00:00"/>
    <m/>
    <m/>
    <x v="225"/>
    <s v="BG24449"/>
    <d v="2025-12-12T00:00:00"/>
    <m/>
    <x v="39"/>
    <s v="CARTAGO"/>
    <x v="16"/>
    <n v="10"/>
    <n v="0"/>
    <n v="650000"/>
    <m/>
  </r>
  <r>
    <x v="0"/>
    <s v="N/A"/>
    <d v="2025-12-11T00:00:00"/>
    <m/>
    <m/>
    <x v="225"/>
    <s v="BG24449"/>
    <d v="2025-12-12T00:00:00"/>
    <m/>
    <x v="39"/>
    <s v="CARTAGO"/>
    <x v="12"/>
    <n v="5"/>
    <n v="0"/>
    <n v="305000"/>
    <m/>
  </r>
  <r>
    <x v="0"/>
    <s v="N/A"/>
    <d v="2025-12-11T00:00:00"/>
    <m/>
    <m/>
    <x v="226"/>
    <s v="BG24545"/>
    <d v="2025-12-12T00:00:00"/>
    <m/>
    <x v="39"/>
    <s v="CARTAGO"/>
    <x v="25"/>
    <n v="3.75"/>
    <n v="0"/>
    <n v="0"/>
    <m/>
  </r>
  <r>
    <x v="0"/>
    <n v="4500181958"/>
    <d v="2025-12-11T00:00:00"/>
    <m/>
    <m/>
    <x v="227"/>
    <s v="BG24448"/>
    <d v="2025-12-12T00:00:00"/>
    <m/>
    <x v="52"/>
    <s v="PUERTO GAITAN"/>
    <x v="7"/>
    <n v="5500"/>
    <n v="220"/>
    <n v="112326500"/>
    <m/>
  </r>
  <r>
    <x v="0"/>
    <n v="4500181958"/>
    <d v="2025-12-11T00:00:00"/>
    <m/>
    <m/>
    <x v="227"/>
    <s v="BG24448"/>
    <d v="2025-12-12T00:00:00"/>
    <m/>
    <x v="52"/>
    <s v="PUERTO GAITAN"/>
    <x v="40"/>
    <n v="2400"/>
    <n v="96"/>
    <n v="162000000"/>
    <m/>
  </r>
  <r>
    <x v="0"/>
    <n v="37602"/>
    <d v="2025-12-12T00:00:00"/>
    <m/>
    <m/>
    <x v="228"/>
    <s v="BG24440"/>
    <d v="2025-12-12T00:00:00"/>
    <m/>
    <x v="26"/>
    <s v="GIRARDOTA"/>
    <x v="4"/>
    <n v="200"/>
    <n v="8"/>
    <n v="5100000"/>
    <m/>
  </r>
  <r>
    <x v="0"/>
    <n v="37602"/>
    <d v="2025-12-12T00:00:00"/>
    <m/>
    <m/>
    <x v="228"/>
    <s v="BG24440"/>
    <d v="2025-12-12T00:00:00"/>
    <m/>
    <x v="26"/>
    <s v="GIRARDOTA"/>
    <x v="7"/>
    <n v="200"/>
    <n v="8"/>
    <n v="3640000"/>
    <m/>
  </r>
  <r>
    <x v="2"/>
    <n v="4500085464"/>
    <d v="2025-12-12T00:00:00"/>
    <m/>
    <m/>
    <x v="229"/>
    <s v="BG24600"/>
    <d v="2025-12-12T00:00:00"/>
    <m/>
    <x v="0"/>
    <s v="MEDELLIN"/>
    <x v="12"/>
    <n v="1200"/>
    <n v="48"/>
    <n v="55800000"/>
    <m/>
  </r>
  <r>
    <x v="0"/>
    <n v="4500085464"/>
    <d v="2025-12-12T00:00:00"/>
    <m/>
    <m/>
    <x v="229"/>
    <s v="BG24484"/>
    <d v="2025-12-12T00:00:00"/>
    <m/>
    <x v="0"/>
    <s v="MEDELLIN"/>
    <x v="43"/>
    <n v="1200"/>
    <n v="48"/>
    <n v="528000000"/>
    <m/>
  </r>
  <r>
    <x v="0"/>
    <n v="4500085464"/>
    <d v="2025-12-12T00:00:00"/>
    <m/>
    <m/>
    <x v="229"/>
    <s v="BG24484"/>
    <d v="2025-12-12T00:00:00"/>
    <m/>
    <x v="0"/>
    <s v="MEDELLIN"/>
    <x v="40"/>
    <n v="1000"/>
    <n v="40"/>
    <n v="61700000"/>
    <m/>
  </r>
  <r>
    <x v="0"/>
    <n v="4500085464"/>
    <d v="2025-12-12T00:00:00"/>
    <m/>
    <m/>
    <x v="229"/>
    <s v="BG24484"/>
    <d v="2025-12-12T00:00:00"/>
    <m/>
    <x v="0"/>
    <s v="MEDELLIN"/>
    <x v="3"/>
    <n v="1000"/>
    <n v="40"/>
    <n v="18850000"/>
    <m/>
  </r>
  <r>
    <x v="0"/>
    <n v="4500085464"/>
    <d v="2025-12-12T00:00:00"/>
    <m/>
    <m/>
    <x v="229"/>
    <s v="BG24484"/>
    <d v="2025-12-12T00:00:00"/>
    <m/>
    <x v="0"/>
    <s v="MEDELLIN"/>
    <x v="51"/>
    <n v="100"/>
    <n v="4"/>
    <n v="13230000"/>
    <m/>
  </r>
  <r>
    <x v="0"/>
    <n v="4500085464"/>
    <d v="2025-12-12T00:00:00"/>
    <m/>
    <m/>
    <x v="229"/>
    <s v="BG24484"/>
    <d v="2025-12-12T00:00:00"/>
    <m/>
    <x v="0"/>
    <s v="MEDELLIN"/>
    <x v="22"/>
    <n v="200"/>
    <n v="8"/>
    <n v="27100000"/>
    <m/>
  </r>
  <r>
    <x v="0"/>
    <n v="4500085464"/>
    <d v="2025-12-12T00:00:00"/>
    <m/>
    <m/>
    <x v="229"/>
    <s v="BG24484"/>
    <d v="2025-12-12T00:00:00"/>
    <m/>
    <x v="0"/>
    <s v="MEDELLIN"/>
    <x v="42"/>
    <n v="1000"/>
    <n v="40"/>
    <n v="19010000"/>
    <m/>
  </r>
  <r>
    <x v="0"/>
    <n v="4500085464"/>
    <d v="2025-12-12T00:00:00"/>
    <m/>
    <m/>
    <x v="229"/>
    <s v="BG24484"/>
    <d v="2025-12-12T00:00:00"/>
    <m/>
    <x v="0"/>
    <s v="MEDELLIN"/>
    <x v="39"/>
    <n v="150"/>
    <n v="6"/>
    <n v="18750000"/>
    <m/>
  </r>
  <r>
    <x v="0"/>
    <n v="4500085464"/>
    <d v="2025-12-12T00:00:00"/>
    <m/>
    <m/>
    <x v="229"/>
    <s v="BG24484"/>
    <d v="2025-12-12T00:00:00"/>
    <m/>
    <x v="0"/>
    <s v="MEDELLIN"/>
    <x v="21"/>
    <n v="100"/>
    <n v="4"/>
    <n v="3450000"/>
    <m/>
  </r>
  <r>
    <x v="0"/>
    <n v="4500085464"/>
    <d v="2025-12-12T00:00:00"/>
    <m/>
    <m/>
    <x v="230"/>
    <s v="BG24640"/>
    <d v="2025-12-12T00:00:00"/>
    <m/>
    <x v="0"/>
    <s v="MEDELLIN"/>
    <x v="4"/>
    <n v="2000"/>
    <n v="80"/>
    <n v="48000000"/>
    <m/>
  </r>
  <r>
    <x v="0"/>
    <n v="4500085464"/>
    <d v="2025-12-12T00:00:00"/>
    <m/>
    <m/>
    <x v="231"/>
    <s v="BG24471"/>
    <d v="2025-12-12T00:00:00"/>
    <m/>
    <x v="0"/>
    <s v="MEDELLIN"/>
    <x v="25"/>
    <n v="90"/>
    <m/>
    <n v="0"/>
    <m/>
  </r>
  <r>
    <x v="0"/>
    <n v="4500085465"/>
    <d v="2025-12-12T00:00:00"/>
    <m/>
    <m/>
    <x v="232"/>
    <s v="BG24480"/>
    <d v="2025-12-12T00:00:00"/>
    <m/>
    <x v="72"/>
    <s v="MEDELLIN"/>
    <x v="10"/>
    <n v="2000"/>
    <n v="80"/>
    <n v="145734000"/>
    <m/>
  </r>
  <r>
    <x v="0"/>
    <n v="4500085465"/>
    <d v="2025-12-12T00:00:00"/>
    <m/>
    <m/>
    <x v="232"/>
    <s v="BG24480"/>
    <d v="2025-12-12T00:00:00"/>
    <m/>
    <x v="72"/>
    <s v="MEDELLIN"/>
    <x v="2"/>
    <n v="1000"/>
    <n v="40"/>
    <n v="122901000"/>
    <m/>
  </r>
  <r>
    <x v="0"/>
    <s v="001-OSC-00068709"/>
    <d v="2025-12-12T00:00:00"/>
    <m/>
    <m/>
    <x v="233"/>
    <s v="BG24457"/>
    <d v="2025-12-12T00:00:00"/>
    <m/>
    <x v="3"/>
    <s v="BELLO"/>
    <x v="7"/>
    <n v="2000"/>
    <n v="80"/>
    <n v="36700000"/>
    <m/>
  </r>
  <r>
    <x v="0"/>
    <s v="OC 036"/>
    <d v="2025-12-12T00:00:00"/>
    <m/>
    <m/>
    <x v="234"/>
    <s v="BG24439"/>
    <d v="2025-12-12T00:00:00"/>
    <m/>
    <x v="42"/>
    <s v="ITAGUI"/>
    <x v="29"/>
    <n v="40"/>
    <n v="2"/>
    <n v="20040000"/>
    <m/>
  </r>
  <r>
    <x v="0"/>
    <n v="4500144952"/>
    <d v="2025-12-12T00:00:00"/>
    <m/>
    <m/>
    <x v="235"/>
    <s v="BG24447"/>
    <d v="2025-12-12T00:00:00"/>
    <m/>
    <x v="55"/>
    <s v="SITIONUEVO"/>
    <x v="28"/>
    <n v="75"/>
    <n v="3"/>
    <n v="2625000"/>
    <m/>
  </r>
  <r>
    <x v="0"/>
    <n v="4500144952"/>
    <d v="2025-12-12T00:00:00"/>
    <m/>
    <m/>
    <x v="235"/>
    <s v="BG24447"/>
    <d v="2025-12-12T00:00:00"/>
    <m/>
    <x v="55"/>
    <s v="SITIONUEVO"/>
    <x v="0"/>
    <n v="500"/>
    <n v="20"/>
    <n v="7850000"/>
    <m/>
  </r>
  <r>
    <x v="0"/>
    <n v="4500144952"/>
    <d v="2025-12-12T00:00:00"/>
    <m/>
    <m/>
    <x v="235"/>
    <s v="BG24447"/>
    <d v="2025-12-12T00:00:00"/>
    <m/>
    <x v="55"/>
    <s v="SITIONUEVO"/>
    <x v="4"/>
    <n v="50"/>
    <n v="2"/>
    <n v="1275000"/>
    <m/>
  </r>
  <r>
    <x v="0"/>
    <n v="30793"/>
    <d v="2025-12-12T00:00:00"/>
    <m/>
    <m/>
    <x v="236"/>
    <s v="BG24446"/>
    <d v="2025-12-12T00:00:00"/>
    <m/>
    <x v="74"/>
    <s v="FUAS"/>
    <x v="41"/>
    <n v="18"/>
    <n v="1"/>
    <n v="5040000"/>
    <m/>
  </r>
  <r>
    <x v="0"/>
    <n v="30775"/>
    <d v="2025-12-12T00:00:00"/>
    <m/>
    <m/>
    <x v="237"/>
    <s v="BG24445"/>
    <d v="2025-12-12T00:00:00"/>
    <m/>
    <x v="74"/>
    <s v="LA MESA"/>
    <x v="41"/>
    <n v="86"/>
    <n v="3"/>
    <n v="24080000"/>
    <m/>
  </r>
  <r>
    <x v="0"/>
    <n v="4500085508"/>
    <d v="2025-12-12T00:00:00"/>
    <m/>
    <m/>
    <x v="238"/>
    <s v="BG24513"/>
    <d v="2025-12-12T00:00:00"/>
    <m/>
    <x v="0"/>
    <s v="SABANETA"/>
    <x v="24"/>
    <n v="175"/>
    <n v="7"/>
    <n v="3298750"/>
    <m/>
  </r>
  <r>
    <x v="0"/>
    <s v="N/A"/>
    <d v="2025-12-13T00:00:00"/>
    <m/>
    <m/>
    <x v="239"/>
    <s v="BG24459"/>
    <d v="2025-12-13T00:00:00"/>
    <m/>
    <x v="75"/>
    <s v="SIBERIA"/>
    <x v="0"/>
    <n v="700"/>
    <n v="28"/>
    <n v="11060000"/>
    <m/>
  </r>
  <r>
    <x v="0"/>
    <n v="5504051929"/>
    <d v="2025-11-28T00:00:00"/>
    <m/>
    <m/>
    <x v="240"/>
    <s v="BG24500"/>
    <d v="2025-12-15T00:00:00"/>
    <m/>
    <x v="9"/>
    <s v="CAVASA"/>
    <x v="5"/>
    <n v="7000"/>
    <n v="280"/>
    <n v="245000000"/>
    <m/>
  </r>
  <r>
    <x v="0"/>
    <n v="13409"/>
    <d v="2025-12-12T00:00:00"/>
    <m/>
    <m/>
    <x v="241"/>
    <s v="BG24478"/>
    <d v="2025-12-15T00:00:00"/>
    <m/>
    <x v="35"/>
    <s v="SAN PEDRO DE LOS MILAGROS"/>
    <x v="0"/>
    <n v="600"/>
    <n v="24"/>
    <n v="9300000"/>
    <m/>
  </r>
  <r>
    <x v="0"/>
    <s v="N/A"/>
    <d v="2025-12-12T00:00:00"/>
    <m/>
    <m/>
    <x v="242"/>
    <s v="BG24477"/>
    <d v="2025-12-15T00:00:00"/>
    <m/>
    <x v="76"/>
    <s v="DON MATIAS"/>
    <x v="38"/>
    <n v="20"/>
    <n v="1"/>
    <n v="4265000"/>
    <m/>
  </r>
  <r>
    <x v="0"/>
    <s v="N/A"/>
    <d v="2025-12-12T00:00:00"/>
    <m/>
    <m/>
    <x v="242"/>
    <s v="BG24477"/>
    <d v="2025-12-15T00:00:00"/>
    <m/>
    <x v="76"/>
    <s v="DON MATIAS"/>
    <x v="29"/>
    <n v="7.5"/>
    <n v="0"/>
    <n v="3834225"/>
    <m/>
  </r>
  <r>
    <x v="0"/>
    <s v="N/A"/>
    <d v="2025-12-12T00:00:00"/>
    <m/>
    <m/>
    <x v="242"/>
    <s v="BG24477"/>
    <d v="2025-12-15T00:00:00"/>
    <m/>
    <x v="76"/>
    <s v="DON MATIAS"/>
    <x v="22"/>
    <n v="10"/>
    <n v="0"/>
    <n v="1500000"/>
    <m/>
  </r>
  <r>
    <x v="0"/>
    <s v="N/A"/>
    <d v="2025-12-12T00:00:00"/>
    <m/>
    <m/>
    <x v="243"/>
    <s v="BG24476"/>
    <d v="2025-12-15T00:00:00"/>
    <m/>
    <x v="76"/>
    <s v="DON MATIAS"/>
    <x v="25"/>
    <n v="1.5"/>
    <n v="0"/>
    <n v="0"/>
    <m/>
  </r>
  <r>
    <x v="0"/>
    <s v="004-OSC-00050306"/>
    <d v="2025-12-13T00:00:00"/>
    <m/>
    <m/>
    <x v="244"/>
    <s v="BG24530"/>
    <d v="2025-12-15T00:00:00"/>
    <m/>
    <x v="3"/>
    <s v="CARTAGO"/>
    <x v="52"/>
    <n v="50"/>
    <n v="2"/>
    <n v="850000"/>
    <m/>
  </r>
  <r>
    <x v="0"/>
    <s v="N/A"/>
    <d v="2025-12-15T00:00:00"/>
    <m/>
    <m/>
    <x v="245"/>
    <s v="BG24475"/>
    <d v="2025-12-15T00:00:00"/>
    <m/>
    <x v="77"/>
    <s v="FACA"/>
    <x v="3"/>
    <n v="300"/>
    <n v="12"/>
    <n v="6300000"/>
    <m/>
  </r>
  <r>
    <x v="0"/>
    <n v="4500366595"/>
    <d v="2025-12-15T00:00:00"/>
    <m/>
    <m/>
    <x v="246"/>
    <s v="BG24474"/>
    <d v="2025-12-15T00:00:00"/>
    <m/>
    <x v="11"/>
    <s v="BELLO"/>
    <x v="4"/>
    <n v="200"/>
    <n v="8"/>
    <n v="5100000"/>
    <m/>
  </r>
  <r>
    <x v="0"/>
    <n v="4500366595"/>
    <d v="2025-12-15T00:00:00"/>
    <m/>
    <m/>
    <x v="246"/>
    <s v="BG24474"/>
    <d v="2025-12-15T00:00:00"/>
    <m/>
    <x v="11"/>
    <s v="BELLO"/>
    <x v="5"/>
    <n v="100"/>
    <n v="4"/>
    <n v="3850000"/>
    <m/>
  </r>
  <r>
    <x v="0"/>
    <s v="007-OC-050654"/>
    <d v="2025-12-15T00:00:00"/>
    <m/>
    <m/>
    <x v="247"/>
    <s v="BG24473"/>
    <d v="2025-12-15T00:00:00"/>
    <m/>
    <x v="20"/>
    <s v="ITALCO, GIRON"/>
    <x v="5"/>
    <n v="75"/>
    <n v="3"/>
    <n v="3031875"/>
    <m/>
  </r>
  <r>
    <x v="0"/>
    <n v="97468"/>
    <d v="2025-12-15T00:00:00"/>
    <m/>
    <m/>
    <x v="248"/>
    <s v="BG24594"/>
    <d v="2025-12-15T00:00:00"/>
    <m/>
    <x v="65"/>
    <s v="BUGA"/>
    <x v="0"/>
    <n v="450"/>
    <n v="18"/>
    <n v="7200000"/>
    <m/>
  </r>
  <r>
    <x v="0"/>
    <n v="4500085554"/>
    <d v="2025-12-13T00:00:00"/>
    <m/>
    <m/>
    <x v="249"/>
    <s v="BG24484"/>
    <d v="2025-12-15T00:00:00"/>
    <m/>
    <x v="0"/>
    <s v="CELTA"/>
    <x v="36"/>
    <n v="200"/>
    <n v="8"/>
    <n v="7410800"/>
    <m/>
  </r>
  <r>
    <x v="0"/>
    <n v="4500085554"/>
    <d v="2025-12-13T00:00:00"/>
    <m/>
    <m/>
    <x v="249"/>
    <s v="BG24484"/>
    <d v="2025-12-15T00:00:00"/>
    <m/>
    <x v="0"/>
    <s v="CELTA"/>
    <x v="53"/>
    <n v="285"/>
    <n v="11"/>
    <n v="10560390"/>
    <m/>
  </r>
  <r>
    <x v="0"/>
    <n v="4500085554"/>
    <d v="2025-12-13T00:00:00"/>
    <m/>
    <m/>
    <x v="249"/>
    <s v="BG24484"/>
    <d v="2025-12-15T00:00:00"/>
    <m/>
    <x v="0"/>
    <s v="CELTA"/>
    <x v="3"/>
    <n v="1000"/>
    <n v="40"/>
    <n v="18850000"/>
    <m/>
  </r>
  <r>
    <x v="0"/>
    <n v="4500085554"/>
    <d v="2025-12-13T00:00:00"/>
    <m/>
    <m/>
    <x v="249"/>
    <s v="BG24484"/>
    <d v="2025-12-15T00:00:00"/>
    <m/>
    <x v="0"/>
    <s v="CELTA"/>
    <x v="43"/>
    <n v="150"/>
    <n v="6"/>
    <n v="66000000"/>
    <m/>
  </r>
  <r>
    <x v="0"/>
    <n v="4500085554"/>
    <d v="2025-12-13T00:00:00"/>
    <m/>
    <m/>
    <x v="249"/>
    <s v="BG24484"/>
    <d v="2025-12-15T00:00:00"/>
    <m/>
    <x v="0"/>
    <s v="CELTA"/>
    <x v="12"/>
    <n v="115"/>
    <n v="5"/>
    <n v="5347500"/>
    <m/>
  </r>
  <r>
    <x v="2"/>
    <n v="4500085554"/>
    <d v="2025-12-13T00:00:00"/>
    <m/>
    <m/>
    <x v="249"/>
    <s v="BG24601"/>
    <d v="2025-12-15T00:00:00"/>
    <m/>
    <x v="0"/>
    <s v="CELTA"/>
    <x v="12"/>
    <n v="85"/>
    <n v="3"/>
    <n v="3952500"/>
    <m/>
  </r>
  <r>
    <x v="0"/>
    <n v="4500085554"/>
    <d v="2025-12-13T00:00:00"/>
    <m/>
    <m/>
    <x v="250"/>
    <s v="BG24486"/>
    <d v="2025-12-15T00:00:00"/>
    <m/>
    <x v="0"/>
    <s v="CELTA"/>
    <x v="25"/>
    <n v="15"/>
    <n v="1"/>
    <n v="0"/>
    <m/>
  </r>
  <r>
    <x v="0"/>
    <n v="63710"/>
    <d v="2025-12-15T00:00:00"/>
    <m/>
    <m/>
    <x v="251"/>
    <s v="BG24472"/>
    <d v="2025-12-15T00:00:00"/>
    <m/>
    <x v="14"/>
    <s v="BUCARAMANGA"/>
    <x v="7"/>
    <n v="50"/>
    <n v="2"/>
    <n v="1021150"/>
    <m/>
  </r>
  <r>
    <x v="0"/>
    <n v="68794"/>
    <d v="2025-12-15T00:00:00"/>
    <m/>
    <m/>
    <x v="252"/>
    <s v="BG24485"/>
    <d v="2025-12-15T00:00:00"/>
    <m/>
    <x v="3"/>
    <s v="BELLO"/>
    <x v="17"/>
    <n v="100"/>
    <n v="4"/>
    <n v="15500000"/>
    <m/>
  </r>
  <r>
    <x v="0"/>
    <n v="68797"/>
    <d v="2025-12-15T00:00:00"/>
    <m/>
    <m/>
    <x v="253"/>
    <s v="BG24527"/>
    <d v="2025-12-15T00:00:00"/>
    <m/>
    <x v="3"/>
    <s v="BELLO"/>
    <x v="17"/>
    <n v="200"/>
    <n v="8"/>
    <n v="31000000"/>
    <m/>
  </r>
  <r>
    <x v="0"/>
    <n v="20592"/>
    <d v="2025-12-15T00:00:00"/>
    <m/>
    <m/>
    <x v="254"/>
    <s v="BG24517"/>
    <d v="2025-12-15T00:00:00"/>
    <m/>
    <x v="51"/>
    <s v="RICAURTE"/>
    <x v="48"/>
    <n v="100"/>
    <n v="4"/>
    <n v="3500000"/>
    <m/>
  </r>
  <r>
    <x v="0"/>
    <n v="20592"/>
    <d v="2025-12-15T00:00:00"/>
    <m/>
    <m/>
    <x v="254"/>
    <s v="BG24517"/>
    <d v="2025-12-15T00:00:00"/>
    <m/>
    <x v="51"/>
    <s v="RICAURTE"/>
    <x v="0"/>
    <n v="50"/>
    <n v="2"/>
    <n v="1015000"/>
    <m/>
  </r>
  <r>
    <x v="0"/>
    <n v="20592"/>
    <d v="2025-12-15T00:00:00"/>
    <m/>
    <m/>
    <x v="254"/>
    <s v="BG24517"/>
    <d v="2025-12-15T00:00:00"/>
    <m/>
    <x v="51"/>
    <s v="RICAURTE"/>
    <x v="21"/>
    <n v="300"/>
    <n v="12"/>
    <n v="13200000"/>
    <m/>
  </r>
  <r>
    <x v="0"/>
    <s v="N/A"/>
    <d v="2025-12-15T00:00:00"/>
    <m/>
    <m/>
    <x v="255"/>
    <s v="BG24494"/>
    <d v="2025-12-15T00:00:00"/>
    <m/>
    <x v="78"/>
    <s v="MANIZALES"/>
    <x v="29"/>
    <n v="2.5"/>
    <n v="0"/>
    <n v="1337500"/>
    <m/>
  </r>
  <r>
    <x v="0"/>
    <n v="4500085520"/>
    <d v="2025-12-12T00:00:00"/>
    <m/>
    <m/>
    <x v="256"/>
    <s v="BG24510"/>
    <d v="2025-12-15T00:00:00"/>
    <m/>
    <x v="0"/>
    <s v="MEDELLIN"/>
    <x v="24"/>
    <n v="1500"/>
    <n v="60"/>
    <n v="28275000"/>
    <m/>
  </r>
  <r>
    <x v="0"/>
    <n v="4500085521"/>
    <d v="2025-12-12T00:00:00"/>
    <m/>
    <m/>
    <x v="257"/>
    <s v="BG24506"/>
    <d v="2025-12-15T00:00:00"/>
    <m/>
    <x v="0"/>
    <s v="CELTA"/>
    <x v="24"/>
    <n v="1000"/>
    <n v="40"/>
    <n v="18850000"/>
    <m/>
  </r>
  <r>
    <x v="0"/>
    <s v="N/A"/>
    <d v="2025-12-12T00:00:00"/>
    <m/>
    <m/>
    <x v="258"/>
    <s v="BG24458"/>
    <d v="2025-12-12T00:00:00"/>
    <m/>
    <x v="40"/>
    <s v="YUMBO"/>
    <x v="10"/>
    <n v="50"/>
    <n v="2"/>
    <n v="5125000"/>
    <m/>
  </r>
  <r>
    <x v="0"/>
    <s v="N/A"/>
    <d v="2025-12-12T00:00:00"/>
    <m/>
    <m/>
    <x v="258"/>
    <s v="BG24458"/>
    <d v="2025-12-12T00:00:00"/>
    <m/>
    <x v="40"/>
    <s v="YUMBO"/>
    <x v="4"/>
    <n v="600"/>
    <n v="24"/>
    <n v="15300000"/>
    <m/>
  </r>
  <r>
    <x v="0"/>
    <s v="N/A"/>
    <d v="2025-12-12T00:00:00"/>
    <m/>
    <m/>
    <x v="258"/>
    <s v="BG24458"/>
    <d v="2025-12-12T00:00:00"/>
    <m/>
    <x v="40"/>
    <s v="YUMBO"/>
    <x v="2"/>
    <n v="250"/>
    <n v="10"/>
    <n v="41050000"/>
    <m/>
  </r>
  <r>
    <x v="0"/>
    <s v="N/A"/>
    <d v="2025-12-12T00:00:00"/>
    <m/>
    <m/>
    <x v="258"/>
    <s v="BG24458"/>
    <d v="2025-12-12T00:00:00"/>
    <m/>
    <x v="40"/>
    <s v="YUMBO"/>
    <x v="0"/>
    <n v="1000"/>
    <n v="40"/>
    <n v="16200000"/>
    <m/>
  </r>
  <r>
    <x v="0"/>
    <s v="N/A"/>
    <d v="2025-12-12T00:00:00"/>
    <m/>
    <m/>
    <x v="258"/>
    <s v="BG24458"/>
    <d v="2025-12-12T00:00:00"/>
    <m/>
    <x v="40"/>
    <s v="YUMBO"/>
    <x v="21"/>
    <n v="100"/>
    <n v="4"/>
    <n v="4200000"/>
    <m/>
  </r>
  <r>
    <x v="0"/>
    <s v="N/A"/>
    <d v="2025-12-12T00:00:00"/>
    <m/>
    <m/>
    <x v="258"/>
    <s v="BG24458"/>
    <d v="2025-12-12T00:00:00"/>
    <m/>
    <x v="40"/>
    <s v="YUMBO"/>
    <x v="7"/>
    <n v="400"/>
    <n v="16"/>
    <n v="7956000"/>
    <m/>
  </r>
  <r>
    <x v="0"/>
    <n v="1319229"/>
    <d v="2025-12-15T00:00:00"/>
    <m/>
    <m/>
    <x v="259"/>
    <s v="BG24493"/>
    <d v="2025-12-16T00:00:00"/>
    <m/>
    <x v="10"/>
    <s v="MOSQUERA"/>
    <x v="22"/>
    <n v="200"/>
    <n v="8"/>
    <n v="27100000"/>
    <m/>
  </r>
  <r>
    <x v="0"/>
    <s v="OC0037"/>
    <d v="2025-12-16T00:00:00"/>
    <m/>
    <m/>
    <x v="260"/>
    <s v="BG24496"/>
    <d v="2025-12-16T00:00:00"/>
    <m/>
    <x v="42"/>
    <s v="ITAGUI"/>
    <x v="20"/>
    <n v="50"/>
    <n v="2"/>
    <n v="5250000"/>
    <m/>
  </r>
  <r>
    <x v="5"/>
    <n v="9"/>
    <d v="2025-12-16T00:00:00"/>
    <m/>
    <m/>
    <x v="261"/>
    <s v="BG24566"/>
    <d v="2025-12-16T00:00:00"/>
    <m/>
    <x v="79"/>
    <s v="GRANADA"/>
    <x v="0"/>
    <n v="200"/>
    <n v="8"/>
    <n v="3680000"/>
    <m/>
  </r>
  <r>
    <x v="5"/>
    <n v="9"/>
    <d v="2025-12-16T00:00:00"/>
    <m/>
    <m/>
    <x v="261"/>
    <s v="BG24566"/>
    <d v="2025-12-16T00:00:00"/>
    <m/>
    <x v="79"/>
    <s v="GRANADA"/>
    <x v="54"/>
    <n v="350"/>
    <n v="14"/>
    <n v="18900000"/>
    <m/>
  </r>
  <r>
    <x v="5"/>
    <n v="9"/>
    <d v="2025-12-16T00:00:00"/>
    <m/>
    <m/>
    <x v="261"/>
    <s v="BG24566"/>
    <d v="2025-12-16T00:00:00"/>
    <m/>
    <x v="79"/>
    <s v="GRANADA"/>
    <x v="11"/>
    <n v="200"/>
    <n v="8"/>
    <n v="23170000"/>
    <m/>
  </r>
  <r>
    <x v="0"/>
    <n v="771"/>
    <d v="2025-12-16T00:00:00"/>
    <m/>
    <m/>
    <x v="262"/>
    <s v="BG24492"/>
    <d v="2025-12-16T00:00:00"/>
    <m/>
    <x v="80"/>
    <s v="LERIDA"/>
    <x v="11"/>
    <n v="50"/>
    <n v="2"/>
    <n v="3350000"/>
    <m/>
  </r>
  <r>
    <x v="0"/>
    <n v="771"/>
    <d v="2025-12-16T00:00:00"/>
    <m/>
    <m/>
    <x v="262"/>
    <s v="BG24492"/>
    <d v="2025-12-16T00:00:00"/>
    <m/>
    <x v="80"/>
    <s v="LERIDA"/>
    <x v="5"/>
    <n v="250"/>
    <n v="10"/>
    <n v="9625000"/>
    <m/>
  </r>
  <r>
    <x v="0"/>
    <n v="771"/>
    <d v="2025-12-16T00:00:00"/>
    <m/>
    <m/>
    <x v="262"/>
    <s v="BG24492"/>
    <d v="2025-12-16T00:00:00"/>
    <m/>
    <x v="80"/>
    <s v="LERIDA"/>
    <x v="17"/>
    <n v="25"/>
    <n v="1"/>
    <n v="3500000"/>
    <m/>
  </r>
  <r>
    <x v="0"/>
    <n v="771"/>
    <d v="2025-12-16T00:00:00"/>
    <m/>
    <m/>
    <x v="262"/>
    <s v="BG24492"/>
    <d v="2025-12-16T00:00:00"/>
    <m/>
    <x v="80"/>
    <s v="LERIDA"/>
    <x v="4"/>
    <n v="300"/>
    <n v="12"/>
    <n v="7650000"/>
    <m/>
  </r>
  <r>
    <x v="0"/>
    <n v="30921"/>
    <d v="2025-12-16T00:00:00"/>
    <m/>
    <m/>
    <x v="263"/>
    <s v="BG24490"/>
    <d v="2025-12-16T00:00:00"/>
    <m/>
    <x v="74"/>
    <s v="GARAGOA"/>
    <x v="41"/>
    <n v="116"/>
    <n v="5"/>
    <n v="32480000"/>
    <m/>
  </r>
  <r>
    <x v="0"/>
    <n v="4503922384"/>
    <d v="2025-12-16T00:00:00"/>
    <m/>
    <m/>
    <x v="264"/>
    <s v="BG24489"/>
    <d v="2025-12-16T00:00:00"/>
    <m/>
    <x v="13"/>
    <s v="RIO FRIO"/>
    <x v="16"/>
    <n v="144"/>
    <n v="6"/>
    <n v="7956000"/>
    <m/>
  </r>
  <r>
    <x v="0"/>
    <s v="N/A"/>
    <d v="2025-12-16T00:00:00"/>
    <m/>
    <m/>
    <x v="265"/>
    <s v="BG24487"/>
    <d v="2025-12-16T00:00:00"/>
    <m/>
    <x v="28"/>
    <s v="BUCARAMANGA"/>
    <x v="29"/>
    <n v="10"/>
    <n v="0"/>
    <n v="5202080"/>
    <m/>
  </r>
  <r>
    <x v="0"/>
    <s v="N/A"/>
    <d v="2025-12-16T00:00:00"/>
    <m/>
    <m/>
    <x v="266"/>
    <s v="BG24488"/>
    <d v="2025-12-16T00:00:00"/>
    <m/>
    <x v="81"/>
    <s v="ROVIRA"/>
    <x v="3"/>
    <n v="100"/>
    <n v="4"/>
    <n v="2100000"/>
    <m/>
  </r>
  <r>
    <x v="0"/>
    <n v="1957"/>
    <d v="2025-12-16T00:00:00"/>
    <m/>
    <m/>
    <x v="267"/>
    <s v="BG24498"/>
    <d v="2025-12-16T00:00:00"/>
    <m/>
    <x v="82"/>
    <s v="BOGOTA"/>
    <x v="20"/>
    <n v="150"/>
    <n v="6"/>
    <n v="15300000"/>
    <m/>
  </r>
  <r>
    <x v="0"/>
    <n v="1957"/>
    <d v="2025-12-16T00:00:00"/>
    <m/>
    <m/>
    <x v="267"/>
    <s v="BG24498"/>
    <d v="2025-12-16T00:00:00"/>
    <m/>
    <x v="82"/>
    <s v="BOGOTA"/>
    <x v="36"/>
    <n v="750"/>
    <n v="30"/>
    <n v="42000000"/>
    <m/>
  </r>
  <r>
    <x v="0"/>
    <n v="1957"/>
    <d v="2025-12-16T00:00:00"/>
    <m/>
    <m/>
    <x v="267"/>
    <s v="BG24498"/>
    <d v="2025-12-16T00:00:00"/>
    <m/>
    <x v="82"/>
    <s v="BOGOTA"/>
    <x v="29"/>
    <n v="25"/>
    <n v="1"/>
    <n v="12529400"/>
    <m/>
  </r>
  <r>
    <x v="0"/>
    <n v="1958"/>
    <d v="2025-12-16T00:00:00"/>
    <m/>
    <m/>
    <x v="268"/>
    <s v="BG24497"/>
    <d v="2025-12-16T00:00:00"/>
    <m/>
    <x v="82"/>
    <s v="BOGOTA"/>
    <x v="20"/>
    <n v="60"/>
    <n v="2"/>
    <n v="6120000"/>
    <m/>
  </r>
  <r>
    <x v="0"/>
    <n v="1958"/>
    <d v="2025-12-16T00:00:00"/>
    <m/>
    <m/>
    <x v="268"/>
    <s v="BG24497"/>
    <d v="2025-12-16T00:00:00"/>
    <m/>
    <x v="82"/>
    <s v="BOGOTA"/>
    <x v="36"/>
    <n v="400"/>
    <n v="16"/>
    <n v="22400000"/>
    <m/>
  </r>
  <r>
    <x v="0"/>
    <n v="1958"/>
    <d v="2025-12-16T00:00:00"/>
    <m/>
    <m/>
    <x v="268"/>
    <s v="BG24497"/>
    <d v="2025-12-16T00:00:00"/>
    <m/>
    <x v="82"/>
    <s v="BOGOTA"/>
    <x v="29"/>
    <n v="54"/>
    <n v="2"/>
    <n v="27063504"/>
    <m/>
  </r>
  <r>
    <x v="0"/>
    <n v="1958"/>
    <d v="2025-12-16T00:00:00"/>
    <m/>
    <m/>
    <x v="268"/>
    <s v="BG24497"/>
    <d v="2025-12-16T00:00:00"/>
    <m/>
    <x v="82"/>
    <s v="BOGOTA"/>
    <x v="55"/>
    <n v="500"/>
    <n v="20"/>
    <n v="8000000"/>
    <m/>
  </r>
  <r>
    <x v="0"/>
    <n v="1958"/>
    <d v="2025-12-16T00:00:00"/>
    <m/>
    <m/>
    <x v="268"/>
    <s v="BG24497"/>
    <d v="2025-12-16T00:00:00"/>
    <m/>
    <x v="82"/>
    <s v="BOGOTA"/>
    <x v="33"/>
    <n v="17.5"/>
    <n v="1"/>
    <n v="1785000"/>
    <m/>
  </r>
  <r>
    <x v="0"/>
    <s v="N/A"/>
    <d v="2025-12-11T00:00:00"/>
    <m/>
    <m/>
    <x v="269"/>
    <s v="BG24462"/>
    <d v="2025-12-11T00:00:00"/>
    <m/>
    <x v="83"/>
    <s v="BUCARAMANGA"/>
    <x v="56"/>
    <n v="5"/>
    <n v="0"/>
    <n v="850000"/>
    <m/>
  </r>
  <r>
    <x v="0"/>
    <s v="POP-00007351"/>
    <d v="2025-12-16T00:00:00"/>
    <m/>
    <m/>
    <x v="270"/>
    <s v="BG24516"/>
    <d v="2025-12-16T00:00:00"/>
    <m/>
    <x v="84"/>
    <s v="MADRID"/>
    <x v="50"/>
    <n v="4"/>
    <n v="0"/>
    <n v="680000"/>
    <m/>
  </r>
  <r>
    <x v="0"/>
    <s v="POP-00007351"/>
    <d v="2025-12-16T00:00:00"/>
    <m/>
    <m/>
    <x v="271"/>
    <s v="BG24649"/>
    <d v="2025-12-16T00:00:00"/>
    <m/>
    <x v="84"/>
    <s v="MADRID"/>
    <x v="25"/>
    <n v="1"/>
    <n v="0"/>
    <n v="0"/>
    <m/>
  </r>
  <r>
    <x v="0"/>
    <s v="OC038"/>
    <d v="2025-12-16T00:00:00"/>
    <m/>
    <m/>
    <x v="272"/>
    <s v="BG24520"/>
    <d v="2025-12-16T00:00:00"/>
    <m/>
    <x v="42"/>
    <s v="ITAGUI"/>
    <x v="20"/>
    <n v="30"/>
    <n v="1"/>
    <n v="3150000"/>
    <m/>
  </r>
  <r>
    <x v="0"/>
    <s v="OCO-00010372"/>
    <d v="2025-12-16T00:00:00"/>
    <m/>
    <m/>
    <x v="273"/>
    <s v="BG24515"/>
    <d v="2025-12-16T00:00:00"/>
    <m/>
    <x v="50"/>
    <s v="BOGOTA"/>
    <x v="16"/>
    <n v="160"/>
    <n v="6"/>
    <n v="8880000"/>
    <m/>
  </r>
  <r>
    <x v="0"/>
    <n v="4500085622"/>
    <d v="2025-12-16T00:00:00"/>
    <m/>
    <m/>
    <x v="274"/>
    <s v="BG24509"/>
    <d v="2025-12-16T00:00:00"/>
    <m/>
    <x v="0"/>
    <s v="MEDELLIN"/>
    <x v="3"/>
    <n v="900"/>
    <n v="36"/>
    <n v="16965000"/>
    <m/>
  </r>
  <r>
    <x v="2"/>
    <n v="4500085622"/>
    <d v="2025-12-16T00:00:00"/>
    <m/>
    <m/>
    <x v="274"/>
    <s v="BG24676"/>
    <d v="2025-12-16T00:00:00"/>
    <m/>
    <x v="0"/>
    <s v="MEDELLIN"/>
    <x v="3"/>
    <n v="100"/>
    <n v="4"/>
    <n v="1885000"/>
    <m/>
  </r>
  <r>
    <x v="0"/>
    <n v="4500085623"/>
    <d v="2025-12-16T00:00:00"/>
    <m/>
    <m/>
    <x v="275"/>
    <s v="BG24505"/>
    <d v="2025-12-16T00:00:00"/>
    <m/>
    <x v="0"/>
    <s v="CELTA"/>
    <x v="3"/>
    <n v="575"/>
    <n v="23"/>
    <n v="10838750"/>
    <m/>
  </r>
  <r>
    <x v="0"/>
    <n v="4500085618"/>
    <d v="2025-12-16T00:00:00"/>
    <m/>
    <m/>
    <x v="276"/>
    <s v="BG24508"/>
    <d v="2025-12-17T00:00:00"/>
    <m/>
    <x v="0"/>
    <s v="MEDELLIN"/>
    <x v="5"/>
    <n v="3700"/>
    <n v="148"/>
    <n v="117660000"/>
    <m/>
  </r>
  <r>
    <x v="2"/>
    <n v="4500085618"/>
    <d v="2025-12-16T00:00:00"/>
    <m/>
    <m/>
    <x v="276"/>
    <s v="BG24617"/>
    <d v="2025-12-17T00:00:00"/>
    <m/>
    <x v="0"/>
    <s v="MEDELLIN"/>
    <x v="5"/>
    <n v="2300"/>
    <n v="92"/>
    <n v="73140000"/>
    <m/>
  </r>
  <r>
    <x v="0"/>
    <n v="4500085618"/>
    <d v="2025-12-16T00:00:00"/>
    <m/>
    <m/>
    <x v="276"/>
    <s v="BG24508"/>
    <d v="2025-12-17T00:00:00"/>
    <m/>
    <x v="0"/>
    <s v="MEDELLIN"/>
    <x v="57"/>
    <n v="200"/>
    <n v="8"/>
    <n v="10400000"/>
    <m/>
  </r>
  <r>
    <x v="0"/>
    <n v="4500085618"/>
    <d v="2025-12-16T00:00:00"/>
    <m/>
    <m/>
    <x v="276"/>
    <s v="BG24508"/>
    <d v="2025-12-17T00:00:00"/>
    <m/>
    <x v="0"/>
    <s v="MEDELLIN"/>
    <x v="40"/>
    <n v="500"/>
    <n v="20"/>
    <n v="30850000"/>
    <m/>
  </r>
  <r>
    <x v="0"/>
    <n v="4500085618"/>
    <d v="2025-12-16T00:00:00"/>
    <m/>
    <m/>
    <x v="276"/>
    <s v="BG24508"/>
    <d v="2025-12-17T00:00:00"/>
    <m/>
    <x v="0"/>
    <s v="MEDELLIN"/>
    <x v="28"/>
    <n v="800"/>
    <n v="32"/>
    <n v="24160000"/>
    <m/>
  </r>
  <r>
    <x v="0"/>
    <n v="4500085618"/>
    <d v="2025-12-16T00:00:00"/>
    <m/>
    <m/>
    <x v="276"/>
    <s v="BG24508"/>
    <d v="2025-12-17T00:00:00"/>
    <m/>
    <x v="0"/>
    <s v="MEDELLIN"/>
    <x v="41"/>
    <n v="100"/>
    <n v="4"/>
    <n v="17500000"/>
    <m/>
  </r>
  <r>
    <x v="0"/>
    <n v="4500085618"/>
    <d v="2025-12-16T00:00:00"/>
    <m/>
    <m/>
    <x v="276"/>
    <s v="BG24508"/>
    <d v="2025-12-17T00:00:00"/>
    <m/>
    <x v="0"/>
    <s v="MEDELLIN"/>
    <x v="42"/>
    <n v="500"/>
    <n v="20"/>
    <n v="9505000"/>
    <m/>
  </r>
  <r>
    <x v="0"/>
    <n v="4500085618"/>
    <d v="2025-12-16T00:00:00"/>
    <m/>
    <m/>
    <x v="276"/>
    <s v="BG24508"/>
    <d v="2025-12-17T00:00:00"/>
    <m/>
    <x v="0"/>
    <s v="MEDELLIN"/>
    <x v="7"/>
    <n v="500"/>
    <n v="20"/>
    <n v="8800000"/>
    <m/>
  </r>
  <r>
    <x v="0"/>
    <n v="4500085618"/>
    <d v="2025-12-16T00:00:00"/>
    <m/>
    <m/>
    <x v="277"/>
    <s v="BG24639"/>
    <d v="2025-12-17T00:00:00"/>
    <m/>
    <x v="0"/>
    <s v="MEDELLIN"/>
    <x v="4"/>
    <n v="4000"/>
    <n v="160"/>
    <n v="100800000"/>
    <m/>
  </r>
  <r>
    <x v="0"/>
    <n v="4500182995"/>
    <d v="2025-12-16T00:00:00"/>
    <m/>
    <m/>
    <x v="278"/>
    <s v="BG24503"/>
    <d v="2025-12-17T00:00:00"/>
    <m/>
    <x v="52"/>
    <s v="PUERTO GAITAN"/>
    <x v="36"/>
    <n v="2500"/>
    <n v="100"/>
    <n v="92750000"/>
    <m/>
  </r>
  <r>
    <x v="0"/>
    <s v="OC8371"/>
    <d v="2025-12-17T00:00:00"/>
    <m/>
    <m/>
    <x v="279"/>
    <s v="BG24512"/>
    <d v="2025-12-17T00:00:00"/>
    <m/>
    <x v="85"/>
    <s v="FUNZA"/>
    <x v="26"/>
    <n v="200"/>
    <n v="8"/>
    <n v="4920000"/>
    <m/>
  </r>
  <r>
    <x v="4"/>
    <s v="OC 039"/>
    <d v="2025-12-17T00:00:00"/>
    <m/>
    <m/>
    <x v="280"/>
    <s v="BG24511"/>
    <d v="2025-12-17T00:00:00"/>
    <m/>
    <x v="42"/>
    <s v="ITAGUI"/>
    <x v="29"/>
    <n v="90"/>
    <n v="4"/>
    <n v="45090000"/>
    <m/>
  </r>
  <r>
    <x v="0"/>
    <s v="N/A"/>
    <d v="2025-12-17T00:00:00"/>
    <m/>
    <m/>
    <x v="281"/>
    <s v="BG24502"/>
    <d v="2025-12-17T00:00:00"/>
    <m/>
    <x v="46"/>
    <s v="DON MATIAS"/>
    <x v="12"/>
    <n v="20"/>
    <n v="1"/>
    <n v="1200000"/>
    <m/>
  </r>
  <r>
    <x v="0"/>
    <s v="N/A"/>
    <d v="2025-12-17T00:00:00"/>
    <m/>
    <m/>
    <x v="281"/>
    <s v="BG24502"/>
    <d v="2025-12-17T00:00:00"/>
    <m/>
    <x v="46"/>
    <s v="DON MATIAS"/>
    <x v="15"/>
    <n v="40"/>
    <n v="2"/>
    <n v="2800000"/>
    <m/>
  </r>
  <r>
    <x v="0"/>
    <s v="N/A"/>
    <d v="2025-12-17T00:00:00"/>
    <m/>
    <m/>
    <x v="282"/>
    <s v="BG24501"/>
    <d v="2025-12-17T00:00:00"/>
    <m/>
    <x v="46"/>
    <s v="DON MATIAS"/>
    <x v="25"/>
    <n v="1.5"/>
    <n v="0"/>
    <n v="0"/>
    <m/>
  </r>
  <r>
    <x v="0"/>
    <n v="97540"/>
    <d v="2025-12-16T00:00:00"/>
    <m/>
    <m/>
    <x v="283"/>
    <s v="BG24521"/>
    <d v="2025-12-17T00:00:00"/>
    <m/>
    <x v="65"/>
    <s v="BUGA"/>
    <x v="20"/>
    <n v="112"/>
    <n v="4"/>
    <n v="10886400"/>
    <m/>
  </r>
  <r>
    <x v="0"/>
    <n v="97540"/>
    <d v="2025-12-16T00:00:00"/>
    <m/>
    <m/>
    <x v="283"/>
    <s v="BG24521"/>
    <d v="2025-12-17T00:00:00"/>
    <m/>
    <x v="65"/>
    <s v="BUGA"/>
    <x v="22"/>
    <n v="20"/>
    <n v="1"/>
    <n v="2900000"/>
    <m/>
  </r>
  <r>
    <x v="0"/>
    <n v="97540"/>
    <d v="2025-12-16T00:00:00"/>
    <m/>
    <m/>
    <x v="283"/>
    <s v="BG24521"/>
    <d v="2025-12-17T00:00:00"/>
    <m/>
    <x v="65"/>
    <s v="BUGA"/>
    <x v="45"/>
    <n v="460"/>
    <n v="18"/>
    <n v="17871000"/>
    <m/>
  </r>
  <r>
    <x v="0"/>
    <n v="37693"/>
    <d v="2025-12-17T00:00:00"/>
    <m/>
    <m/>
    <x v="284"/>
    <s v="BG24537"/>
    <d v="2025-12-17T00:00:00"/>
    <m/>
    <x v="26"/>
    <s v="GIRARDOTA"/>
    <x v="7"/>
    <n v="400"/>
    <n v="16"/>
    <n v="7280000"/>
    <m/>
  </r>
  <r>
    <x v="4"/>
    <n v="37693"/>
    <d v="2025-12-17T00:00:00"/>
    <m/>
    <m/>
    <x v="284"/>
    <s v="BG24537"/>
    <d v="2025-12-17T00:00:00"/>
    <m/>
    <x v="26"/>
    <s v="GIRARDOTA"/>
    <x v="4"/>
    <n v="400"/>
    <n v="16"/>
    <n v="10200000"/>
    <m/>
  </r>
  <r>
    <x v="0"/>
    <n v="1320634"/>
    <d v="2025-12-17T00:00:00"/>
    <m/>
    <m/>
    <x v="285"/>
    <s v="BG24514"/>
    <d v="2025-12-17T00:00:00"/>
    <m/>
    <x v="25"/>
    <s v="FRESNO"/>
    <x v="25"/>
    <n v="0.75"/>
    <n v="0"/>
    <n v="0"/>
    <m/>
  </r>
  <r>
    <x v="0"/>
    <s v="N/A"/>
    <d v="2025-12-17T00:00:00"/>
    <m/>
    <m/>
    <x v="286"/>
    <s v="BG24504"/>
    <d v="2025-12-17T00:00:00"/>
    <m/>
    <x v="28"/>
    <s v="BUCARAMANGA"/>
    <x v="22"/>
    <n v="6"/>
    <n v="0"/>
    <n v="960000"/>
    <m/>
  </r>
  <r>
    <x v="0"/>
    <s v="007-OC-050678"/>
    <d v="2025-12-17T00:00:00"/>
    <m/>
    <m/>
    <x v="287"/>
    <s v="BG24534"/>
    <d v="2025-12-17T00:00:00"/>
    <m/>
    <x v="20"/>
    <s v="ITALCOL GIRON"/>
    <x v="0"/>
    <n v="2000"/>
    <n v="80"/>
    <n v="32000000"/>
    <m/>
  </r>
  <r>
    <x v="0"/>
    <n v="153"/>
    <d v="2025-12-17T00:00:00"/>
    <m/>
    <m/>
    <x v="288"/>
    <s v="BG24507"/>
    <d v="2025-12-17T00:00:00"/>
    <m/>
    <x v="31"/>
    <s v="GIRON"/>
    <x v="35"/>
    <n v="12"/>
    <n v="0"/>
    <n v="559908"/>
    <m/>
  </r>
  <r>
    <x v="0"/>
    <s v="022-OC-005589"/>
    <d v="2025-12-16T00:00:00"/>
    <m/>
    <m/>
    <x v="289"/>
    <s v="BG24526"/>
    <d v="2025-12-17T00:00:00"/>
    <m/>
    <x v="20"/>
    <s v="SIBERIA"/>
    <x v="29"/>
    <n v="16"/>
    <n v="1"/>
    <n v="7935840"/>
    <m/>
  </r>
  <r>
    <x v="0"/>
    <s v="N/A"/>
    <d v="2025-12-18T00:00:00"/>
    <m/>
    <m/>
    <x v="290"/>
    <s v="BG24525"/>
    <d v="2025-12-18T00:00:00"/>
    <m/>
    <x v="86"/>
    <s v="MEDELLIN"/>
    <x v="23"/>
    <n v="10"/>
    <n v="0"/>
    <n v="600000"/>
    <m/>
  </r>
  <r>
    <x v="0"/>
    <s v="N/A"/>
    <d v="2025-12-18T00:00:00"/>
    <m/>
    <m/>
    <x v="291"/>
    <s v="BG24524"/>
    <d v="2025-12-18T00:00:00"/>
    <m/>
    <x v="86"/>
    <s v="MEDELLIN"/>
    <x v="25"/>
    <n v="0.15"/>
    <n v="0"/>
    <n v="0"/>
    <m/>
  </r>
  <r>
    <x v="0"/>
    <s v="N/A"/>
    <d v="2025-12-18T00:00:00"/>
    <m/>
    <m/>
    <x v="292"/>
    <s v="BG24548"/>
    <d v="2025-12-18T00:00:00"/>
    <m/>
    <x v="87"/>
    <s v="DON MATIAS"/>
    <x v="41"/>
    <n v="10"/>
    <n v="0"/>
    <n v="2480000"/>
    <m/>
  </r>
  <r>
    <x v="3"/>
    <s v="OC8371"/>
    <d v="2025-12-18T00:00:00"/>
    <m/>
    <m/>
    <x v="293"/>
    <s v="BG24536"/>
    <d v="2025-12-18T00:00:00"/>
    <m/>
    <x v="85"/>
    <s v="ALBATEC"/>
    <x v="26"/>
    <n v="200"/>
    <n v="8"/>
    <n v="4920000"/>
    <m/>
  </r>
  <r>
    <x v="0"/>
    <s v="N/A"/>
    <d v="2025-12-18T00:00:00"/>
    <m/>
    <m/>
    <x v="294"/>
    <s v="BG24532"/>
    <d v="2025-12-18T00:00:00"/>
    <m/>
    <x v="63"/>
    <s v="ENTRERRIOS"/>
    <x v="29"/>
    <n v="3"/>
    <n v="0"/>
    <n v="1560000"/>
    <m/>
  </r>
  <r>
    <x v="0"/>
    <s v="001-OSC-00068915"/>
    <d v="2025-12-18T00:00:00"/>
    <m/>
    <m/>
    <x v="295"/>
    <s v="BG24535"/>
    <d v="2025-12-18T00:00:00"/>
    <m/>
    <x v="3"/>
    <s v="BELLO"/>
    <x v="5"/>
    <n v="75"/>
    <n v="3"/>
    <n v="2887500"/>
    <m/>
  </r>
  <r>
    <x v="0"/>
    <s v="001-OSC-00068915"/>
    <d v="2025-12-18T00:00:00"/>
    <m/>
    <m/>
    <x v="295"/>
    <s v="BG24535"/>
    <d v="2025-12-18T00:00:00"/>
    <m/>
    <x v="3"/>
    <s v="BELLO"/>
    <x v="4"/>
    <n v="200"/>
    <n v="8"/>
    <n v="5100000"/>
    <m/>
  </r>
  <r>
    <x v="0"/>
    <s v="N/A"/>
    <d v="2025-12-18T00:00:00"/>
    <m/>
    <m/>
    <x v="296"/>
    <s v="BG24533"/>
    <d v="2025-12-18T00:00:00"/>
    <m/>
    <x v="28"/>
    <s v="GIRON"/>
    <x v="29"/>
    <n v="20"/>
    <n v="1"/>
    <n v="10404160"/>
    <m/>
  </r>
  <r>
    <x v="0"/>
    <s v="N/A"/>
    <d v="2025-12-18T00:00:00"/>
    <m/>
    <m/>
    <x v="297"/>
    <s v="BG24627"/>
    <d v="2025-12-18T00:00:00"/>
    <m/>
    <x v="88"/>
    <s v="BUGA"/>
    <x v="6"/>
    <n v="50"/>
    <n v="2"/>
    <n v="3307500"/>
    <m/>
  </r>
  <r>
    <x v="0"/>
    <s v="022-OC-005591"/>
    <d v="2025-12-19T00:00:00"/>
    <m/>
    <m/>
    <x v="298"/>
    <s v="BG24593"/>
    <d v="2025-12-19T00:00:00"/>
    <m/>
    <x v="20"/>
    <s v="ITALCOL FUNZA"/>
    <x v="5"/>
    <n v="400"/>
    <n v="16"/>
    <n v="15400000"/>
    <m/>
  </r>
  <r>
    <x v="2"/>
    <s v="N/A"/>
    <d v="2025-12-19T00:00:00"/>
    <m/>
    <m/>
    <x v="299"/>
    <s v="BG24685"/>
    <d v="2025-12-19T00:00:00"/>
    <m/>
    <x v="83"/>
    <s v="BUCARAMANGA"/>
    <x v="49"/>
    <n v="4"/>
    <n v="4"/>
    <n v="843200"/>
    <m/>
  </r>
  <r>
    <x v="0"/>
    <s v="N/A"/>
    <d v="2025-12-19T00:00:00"/>
    <m/>
    <m/>
    <x v="299"/>
    <s v="BG24540"/>
    <d v="2025-12-19T00:00:00"/>
    <m/>
    <x v="83"/>
    <s v="BUCARAMANGA"/>
    <x v="49"/>
    <n v="6"/>
    <n v="0"/>
    <n v="1264800"/>
    <m/>
  </r>
  <r>
    <x v="0"/>
    <s v="N/A"/>
    <d v="2025-12-19T00:00:00"/>
    <m/>
    <m/>
    <x v="299"/>
    <s v="BG24540"/>
    <d v="2025-12-19T00:00:00"/>
    <m/>
    <x v="83"/>
    <s v="BUCARAMANGA"/>
    <x v="23"/>
    <n v="10"/>
    <n v="0"/>
    <n v="568500"/>
    <m/>
  </r>
  <r>
    <x v="0"/>
    <n v="1322076"/>
    <d v="2025-12-18T00:00:00"/>
    <m/>
    <m/>
    <x v="300"/>
    <s v="BG24592"/>
    <d v="2025-12-19T00:00:00"/>
    <m/>
    <x v="10"/>
    <s v="CIENAGA"/>
    <x v="13"/>
    <n v="100"/>
    <n v="4"/>
    <n v="17500000"/>
    <m/>
  </r>
  <r>
    <x v="0"/>
    <s v="N/A"/>
    <d v="2025-12-18T00:00:00"/>
    <m/>
    <m/>
    <x v="301"/>
    <s v="BG24591"/>
    <d v="2025-12-19T00:00:00"/>
    <m/>
    <x v="24"/>
    <s v="MAICAO"/>
    <x v="54"/>
    <n v="700"/>
    <n v="28"/>
    <n v="35700000"/>
    <m/>
  </r>
  <r>
    <x v="2"/>
    <s v="N/A"/>
    <d v="2025-12-18T00:00:00"/>
    <m/>
    <m/>
    <x v="302"/>
    <m/>
    <d v="2025-12-19T00:00:00"/>
    <m/>
    <x v="24"/>
    <m/>
    <x v="3"/>
    <n v="175"/>
    <n v="7"/>
    <m/>
    <m/>
  </r>
  <r>
    <x v="0"/>
    <s v="022-OC-005592"/>
    <d v="2025-12-19T00:00:00"/>
    <m/>
    <m/>
    <x v="303"/>
    <s v="BG24549"/>
    <d v="2025-12-19T00:00:00"/>
    <m/>
    <x v="20"/>
    <s v="SIBERIA"/>
    <x v="41"/>
    <n v="46"/>
    <n v="2"/>
    <n v="14122000"/>
    <m/>
  </r>
  <r>
    <x v="0"/>
    <s v="P-1487"/>
    <d v="2025-12-19T00:00:00"/>
    <m/>
    <m/>
    <x v="304"/>
    <s v="BG24590"/>
    <d v="2025-12-19T00:00:00"/>
    <m/>
    <x v="37"/>
    <s v="CALI"/>
    <x v="29"/>
    <n v="15"/>
    <n v="1"/>
    <n v="7517640"/>
    <m/>
  </r>
  <r>
    <x v="0"/>
    <s v="P-1487"/>
    <d v="2025-12-19T00:00:00"/>
    <m/>
    <m/>
    <x v="304"/>
    <s v="BG24590"/>
    <d v="2025-12-19T00:00:00"/>
    <m/>
    <x v="37"/>
    <s v="CALI"/>
    <x v="22"/>
    <n v="10"/>
    <n v="0"/>
    <n v="1600000"/>
    <m/>
  </r>
  <r>
    <x v="0"/>
    <s v="N/A"/>
    <d v="2025-12-19T00:00:00"/>
    <m/>
    <m/>
    <x v="305"/>
    <s v="BG24541"/>
    <d v="2025-12-19T00:00:00"/>
    <m/>
    <x v="89"/>
    <s v="EL SANTUARIO"/>
    <x v="29"/>
    <n v="20"/>
    <n v="1"/>
    <n v="10400000"/>
    <m/>
  </r>
  <r>
    <x v="0"/>
    <s v="N/A"/>
    <d v="2025-12-19T00:00:00"/>
    <m/>
    <m/>
    <x v="306"/>
    <s v="BG24543"/>
    <d v="2025-12-19T00:00:00"/>
    <m/>
    <x v="89"/>
    <s v="EL SANTUARIO"/>
    <x v="29"/>
    <n v="20"/>
    <n v="1"/>
    <n v="10400000"/>
    <m/>
  </r>
  <r>
    <x v="0"/>
    <n v="1322971"/>
    <d v="2025-12-19T00:00:00"/>
    <m/>
    <m/>
    <x v="307"/>
    <s v="BG24584"/>
    <d v="2025-12-19T00:00:00"/>
    <m/>
    <x v="10"/>
    <s v="MOSQUERA"/>
    <x v="4"/>
    <n v="300"/>
    <n v="12"/>
    <n v="7200000"/>
    <m/>
  </r>
  <r>
    <x v="0"/>
    <n v="1322971"/>
    <d v="2025-12-19T00:00:00"/>
    <m/>
    <m/>
    <x v="307"/>
    <s v="BG24584"/>
    <d v="2025-12-19T00:00:00"/>
    <m/>
    <x v="10"/>
    <s v="MOSQUERA"/>
    <x v="56"/>
    <n v="200"/>
    <n v="8"/>
    <n v="28000000"/>
    <m/>
  </r>
  <r>
    <x v="0"/>
    <n v="1322971"/>
    <d v="2025-12-19T00:00:00"/>
    <m/>
    <m/>
    <x v="308"/>
    <s v="BG24605"/>
    <d v="2025-12-19T00:00:00"/>
    <m/>
    <x v="10"/>
    <s v="MOSQUERA"/>
    <x v="48"/>
    <n v="100"/>
    <n v="4"/>
    <n v="2992500"/>
    <m/>
  </r>
  <r>
    <x v="0"/>
    <n v="13429"/>
    <d v="2025-12-19T00:00:00"/>
    <m/>
    <m/>
    <x v="309"/>
    <s v="BG24542"/>
    <d v="2025-12-19T00:00:00"/>
    <m/>
    <x v="35"/>
    <s v="SAN PEDRO DE LOS MILAGROS"/>
    <x v="4"/>
    <n v="300"/>
    <n v="12"/>
    <n v="7650000"/>
    <m/>
  </r>
  <r>
    <x v="0"/>
    <n v="13429"/>
    <d v="2025-12-19T00:00:00"/>
    <m/>
    <m/>
    <x v="309"/>
    <s v="BG24542"/>
    <d v="2025-12-19T00:00:00"/>
    <m/>
    <x v="35"/>
    <s v="SAN PEDRO DE LOS MILAGROS"/>
    <x v="5"/>
    <n v="350"/>
    <n v="14"/>
    <n v="13475000"/>
    <m/>
  </r>
  <r>
    <x v="0"/>
    <n v="4500085720"/>
    <d v="2025-12-20T00:00:00"/>
    <m/>
    <m/>
    <x v="310"/>
    <s v="BG24551"/>
    <d v="2025-12-22T00:00:00"/>
    <m/>
    <x v="0"/>
    <s v="CELTA"/>
    <x v="5"/>
    <n v="600"/>
    <n v="24"/>
    <n v="19080000"/>
    <m/>
  </r>
  <r>
    <x v="0"/>
    <n v="4500085720"/>
    <d v="2025-12-20T00:00:00"/>
    <m/>
    <m/>
    <x v="310"/>
    <s v="BG24551"/>
    <d v="2025-12-22T00:00:00"/>
    <m/>
    <x v="0"/>
    <s v="CELTA"/>
    <x v="58"/>
    <n v="100"/>
    <n v="4"/>
    <n v="6200000"/>
    <m/>
  </r>
  <r>
    <x v="0"/>
    <n v="4500085720"/>
    <d v="2025-12-20T00:00:00"/>
    <m/>
    <m/>
    <x v="310"/>
    <s v="BG24551"/>
    <d v="2025-12-22T00:00:00"/>
    <m/>
    <x v="0"/>
    <s v="CELTA"/>
    <x v="4"/>
    <n v="500"/>
    <n v="20"/>
    <n v="12000000"/>
    <m/>
  </r>
  <r>
    <x v="0"/>
    <n v="4500085720"/>
    <d v="2025-12-20T00:00:00"/>
    <m/>
    <m/>
    <x v="310"/>
    <s v="BG24551"/>
    <d v="2025-12-22T00:00:00"/>
    <m/>
    <x v="0"/>
    <s v="CELTA"/>
    <x v="42"/>
    <n v="500"/>
    <n v="20"/>
    <n v="9505000"/>
    <m/>
  </r>
  <r>
    <x v="0"/>
    <n v="10447"/>
    <d v="2025-12-19T00:00:00"/>
    <m/>
    <m/>
    <x v="311"/>
    <s v="BG24588"/>
    <d v="2025-12-22T00:00:00"/>
    <m/>
    <x v="3"/>
    <s v="MOSQUERA"/>
    <x v="7"/>
    <n v="700"/>
    <n v="28"/>
    <n v="12845000"/>
    <m/>
  </r>
  <r>
    <x v="0"/>
    <n v="1323558"/>
    <d v="2025-12-19T00:00:00"/>
    <m/>
    <m/>
    <x v="312"/>
    <s v="-"/>
    <d v="2025-12-22T00:00:00"/>
    <m/>
    <x v="25"/>
    <s v="BARBOSA"/>
    <x v="25"/>
    <n v="0.75"/>
    <n v="0"/>
    <n v="0"/>
    <m/>
  </r>
  <r>
    <x v="0"/>
    <n v="4500085721"/>
    <d v="2025-12-19T00:00:00"/>
    <m/>
    <m/>
    <x v="313"/>
    <s v="BG24552"/>
    <d v="2025-12-22T00:00:00"/>
    <m/>
    <x v="0"/>
    <s v="MEDELLIN"/>
    <x v="17"/>
    <n v="150"/>
    <n v="6"/>
    <n v="19845000"/>
    <m/>
  </r>
  <r>
    <x v="0"/>
    <n v="4500085721"/>
    <d v="2025-12-19T00:00:00"/>
    <m/>
    <m/>
    <x v="313"/>
    <s v="BG24552"/>
    <d v="2025-12-22T00:00:00"/>
    <m/>
    <x v="0"/>
    <s v="MEDELLIN"/>
    <x v="11"/>
    <n v="1000"/>
    <n v="40"/>
    <n v="52920000"/>
    <m/>
  </r>
  <r>
    <x v="0"/>
    <n v="4500085721"/>
    <d v="2025-12-19T00:00:00"/>
    <m/>
    <m/>
    <x v="313"/>
    <s v="BG24552"/>
    <d v="2025-12-22T00:00:00"/>
    <m/>
    <x v="0"/>
    <s v="MEDELLIN"/>
    <x v="22"/>
    <n v="200"/>
    <n v="8"/>
    <n v="27100000"/>
    <m/>
  </r>
  <r>
    <x v="0"/>
    <n v="4500085721"/>
    <d v="2025-12-19T00:00:00"/>
    <m/>
    <m/>
    <x v="313"/>
    <s v="BG24552"/>
    <d v="2025-12-22T00:00:00"/>
    <m/>
    <x v="0"/>
    <s v="MEDELLIN"/>
    <x v="40"/>
    <n v="500"/>
    <n v="20"/>
    <n v="30850000"/>
    <m/>
  </r>
  <r>
    <x v="0"/>
    <n v="4500085721"/>
    <d v="2025-12-19T00:00:00"/>
    <m/>
    <m/>
    <x v="313"/>
    <s v="BG24552"/>
    <d v="2025-12-22T00:00:00"/>
    <m/>
    <x v="0"/>
    <s v="MEDELLIN"/>
    <x v="7"/>
    <n v="1500"/>
    <n v="60"/>
    <n v="26400000"/>
    <m/>
  </r>
  <r>
    <x v="0"/>
    <n v="4500085721"/>
    <d v="2025-12-19T00:00:00"/>
    <m/>
    <m/>
    <x v="313"/>
    <s v="BG24552"/>
    <d v="2025-12-22T00:00:00"/>
    <m/>
    <x v="0"/>
    <s v="MEDELLIN"/>
    <x v="36"/>
    <n v="200"/>
    <n v="8"/>
    <n v="7410800"/>
    <m/>
  </r>
  <r>
    <x v="0"/>
    <n v="4500085721"/>
    <d v="2025-12-19T00:00:00"/>
    <m/>
    <m/>
    <x v="313"/>
    <s v="BG24552"/>
    <d v="2025-12-22T00:00:00"/>
    <m/>
    <x v="0"/>
    <s v="MEDELLIN"/>
    <x v="21"/>
    <n v="160"/>
    <n v="6"/>
    <n v="5520000"/>
    <m/>
  </r>
  <r>
    <x v="0"/>
    <n v="4500085721"/>
    <d v="2025-12-19T00:00:00"/>
    <m/>
    <m/>
    <x v="313"/>
    <s v="BG24552"/>
    <d v="2025-12-22T00:00:00"/>
    <m/>
    <x v="0"/>
    <s v="MEDELLIN"/>
    <x v="28"/>
    <n v="500"/>
    <n v="20"/>
    <n v="15100000"/>
    <m/>
  </r>
  <r>
    <x v="2"/>
    <n v="4500085721"/>
    <d v="2025-12-19T00:00:00"/>
    <m/>
    <m/>
    <x v="313"/>
    <s v="BG24677"/>
    <d v="2025-12-22T00:00:00"/>
    <m/>
    <x v="0"/>
    <s v="MEDELLIN"/>
    <x v="3"/>
    <n v="1000"/>
    <n v="40"/>
    <n v="18850000"/>
    <m/>
  </r>
  <r>
    <x v="0"/>
    <n v="4500085721"/>
    <d v="2025-12-19T00:00:00"/>
    <m/>
    <m/>
    <x v="313"/>
    <s v="BG24552"/>
    <d v="2025-12-22T00:00:00"/>
    <m/>
    <x v="0"/>
    <s v="MEDELLIN"/>
    <x v="5"/>
    <n v="2000"/>
    <n v="80"/>
    <n v="63600000"/>
    <m/>
  </r>
  <r>
    <x v="0"/>
    <n v="4500085721"/>
    <d v="2025-12-19T00:00:00"/>
    <m/>
    <m/>
    <x v="314"/>
    <s v="BG24670"/>
    <d v="2025-12-22T00:00:00"/>
    <m/>
    <x v="0"/>
    <s v="MEDELLIN"/>
    <x v="4"/>
    <n v="3000"/>
    <n v="120"/>
    <n v="72000000"/>
    <m/>
  </r>
  <r>
    <x v="0"/>
    <s v="N/A"/>
    <d v="2025-02-22T00:00:00"/>
    <m/>
    <m/>
    <x v="315"/>
    <s v="BG24618"/>
    <d v="2025-12-22T00:00:00"/>
    <m/>
    <x v="48"/>
    <s v="LA ESTRELLA"/>
    <x v="20"/>
    <n v="60"/>
    <n v="2"/>
    <n v="6480000"/>
    <m/>
  </r>
  <r>
    <x v="0"/>
    <s v="N/A"/>
    <d v="2025-02-22T00:00:00"/>
    <m/>
    <m/>
    <x v="315"/>
    <s v="BG24618"/>
    <d v="2025-12-22T00:00:00"/>
    <m/>
    <x v="48"/>
    <s v="LA ESTRELLA"/>
    <x v="56"/>
    <n v="10"/>
    <n v="0"/>
    <n v="1700000"/>
    <m/>
  </r>
  <r>
    <x v="0"/>
    <s v="N/A"/>
    <d v="2025-12-22T00:00:00"/>
    <m/>
    <m/>
    <x v="316"/>
    <s v="BG24550"/>
    <d v="2025-12-22T00:00:00"/>
    <m/>
    <x v="75"/>
    <s v="SIBERIA"/>
    <x v="0"/>
    <n v="600"/>
    <n v="24"/>
    <n v="9480000"/>
    <m/>
  </r>
  <r>
    <x v="0"/>
    <n v="48919"/>
    <d v="2025-12-19T00:00:00"/>
    <m/>
    <m/>
    <x v="317"/>
    <s v="BG24555"/>
    <d v="2025-12-22T00:00:00"/>
    <m/>
    <x v="32"/>
    <s v="EL HALTILLO - BARBOSA"/>
    <x v="45"/>
    <n v="40"/>
    <n v="2"/>
    <n v="1617000"/>
    <m/>
  </r>
  <r>
    <x v="0"/>
    <n v="48920"/>
    <d v="2025-12-19T00:00:00"/>
    <m/>
    <m/>
    <x v="318"/>
    <s v="BG24554"/>
    <d v="2025-12-22T00:00:00"/>
    <m/>
    <x v="32"/>
    <s v="SANTA ROSA DE OSOS - VEREDA EL ROBLE"/>
    <x v="45"/>
    <n v="20"/>
    <n v="1"/>
    <n v="808500"/>
    <m/>
  </r>
  <r>
    <x v="0"/>
    <n v="4500145271"/>
    <d v="2025-12-22T00:00:00"/>
    <m/>
    <m/>
    <x v="319"/>
    <s v="BG24624"/>
    <d v="2025-12-22T00:00:00"/>
    <m/>
    <x v="55"/>
    <s v="SITIONUEVO"/>
    <x v="13"/>
    <n v="100"/>
    <n v="4"/>
    <n v="12500000"/>
    <m/>
  </r>
  <r>
    <x v="0"/>
    <n v="97827"/>
    <d v="2025-12-22T00:00:00"/>
    <m/>
    <m/>
    <x v="320"/>
    <s v="BG24631"/>
    <d v="2025-12-22T00:00:00"/>
    <m/>
    <x v="65"/>
    <s v="BUGA"/>
    <x v="20"/>
    <n v="22.5"/>
    <n v="1"/>
    <n v="2187000"/>
    <m/>
  </r>
  <r>
    <x v="5"/>
    <n v="4500143120"/>
    <d v="2025-12-22T00:00:00"/>
    <m/>
    <m/>
    <x v="321"/>
    <s v="BG24626"/>
    <d v="2025-12-22T00:00:00"/>
    <m/>
    <x v="15"/>
    <s v="MALAMBO"/>
    <x v="23"/>
    <n v="83"/>
    <n v="3"/>
    <n v="4996600"/>
    <m/>
  </r>
  <r>
    <x v="0"/>
    <n v="1324577"/>
    <d v="2025-12-22T00:00:00"/>
    <m/>
    <m/>
    <x v="322"/>
    <s v="BG24587"/>
    <d v="2025-12-22T00:00:00"/>
    <m/>
    <x v="10"/>
    <s v="MOSQUERA"/>
    <x v="54"/>
    <n v="200"/>
    <n v="8"/>
    <n v="7980000"/>
    <m/>
  </r>
  <r>
    <x v="0"/>
    <n v="4500085729"/>
    <d v="2025-12-22T00:00:00"/>
    <m/>
    <m/>
    <x v="323"/>
    <s v="BG24628"/>
    <d v="2025-12-22T00:00:00"/>
    <m/>
    <x v="0"/>
    <s v="MEDELLIN"/>
    <x v="36"/>
    <n v="225"/>
    <n v="9"/>
    <n v="8337500"/>
    <m/>
  </r>
  <r>
    <x v="2"/>
    <n v="4500085729"/>
    <d v="2025-12-22T00:00:00"/>
    <m/>
    <m/>
    <x v="323"/>
    <m/>
    <d v="2025-12-22T00:00:00"/>
    <m/>
    <x v="0"/>
    <s v="MEDELLIN"/>
    <x v="36"/>
    <n v="175"/>
    <n v="7"/>
    <n v="6484100"/>
    <m/>
  </r>
  <r>
    <x v="2"/>
    <n v="4500085729"/>
    <d v="2025-12-22T00:00:00"/>
    <m/>
    <m/>
    <x v="323"/>
    <m/>
    <d v="2025-12-22T00:00:00"/>
    <m/>
    <x v="0"/>
    <s v="MEDELLIN"/>
    <x v="24"/>
    <n v="1000"/>
    <n v="40"/>
    <n v="18850000"/>
    <m/>
  </r>
  <r>
    <x v="0"/>
    <n v="4500085729"/>
    <d v="2025-12-22T00:00:00"/>
    <m/>
    <m/>
    <x v="323"/>
    <s v="BG24628"/>
    <d v="2025-12-22T00:00:00"/>
    <m/>
    <x v="0"/>
    <s v="MEDELLIN"/>
    <x v="42"/>
    <n v="1000"/>
    <n v="40"/>
    <n v="19010000"/>
    <m/>
  </r>
  <r>
    <x v="0"/>
    <n v="4500085729"/>
    <d v="2025-12-22T00:00:00"/>
    <m/>
    <m/>
    <x v="323"/>
    <s v="BG24628"/>
    <d v="2025-12-22T00:00:00"/>
    <m/>
    <x v="0"/>
    <s v="MEDELLIN"/>
    <x v="39"/>
    <n v="100"/>
    <n v="4"/>
    <n v="12500000"/>
    <m/>
  </r>
  <r>
    <x v="0"/>
    <n v="4500085729"/>
    <d v="2025-12-22T00:00:00"/>
    <m/>
    <m/>
    <x v="323"/>
    <s v="BG24628"/>
    <d v="2025-12-22T00:00:00"/>
    <m/>
    <x v="0"/>
    <s v="MEDELLIN"/>
    <x v="13"/>
    <n v="200"/>
    <n v="8"/>
    <n v="35000000"/>
    <m/>
  </r>
  <r>
    <x v="0"/>
    <n v="4500085729"/>
    <d v="2025-12-22T00:00:00"/>
    <m/>
    <m/>
    <x v="323"/>
    <s v="BG24628"/>
    <d v="2025-12-22T00:00:00"/>
    <m/>
    <x v="0"/>
    <s v="MEDELLIN"/>
    <x v="22"/>
    <n v="100"/>
    <n v="4"/>
    <n v="13550000"/>
    <m/>
  </r>
  <r>
    <x v="0"/>
    <n v="4500085729"/>
    <d v="2025-12-22T00:00:00"/>
    <m/>
    <m/>
    <x v="323"/>
    <s v="BG24628"/>
    <d v="2025-12-22T00:00:00"/>
    <m/>
    <x v="0"/>
    <s v="MEDELLIN"/>
    <x v="40"/>
    <n v="200"/>
    <n v="8"/>
    <n v="12340000"/>
    <m/>
  </r>
  <r>
    <x v="0"/>
    <s v="INO0987"/>
    <d v="2025-12-23T00:00:00"/>
    <m/>
    <m/>
    <x v="324"/>
    <s v="BG24604"/>
    <d v="2025-12-23T00:00:00"/>
    <m/>
    <x v="85"/>
    <s v="SIBERIA"/>
    <x v="0"/>
    <n v="125"/>
    <n v="5"/>
    <n v="2000000"/>
    <m/>
  </r>
  <r>
    <x v="0"/>
    <s v="N/A"/>
    <d v="2025-12-23T00:00:00"/>
    <m/>
    <m/>
    <x v="325"/>
    <s v="BG24609"/>
    <d v="2025-12-23T00:00:00"/>
    <m/>
    <x v="35"/>
    <s v="SAN PEDRO DE LOS MILAGROS"/>
    <x v="4"/>
    <n v="300"/>
    <n v="12"/>
    <n v="7650000"/>
    <m/>
  </r>
  <r>
    <x v="0"/>
    <s v="N/A"/>
    <d v="2025-12-23T00:00:00"/>
    <m/>
    <m/>
    <x v="325"/>
    <s v="BG24609"/>
    <d v="2025-12-23T00:00:00"/>
    <m/>
    <x v="35"/>
    <s v="SAN PEDRO DE LOS MILAGROS"/>
    <x v="5"/>
    <n v="350"/>
    <n v="14"/>
    <n v="13475000"/>
    <m/>
  </r>
  <r>
    <x v="0"/>
    <s v="N/A"/>
    <d v="2025-12-23T00:00:00"/>
    <m/>
    <m/>
    <x v="326"/>
    <s v="BG24598"/>
    <d v="2025-12-23T00:00:00"/>
    <m/>
    <x v="90"/>
    <s v="SAN ANTOIO DE PRADO"/>
    <x v="29"/>
    <n v="20"/>
    <n v="1"/>
    <n v="7071009"/>
    <m/>
  </r>
  <r>
    <x v="0"/>
    <n v="30983"/>
    <d v="2025-12-23T00:00:00"/>
    <m/>
    <m/>
    <x v="327"/>
    <s v="BG24608"/>
    <d v="2025-12-23T00:00:00"/>
    <m/>
    <x v="74"/>
    <s v="LA VEGA"/>
    <x v="41"/>
    <n v="23"/>
    <n v="1"/>
    <n v="6440000"/>
    <m/>
  </r>
  <r>
    <x v="0"/>
    <n v="30985"/>
    <d v="2025-12-23T00:00:00"/>
    <m/>
    <m/>
    <x v="328"/>
    <s v="BG24607"/>
    <d v="2025-12-23T00:00:00"/>
    <m/>
    <x v="74"/>
    <s v="SASAIMA"/>
    <x v="41"/>
    <n v="13"/>
    <n v="1"/>
    <n v="3640000"/>
    <m/>
  </r>
  <r>
    <x v="0"/>
    <n v="1325357"/>
    <d v="2025-12-23T00:00:00"/>
    <d v="1899-12-30T12:16:00"/>
    <m/>
    <x v="329"/>
    <s v="BG24603"/>
    <d v="2025-12-23T00:00:00"/>
    <d v="1899-12-30T12:45:00"/>
    <x v="10"/>
    <s v="RECOGE EN BODEGA"/>
    <x v="4"/>
    <n v="50"/>
    <n v="2"/>
    <n v="1200000"/>
    <m/>
  </r>
  <r>
    <x v="0"/>
    <n v="1325357"/>
    <d v="2025-12-23T00:00:00"/>
    <d v="1899-12-30T12:16:00"/>
    <m/>
    <x v="329"/>
    <s v="BG24603"/>
    <d v="2025-12-23T00:00:00"/>
    <d v="1899-12-30T12:45:00"/>
    <x v="10"/>
    <s v="RECOGE EN BODEGA"/>
    <x v="48"/>
    <n v="100"/>
    <n v="4"/>
    <n v="2850000"/>
    <m/>
  </r>
  <r>
    <x v="0"/>
    <s v="25-625-PD"/>
    <m/>
    <m/>
    <m/>
    <x v="330"/>
    <s v="BG24650"/>
    <m/>
    <m/>
    <x v="91"/>
    <s v="ECUADOR"/>
    <x v="59"/>
    <n v="2100"/>
    <n v="84"/>
    <s v="44625 USD"/>
    <m/>
  </r>
  <r>
    <x v="0"/>
    <s v="N/A"/>
    <d v="2025-12-23T00:00:00"/>
    <m/>
    <m/>
    <x v="331"/>
    <s v="BG24620"/>
    <d v="2025-12-23T00:00:00"/>
    <m/>
    <x v="62"/>
    <s v="SANTA ROSA DE OSOS"/>
    <x v="22"/>
    <n v="20"/>
    <n v="1"/>
    <n v="3000000"/>
    <m/>
  </r>
  <r>
    <x v="0"/>
    <n v="1323457"/>
    <m/>
    <m/>
    <m/>
    <x v="332"/>
    <s v="BG24619"/>
    <m/>
    <m/>
    <x v="25"/>
    <s v="BUCARAMANGA"/>
    <x v="25"/>
    <n v="1.5"/>
    <n v="0"/>
    <m/>
    <m/>
  </r>
  <r>
    <x v="0"/>
    <n v="1325700"/>
    <d v="2025-12-24T00:00:00"/>
    <m/>
    <m/>
    <x v="333"/>
    <s v="BG24636"/>
    <d v="2025-12-24T00:00:00"/>
    <m/>
    <x v="10"/>
    <s v="MOSQUERA"/>
    <x v="4"/>
    <n v="200"/>
    <n v="8"/>
    <n v="4800000"/>
    <m/>
  </r>
  <r>
    <x v="2"/>
    <n v="1325700"/>
    <d v="2025-12-24T00:00:00"/>
    <m/>
    <m/>
    <x v="333"/>
    <s v="BG24643"/>
    <d v="2025-12-24T00:00:00"/>
    <m/>
    <x v="10"/>
    <s v="MOSQUERA"/>
    <x v="48"/>
    <n v="100"/>
    <n v="4"/>
    <n v="2850000"/>
    <m/>
  </r>
  <r>
    <x v="0"/>
    <n v="1325710"/>
    <d v="2025-12-24T00:00:00"/>
    <m/>
    <m/>
    <x v="334"/>
    <s v="BG24635"/>
    <d v="2025-12-24T00:00:00"/>
    <m/>
    <x v="10"/>
    <s v="MOSQUERA"/>
    <x v="54"/>
    <n v="100"/>
    <n v="4"/>
    <n v="3990000"/>
    <m/>
  </r>
  <r>
    <x v="0"/>
    <n v="4500085730"/>
    <d v="2025-12-24T00:00:00"/>
    <m/>
    <m/>
    <x v="335"/>
    <s v="BG24637"/>
    <d v="2025-12-26T00:00:00"/>
    <m/>
    <x v="72"/>
    <s v="MEDELLIN"/>
    <x v="10"/>
    <n v="3000"/>
    <n v="120"/>
    <n v="218061000"/>
    <m/>
  </r>
  <r>
    <x v="0"/>
    <n v="4500085730"/>
    <d v="2025-12-24T00:00:00"/>
    <m/>
    <m/>
    <x v="335"/>
    <s v="BG24637"/>
    <d v="2025-12-26T00:00:00"/>
    <m/>
    <x v="72"/>
    <s v="MEDELLIN"/>
    <x v="2"/>
    <n v="300"/>
    <n v="12"/>
    <n v="36870300"/>
    <m/>
  </r>
  <r>
    <x v="0"/>
    <s v="N/A"/>
    <d v="2025-12-24T00:00:00"/>
    <m/>
    <m/>
    <x v="336"/>
    <s v="BG24642"/>
    <d v="2025-12-26T00:00:00"/>
    <m/>
    <x v="63"/>
    <s v="ENTRERRIOS"/>
    <x v="11"/>
    <n v="150"/>
    <n v="6"/>
    <n v="10350000"/>
    <m/>
  </r>
  <r>
    <x v="0"/>
    <s v="N/A"/>
    <d v="2025-12-24T00:00:00"/>
    <m/>
    <m/>
    <x v="336"/>
    <s v="BG24642"/>
    <d v="2025-12-26T00:00:00"/>
    <m/>
    <x v="63"/>
    <s v="ENTRERRIOS"/>
    <x v="29"/>
    <n v="5"/>
    <n v="0"/>
    <n v="2550000"/>
    <m/>
  </r>
  <r>
    <x v="2"/>
    <s v="N/A"/>
    <d v="2025-12-24T00:00:00"/>
    <m/>
    <m/>
    <x v="336"/>
    <m/>
    <d v="2025-12-26T00:00:00"/>
    <m/>
    <x v="63"/>
    <s v="ENTRERRIOS"/>
    <x v="53"/>
    <n v="30"/>
    <n v="1"/>
    <n v="1620000"/>
    <m/>
  </r>
  <r>
    <x v="0"/>
    <s v="COC-00000319"/>
    <d v="2025-12-24T00:00:00"/>
    <m/>
    <m/>
    <x v="337"/>
    <s v="BG24658"/>
    <d v="2025-12-26T00:00:00"/>
    <m/>
    <x v="61"/>
    <s v="DON MATIAS"/>
    <x v="4"/>
    <n v="1300"/>
    <n v="52"/>
    <n v="34944000"/>
    <m/>
  </r>
  <r>
    <x v="0"/>
    <s v="N/A"/>
    <d v="2025-12-26T00:00:00"/>
    <m/>
    <m/>
    <x v="338"/>
    <s v="BG24651"/>
    <d v="2025-12-26T00:00:00"/>
    <m/>
    <x v="33"/>
    <s v="CALOTO"/>
    <x v="2"/>
    <n v="675"/>
    <n v="27"/>
    <n v="121162500"/>
    <m/>
  </r>
  <r>
    <x v="2"/>
    <n v="4500085786"/>
    <d v="2025-12-26T00:00:00"/>
    <m/>
    <m/>
    <x v="339"/>
    <s v="BG24674"/>
    <d v="2025-12-26T00:00:00"/>
    <m/>
    <x v="0"/>
    <s v="SABANETA"/>
    <x v="3"/>
    <n v="1000"/>
    <m/>
    <n v="18850000"/>
    <m/>
  </r>
  <r>
    <x v="0"/>
    <n v="4500085788"/>
    <d v="2025-12-26T00:00:00"/>
    <m/>
    <m/>
    <x v="340"/>
    <s v="BG24673"/>
    <d v="2025-12-26T00:00:00"/>
    <m/>
    <x v="0"/>
    <s v="MEDELLIN"/>
    <x v="21"/>
    <n v="300"/>
    <n v="12"/>
    <n v="10350000"/>
    <m/>
  </r>
  <r>
    <x v="0"/>
    <n v="4500085788"/>
    <d v="2025-12-26T00:00:00"/>
    <m/>
    <m/>
    <x v="340"/>
    <s v="BG24673"/>
    <d v="2025-12-26T00:00:00"/>
    <m/>
    <x v="0"/>
    <s v="MEDELLIN"/>
    <x v="7"/>
    <n v="2500"/>
    <n v="100"/>
    <n v="44000000"/>
    <m/>
  </r>
  <r>
    <x v="0"/>
    <n v="4500085788"/>
    <d v="2025-12-26T00:00:00"/>
    <m/>
    <m/>
    <x v="340"/>
    <s v="BG24673"/>
    <d v="2025-12-26T00:00:00"/>
    <m/>
    <x v="0"/>
    <s v="MEDELLIN"/>
    <x v="11"/>
    <n v="500"/>
    <n v="20"/>
    <n v="26460000"/>
    <m/>
  </r>
  <r>
    <x v="0"/>
    <n v="4500085788"/>
    <d v="2025-12-26T00:00:00"/>
    <m/>
    <m/>
    <x v="340"/>
    <s v="BG24673"/>
    <d v="2025-12-26T00:00:00"/>
    <m/>
    <x v="0"/>
    <s v="MEDELLIN"/>
    <x v="39"/>
    <n v="100"/>
    <n v="4"/>
    <n v="12500000"/>
    <m/>
  </r>
  <r>
    <x v="0"/>
    <n v="4500085788"/>
    <d v="2025-12-26T00:00:00"/>
    <m/>
    <m/>
    <x v="340"/>
    <s v="BG24673"/>
    <d v="2025-12-26T00:00:00"/>
    <m/>
    <x v="0"/>
    <s v="MEDELLIN"/>
    <x v="57"/>
    <n v="200"/>
    <n v="8"/>
    <n v="10400000"/>
    <m/>
  </r>
  <r>
    <x v="0"/>
    <n v="4500085788"/>
    <d v="2025-12-26T00:00:00"/>
    <m/>
    <m/>
    <x v="340"/>
    <s v="BG24673"/>
    <d v="2025-12-26T00:00:00"/>
    <m/>
    <x v="0"/>
    <s v="MEDELLIN"/>
    <x v="40"/>
    <n v="400"/>
    <n v="16"/>
    <n v="24680000"/>
    <m/>
  </r>
  <r>
    <x v="0"/>
    <n v="4500085788"/>
    <d v="2025-12-26T00:00:00"/>
    <m/>
    <m/>
    <x v="340"/>
    <s v="BG24673"/>
    <d v="2025-12-26T00:00:00"/>
    <m/>
    <x v="0"/>
    <s v="MEDELLIN"/>
    <x v="3"/>
    <n v="3000"/>
    <n v="120"/>
    <n v="56550000"/>
    <m/>
  </r>
  <r>
    <x v="0"/>
    <n v="4500085788"/>
    <d v="2025-12-26T00:00:00"/>
    <m/>
    <m/>
    <x v="340"/>
    <s v="BG24673"/>
    <d v="2025-12-26T00:00:00"/>
    <m/>
    <x v="0"/>
    <s v="MEDELLIN"/>
    <x v="17"/>
    <n v="200"/>
    <n v="8"/>
    <n v="26460000"/>
    <m/>
  </r>
  <r>
    <x v="0"/>
    <n v="4500085788"/>
    <d v="2025-12-26T00:00:00"/>
    <m/>
    <m/>
    <x v="341"/>
    <s v="BG24669"/>
    <d v="2025-12-26T00:00:00"/>
    <m/>
    <x v="0"/>
    <s v="MEDELLIN"/>
    <x v="4"/>
    <n v="3000"/>
    <n v="120"/>
    <n v="72000000"/>
    <m/>
  </r>
  <r>
    <x v="0"/>
    <n v="1323457"/>
    <d v="2025-12-19T00:00:00"/>
    <m/>
    <m/>
    <x v="342"/>
    <s v="BG24589"/>
    <d v="2025-12-22T00:00:00"/>
    <m/>
    <x v="25"/>
    <s v="PEREIRA"/>
    <x v="60"/>
    <n v="60"/>
    <m/>
    <n v="2790000"/>
    <m/>
  </r>
  <r>
    <x v="0"/>
    <n v="1323457"/>
    <d v="2025-12-19T00:00:00"/>
    <m/>
    <m/>
    <x v="332"/>
    <s v="BG24619"/>
    <d v="2025-12-22T00:00:00"/>
    <m/>
    <x v="25"/>
    <s v="PEREIRA"/>
    <x v="14"/>
    <n v="1.5"/>
    <n v="0"/>
    <n v="0"/>
    <m/>
  </r>
  <r>
    <x v="0"/>
    <n v="4500085789"/>
    <d v="2025-12-26T00:00:00"/>
    <m/>
    <m/>
    <x v="343"/>
    <s v="BG24657"/>
    <d v="2025-12-22T00:00:00"/>
    <m/>
    <x v="0"/>
    <s v="CELTA"/>
    <x v="5"/>
    <n v="400"/>
    <n v="16"/>
    <n v="12720000"/>
    <m/>
  </r>
  <r>
    <x v="0"/>
    <n v="4500085789"/>
    <d v="2025-12-26T00:00:00"/>
    <m/>
    <m/>
    <x v="343"/>
    <s v="BG24657"/>
    <d v="2025-12-22T00:00:00"/>
    <m/>
    <x v="0"/>
    <s v="CELTA"/>
    <x v="28"/>
    <n v="400"/>
    <n v="16"/>
    <n v="12080000"/>
    <m/>
  </r>
  <r>
    <x v="2"/>
    <n v="4500085789"/>
    <d v="2025-12-26T00:00:00"/>
    <m/>
    <m/>
    <x v="343"/>
    <m/>
    <d v="2025-12-22T00:00:00"/>
    <m/>
    <x v="0"/>
    <s v="CELTA"/>
    <x v="36"/>
    <n v="100"/>
    <n v="4"/>
    <n v="3705400"/>
    <m/>
  </r>
  <r>
    <x v="0"/>
    <n v="4500085789"/>
    <d v="2025-12-26T00:00:00"/>
    <m/>
    <m/>
    <x v="343"/>
    <s v="BG24657"/>
    <d v="2025-12-22T00:00:00"/>
    <m/>
    <x v="0"/>
    <s v="CELTA"/>
    <x v="61"/>
    <n v="100"/>
    <n v="4"/>
    <n v="1870000"/>
    <m/>
  </r>
  <r>
    <x v="0"/>
    <n v="4500085789"/>
    <d v="2025-12-26T00:00:00"/>
    <m/>
    <m/>
    <x v="343"/>
    <s v="BG24657"/>
    <d v="2025-12-22T00:00:00"/>
    <m/>
    <x v="0"/>
    <s v="CELTA"/>
    <x v="3"/>
    <n v="500"/>
    <n v="20"/>
    <n v="9425000"/>
    <m/>
  </r>
  <r>
    <x v="0"/>
    <s v="N/A"/>
    <d v="2025-12-29T00:00:00"/>
    <m/>
    <m/>
    <x v="344"/>
    <s v="BG24679"/>
    <d v="2025-12-29T00:00:00"/>
    <m/>
    <x v="90"/>
    <s v="SABANETA"/>
    <x v="23"/>
    <n v="20"/>
    <n v="1"/>
    <n v="1200000"/>
    <m/>
  </r>
  <r>
    <x v="0"/>
    <s v="N/A"/>
    <d v="2025-12-29T00:00:00"/>
    <m/>
    <m/>
    <x v="345"/>
    <s v="BG24655"/>
    <d v="2025-12-29T00:00:00"/>
    <m/>
    <x v="90"/>
    <s v="SABANETA"/>
    <x v="14"/>
    <n v="1.5"/>
    <n v="0"/>
    <n v="0"/>
    <m/>
  </r>
  <r>
    <x v="0"/>
    <s v="Y-100-4021"/>
    <d v="2025-12-29T00:00:00"/>
    <m/>
    <m/>
    <x v="346"/>
    <s v="BG24672"/>
    <d v="2025-12-29T00:00:00"/>
    <m/>
    <x v="49"/>
    <s v="NEIVA"/>
    <x v="4"/>
    <n v="1000"/>
    <n v="40"/>
    <n v="26775000"/>
    <m/>
  </r>
  <r>
    <x v="0"/>
    <s v="ORC-2512021"/>
    <d v="2025-12-29T00:00:00"/>
    <m/>
    <m/>
    <x v="347"/>
    <s v="BG24671"/>
    <d v="2025-12-29T00:00:00"/>
    <m/>
    <x v="47"/>
    <s v="MANIIZALES"/>
    <x v="39"/>
    <n v="1000"/>
    <n v="40"/>
    <n v="18180750"/>
    <m/>
  </r>
  <r>
    <x v="0"/>
    <s v="N/A"/>
    <d v="2025-12-29T00:00:00"/>
    <m/>
    <m/>
    <x v="348"/>
    <s v="BG24668"/>
    <d v="2025-12-29T00:00:00"/>
    <m/>
    <x v="62"/>
    <s v="SANTA ROSA DE OSOS"/>
    <x v="17"/>
    <n v="20"/>
    <n v="1"/>
    <n v="3200000"/>
    <m/>
  </r>
  <r>
    <x v="0"/>
    <s v="N/A"/>
    <d v="2025-12-29T00:00:00"/>
    <m/>
    <m/>
    <x v="348"/>
    <s v="BG24668"/>
    <d v="2025-12-29T00:00:00"/>
    <m/>
    <x v="62"/>
    <s v="SANTA ROSA DE OSOS"/>
    <x v="11"/>
    <n v="50"/>
    <n v="2"/>
    <n v="2700000"/>
    <m/>
  </r>
  <r>
    <x v="0"/>
    <n v="12215"/>
    <d v="2025-12-29T00:00:00"/>
    <m/>
    <m/>
    <x v="349"/>
    <s v="BG24667"/>
    <d v="2025-12-29T00:00:00"/>
    <m/>
    <x v="71"/>
    <s v="GIRON"/>
    <x v="22"/>
    <n v="1"/>
    <n v="1"/>
    <n v="155000"/>
    <m/>
  </r>
  <r>
    <x v="0"/>
    <n v="20876"/>
    <d v="2025-12-26T00:00:00"/>
    <m/>
    <m/>
    <x v="350"/>
    <s v="BG24648"/>
    <d v="2025-12-26T00:00:00"/>
    <m/>
    <x v="51"/>
    <s v="RICAURTE"/>
    <x v="11"/>
    <n v="25"/>
    <n v="1"/>
    <n v="2915000"/>
    <m/>
  </r>
  <r>
    <x v="0"/>
    <n v="20876"/>
    <d v="2025-12-26T00:00:00"/>
    <m/>
    <m/>
    <x v="350"/>
    <s v="BG24648"/>
    <d v="2025-12-26T00:00:00"/>
    <m/>
    <x v="51"/>
    <s v="RICAURTE"/>
    <x v="2"/>
    <n v="25"/>
    <n v="1"/>
    <n v="4737500"/>
    <m/>
  </r>
  <r>
    <x v="0"/>
    <s v="N/A"/>
    <d v="2025-12-29T00:00:00"/>
    <m/>
    <m/>
    <x v="351"/>
    <s v="BG24665"/>
    <d v="2025-12-29T00:00:00"/>
    <m/>
    <x v="92"/>
    <s v="SANTA ROSA"/>
    <x v="33"/>
    <n v="6"/>
    <n v="0"/>
    <n v="630000"/>
    <m/>
  </r>
  <r>
    <x v="0"/>
    <n v="1323457"/>
    <d v="2025-12-19T00:00:00"/>
    <m/>
    <m/>
    <x v="352"/>
    <s v="BG24666"/>
    <d v="2025-12-19T00:00:00"/>
    <m/>
    <x v="25"/>
    <s v="BUCARAMANGA"/>
    <x v="25"/>
    <n v="3"/>
    <n v="0"/>
    <n v="0"/>
    <m/>
  </r>
  <r>
    <x v="0"/>
    <s v="N/A"/>
    <d v="2025-12-30T00:00:00"/>
    <m/>
    <m/>
    <x v="353"/>
    <m/>
    <d v="2025-12-30T00:00:00"/>
    <m/>
    <x v="93"/>
    <s v="GIRON"/>
    <x v="29"/>
    <n v="1"/>
    <n v="0"/>
    <n v="590000"/>
    <m/>
  </r>
  <r>
    <x v="0"/>
    <n v="4500085836"/>
    <d v="2025-12-30T00:00:00"/>
    <m/>
    <m/>
    <x v="354"/>
    <m/>
    <d v="2025-12-30T00:00:00"/>
    <m/>
    <x v="0"/>
    <s v="MEDELLIN"/>
    <x v="4"/>
    <n v="3000"/>
    <n v="120"/>
    <n v="75600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17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>
  <location ref="A3:C68" firstHeaderRow="0" firstDataRow="1" firstDataCol="1"/>
  <pivotFields count="8">
    <pivotField dataField="1" showAll="0"/>
    <pivotField showAll="0"/>
    <pivotField showAll="0"/>
    <pivotField dataField="1" showAll="0"/>
    <pivotField showAll="0"/>
    <pivotField showAll="0"/>
    <pivotField showAll="0"/>
    <pivotField axis="axisRow" showAll="0">
      <items count="65">
        <item x="41"/>
        <item x="14"/>
        <item x="29"/>
        <item x="51"/>
        <item x="44"/>
        <item x="18"/>
        <item x="32"/>
        <item x="48"/>
        <item x="9"/>
        <item x="60"/>
        <item x="37"/>
        <item x="11"/>
        <item x="2"/>
        <item x="25"/>
        <item x="17"/>
        <item x="55"/>
        <item x="16"/>
        <item x="61"/>
        <item x="19"/>
        <item x="15"/>
        <item x="6"/>
        <item x="52"/>
        <item x="62"/>
        <item x="7"/>
        <item x="24"/>
        <item x="12"/>
        <item x="54"/>
        <item x="13"/>
        <item x="40"/>
        <item x="33"/>
        <item x="43"/>
        <item x="38"/>
        <item x="42"/>
        <item x="34"/>
        <item x="22"/>
        <item x="21"/>
        <item x="5"/>
        <item x="31"/>
        <item x="10"/>
        <item x="26"/>
        <item x="20"/>
        <item x="28"/>
        <item x="58"/>
        <item x="57"/>
        <item x="39"/>
        <item x="30"/>
        <item x="47"/>
        <item x="45"/>
        <item x="4"/>
        <item x="3"/>
        <item x="53"/>
        <item x="27"/>
        <item x="1"/>
        <item x="36"/>
        <item x="49"/>
        <item x="0"/>
        <item x="23"/>
        <item x="50"/>
        <item x="46"/>
        <item x="59"/>
        <item x="56"/>
        <item x="35"/>
        <item x="8"/>
        <item x="63"/>
        <item t="default"/>
      </items>
    </pivotField>
  </pivotFields>
  <rowFields count="1">
    <field x="7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O.C." fld="0" subtotal="count" baseField="0" baseItem="0"/>
    <dataField name="Suma de Pedid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74128-E501-41DA-8946-9E9A2FE35B58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59" firstHeaderRow="1" firstDataRow="1" firstDataCol="1"/>
  <pivotFields count="16">
    <pivotField showAll="0"/>
    <pivotField showAll="0"/>
    <pivotField numFmtId="14" showAll="0"/>
    <pivotField numFmtId="20" showAll="0"/>
    <pivotField showAll="0"/>
    <pivotField axis="axisRow" showAll="0">
      <items count="356">
        <item x="3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 t="grand">
      <x/>
    </i>
  </rowItems>
  <colItems count="1">
    <i/>
  </colItems>
  <dataFields count="1">
    <dataField name="Cuenta de N° de Factura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83821-79AD-401C-8782-7D95E2DC3EC3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113" firstHeaderRow="0" firstDataRow="1" firstDataCol="1"/>
  <pivotFields count="16">
    <pivotField axis="axisRow" multipleItemSelectionAllowed="1" showAll="0">
      <items count="7">
        <item x="1"/>
        <item x="5"/>
        <item x="2"/>
        <item x="4"/>
        <item x="0"/>
        <item x="3"/>
        <item t="default"/>
      </items>
    </pivotField>
    <pivotField showAll="0"/>
    <pivotField showAll="0"/>
    <pivotField numFmtId="20" showAll="0"/>
    <pivotField showAll="0"/>
    <pivotField axis="axisRow" showAll="0">
      <items count="356">
        <item x="30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showAll="0"/>
    <pivotField showAll="0"/>
    <pivotField showAll="0"/>
    <pivotField axis="axisRow" showAll="0">
      <items count="95">
        <item x="55"/>
        <item x="20"/>
        <item x="30"/>
        <item x="51"/>
        <item x="37"/>
        <item x="40"/>
        <item x="64"/>
        <item x="53"/>
        <item x="21"/>
        <item x="56"/>
        <item x="49"/>
        <item x="74"/>
        <item x="12"/>
        <item x="16"/>
        <item x="71"/>
        <item x="61"/>
        <item x="4"/>
        <item x="18"/>
        <item x="42"/>
        <item x="26"/>
        <item x="83"/>
        <item x="19"/>
        <item x="59"/>
        <item x="50"/>
        <item x="9"/>
        <item x="8"/>
        <item x="31"/>
        <item x="22"/>
        <item x="63"/>
        <item x="0"/>
        <item x="3"/>
        <item x="17"/>
        <item x="10"/>
        <item x="25"/>
        <item x="45"/>
        <item x="11"/>
        <item x="33"/>
        <item x="70"/>
        <item x="69"/>
        <item x="82"/>
        <item x="62"/>
        <item x="5"/>
        <item x="85"/>
        <item x="58"/>
        <item x="92"/>
        <item x="73"/>
        <item x="89"/>
        <item x="80"/>
        <item x="1"/>
        <item x="13"/>
        <item x="14"/>
        <item x="46"/>
        <item x="43"/>
        <item x="7"/>
        <item x="54"/>
        <item x="79"/>
        <item x="2"/>
        <item x="6"/>
        <item x="15"/>
        <item x="23"/>
        <item x="24"/>
        <item x="27"/>
        <item x="28"/>
        <item x="29"/>
        <item x="32"/>
        <item x="34"/>
        <item x="35"/>
        <item x="36"/>
        <item x="38"/>
        <item x="39"/>
        <item x="41"/>
        <item x="44"/>
        <item x="47"/>
        <item x="48"/>
        <item x="52"/>
        <item x="57"/>
        <item x="60"/>
        <item x="65"/>
        <item x="66"/>
        <item x="67"/>
        <item x="68"/>
        <item x="72"/>
        <item x="75"/>
        <item x="76"/>
        <item x="77"/>
        <item x="78"/>
        <item x="81"/>
        <item x="84"/>
        <item x="86"/>
        <item x="87"/>
        <item x="88"/>
        <item x="90"/>
        <item x="91"/>
        <item x="93"/>
        <item t="default"/>
      </items>
    </pivotField>
    <pivotField showAll="0"/>
    <pivotField axis="axisRow" showAll="0">
      <items count="63">
        <item x="27"/>
        <item x="43"/>
        <item x="6"/>
        <item x="22"/>
        <item x="61"/>
        <item x="48"/>
        <item x="31"/>
        <item x="52"/>
        <item x="32"/>
        <item x="39"/>
        <item x="21"/>
        <item x="60"/>
        <item x="23"/>
        <item x="47"/>
        <item x="12"/>
        <item x="55"/>
        <item x="0"/>
        <item x="54"/>
        <item x="37"/>
        <item x="50"/>
        <item x="2"/>
        <item x="26"/>
        <item x="7"/>
        <item x="8"/>
        <item x="41"/>
        <item x="36"/>
        <item x="53"/>
        <item x="33"/>
        <item x="20"/>
        <item x="46"/>
        <item x="11"/>
        <item x="29"/>
        <item x="45"/>
        <item x="4"/>
        <item x="9"/>
        <item x="10"/>
        <item x="42"/>
        <item x="5"/>
        <item x="1"/>
        <item x="57"/>
        <item x="24"/>
        <item x="3"/>
        <item x="15"/>
        <item x="40"/>
        <item x="59"/>
        <item x="16"/>
        <item x="58"/>
        <item x="30"/>
        <item x="19"/>
        <item x="35"/>
        <item x="28"/>
        <item x="14"/>
        <item x="25"/>
        <item x="44"/>
        <item x="51"/>
        <item x="38"/>
        <item x="17"/>
        <item x="34"/>
        <item x="49"/>
        <item x="13"/>
        <item x="56"/>
        <item x="18"/>
        <item t="default"/>
      </items>
    </pivotField>
    <pivotField dataField="1" showAll="0"/>
    <pivotField showAll="0"/>
    <pivotField dataField="1" showAll="0"/>
    <pivotField showAll="0"/>
  </pivotFields>
  <rowFields count="4">
    <field x="0"/>
    <field x="9"/>
    <field x="5"/>
    <field x="11"/>
  </rowFields>
  <rowItems count="1110">
    <i>
      <x/>
    </i>
    <i r="1">
      <x v="16"/>
    </i>
    <i r="2">
      <x v="9"/>
    </i>
    <i r="3">
      <x v="2"/>
    </i>
    <i r="1">
      <x v="22"/>
    </i>
    <i r="2">
      <x v="135"/>
    </i>
    <i r="3">
      <x v="36"/>
    </i>
    <i r="3">
      <x v="50"/>
    </i>
    <i r="1">
      <x v="25"/>
    </i>
    <i r="2">
      <x v="15"/>
    </i>
    <i r="3">
      <x v="59"/>
    </i>
    <i r="1">
      <x v="29"/>
    </i>
    <i r="2">
      <x v="115"/>
    </i>
    <i r="3">
      <x v="14"/>
    </i>
    <i r="2">
      <x v="205"/>
    </i>
    <i r="3">
      <x v="6"/>
    </i>
    <i r="2">
      <x v="207"/>
    </i>
    <i r="3">
      <x v="6"/>
    </i>
    <i r="1">
      <x v="32"/>
    </i>
    <i r="2">
      <x v="128"/>
    </i>
    <i r="3">
      <x v="59"/>
    </i>
    <i r="1">
      <x v="35"/>
    </i>
    <i r="2">
      <x v="19"/>
    </i>
    <i r="3">
      <x v="59"/>
    </i>
    <i r="1">
      <x v="71"/>
    </i>
    <i r="2">
      <x v="225"/>
    </i>
    <i r="3">
      <x v="6"/>
    </i>
    <i r="1">
      <x v="78"/>
    </i>
    <i r="2">
      <x v="178"/>
    </i>
    <i r="3">
      <x v="27"/>
    </i>
    <i>
      <x v="1"/>
    </i>
    <i r="1">
      <x/>
    </i>
    <i r="2">
      <x v="120"/>
    </i>
    <i r="3">
      <x v="16"/>
    </i>
    <i r="3">
      <x v="33"/>
    </i>
    <i r="3">
      <x v="43"/>
    </i>
    <i r="1">
      <x v="34"/>
    </i>
    <i r="2">
      <x v="92"/>
    </i>
    <i r="3">
      <x v="25"/>
    </i>
    <i r="1">
      <x v="55"/>
    </i>
    <i r="2">
      <x v="262"/>
    </i>
    <i r="3">
      <x v="16"/>
    </i>
    <i r="3">
      <x v="17"/>
    </i>
    <i r="3">
      <x v="30"/>
    </i>
    <i r="1">
      <x v="58"/>
    </i>
    <i r="2">
      <x v="65"/>
    </i>
    <i r="3">
      <x v="3"/>
    </i>
    <i r="2">
      <x v="321"/>
    </i>
    <i r="3">
      <x v="12"/>
    </i>
    <i r="1">
      <x v="60"/>
    </i>
    <i r="2">
      <x v="53"/>
    </i>
    <i r="3">
      <x/>
    </i>
    <i r="3">
      <x v="12"/>
    </i>
    <i>
      <x v="2"/>
    </i>
    <i r="1">
      <x/>
    </i>
    <i r="2">
      <x v="120"/>
    </i>
    <i r="3">
      <x v="59"/>
    </i>
    <i r="1">
      <x v="9"/>
    </i>
    <i r="2">
      <x v="122"/>
    </i>
    <i r="3">
      <x v="59"/>
    </i>
    <i r="1">
      <x v="14"/>
    </i>
    <i r="2">
      <x v="220"/>
    </i>
    <i r="3">
      <x v="59"/>
    </i>
    <i r="1">
      <x v="15"/>
    </i>
    <i r="2">
      <x v="159"/>
    </i>
    <i r="3">
      <x v="13"/>
    </i>
    <i r="2">
      <x v="160"/>
    </i>
    <i r="3">
      <x v="47"/>
    </i>
    <i r="1">
      <x v="20"/>
    </i>
    <i r="2">
      <x v="300"/>
    </i>
    <i r="3">
      <x v="58"/>
    </i>
    <i r="1">
      <x v="24"/>
    </i>
    <i r="2">
      <x v="72"/>
    </i>
    <i r="3">
      <x v="57"/>
    </i>
    <i r="2">
      <x v="84"/>
    </i>
    <i r="3">
      <x v="37"/>
    </i>
    <i r="2">
      <x v="184"/>
    </i>
    <i r="3">
      <x v="57"/>
    </i>
    <i r="1">
      <x v="28"/>
    </i>
    <i r="2">
      <x v="336"/>
    </i>
    <i r="3">
      <x v="26"/>
    </i>
    <i r="1">
      <x v="29"/>
    </i>
    <i r="2">
      <x v="115"/>
    </i>
    <i r="3">
      <x v="1"/>
    </i>
    <i r="2">
      <x v="176"/>
    </i>
    <i r="3">
      <x v="1"/>
    </i>
    <i r="3">
      <x v="57"/>
    </i>
    <i r="2">
      <x v="205"/>
    </i>
    <i r="3">
      <x v="6"/>
    </i>
    <i r="2">
      <x v="230"/>
    </i>
    <i r="3">
      <x v="14"/>
    </i>
    <i r="2">
      <x v="250"/>
    </i>
    <i r="3">
      <x v="14"/>
    </i>
    <i r="2">
      <x v="275"/>
    </i>
    <i r="3">
      <x v="41"/>
    </i>
    <i r="2">
      <x v="277"/>
    </i>
    <i r="3">
      <x v="37"/>
    </i>
    <i r="2">
      <x v="313"/>
    </i>
    <i r="3">
      <x v="41"/>
    </i>
    <i r="2">
      <x v="323"/>
    </i>
    <i r="3">
      <x v="25"/>
    </i>
    <i r="3">
      <x v="40"/>
    </i>
    <i r="2">
      <x v="339"/>
    </i>
    <i r="3">
      <x v="41"/>
    </i>
    <i r="2">
      <x v="343"/>
    </i>
    <i r="3">
      <x v="25"/>
    </i>
    <i r="1">
      <x v="32"/>
    </i>
    <i r="2">
      <x v="158"/>
    </i>
    <i r="3">
      <x v="59"/>
    </i>
    <i r="2">
      <x v="204"/>
    </i>
    <i r="3">
      <x v="59"/>
    </i>
    <i r="2">
      <x v="333"/>
    </i>
    <i r="3">
      <x v="5"/>
    </i>
    <i r="1">
      <x v="35"/>
    </i>
    <i r="2">
      <x v="69"/>
    </i>
    <i r="3">
      <x v="59"/>
    </i>
    <i r="1">
      <x v="40"/>
    </i>
    <i r="2">
      <x v="162"/>
    </i>
    <i r="3">
      <x v="47"/>
    </i>
    <i r="1">
      <x v="53"/>
    </i>
    <i r="2">
      <x v="12"/>
    </i>
    <i r="3">
      <x v="59"/>
    </i>
    <i r="1">
      <x v="60"/>
    </i>
    <i r="2">
      <x/>
    </i>
    <i r="3">
      <x v="41"/>
    </i>
    <i>
      <x v="3"/>
    </i>
    <i r="1">
      <x v="8"/>
    </i>
    <i r="2">
      <x v="44"/>
    </i>
    <i r="3">
      <x v="33"/>
    </i>
    <i r="1">
      <x v="18"/>
    </i>
    <i r="2">
      <x v="281"/>
    </i>
    <i r="3">
      <x v="31"/>
    </i>
    <i r="1">
      <x v="19"/>
    </i>
    <i r="2">
      <x v="285"/>
    </i>
    <i r="3">
      <x v="33"/>
    </i>
    <i r="1">
      <x v="71"/>
    </i>
    <i r="2">
      <x v="91"/>
    </i>
    <i r="3">
      <x v="6"/>
    </i>
    <i>
      <x v="4"/>
    </i>
    <i r="1">
      <x/>
    </i>
    <i r="2">
      <x v="120"/>
    </i>
    <i r="3">
      <x v="12"/>
    </i>
    <i r="2">
      <x v="236"/>
    </i>
    <i r="3">
      <x v="16"/>
    </i>
    <i r="3">
      <x v="33"/>
    </i>
    <i r="3">
      <x v="50"/>
    </i>
    <i r="2">
      <x v="319"/>
    </i>
    <i r="3">
      <x v="59"/>
    </i>
    <i r="1">
      <x v="1"/>
    </i>
    <i r="2">
      <x v="41"/>
    </i>
    <i r="3">
      <x v="12"/>
    </i>
    <i r="2">
      <x v="42"/>
    </i>
    <i r="3">
      <x v="52"/>
    </i>
    <i r="2">
      <x v="43"/>
    </i>
    <i r="3">
      <x v="12"/>
    </i>
    <i r="2">
      <x v="101"/>
    </i>
    <i r="3">
      <x v="12"/>
    </i>
    <i r="2">
      <x v="102"/>
    </i>
    <i r="3">
      <x v="52"/>
    </i>
    <i r="2">
      <x v="105"/>
    </i>
    <i r="3">
      <x v="37"/>
    </i>
    <i r="2">
      <x v="143"/>
    </i>
    <i r="3">
      <x v="12"/>
    </i>
    <i r="3">
      <x v="32"/>
    </i>
    <i r="2">
      <x v="144"/>
    </i>
    <i r="3">
      <x v="52"/>
    </i>
    <i r="2">
      <x v="145"/>
    </i>
    <i r="3">
      <x v="32"/>
    </i>
    <i r="2">
      <x v="179"/>
    </i>
    <i r="3">
      <x v="37"/>
    </i>
    <i r="2">
      <x v="248"/>
    </i>
    <i r="3">
      <x v="37"/>
    </i>
    <i r="2">
      <x v="288"/>
    </i>
    <i r="3">
      <x v="16"/>
    </i>
    <i r="2">
      <x v="290"/>
    </i>
    <i r="3">
      <x v="31"/>
    </i>
    <i r="2">
      <x v="299"/>
    </i>
    <i r="3">
      <x v="37"/>
    </i>
    <i r="2">
      <x v="303"/>
    </i>
    <i r="3">
      <x v="24"/>
    </i>
    <i r="1">
      <x v="2"/>
    </i>
    <i r="2">
      <x v="70"/>
    </i>
    <i r="3">
      <x v="3"/>
    </i>
    <i r="3">
      <x v="16"/>
    </i>
    <i r="3">
      <x v="33"/>
    </i>
    <i r="3">
      <x v="34"/>
    </i>
    <i r="3">
      <x v="37"/>
    </i>
    <i r="2">
      <x v="222"/>
    </i>
    <i r="3">
      <x v="16"/>
    </i>
    <i r="1">
      <x v="3"/>
    </i>
    <i r="2">
      <x v="108"/>
    </i>
    <i r="3">
      <x v="10"/>
    </i>
    <i r="3">
      <x v="16"/>
    </i>
    <i r="2">
      <x v="192"/>
    </i>
    <i r="3">
      <x v="5"/>
    </i>
    <i r="2">
      <x v="255"/>
    </i>
    <i r="3">
      <x v="5"/>
    </i>
    <i r="3">
      <x v="10"/>
    </i>
    <i r="3">
      <x v="16"/>
    </i>
    <i r="2">
      <x v="350"/>
    </i>
    <i r="3">
      <x v="20"/>
    </i>
    <i r="3">
      <x v="30"/>
    </i>
    <i r="1">
      <x v="4"/>
    </i>
    <i r="2">
      <x v="82"/>
    </i>
    <i r="3">
      <x v="3"/>
    </i>
    <i r="3">
      <x v="31"/>
    </i>
    <i r="2">
      <x v="304"/>
    </i>
    <i r="3">
      <x v="3"/>
    </i>
    <i r="3">
      <x v="31"/>
    </i>
    <i r="1">
      <x v="5"/>
    </i>
    <i r="2">
      <x v="86"/>
    </i>
    <i r="3">
      <x/>
    </i>
    <i r="3">
      <x v="16"/>
    </i>
    <i r="3">
      <x v="20"/>
    </i>
    <i r="3">
      <x v="22"/>
    </i>
    <i r="3">
      <x v="33"/>
    </i>
    <i r="3">
      <x v="35"/>
    </i>
    <i r="2">
      <x v="175"/>
    </i>
    <i r="3">
      <x/>
    </i>
    <i r="3">
      <x v="10"/>
    </i>
    <i r="3">
      <x v="16"/>
    </i>
    <i r="3">
      <x v="20"/>
    </i>
    <i r="3">
      <x v="33"/>
    </i>
    <i r="3">
      <x v="35"/>
    </i>
    <i r="2">
      <x v="218"/>
    </i>
    <i r="3">
      <x v="19"/>
    </i>
    <i r="3">
      <x v="42"/>
    </i>
    <i r="2">
      <x v="259"/>
    </i>
    <i r="3">
      <x v="10"/>
    </i>
    <i r="3">
      <x v="16"/>
    </i>
    <i r="3">
      <x v="20"/>
    </i>
    <i r="3">
      <x v="22"/>
    </i>
    <i r="3">
      <x v="33"/>
    </i>
    <i r="3">
      <x v="35"/>
    </i>
    <i r="1">
      <x v="6"/>
    </i>
    <i r="2">
      <x v="172"/>
    </i>
    <i r="3">
      <x v="3"/>
    </i>
    <i r="3">
      <x v="16"/>
    </i>
    <i r="1">
      <x v="7"/>
    </i>
    <i r="2">
      <x v="112"/>
    </i>
    <i r="3">
      <x v="24"/>
    </i>
    <i r="2">
      <x v="136"/>
    </i>
    <i r="3">
      <x v="53"/>
    </i>
    <i r="2">
      <x v="137"/>
    </i>
    <i r="3">
      <x v="12"/>
    </i>
    <i r="3">
      <x v="20"/>
    </i>
    <i r="1">
      <x v="8"/>
    </i>
    <i r="2">
      <x v="45"/>
    </i>
    <i r="3">
      <x v="33"/>
    </i>
    <i r="1">
      <x v="9"/>
    </i>
    <i r="2">
      <x v="121"/>
    </i>
    <i r="3">
      <x v="33"/>
    </i>
    <i r="3">
      <x v="37"/>
    </i>
    <i r="1">
      <x v="10"/>
    </i>
    <i r="2">
      <x v="104"/>
    </i>
    <i r="3">
      <x v="33"/>
    </i>
    <i r="2">
      <x v="346"/>
    </i>
    <i r="3">
      <x v="33"/>
    </i>
    <i r="1">
      <x v="11"/>
    </i>
    <i r="2">
      <x v="237"/>
    </i>
    <i r="3">
      <x v="24"/>
    </i>
    <i r="2">
      <x v="238"/>
    </i>
    <i r="3">
      <x v="24"/>
    </i>
    <i r="2">
      <x v="264"/>
    </i>
    <i r="3">
      <x v="24"/>
    </i>
    <i r="2">
      <x v="327"/>
    </i>
    <i r="3">
      <x v="24"/>
    </i>
    <i r="2">
      <x v="328"/>
    </i>
    <i r="3">
      <x v="24"/>
    </i>
    <i r="1">
      <x v="12"/>
    </i>
    <i r="2">
      <x v="21"/>
    </i>
    <i r="3">
      <x v="45"/>
    </i>
    <i r="2">
      <x v="185"/>
    </i>
    <i r="3">
      <x v="45"/>
    </i>
    <i r="1">
      <x v="13"/>
    </i>
    <i r="2">
      <x v="33"/>
    </i>
    <i r="3">
      <x v="16"/>
    </i>
    <i r="2">
      <x v="116"/>
    </i>
    <i r="3">
      <x v="16"/>
    </i>
    <i r="2">
      <x v="133"/>
    </i>
    <i r="3">
      <x v="22"/>
    </i>
    <i r="2">
      <x v="196"/>
    </i>
    <i r="3">
      <x v="16"/>
    </i>
    <i r="1">
      <x v="14"/>
    </i>
    <i r="2">
      <x v="203"/>
    </i>
    <i r="3">
      <x v="49"/>
    </i>
    <i r="2">
      <x v="220"/>
    </i>
    <i r="3">
      <x v="22"/>
    </i>
    <i r="2">
      <x v="349"/>
    </i>
    <i r="3">
      <x v="3"/>
    </i>
    <i r="1">
      <x v="15"/>
    </i>
    <i r="2">
      <x v="159"/>
    </i>
    <i r="3">
      <x v="13"/>
    </i>
    <i r="3">
      <x v="33"/>
    </i>
    <i r="3">
      <x v="47"/>
    </i>
    <i r="3">
      <x v="59"/>
    </i>
    <i r="2">
      <x v="161"/>
    </i>
    <i r="3">
      <x v="52"/>
    </i>
    <i r="2">
      <x v="337"/>
    </i>
    <i r="3">
      <x v="33"/>
    </i>
    <i r="1">
      <x v="16"/>
    </i>
    <i r="2">
      <x v="20"/>
    </i>
    <i r="3">
      <x v="56"/>
    </i>
    <i r="2">
      <x v="22"/>
    </i>
    <i r="3">
      <x v="30"/>
    </i>
    <i r="2">
      <x v="37"/>
    </i>
    <i r="3">
      <x v="56"/>
    </i>
    <i r="2">
      <x v="59"/>
    </i>
    <i r="3">
      <x v="10"/>
    </i>
    <i r="2">
      <x v="96"/>
    </i>
    <i r="3">
      <x v="30"/>
    </i>
    <i r="2">
      <x v="150"/>
    </i>
    <i r="3">
      <x v="10"/>
    </i>
    <i r="2">
      <x v="169"/>
    </i>
    <i r="3">
      <x v="56"/>
    </i>
    <i r="2">
      <x v="215"/>
    </i>
    <i r="3">
      <x v="56"/>
    </i>
    <i r="1">
      <x v="17"/>
    </i>
    <i r="2">
      <x v="35"/>
    </i>
    <i r="3">
      <x v="12"/>
    </i>
    <i r="2">
      <x v="58"/>
    </i>
    <i r="3">
      <x v="31"/>
    </i>
    <i r="1">
      <x v="18"/>
    </i>
    <i r="2">
      <x v="88"/>
    </i>
    <i r="3">
      <x v="28"/>
    </i>
    <i r="2">
      <x v="235"/>
    </i>
    <i r="3">
      <x v="31"/>
    </i>
    <i r="2">
      <x v="261"/>
    </i>
    <i r="3">
      <x v="28"/>
    </i>
    <i r="2">
      <x v="273"/>
    </i>
    <i r="3">
      <x v="28"/>
    </i>
    <i r="1">
      <x v="19"/>
    </i>
    <i r="2">
      <x v="57"/>
    </i>
    <i r="3">
      <x v="21"/>
    </i>
    <i r="2">
      <x v="125"/>
    </i>
    <i r="3">
      <x v="21"/>
    </i>
    <i r="3">
      <x v="33"/>
    </i>
    <i r="2">
      <x v="138"/>
    </i>
    <i r="3">
      <x v="22"/>
    </i>
    <i r="2">
      <x v="151"/>
    </i>
    <i r="3">
      <x v="22"/>
    </i>
    <i r="2">
      <x v="197"/>
    </i>
    <i r="3">
      <x v="43"/>
    </i>
    <i r="2">
      <x v="229"/>
    </i>
    <i r="3">
      <x v="22"/>
    </i>
    <i r="3">
      <x v="33"/>
    </i>
    <i r="2">
      <x v="285"/>
    </i>
    <i r="3">
      <x v="22"/>
    </i>
    <i r="1">
      <x v="20"/>
    </i>
    <i r="2">
      <x v="270"/>
    </i>
    <i r="3">
      <x v="60"/>
    </i>
    <i r="2">
      <x v="300"/>
    </i>
    <i r="3">
      <x v="12"/>
    </i>
    <i r="3">
      <x v="58"/>
    </i>
    <i r="1">
      <x v="21"/>
    </i>
    <i r="2">
      <x v="36"/>
    </i>
    <i r="3">
      <x v="16"/>
    </i>
    <i r="3">
      <x v="30"/>
    </i>
    <i r="1">
      <x v="23"/>
    </i>
    <i r="2">
      <x v="106"/>
    </i>
    <i r="3">
      <x v="45"/>
    </i>
    <i r="2">
      <x v="274"/>
    </i>
    <i r="3">
      <x v="45"/>
    </i>
    <i r="1">
      <x v="24"/>
    </i>
    <i r="2">
      <x v="16"/>
    </i>
    <i r="3">
      <x v="42"/>
    </i>
    <i r="2">
      <x v="17"/>
    </i>
    <i r="3">
      <x v="45"/>
    </i>
    <i r="2">
      <x v="23"/>
    </i>
    <i r="3">
      <x v="28"/>
    </i>
    <i r="3">
      <x v="48"/>
    </i>
    <i r="3">
      <x v="61"/>
    </i>
    <i r="2">
      <x v="24"/>
    </i>
    <i r="3">
      <x v="28"/>
    </i>
    <i r="2">
      <x v="26"/>
    </i>
    <i r="3">
      <x v="28"/>
    </i>
    <i r="2">
      <x v="97"/>
    </i>
    <i r="3">
      <x v="45"/>
    </i>
    <i r="2">
      <x v="100"/>
    </i>
    <i r="3">
      <x v="42"/>
    </i>
    <i r="2">
      <x v="149"/>
    </i>
    <i r="3">
      <x v="45"/>
    </i>
    <i r="2">
      <x v="241"/>
    </i>
    <i r="3">
      <x v="37"/>
    </i>
    <i r="1">
      <x v="25"/>
    </i>
    <i r="2">
      <x v="14"/>
    </i>
    <i r="3">
      <x v="37"/>
    </i>
    <i r="3">
      <x v="59"/>
    </i>
    <i r="2">
      <x v="54"/>
    </i>
    <i r="3">
      <x v="16"/>
    </i>
    <i r="3">
      <x v="33"/>
    </i>
    <i r="3">
      <x v="37"/>
    </i>
    <i r="3">
      <x v="50"/>
    </i>
    <i r="1">
      <x v="26"/>
    </i>
    <i r="2">
      <x v="71"/>
    </i>
    <i r="3">
      <x v="27"/>
    </i>
    <i r="2">
      <x v="289"/>
    </i>
    <i r="3">
      <x v="49"/>
    </i>
    <i r="1">
      <x v="27"/>
    </i>
    <i r="2">
      <x v="48"/>
    </i>
    <i r="3">
      <x v="16"/>
    </i>
    <i r="1">
      <x v="28"/>
    </i>
    <i r="2">
      <x v="171"/>
    </i>
    <i r="3">
      <x v="30"/>
    </i>
    <i r="2">
      <x v="295"/>
    </i>
    <i r="3">
      <x v="31"/>
    </i>
    <i r="2">
      <x v="336"/>
    </i>
    <i r="3">
      <x v="30"/>
    </i>
    <i r="3">
      <x v="31"/>
    </i>
    <i r="1">
      <x v="29"/>
    </i>
    <i r="2">
      <x v="1"/>
    </i>
    <i r="3">
      <x v="16"/>
    </i>
    <i r="2">
      <x v="2"/>
    </i>
    <i r="3">
      <x v="16"/>
    </i>
    <i r="2">
      <x v="3"/>
    </i>
    <i r="3">
      <x v="16"/>
    </i>
    <i r="2">
      <x v="40"/>
    </i>
    <i r="3">
      <x v="40"/>
    </i>
    <i r="2">
      <x v="46"/>
    </i>
    <i r="3">
      <x v="40"/>
    </i>
    <i r="2">
      <x v="47"/>
    </i>
    <i r="3">
      <x v="40"/>
    </i>
    <i r="2">
      <x v="63"/>
    </i>
    <i r="3">
      <x v="3"/>
    </i>
    <i r="3">
      <x v="6"/>
    </i>
    <i r="3">
      <x v="8"/>
    </i>
    <i r="3">
      <x v="22"/>
    </i>
    <i r="3">
      <x v="47"/>
    </i>
    <i r="3">
      <x v="56"/>
    </i>
    <i r="2">
      <x v="115"/>
    </i>
    <i r="3">
      <x v="22"/>
    </i>
    <i r="3">
      <x v="25"/>
    </i>
    <i r="3">
      <x v="36"/>
    </i>
    <i r="3">
      <x v="41"/>
    </i>
    <i r="2">
      <x v="176"/>
    </i>
    <i r="3">
      <x v="3"/>
    </i>
    <i r="3">
      <x v="6"/>
    </i>
    <i r="3">
      <x v="8"/>
    </i>
    <i r="3">
      <x v="10"/>
    </i>
    <i r="3">
      <x v="24"/>
    </i>
    <i r="3">
      <x v="25"/>
    </i>
    <i r="3">
      <x v="30"/>
    </i>
    <i r="3">
      <x v="36"/>
    </i>
    <i r="3">
      <x v="41"/>
    </i>
    <i r="3">
      <x v="43"/>
    </i>
    <i r="3">
      <x v="47"/>
    </i>
    <i r="3">
      <x v="50"/>
    </i>
    <i r="3">
      <x v="57"/>
    </i>
    <i r="2">
      <x v="177"/>
    </i>
    <i r="3">
      <x v="33"/>
    </i>
    <i r="2">
      <x v="181"/>
    </i>
    <i r="3">
      <x v="40"/>
    </i>
    <i r="2">
      <x v="199"/>
    </i>
    <i r="3">
      <x v="6"/>
    </i>
    <i r="3">
      <x v="22"/>
    </i>
    <i r="3">
      <x v="25"/>
    </i>
    <i r="3">
      <x v="36"/>
    </i>
    <i r="3">
      <x v="41"/>
    </i>
    <i r="3">
      <x v="50"/>
    </i>
    <i r="2">
      <x v="205"/>
    </i>
    <i r="3">
      <x v="9"/>
    </i>
    <i r="3">
      <x v="22"/>
    </i>
    <i r="3">
      <x v="30"/>
    </i>
    <i r="3">
      <x v="36"/>
    </i>
    <i r="3">
      <x v="37"/>
    </i>
    <i r="3">
      <x v="41"/>
    </i>
    <i r="3">
      <x v="50"/>
    </i>
    <i r="2">
      <x v="206"/>
    </i>
    <i r="3">
      <x v="33"/>
    </i>
    <i r="2">
      <x v="207"/>
    </i>
    <i r="3">
      <x v="3"/>
    </i>
    <i r="3">
      <x v="10"/>
    </i>
    <i r="3">
      <x v="22"/>
    </i>
    <i r="3">
      <x v="24"/>
    </i>
    <i r="3">
      <x v="37"/>
    </i>
    <i r="3">
      <x v="50"/>
    </i>
    <i r="2">
      <x v="208"/>
    </i>
    <i r="3">
      <x v="33"/>
    </i>
    <i r="2">
      <x v="230"/>
    </i>
    <i r="3">
      <x v="1"/>
    </i>
    <i r="3">
      <x v="3"/>
    </i>
    <i r="3">
      <x v="9"/>
    </i>
    <i r="3">
      <x v="10"/>
    </i>
    <i r="3">
      <x v="36"/>
    </i>
    <i r="3">
      <x v="41"/>
    </i>
    <i r="3">
      <x v="43"/>
    </i>
    <i r="3">
      <x v="54"/>
    </i>
    <i r="2">
      <x v="231"/>
    </i>
    <i r="3">
      <x v="33"/>
    </i>
    <i r="2">
      <x v="232"/>
    </i>
    <i r="3">
      <x v="52"/>
    </i>
    <i r="2">
      <x v="239"/>
    </i>
    <i r="3">
      <x v="40"/>
    </i>
    <i r="2">
      <x v="250"/>
    </i>
    <i r="3">
      <x v="1"/>
    </i>
    <i r="3">
      <x v="14"/>
    </i>
    <i r="3">
      <x v="25"/>
    </i>
    <i r="3">
      <x v="26"/>
    </i>
    <i r="3">
      <x v="41"/>
    </i>
    <i r="2">
      <x v="251"/>
    </i>
    <i r="3">
      <x v="52"/>
    </i>
    <i r="2">
      <x v="257"/>
    </i>
    <i r="3">
      <x v="40"/>
    </i>
    <i r="2">
      <x v="258"/>
    </i>
    <i r="3">
      <x v="40"/>
    </i>
    <i r="2">
      <x v="275"/>
    </i>
    <i r="3">
      <x v="41"/>
    </i>
    <i r="2">
      <x v="276"/>
    </i>
    <i r="3">
      <x v="41"/>
    </i>
    <i r="2">
      <x v="277"/>
    </i>
    <i r="3">
      <x v="22"/>
    </i>
    <i r="3">
      <x v="24"/>
    </i>
    <i r="3">
      <x v="36"/>
    </i>
    <i r="3">
      <x v="37"/>
    </i>
    <i r="3">
      <x v="39"/>
    </i>
    <i r="3">
      <x v="43"/>
    </i>
    <i r="3">
      <x v="50"/>
    </i>
    <i r="2">
      <x v="278"/>
    </i>
    <i r="3">
      <x v="33"/>
    </i>
    <i r="2">
      <x v="310"/>
    </i>
    <i r="3">
      <x v="33"/>
    </i>
    <i r="3">
      <x v="36"/>
    </i>
    <i r="3">
      <x v="37"/>
    </i>
    <i r="3">
      <x v="46"/>
    </i>
    <i r="2">
      <x v="313"/>
    </i>
    <i r="3">
      <x v="3"/>
    </i>
    <i r="3">
      <x v="10"/>
    </i>
    <i r="3">
      <x v="22"/>
    </i>
    <i r="3">
      <x v="25"/>
    </i>
    <i r="3">
      <x v="30"/>
    </i>
    <i r="3">
      <x v="37"/>
    </i>
    <i r="3">
      <x v="43"/>
    </i>
    <i r="3">
      <x v="50"/>
    </i>
    <i r="3">
      <x v="56"/>
    </i>
    <i r="2">
      <x v="314"/>
    </i>
    <i r="3">
      <x v="33"/>
    </i>
    <i r="2">
      <x v="323"/>
    </i>
    <i r="3">
      <x v="3"/>
    </i>
    <i r="3">
      <x v="9"/>
    </i>
    <i r="3">
      <x v="25"/>
    </i>
    <i r="3">
      <x v="36"/>
    </i>
    <i r="3">
      <x v="43"/>
    </i>
    <i r="3">
      <x v="59"/>
    </i>
    <i r="2">
      <x v="340"/>
    </i>
    <i r="3">
      <x v="9"/>
    </i>
    <i r="3">
      <x v="10"/>
    </i>
    <i r="3">
      <x v="22"/>
    </i>
    <i r="3">
      <x v="30"/>
    </i>
    <i r="3">
      <x v="39"/>
    </i>
    <i r="3">
      <x v="41"/>
    </i>
    <i r="3">
      <x v="43"/>
    </i>
    <i r="3">
      <x v="56"/>
    </i>
    <i r="2">
      <x v="341"/>
    </i>
    <i r="3">
      <x v="33"/>
    </i>
    <i r="2">
      <x v="343"/>
    </i>
    <i r="3">
      <x v="4"/>
    </i>
    <i r="3">
      <x v="37"/>
    </i>
    <i r="3">
      <x v="41"/>
    </i>
    <i r="3">
      <x v="50"/>
    </i>
    <i r="2">
      <x v="354"/>
    </i>
    <i r="3">
      <x v="33"/>
    </i>
    <i r="1">
      <x v="30"/>
    </i>
    <i r="2">
      <x v="7"/>
    </i>
    <i r="3">
      <x v="33"/>
    </i>
    <i r="2">
      <x v="8"/>
    </i>
    <i r="3">
      <x v="37"/>
    </i>
    <i r="2">
      <x v="30"/>
    </i>
    <i r="3">
      <x v="22"/>
    </i>
    <i r="2">
      <x v="38"/>
    </i>
    <i r="3">
      <x v="22"/>
    </i>
    <i r="3">
      <x v="37"/>
    </i>
    <i r="2">
      <x v="49"/>
    </i>
    <i r="3">
      <x v="22"/>
    </i>
    <i r="2">
      <x v="50"/>
    </i>
    <i r="3">
      <x v="22"/>
    </i>
    <i r="2">
      <x v="51"/>
    </i>
    <i r="3">
      <x v="22"/>
    </i>
    <i r="2">
      <x v="90"/>
    </i>
    <i r="3">
      <x v="33"/>
    </i>
    <i r="3">
      <x v="37"/>
    </i>
    <i r="2">
      <x v="107"/>
    </i>
    <i r="3">
      <x v="33"/>
    </i>
    <i r="2">
      <x v="123"/>
    </i>
    <i r="3">
      <x v="33"/>
    </i>
    <i r="3">
      <x v="37"/>
    </i>
    <i r="2">
      <x v="182"/>
    </i>
    <i r="3">
      <x v="33"/>
    </i>
    <i r="2">
      <x v="183"/>
    </i>
    <i r="3">
      <x v="33"/>
    </i>
    <i r="2">
      <x v="234"/>
    </i>
    <i r="3">
      <x v="22"/>
    </i>
    <i r="2">
      <x v="245"/>
    </i>
    <i r="3">
      <x v="7"/>
    </i>
    <i r="2">
      <x v="253"/>
    </i>
    <i r="3">
      <x v="56"/>
    </i>
    <i r="2">
      <x v="254"/>
    </i>
    <i r="3">
      <x v="56"/>
    </i>
    <i r="2">
      <x v="296"/>
    </i>
    <i r="3">
      <x v="33"/>
    </i>
    <i r="3">
      <x v="37"/>
    </i>
    <i r="2">
      <x v="311"/>
    </i>
    <i r="3">
      <x v="22"/>
    </i>
    <i r="1">
      <x v="31"/>
    </i>
    <i r="2">
      <x v="34"/>
    </i>
    <i r="3">
      <x v="35"/>
    </i>
    <i r="2">
      <x v="167"/>
    </i>
    <i r="3">
      <x v="35"/>
    </i>
    <i r="2">
      <x v="168"/>
    </i>
    <i r="3">
      <x v="50"/>
    </i>
    <i r="1">
      <x v="32"/>
    </i>
    <i r="2">
      <x v="18"/>
    </i>
    <i r="3">
      <x v="2"/>
    </i>
    <i r="2">
      <x v="39"/>
    </i>
    <i r="3">
      <x v="59"/>
    </i>
    <i r="2">
      <x v="77"/>
    </i>
    <i r="3">
      <x v="25"/>
    </i>
    <i r="2">
      <x v="117"/>
    </i>
    <i r="3">
      <x v="59"/>
    </i>
    <i r="2">
      <x v="118"/>
    </i>
    <i r="3">
      <x v="30"/>
    </i>
    <i r="3">
      <x v="59"/>
    </i>
    <i r="2">
      <x v="124"/>
    </i>
    <i r="3">
      <x v="33"/>
    </i>
    <i r="2">
      <x v="128"/>
    </i>
    <i r="3">
      <x v="21"/>
    </i>
    <i r="2">
      <x v="129"/>
    </i>
    <i r="3">
      <x v="37"/>
    </i>
    <i r="2">
      <x v="131"/>
    </i>
    <i r="3">
      <x v="30"/>
    </i>
    <i r="2">
      <x v="132"/>
    </i>
    <i r="3">
      <x v="37"/>
    </i>
    <i r="2">
      <x v="157"/>
    </i>
    <i r="3">
      <x v="33"/>
    </i>
    <i r="2">
      <x v="158"/>
    </i>
    <i r="3">
      <x v="37"/>
    </i>
    <i r="2">
      <x v="170"/>
    </i>
    <i r="3">
      <x v="30"/>
    </i>
    <i r="2">
      <x v="195"/>
    </i>
    <i r="3">
      <x v="30"/>
    </i>
    <i r="2">
      <x v="260"/>
    </i>
    <i r="3">
      <x v="3"/>
    </i>
    <i r="2">
      <x v="301"/>
    </i>
    <i r="3">
      <x v="59"/>
    </i>
    <i r="2">
      <x v="307"/>
    </i>
    <i r="3">
      <x v="33"/>
    </i>
    <i r="3">
      <x v="60"/>
    </i>
    <i r="2">
      <x v="308"/>
    </i>
    <i r="3">
      <x v="5"/>
    </i>
    <i r="2">
      <x v="322"/>
    </i>
    <i r="3">
      <x v="17"/>
    </i>
    <i r="2">
      <x v="329"/>
    </i>
    <i r="3">
      <x v="5"/>
    </i>
    <i r="3">
      <x v="33"/>
    </i>
    <i r="2">
      <x v="333"/>
    </i>
    <i r="3">
      <x v="33"/>
    </i>
    <i r="2">
      <x v="334"/>
    </i>
    <i r="3">
      <x v="17"/>
    </i>
    <i r="1">
      <x v="33"/>
    </i>
    <i r="2">
      <x v="55"/>
    </i>
    <i r="3">
      <x v="14"/>
    </i>
    <i r="2">
      <x v="56"/>
    </i>
    <i r="3">
      <x v="52"/>
    </i>
    <i r="2">
      <x v="80"/>
    </i>
    <i r="3">
      <x v="14"/>
    </i>
    <i r="2">
      <x v="81"/>
    </i>
    <i r="3">
      <x v="52"/>
    </i>
    <i r="2">
      <x v="147"/>
    </i>
    <i r="3">
      <x v="14"/>
    </i>
    <i r="2">
      <x v="148"/>
    </i>
    <i r="3">
      <x v="14"/>
    </i>
    <i r="3">
      <x v="31"/>
    </i>
    <i r="3">
      <x v="52"/>
    </i>
    <i r="2">
      <x v="154"/>
    </i>
    <i r="3">
      <x v="49"/>
    </i>
    <i r="2">
      <x v="155"/>
    </i>
    <i r="3">
      <x v="12"/>
    </i>
    <i r="2">
      <x v="156"/>
    </i>
    <i r="3">
      <x v="52"/>
    </i>
    <i r="2">
      <x v="180"/>
    </i>
    <i r="3">
      <x v="12"/>
    </i>
    <i r="2">
      <x v="194"/>
    </i>
    <i r="3">
      <x v="52"/>
    </i>
    <i r="2">
      <x v="198"/>
    </i>
    <i r="3">
      <x v="32"/>
    </i>
    <i r="2">
      <x v="209"/>
    </i>
    <i r="3">
      <x v="14"/>
    </i>
    <i r="2">
      <x v="210"/>
    </i>
    <i r="3">
      <x v="52"/>
    </i>
    <i r="2">
      <x v="213"/>
    </i>
    <i r="3">
      <x v="14"/>
    </i>
    <i r="3">
      <x v="49"/>
    </i>
    <i r="2">
      <x v="214"/>
    </i>
    <i r="3">
      <x v="52"/>
    </i>
    <i r="2">
      <x v="286"/>
    </i>
    <i r="3">
      <x v="52"/>
    </i>
    <i r="2">
      <x v="312"/>
    </i>
    <i r="3">
      <x v="52"/>
    </i>
    <i r="2">
      <x v="332"/>
    </i>
    <i r="3">
      <x v="51"/>
    </i>
    <i r="3">
      <x v="52"/>
    </i>
    <i r="2">
      <x v="342"/>
    </i>
    <i r="3">
      <x v="11"/>
    </i>
    <i r="2">
      <x v="352"/>
    </i>
    <i r="3">
      <x v="52"/>
    </i>
    <i r="1">
      <x v="35"/>
    </i>
    <i r="2">
      <x v="66"/>
    </i>
    <i r="3">
      <x v="37"/>
    </i>
    <i r="2">
      <x v="67"/>
    </i>
    <i r="3">
      <x v="37"/>
    </i>
    <i r="2">
      <x v="68"/>
    </i>
    <i r="3">
      <x v="33"/>
    </i>
    <i r="2">
      <x v="69"/>
    </i>
    <i r="3">
      <x v="33"/>
    </i>
    <i r="2">
      <x v="247"/>
    </i>
    <i r="3">
      <x v="33"/>
    </i>
    <i r="3">
      <x v="37"/>
    </i>
    <i r="1">
      <x v="36"/>
    </i>
    <i r="2">
      <x v="75"/>
    </i>
    <i r="3">
      <x v="20"/>
    </i>
    <i r="2">
      <x v="338"/>
    </i>
    <i r="3">
      <x v="20"/>
    </i>
    <i r="1">
      <x v="37"/>
    </i>
    <i r="2">
      <x v="193"/>
    </i>
    <i r="3">
      <x v="16"/>
    </i>
    <i r="3">
      <x v="25"/>
    </i>
    <i r="1">
      <x v="38"/>
    </i>
    <i r="2">
      <x v="190"/>
    </i>
    <i r="3">
      <x v="3"/>
    </i>
    <i r="3">
      <x v="28"/>
    </i>
    <i r="3">
      <x v="31"/>
    </i>
    <i r="1">
      <x v="39"/>
    </i>
    <i r="2">
      <x v="268"/>
    </i>
    <i r="3">
      <x v="25"/>
    </i>
    <i r="3">
      <x v="28"/>
    </i>
    <i r="3">
      <x v="31"/>
    </i>
    <i r="2">
      <x v="269"/>
    </i>
    <i r="3">
      <x v="15"/>
    </i>
    <i r="3">
      <x v="25"/>
    </i>
    <i r="3">
      <x v="27"/>
    </i>
    <i r="3">
      <x v="28"/>
    </i>
    <i r="3">
      <x v="31"/>
    </i>
    <i r="1">
      <x v="40"/>
    </i>
    <i r="2">
      <x v="162"/>
    </i>
    <i r="3">
      <x v="9"/>
    </i>
    <i r="3">
      <x v="16"/>
    </i>
    <i r="3">
      <x v="22"/>
    </i>
    <i r="2">
      <x v="163"/>
    </i>
    <i r="3">
      <x v="47"/>
    </i>
    <i r="2">
      <x v="164"/>
    </i>
    <i r="3">
      <x v="9"/>
    </i>
    <i r="3">
      <x v="16"/>
    </i>
    <i r="3">
      <x v="22"/>
    </i>
    <i r="2">
      <x v="165"/>
    </i>
    <i r="3">
      <x v="9"/>
    </i>
    <i r="3">
      <x v="12"/>
    </i>
    <i r="3">
      <x v="16"/>
    </i>
    <i r="3">
      <x v="22"/>
    </i>
    <i r="3">
      <x v="35"/>
    </i>
    <i r="3">
      <x v="43"/>
    </i>
    <i r="3">
      <x v="59"/>
    </i>
    <i r="2">
      <x v="166"/>
    </i>
    <i r="3">
      <x v="52"/>
    </i>
    <i r="2">
      <x v="331"/>
    </i>
    <i r="3">
      <x v="3"/>
    </i>
    <i r="2">
      <x v="348"/>
    </i>
    <i r="3">
      <x v="30"/>
    </i>
    <i r="3">
      <x v="56"/>
    </i>
    <i r="1">
      <x v="41"/>
    </i>
    <i r="2">
      <x v="10"/>
    </i>
    <i r="3">
      <x v="22"/>
    </i>
    <i r="2">
      <x v="130"/>
    </i>
    <i r="3">
      <x v="16"/>
    </i>
    <i r="2">
      <x v="186"/>
    </i>
    <i r="3">
      <x v="16"/>
    </i>
    <i r="1">
      <x v="42"/>
    </i>
    <i r="2">
      <x v="280"/>
    </i>
    <i r="3">
      <x v="21"/>
    </i>
    <i r="2">
      <x v="324"/>
    </i>
    <i r="3">
      <x v="16"/>
    </i>
    <i r="1">
      <x v="43"/>
    </i>
    <i r="2">
      <x v="134"/>
    </i>
    <i r="3">
      <x v="16"/>
    </i>
    <i r="3">
      <x v="20"/>
    </i>
    <i r="3">
      <x v="22"/>
    </i>
    <i r="3">
      <x v="24"/>
    </i>
    <i r="3">
      <x v="30"/>
    </i>
    <i r="3">
      <x v="33"/>
    </i>
    <i r="2">
      <x v="146"/>
    </i>
    <i r="3">
      <x v="12"/>
    </i>
    <i r="3">
      <x v="52"/>
    </i>
    <i r="1">
      <x v="44"/>
    </i>
    <i r="2">
      <x v="351"/>
    </i>
    <i r="3">
      <x v="27"/>
    </i>
    <i r="1">
      <x v="45"/>
    </i>
    <i r="2">
      <x v="216"/>
    </i>
    <i r="3">
      <x v="3"/>
    </i>
    <i r="3">
      <x v="16"/>
    </i>
    <i r="3">
      <x v="24"/>
    </i>
    <i r="3">
      <x v="42"/>
    </i>
    <i r="1">
      <x v="46"/>
    </i>
    <i r="2">
      <x v="305"/>
    </i>
    <i r="3">
      <x v="31"/>
    </i>
    <i r="2">
      <x v="306"/>
    </i>
    <i r="3">
      <x v="31"/>
    </i>
    <i r="1">
      <x v="47"/>
    </i>
    <i r="2">
      <x v="263"/>
    </i>
    <i r="3">
      <x v="30"/>
    </i>
    <i r="3">
      <x v="33"/>
    </i>
    <i r="3">
      <x v="37"/>
    </i>
    <i r="3">
      <x v="56"/>
    </i>
    <i r="1">
      <x v="48"/>
    </i>
    <i r="2">
      <x v="4"/>
    </i>
    <i r="3">
      <x v="38"/>
    </i>
    <i r="2">
      <x v="5"/>
    </i>
    <i r="3">
      <x v="38"/>
    </i>
    <i r="1">
      <x v="49"/>
    </i>
    <i r="2">
      <x v="27"/>
    </i>
    <i r="3">
      <x v="45"/>
    </i>
    <i r="2">
      <x v="139"/>
    </i>
    <i r="3">
      <x v="50"/>
    </i>
    <i r="2">
      <x v="140"/>
    </i>
    <i r="3">
      <x v="22"/>
    </i>
    <i r="2">
      <x v="141"/>
    </i>
    <i r="3">
      <x v="45"/>
    </i>
    <i r="2">
      <x v="142"/>
    </i>
    <i r="3">
      <x v="45"/>
    </i>
    <i r="2">
      <x v="173"/>
    </i>
    <i r="3">
      <x v="45"/>
    </i>
    <i r="2">
      <x v="265"/>
    </i>
    <i r="3">
      <x v="45"/>
    </i>
    <i r="1">
      <x v="50"/>
    </i>
    <i r="2">
      <x v="28"/>
    </i>
    <i r="3">
      <x v="10"/>
    </i>
    <i r="2">
      <x v="29"/>
    </i>
    <i r="3">
      <x v="41"/>
    </i>
    <i r="2">
      <x v="127"/>
    </i>
    <i r="3">
      <x v="9"/>
    </i>
    <i r="2">
      <x v="219"/>
    </i>
    <i r="3">
      <x v="10"/>
    </i>
    <i r="2">
      <x v="252"/>
    </i>
    <i r="3">
      <x v="22"/>
    </i>
    <i r="1">
      <x v="51"/>
    </i>
    <i r="2">
      <x v="94"/>
    </i>
    <i r="3">
      <x v="55"/>
    </i>
    <i r="2">
      <x v="95"/>
    </i>
    <i r="3">
      <x v="52"/>
    </i>
    <i r="2">
      <x v="111"/>
    </i>
    <i r="3">
      <x v="42"/>
    </i>
    <i r="2">
      <x v="282"/>
    </i>
    <i r="3">
      <x v="14"/>
    </i>
    <i r="3">
      <x v="42"/>
    </i>
    <i r="2">
      <x v="283"/>
    </i>
    <i r="3">
      <x v="52"/>
    </i>
    <i r="1">
      <x v="52"/>
    </i>
    <i r="2">
      <x v="89"/>
    </i>
    <i r="3">
      <x v="45"/>
    </i>
    <i r="1">
      <x v="53"/>
    </i>
    <i r="2">
      <x v="12"/>
    </i>
    <i r="3">
      <x v="14"/>
    </i>
    <i r="3">
      <x v="16"/>
    </i>
    <i r="3">
      <x v="30"/>
    </i>
    <i r="3">
      <x v="35"/>
    </i>
    <i r="3">
      <x v="59"/>
    </i>
    <i r="2">
      <x v="13"/>
    </i>
    <i r="3">
      <x v="51"/>
    </i>
    <i r="2">
      <x v="31"/>
    </i>
    <i r="3">
      <x v="33"/>
    </i>
    <i r="2">
      <x v="153"/>
    </i>
    <i r="3">
      <x v="29"/>
    </i>
    <i r="3">
      <x v="45"/>
    </i>
    <i r="1">
      <x v="54"/>
    </i>
    <i r="2">
      <x v="113"/>
    </i>
    <i r="3">
      <x v="16"/>
    </i>
    <i r="2">
      <x v="114"/>
    </i>
    <i r="3">
      <x v="31"/>
    </i>
    <i r="1">
      <x v="56"/>
    </i>
    <i r="2">
      <x v="6"/>
    </i>
    <i r="3">
      <x v="20"/>
    </i>
    <i r="3">
      <x v="41"/>
    </i>
    <i r="1">
      <x v="57"/>
    </i>
    <i r="2">
      <x v="11"/>
    </i>
    <i r="3">
      <x v="2"/>
    </i>
    <i r="3">
      <x v="16"/>
    </i>
    <i r="3">
      <x v="23"/>
    </i>
    <i r="3">
      <x v="34"/>
    </i>
    <i r="1">
      <x v="58"/>
    </i>
    <i r="2">
      <x v="32"/>
    </i>
    <i r="3">
      <x v="3"/>
    </i>
    <i r="1">
      <x v="59"/>
    </i>
    <i r="2">
      <x v="52"/>
    </i>
    <i r="3">
      <x v="16"/>
    </i>
    <i r="3">
      <x v="21"/>
    </i>
    <i r="1">
      <x v="60"/>
    </i>
    <i r="2">
      <x v="302"/>
    </i>
    <i r="3">
      <x v="17"/>
    </i>
    <i r="1">
      <x v="61"/>
    </i>
    <i r="2">
      <x v="60"/>
    </i>
    <i r="3">
      <x v="47"/>
    </i>
    <i r="2">
      <x v="61"/>
    </i>
    <i r="3">
      <x v="28"/>
    </i>
    <i r="1">
      <x v="62"/>
    </i>
    <i r="2">
      <x v="62"/>
    </i>
    <i r="3">
      <x v="3"/>
    </i>
    <i r="3">
      <x v="31"/>
    </i>
    <i r="2">
      <x v="93"/>
    </i>
    <i r="3">
      <x v="31"/>
    </i>
    <i r="2">
      <x v="200"/>
    </i>
    <i r="3">
      <x v="24"/>
    </i>
    <i r="3">
      <x v="42"/>
    </i>
    <i r="2">
      <x v="201"/>
    </i>
    <i r="3">
      <x v="3"/>
    </i>
    <i r="3">
      <x v="58"/>
    </i>
    <i r="2">
      <x v="202"/>
    </i>
    <i r="3">
      <x v="52"/>
    </i>
    <i r="2">
      <x v="266"/>
    </i>
    <i r="3">
      <x v="31"/>
    </i>
    <i r="2">
      <x v="287"/>
    </i>
    <i r="3">
      <x v="3"/>
    </i>
    <i r="2">
      <x v="297"/>
    </i>
    <i r="3">
      <x v="31"/>
    </i>
    <i r="1">
      <x v="63"/>
    </i>
    <i r="2">
      <x v="64"/>
    </i>
    <i r="3">
      <x v="6"/>
    </i>
    <i r="1">
      <x v="64"/>
    </i>
    <i r="2">
      <x v="73"/>
    </i>
    <i r="3">
      <x v="27"/>
    </i>
    <i r="2">
      <x v="74"/>
    </i>
    <i r="3">
      <x v="27"/>
    </i>
    <i r="2">
      <x v="317"/>
    </i>
    <i r="3">
      <x v="32"/>
    </i>
    <i r="2">
      <x v="318"/>
    </i>
    <i r="3">
      <x v="32"/>
    </i>
    <i r="1">
      <x v="65"/>
    </i>
    <i r="2">
      <x v="76"/>
    </i>
    <i r="3">
      <x v="49"/>
    </i>
    <i r="1">
      <x v="66"/>
    </i>
    <i r="2">
      <x v="78"/>
    </i>
    <i r="3">
      <x v="3"/>
    </i>
    <i r="2">
      <x v="242"/>
    </i>
    <i r="3">
      <x v="16"/>
    </i>
    <i r="2">
      <x v="309"/>
    </i>
    <i r="3">
      <x v="33"/>
    </i>
    <i r="3">
      <x v="37"/>
    </i>
    <i r="2">
      <x v="325"/>
    </i>
    <i r="3">
      <x v="33"/>
    </i>
    <i r="3">
      <x v="37"/>
    </i>
    <i r="1">
      <x v="67"/>
    </i>
    <i r="2">
      <x v="79"/>
    </i>
    <i r="3">
      <x v="20"/>
    </i>
    <i r="3">
      <x v="35"/>
    </i>
    <i r="1">
      <x v="68"/>
    </i>
    <i r="2">
      <x v="83"/>
    </i>
    <i r="3">
      <x v="18"/>
    </i>
    <i r="1">
      <x v="69"/>
    </i>
    <i r="2">
      <x v="85"/>
    </i>
    <i r="3">
      <x v="3"/>
    </i>
    <i r="3">
      <x v="31"/>
    </i>
    <i r="3">
      <x v="45"/>
    </i>
    <i r="2">
      <x v="191"/>
    </i>
    <i r="3">
      <x v="31"/>
    </i>
    <i r="2">
      <x v="226"/>
    </i>
    <i r="3">
      <x v="14"/>
    </i>
    <i r="3">
      <x v="31"/>
    </i>
    <i r="3">
      <x v="45"/>
    </i>
    <i r="2">
      <x v="227"/>
    </i>
    <i r="3">
      <x v="52"/>
    </i>
    <i r="1">
      <x v="70"/>
    </i>
    <i r="2">
      <x v="87"/>
    </i>
    <i r="3">
      <x v="16"/>
    </i>
    <i r="2">
      <x v="119"/>
    </i>
    <i r="3">
      <x v="16"/>
    </i>
    <i r="1">
      <x v="72"/>
    </i>
    <i r="2">
      <x v="98"/>
    </i>
    <i r="3">
      <x v="2"/>
    </i>
    <i r="3">
      <x v="3"/>
    </i>
    <i r="3">
      <x v="9"/>
    </i>
    <i r="3">
      <x v="14"/>
    </i>
    <i r="3">
      <x v="22"/>
    </i>
    <i r="3">
      <x v="30"/>
    </i>
    <i r="3">
      <x v="33"/>
    </i>
    <i r="3">
      <x v="57"/>
    </i>
    <i r="2">
      <x v="99"/>
    </i>
    <i r="3">
      <x v="52"/>
    </i>
    <i r="2">
      <x v="347"/>
    </i>
    <i r="3">
      <x v="9"/>
    </i>
    <i r="1">
      <x v="73"/>
    </i>
    <i r="2">
      <x v="103"/>
    </i>
    <i r="3">
      <x v="61"/>
    </i>
    <i r="2">
      <x v="315"/>
    </i>
    <i r="3">
      <x v="28"/>
    </i>
    <i r="3">
      <x v="60"/>
    </i>
    <i r="1">
      <x v="74"/>
    </i>
    <i r="2">
      <x v="109"/>
    </i>
    <i r="3">
      <x v="43"/>
    </i>
    <i r="2">
      <x v="110"/>
    </i>
    <i r="3">
      <x v="20"/>
    </i>
    <i r="2">
      <x v="228"/>
    </i>
    <i r="3">
      <x v="22"/>
    </i>
    <i r="3">
      <x v="43"/>
    </i>
    <i r="2">
      <x v="279"/>
    </i>
    <i r="3">
      <x v="25"/>
    </i>
    <i r="1">
      <x v="75"/>
    </i>
    <i r="2">
      <x v="126"/>
    </i>
    <i r="3">
      <x v="35"/>
    </i>
    <i r="1">
      <x v="76"/>
    </i>
    <i r="2">
      <x v="152"/>
    </i>
    <i r="3">
      <x v="16"/>
    </i>
    <i r="3">
      <x v="18"/>
    </i>
    <i r="1">
      <x v="77"/>
    </i>
    <i r="2">
      <x v="174"/>
    </i>
    <i r="3">
      <x v="16"/>
    </i>
    <i r="2">
      <x v="187"/>
    </i>
    <i r="3">
      <x v="32"/>
    </i>
    <i r="2">
      <x v="223"/>
    </i>
    <i r="3">
      <x v="16"/>
    </i>
    <i r="2">
      <x v="224"/>
    </i>
    <i r="3">
      <x v="16"/>
    </i>
    <i r="2">
      <x v="249"/>
    </i>
    <i r="3">
      <x v="16"/>
    </i>
    <i r="2">
      <x v="284"/>
    </i>
    <i r="3">
      <x v="3"/>
    </i>
    <i r="3">
      <x v="28"/>
    </i>
    <i r="3">
      <x v="32"/>
    </i>
    <i r="2">
      <x v="320"/>
    </i>
    <i r="3">
      <x v="28"/>
    </i>
    <i r="1">
      <x v="78"/>
    </i>
    <i r="2">
      <x v="217"/>
    </i>
    <i r="3">
      <x v="31"/>
    </i>
    <i r="1">
      <x v="79"/>
    </i>
    <i r="2">
      <x v="188"/>
    </i>
    <i r="3">
      <x v="3"/>
    </i>
    <i r="3">
      <x v="28"/>
    </i>
    <i r="3">
      <x v="31"/>
    </i>
    <i r="1">
      <x v="80"/>
    </i>
    <i r="2">
      <x v="189"/>
    </i>
    <i r="3">
      <x v="3"/>
    </i>
    <i r="1">
      <x v="81"/>
    </i>
    <i r="2">
      <x v="211"/>
    </i>
    <i r="3">
      <x v="20"/>
    </i>
    <i r="3">
      <x v="35"/>
    </i>
    <i r="2">
      <x v="212"/>
    </i>
    <i r="3">
      <x v="20"/>
    </i>
    <i r="3">
      <x v="35"/>
    </i>
    <i r="2">
      <x v="221"/>
    </i>
    <i r="3">
      <x v="20"/>
    </i>
    <i r="3">
      <x v="35"/>
    </i>
    <i r="2">
      <x v="233"/>
    </i>
    <i r="3">
      <x v="20"/>
    </i>
    <i r="3">
      <x v="35"/>
    </i>
    <i r="2">
      <x v="335"/>
    </i>
    <i r="3">
      <x v="20"/>
    </i>
    <i r="3">
      <x v="35"/>
    </i>
    <i r="1">
      <x v="82"/>
    </i>
    <i r="2">
      <x v="240"/>
    </i>
    <i r="3">
      <x v="16"/>
    </i>
    <i r="2">
      <x v="316"/>
    </i>
    <i r="3">
      <x v="16"/>
    </i>
    <i r="1">
      <x v="83"/>
    </i>
    <i r="2">
      <x v="243"/>
    </i>
    <i r="3">
      <x v="3"/>
    </i>
    <i r="3">
      <x v="31"/>
    </i>
    <i r="3">
      <x v="55"/>
    </i>
    <i r="2">
      <x v="244"/>
    </i>
    <i r="3">
      <x v="52"/>
    </i>
    <i r="1">
      <x v="84"/>
    </i>
    <i r="2">
      <x v="246"/>
    </i>
    <i r="3">
      <x v="41"/>
    </i>
    <i r="1">
      <x v="85"/>
    </i>
    <i r="2">
      <x v="256"/>
    </i>
    <i r="3">
      <x v="31"/>
    </i>
    <i r="1">
      <x v="86"/>
    </i>
    <i r="2">
      <x v="267"/>
    </i>
    <i r="3">
      <x v="41"/>
    </i>
    <i r="1">
      <x v="87"/>
    </i>
    <i r="2">
      <x v="271"/>
    </i>
    <i r="3">
      <x v="19"/>
    </i>
    <i r="2">
      <x v="272"/>
    </i>
    <i r="3">
      <x v="52"/>
    </i>
    <i r="1">
      <x v="88"/>
    </i>
    <i r="2">
      <x v="291"/>
    </i>
    <i r="3">
      <x v="12"/>
    </i>
    <i r="2">
      <x v="292"/>
    </i>
    <i r="3">
      <x v="52"/>
    </i>
    <i r="1">
      <x v="89"/>
    </i>
    <i r="2">
      <x v="293"/>
    </i>
    <i r="3">
      <x v="24"/>
    </i>
    <i r="1">
      <x v="90"/>
    </i>
    <i r="2">
      <x v="298"/>
    </i>
    <i r="3">
      <x v="2"/>
    </i>
    <i r="1">
      <x v="91"/>
    </i>
    <i r="2">
      <x v="326"/>
    </i>
    <i r="3">
      <x v="31"/>
    </i>
    <i r="2">
      <x v="344"/>
    </i>
    <i r="3">
      <x v="12"/>
    </i>
    <i r="2">
      <x v="345"/>
    </i>
    <i r="3">
      <x v="51"/>
    </i>
    <i r="1">
      <x v="92"/>
    </i>
    <i r="2">
      <x v="330"/>
    </i>
    <i r="3">
      <x v="44"/>
    </i>
    <i r="1">
      <x v="93"/>
    </i>
    <i r="2">
      <x v="353"/>
    </i>
    <i r="3">
      <x v="31"/>
    </i>
    <i>
      <x v="5"/>
    </i>
    <i r="1">
      <x v="24"/>
    </i>
    <i r="2">
      <x v="25"/>
    </i>
    <i r="3">
      <x v="28"/>
    </i>
    <i r="1">
      <x v="42"/>
    </i>
    <i r="2">
      <x v="294"/>
    </i>
    <i r="3"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Kg. Solicitados" fld="12" baseField="0" baseItem="0"/>
    <dataField name="Suma de Valor total" fld="14" baseField="11" baseItem="33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ECC52-B575-4B63-8A9E-8B50C767BB7D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1" firstHeaderRow="1" firstDataRow="1" firstDataCol="1"/>
  <pivotFields count="18">
    <pivotField showAll="0"/>
    <pivotField showAll="0"/>
    <pivotField showAll="0"/>
    <pivotField numFmtId="20" showAll="0"/>
    <pivotField showAll="0"/>
    <pivotField axis="axisRow" showAll="0">
      <items count="317">
        <item x="38"/>
        <item x="11"/>
        <item x="200"/>
        <item x="213"/>
        <item x="4"/>
        <item x="17"/>
        <item x="18"/>
        <item x="5"/>
        <item x="6"/>
        <item x="8"/>
        <item x="7"/>
        <item x="9"/>
        <item x="19"/>
        <item x="10"/>
        <item x="12"/>
        <item x="13"/>
        <item x="14"/>
        <item x="15"/>
        <item x="16"/>
        <item x="74"/>
        <item x="20"/>
        <item x="22"/>
        <item x="21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6"/>
        <item x="62"/>
        <item x="39"/>
        <item x="40"/>
        <item x="61"/>
        <item x="42"/>
        <item x="41"/>
        <item x="43"/>
        <item x="44"/>
        <item x="45"/>
        <item x="48"/>
        <item x="46"/>
        <item x="49"/>
        <item x="47"/>
        <item x="50"/>
        <item x="51"/>
        <item x="52"/>
        <item x="53"/>
        <item x="54"/>
        <item x="55"/>
        <item x="56"/>
        <item x="57"/>
        <item x="58"/>
        <item x="59"/>
        <item x="60"/>
        <item x="63"/>
        <item x="64"/>
        <item x="65"/>
        <item x="66"/>
        <item x="67"/>
        <item x="68"/>
        <item x="69"/>
        <item x="70"/>
        <item x="71"/>
        <item x="72"/>
        <item x="73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26"/>
        <item x="94"/>
        <item x="95"/>
        <item x="96"/>
        <item x="97"/>
        <item x="98"/>
        <item x="129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3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32"/>
        <item x="125"/>
        <item x="127"/>
        <item x="128"/>
        <item x="130"/>
        <item x="134"/>
        <item x="131"/>
        <item x="133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0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1"/>
        <item x="192"/>
        <item x="193"/>
        <item x="194"/>
        <item x="195"/>
        <item x="196"/>
        <item x="197"/>
        <item x="198"/>
        <item x="199"/>
        <item x="201"/>
        <item x="268"/>
        <item x="203"/>
        <item x="202"/>
        <item x="190"/>
        <item x="211"/>
        <item x="214"/>
        <item x="206"/>
        <item x="207"/>
        <item x="208"/>
        <item x="209"/>
        <item x="210"/>
        <item x="212"/>
        <item x="189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5"/>
        <item x="232"/>
        <item x="233"/>
        <item x="234"/>
        <item x="236"/>
        <item x="237"/>
        <item x="238"/>
        <item x="239"/>
        <item x="240"/>
        <item x="241"/>
        <item x="254"/>
        <item x="242"/>
        <item x="243"/>
        <item x="244"/>
        <item x="245"/>
        <item x="246"/>
        <item x="247"/>
        <item x="248"/>
        <item x="249"/>
        <item x="250"/>
        <item x="251"/>
        <item x="257"/>
        <item x="252"/>
        <item x="204"/>
        <item x="255"/>
        <item x="256"/>
        <item x="258"/>
        <item x="259"/>
        <item x="260"/>
        <item x="261"/>
        <item x="262"/>
        <item x="205"/>
        <item x="263"/>
        <item x="264"/>
        <item x="265"/>
        <item x="266"/>
        <item x="267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53"/>
        <item x="282"/>
        <item x="283"/>
        <item x="284"/>
        <item x="285"/>
        <item x="286"/>
        <item x="288"/>
        <item x="287"/>
        <item x="277"/>
        <item x="289"/>
        <item x="290"/>
        <item x="291"/>
        <item x="292"/>
        <item x="293"/>
        <item x="294"/>
        <item x="295"/>
        <item x="315"/>
        <item x="296"/>
        <item x="297"/>
        <item x="298"/>
        <item x="299"/>
        <item x="300"/>
        <item x="301"/>
        <item x="302"/>
        <item x="303"/>
        <item x="2"/>
        <item x="1"/>
        <item x="314"/>
        <item x="304"/>
        <item x="306"/>
        <item x="305"/>
        <item x="307"/>
        <item x="308"/>
        <item x="313"/>
        <item x="312"/>
        <item x="309"/>
        <item x="310"/>
        <item x="311"/>
        <item x="23"/>
        <item t="default"/>
      </items>
    </pivotField>
    <pivotField showAll="0"/>
    <pivotField showAll="0"/>
    <pivotField showAll="0"/>
    <pivotField axis="axisRow" dataField="1" showAll="0">
      <items count="91">
        <item x="40"/>
        <item x="71"/>
        <item x="33"/>
        <item x="16"/>
        <item x="27"/>
        <item x="77"/>
        <item x="31"/>
        <item x="23"/>
        <item x="19"/>
        <item x="20"/>
        <item x="32"/>
        <item x="14"/>
        <item x="70"/>
        <item x="82"/>
        <item x="29"/>
        <item x="53"/>
        <item x="1"/>
        <item x="69"/>
        <item x="11"/>
        <item x="15"/>
        <item x="61"/>
        <item x="68"/>
        <item x="59"/>
        <item x="63"/>
        <item x="10"/>
        <item x="48"/>
        <item x="83"/>
        <item x="37"/>
        <item x="41"/>
        <item x="49"/>
        <item x="28"/>
        <item x="26"/>
        <item x="4"/>
        <item x="36"/>
        <item x="6"/>
        <item x="89"/>
        <item x="12"/>
        <item x="80"/>
        <item x="39"/>
        <item x="54"/>
        <item x="67"/>
        <item x="34"/>
        <item x="62"/>
        <item x="57"/>
        <item x="52"/>
        <item x="5"/>
        <item x="46"/>
        <item x="18"/>
        <item x="60"/>
        <item x="85"/>
        <item x="75"/>
        <item x="45"/>
        <item x="72"/>
        <item x="35"/>
        <item x="47"/>
        <item x="87"/>
        <item x="64"/>
        <item x="7"/>
        <item x="22"/>
        <item x="56"/>
        <item x="13"/>
        <item x="74"/>
        <item x="9"/>
        <item x="42"/>
        <item x="8"/>
        <item x="38"/>
        <item x="25"/>
        <item x="43"/>
        <item x="88"/>
        <item x="76"/>
        <item x="44"/>
        <item x="51"/>
        <item x="58"/>
        <item x="24"/>
        <item x="78"/>
        <item x="50"/>
        <item x="30"/>
        <item x="0"/>
        <item x="3"/>
        <item x="65"/>
        <item x="17"/>
        <item x="86"/>
        <item x="66"/>
        <item x="21"/>
        <item x="2"/>
        <item x="79"/>
        <item x="84"/>
        <item x="55"/>
        <item x="81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2"/>
        <item x="7"/>
        <item x="18"/>
        <item x="19"/>
        <item x="2"/>
        <item x="5"/>
        <item x="10"/>
        <item x="0"/>
        <item x="6"/>
        <item x="4"/>
        <item x="3"/>
        <item x="13"/>
        <item x="8"/>
        <item x="9"/>
        <item x="14"/>
        <item x="17"/>
        <item x="1"/>
        <item x="16"/>
        <item x="15"/>
        <item m="1" x="20"/>
        <item m="1" x="21"/>
        <item m="1" x="22"/>
        <item x="11"/>
        <item t="default"/>
      </items>
    </pivotField>
  </pivotFields>
  <rowFields count="3">
    <field x="17"/>
    <field x="9"/>
    <field x="5"/>
  </rowFields>
  <rowItems count="518">
    <i>
      <x/>
    </i>
    <i r="1">
      <x v="84"/>
    </i>
    <i r="2">
      <x v="55"/>
    </i>
    <i>
      <x v="1"/>
    </i>
    <i r="1">
      <x v="84"/>
    </i>
    <i r="2">
      <x v="25"/>
    </i>
    <i>
      <x v="2"/>
    </i>
    <i r="1">
      <x v="66"/>
    </i>
    <i r="2">
      <x v="182"/>
    </i>
    <i>
      <x v="3"/>
    </i>
    <i r="1">
      <x v="35"/>
    </i>
    <i r="2">
      <x v="304"/>
    </i>
    <i>
      <x v="4"/>
    </i>
    <i r="1">
      <x v="8"/>
    </i>
    <i r="2">
      <x v="34"/>
    </i>
    <i r="1">
      <x v="30"/>
    </i>
    <i r="2">
      <x v="293"/>
    </i>
    <i r="1">
      <x v="32"/>
    </i>
    <i r="2">
      <x v="180"/>
    </i>
    <i r="1">
      <x v="34"/>
    </i>
    <i r="2">
      <x v="52"/>
    </i>
    <i r="2">
      <x v="92"/>
    </i>
    <i r="2">
      <x v="204"/>
    </i>
    <i r="2">
      <x v="205"/>
    </i>
    <i r="1">
      <x v="45"/>
    </i>
    <i r="2">
      <x v="10"/>
    </i>
    <i r="2">
      <x v="88"/>
    </i>
    <i r="2">
      <x v="147"/>
    </i>
    <i r="2">
      <x v="191"/>
    </i>
    <i r="2">
      <x v="220"/>
    </i>
    <i r="2">
      <x v="238"/>
    </i>
    <i r="1">
      <x v="48"/>
    </i>
    <i r="2">
      <x v="149"/>
    </i>
    <i r="1">
      <x v="64"/>
    </i>
    <i r="2">
      <x v="310"/>
    </i>
    <i r="1">
      <x v="80"/>
    </i>
    <i r="2">
      <x v="28"/>
    </i>
    <i r="1">
      <x v="84"/>
    </i>
    <i r="2">
      <x v="94"/>
    </i>
    <i>
      <x v="5"/>
    </i>
    <i r="1">
      <x v="19"/>
    </i>
    <i r="2">
      <x v="142"/>
    </i>
    <i r="1">
      <x v="32"/>
    </i>
    <i r="2">
      <x v="271"/>
    </i>
    <i r="1">
      <x v="34"/>
    </i>
    <i r="2">
      <x v="15"/>
    </i>
    <i r="2">
      <x v="38"/>
    </i>
    <i r="2">
      <x v="252"/>
    </i>
    <i r="1">
      <x v="45"/>
    </i>
    <i r="2">
      <x v="33"/>
    </i>
    <i r="2">
      <x v="261"/>
    </i>
    <i r="1">
      <x v="66"/>
    </i>
    <i r="2">
      <x v="183"/>
    </i>
    <i r="1">
      <x v="76"/>
    </i>
    <i r="2">
      <x v="60"/>
    </i>
    <i>
      <x v="6"/>
    </i>
    <i r="1">
      <x v="7"/>
    </i>
    <i r="2">
      <x v="44"/>
    </i>
    <i r="2">
      <x v="178"/>
    </i>
    <i r="2">
      <x v="300"/>
    </i>
    <i r="1">
      <x v="8"/>
    </i>
    <i r="2">
      <x v="105"/>
    </i>
    <i r="1">
      <x v="20"/>
    </i>
    <i r="2">
      <x v="150"/>
    </i>
    <i r="1">
      <x v="22"/>
    </i>
    <i r="2">
      <x v="145"/>
    </i>
    <i r="1">
      <x v="24"/>
    </i>
    <i r="2">
      <x v="163"/>
    </i>
    <i r="1">
      <x v="25"/>
    </i>
    <i r="2">
      <x v="106"/>
    </i>
    <i r="1">
      <x v="29"/>
    </i>
    <i r="2">
      <x v="107"/>
    </i>
    <i r="1">
      <x v="32"/>
    </i>
    <i r="2">
      <x v="160"/>
    </i>
    <i r="2">
      <x v="216"/>
    </i>
    <i r="1">
      <x v="34"/>
    </i>
    <i r="2">
      <x v="184"/>
    </i>
    <i r="2">
      <x v="187"/>
    </i>
    <i r="1">
      <x v="45"/>
    </i>
    <i r="2">
      <x v="56"/>
    </i>
    <i r="2">
      <x v="57"/>
    </i>
    <i r="2">
      <x v="90"/>
    </i>
    <i r="2">
      <x v="143"/>
    </i>
    <i r="2">
      <x v="295"/>
    </i>
    <i r="1">
      <x v="50"/>
    </i>
    <i r="2">
      <x v="239"/>
    </i>
    <i r="1">
      <x v="52"/>
    </i>
    <i r="2">
      <x v="224"/>
    </i>
    <i r="1">
      <x v="54"/>
    </i>
    <i r="2">
      <x v="103"/>
    </i>
    <i r="1">
      <x v="59"/>
    </i>
    <i r="2">
      <x v="255"/>
    </i>
    <i r="1">
      <x v="62"/>
    </i>
    <i r="2">
      <x v="80"/>
    </i>
    <i r="1">
      <x v="67"/>
    </i>
    <i r="2">
      <x v="233"/>
    </i>
    <i r="1">
      <x v="68"/>
    </i>
    <i r="2">
      <x v="314"/>
    </i>
    <i r="1">
      <x v="74"/>
    </i>
    <i r="2">
      <x v="243"/>
    </i>
    <i>
      <x v="7"/>
    </i>
    <i r="1">
      <x/>
    </i>
    <i r="2">
      <x v="76"/>
    </i>
    <i r="1">
      <x v="4"/>
    </i>
    <i r="2">
      <x v="53"/>
    </i>
    <i r="2">
      <x v="61"/>
    </i>
    <i r="2">
      <x v="62"/>
    </i>
    <i r="2">
      <x v="85"/>
    </i>
    <i r="2">
      <x v="206"/>
    </i>
    <i r="1">
      <x v="5"/>
    </i>
    <i r="2">
      <x v="242"/>
    </i>
    <i r="1">
      <x v="6"/>
    </i>
    <i r="2">
      <x v="37"/>
    </i>
    <i r="2">
      <x v="40"/>
    </i>
    <i r="2">
      <x v="192"/>
    </i>
    <i r="2">
      <x v="270"/>
    </i>
    <i r="1">
      <x v="7"/>
    </i>
    <i r="2">
      <x v="253"/>
    </i>
    <i r="2">
      <x v="258"/>
    </i>
    <i r="1">
      <x v="10"/>
    </i>
    <i r="2">
      <x v="63"/>
    </i>
    <i r="2">
      <x v="209"/>
    </i>
    <i r="2">
      <x v="269"/>
    </i>
    <i r="1">
      <x v="11"/>
    </i>
    <i r="2">
      <x v="24"/>
    </i>
    <i r="2">
      <x v="83"/>
    </i>
    <i r="2">
      <x v="227"/>
    </i>
    <i r="2">
      <x v="257"/>
    </i>
    <i r="1">
      <x v="12"/>
    </i>
    <i r="2">
      <x v="203"/>
    </i>
    <i r="1">
      <x v="14"/>
    </i>
    <i r="2">
      <x v="59"/>
    </i>
    <i r="1">
      <x v="15"/>
    </i>
    <i r="2">
      <x v="121"/>
    </i>
    <i r="1">
      <x v="16"/>
    </i>
    <i r="2">
      <x v="112"/>
    </i>
    <i r="1">
      <x v="17"/>
    </i>
    <i r="2">
      <x v="260"/>
    </i>
    <i r="1">
      <x v="18"/>
    </i>
    <i r="2">
      <x v="12"/>
    </i>
    <i r="1">
      <x v="19"/>
    </i>
    <i r="2">
      <x v="26"/>
    </i>
    <i r="1">
      <x v="22"/>
    </i>
    <i r="2">
      <x v="145"/>
    </i>
    <i r="1">
      <x v="23"/>
    </i>
    <i r="2">
      <x v="164"/>
    </i>
    <i r="2">
      <x v="194"/>
    </i>
    <i r="2">
      <x v="195"/>
    </i>
    <i r="1">
      <x v="24"/>
    </i>
    <i r="2">
      <x v="5"/>
    </i>
    <i r="2">
      <x v="176"/>
    </i>
    <i r="2">
      <x v="256"/>
    </i>
    <i r="1">
      <x v="27"/>
    </i>
    <i r="2">
      <x v="70"/>
    </i>
    <i r="1">
      <x v="28"/>
    </i>
    <i r="2">
      <x v="77"/>
    </i>
    <i r="2">
      <x v="101"/>
    </i>
    <i r="1">
      <x v="29"/>
    </i>
    <i r="2">
      <x v="211"/>
    </i>
    <i r="1">
      <x v="30"/>
    </i>
    <i r="2">
      <x v="58"/>
    </i>
    <i r="2">
      <x v="135"/>
    </i>
    <i r="2">
      <x v="292"/>
    </i>
    <i r="1">
      <x v="31"/>
    </i>
    <i r="2">
      <x v="46"/>
    </i>
    <i r="1">
      <x v="32"/>
    </i>
    <i r="2">
      <x v="2"/>
    </i>
    <i r="2">
      <x v="8"/>
    </i>
    <i r="2">
      <x v="39"/>
    </i>
    <i r="2">
      <x v="78"/>
    </i>
    <i r="2">
      <x v="81"/>
    </i>
    <i r="2">
      <x v="137"/>
    </i>
    <i r="2">
      <x v="151"/>
    </i>
    <i r="2">
      <x v="172"/>
    </i>
    <i r="2">
      <x v="230"/>
    </i>
    <i r="2">
      <x v="234"/>
    </i>
    <i r="2">
      <x v="286"/>
    </i>
    <i r="2">
      <x v="289"/>
    </i>
    <i r="1">
      <x v="34"/>
    </i>
    <i r="2">
      <x v="9"/>
    </i>
    <i r="2">
      <x v="87"/>
    </i>
    <i r="2">
      <x v="108"/>
    </i>
    <i r="2">
      <x v="138"/>
    </i>
    <i r="2">
      <x v="148"/>
    </i>
    <i r="2">
      <x v="158"/>
    </i>
    <i r="2">
      <x v="218"/>
    </i>
    <i r="2">
      <x v="267"/>
    </i>
    <i r="2">
      <x v="277"/>
    </i>
    <i r="1">
      <x v="36"/>
    </i>
    <i r="2">
      <x v="22"/>
    </i>
    <i r="2">
      <x v="51"/>
    </i>
    <i r="2">
      <x v="188"/>
    </i>
    <i r="2">
      <x v="215"/>
    </i>
    <i r="1">
      <x v="37"/>
    </i>
    <i r="2">
      <x v="268"/>
    </i>
    <i r="1">
      <x v="38"/>
    </i>
    <i r="2">
      <x v="19"/>
    </i>
    <i r="2">
      <x v="72"/>
    </i>
    <i r="2">
      <x v="79"/>
    </i>
    <i r="1">
      <x v="39"/>
    </i>
    <i r="2">
      <x v="126"/>
    </i>
    <i r="2">
      <x v="196"/>
    </i>
    <i r="1">
      <x v="40"/>
    </i>
    <i r="2">
      <x v="175"/>
    </i>
    <i r="1">
      <x v="41"/>
    </i>
    <i r="2">
      <x v="66"/>
    </i>
    <i r="1">
      <x v="42"/>
    </i>
    <i r="2">
      <x v="161"/>
    </i>
    <i r="1">
      <x v="44"/>
    </i>
    <i r="2">
      <x v="118"/>
    </i>
    <i r="1">
      <x v="45"/>
    </i>
    <i r="2">
      <x v="31"/>
    </i>
    <i r="2">
      <x v="93"/>
    </i>
    <i r="2">
      <x v="140"/>
    </i>
    <i r="2">
      <x v="155"/>
    </i>
    <i r="2">
      <x v="157"/>
    </i>
    <i r="2">
      <x v="177"/>
    </i>
    <i r="2">
      <x v="207"/>
    </i>
    <i r="2">
      <x v="214"/>
    </i>
    <i r="2">
      <x v="262"/>
    </i>
    <i r="2">
      <x v="265"/>
    </i>
    <i r="1">
      <x v="46"/>
    </i>
    <i r="2">
      <x v="102"/>
    </i>
    <i r="2">
      <x v="104"/>
    </i>
    <i r="1">
      <x v="49"/>
    </i>
    <i r="2">
      <x v="297"/>
    </i>
    <i r="1">
      <x v="51"/>
    </i>
    <i r="2">
      <x v="100"/>
    </i>
    <i r="1">
      <x v="53"/>
    </i>
    <i r="2">
      <x v="67"/>
    </i>
    <i r="1">
      <x v="55"/>
    </i>
    <i r="2">
      <x v="312"/>
    </i>
    <i r="2">
      <x v="313"/>
    </i>
    <i r="1">
      <x v="56"/>
    </i>
    <i r="2">
      <x v="166"/>
    </i>
    <i r="1">
      <x v="58"/>
    </i>
    <i r="2">
      <x v="41"/>
    </i>
    <i r="1">
      <x v="60"/>
    </i>
    <i r="2">
      <x v="82"/>
    </i>
    <i r="2">
      <x v="99"/>
    </i>
    <i r="2">
      <x v="246"/>
    </i>
    <i r="2">
      <x v="315"/>
    </i>
    <i r="1">
      <x v="62"/>
    </i>
    <i r="2">
      <x v="17"/>
    </i>
    <i r="2">
      <x v="18"/>
    </i>
    <i r="2">
      <x v="48"/>
    </i>
    <i r="2">
      <x v="165"/>
    </i>
    <i r="2">
      <x v="219"/>
    </i>
    <i r="1">
      <x v="63"/>
    </i>
    <i r="2">
      <x v="95"/>
    </i>
    <i r="2">
      <x v="123"/>
    </i>
    <i r="2">
      <x v="200"/>
    </i>
    <i r="2">
      <x v="232"/>
    </i>
    <i r="2">
      <x v="266"/>
    </i>
    <i r="2">
      <x v="306"/>
    </i>
    <i r="1">
      <x v="64"/>
    </i>
    <i r="2">
      <x v="16"/>
    </i>
    <i r="2">
      <x v="21"/>
    </i>
    <i r="1">
      <x v="65"/>
    </i>
    <i r="2">
      <x v="71"/>
    </i>
    <i r="2">
      <x v="288"/>
    </i>
    <i r="1">
      <x v="66"/>
    </i>
    <i r="2">
      <x v="49"/>
    </i>
    <i r="2">
      <x v="84"/>
    </i>
    <i r="2">
      <x v="181"/>
    </i>
    <i r="1">
      <x v="67"/>
    </i>
    <i r="2">
      <x v="3"/>
    </i>
    <i r="2">
      <x v="96"/>
    </i>
    <i r="2">
      <x v="114"/>
    </i>
    <i r="2">
      <x v="156"/>
    </i>
    <i r="2">
      <x v="305"/>
    </i>
    <i r="2">
      <x v="307"/>
    </i>
    <i r="1">
      <x v="70"/>
    </i>
    <i r="2">
      <x v="173"/>
    </i>
    <i r="2">
      <x v="236"/>
    </i>
    <i r="1">
      <x v="71"/>
    </i>
    <i r="2">
      <x v="117"/>
    </i>
    <i r="2">
      <x v="198"/>
    </i>
    <i r="1">
      <x v="72"/>
    </i>
    <i r="2">
      <x v="144"/>
    </i>
    <i r="1">
      <x v="75"/>
    </i>
    <i r="2">
      <x v="110"/>
    </i>
    <i r="2">
      <x v="244"/>
    </i>
    <i r="2">
      <x v="245"/>
    </i>
    <i r="2">
      <x v="301"/>
    </i>
    <i r="1">
      <x v="76"/>
    </i>
    <i r="2">
      <x v="65"/>
    </i>
    <i r="2">
      <x v="228"/>
    </i>
    <i r="2">
      <x v="275"/>
    </i>
    <i r="1">
      <x v="77"/>
    </i>
    <i r="2">
      <x v="75"/>
    </i>
    <i r="2">
      <x v="109"/>
    </i>
    <i r="2">
      <x v="119"/>
    </i>
    <i r="2">
      <x v="152"/>
    </i>
    <i r="2">
      <x v="153"/>
    </i>
    <i r="2">
      <x v="174"/>
    </i>
    <i r="2">
      <x v="199"/>
    </i>
    <i r="2">
      <x v="202"/>
    </i>
    <i r="2">
      <x v="208"/>
    </i>
    <i r="2">
      <x v="229"/>
    </i>
    <i r="2">
      <x v="247"/>
    </i>
    <i r="2">
      <x v="251"/>
    </i>
    <i r="2">
      <x v="296"/>
    </i>
    <i r="2">
      <x v="308"/>
    </i>
    <i r="2">
      <x v="309"/>
    </i>
    <i r="1">
      <x v="78"/>
    </i>
    <i r="2">
      <x v="7"/>
    </i>
    <i r="2">
      <x v="11"/>
    </i>
    <i r="1">
      <x v="79"/>
    </i>
    <i r="2">
      <x v="169"/>
    </i>
    <i r="1">
      <x v="80"/>
    </i>
    <i r="2">
      <x v="29"/>
    </i>
    <i r="1">
      <x v="81"/>
    </i>
    <i r="2">
      <x v="298"/>
    </i>
    <i r="1">
      <x v="82"/>
    </i>
    <i r="2">
      <x v="171"/>
    </i>
    <i r="1">
      <x v="83"/>
    </i>
    <i r="2">
      <x v="42"/>
    </i>
    <i r="2">
      <x v="68"/>
    </i>
    <i r="2">
      <x v="128"/>
    </i>
    <i r="1">
      <x v="84"/>
    </i>
    <i r="2">
      <x v="4"/>
    </i>
    <i r="2">
      <x v="43"/>
    </i>
    <i r="2">
      <x v="186"/>
    </i>
    <i r="2">
      <x v="190"/>
    </i>
    <i r="1">
      <x v="85"/>
    </i>
    <i r="2">
      <x v="254"/>
    </i>
    <i r="2">
      <x v="280"/>
    </i>
    <i r="2">
      <x v="299"/>
    </i>
    <i r="1">
      <x v="87"/>
    </i>
    <i r="2">
      <x v="125"/>
    </i>
    <i r="1">
      <x v="89"/>
    </i>
    <i r="2">
      <x v="235"/>
    </i>
    <i>
      <x v="8"/>
    </i>
    <i r="1">
      <x v="8"/>
    </i>
    <i r="2">
      <x v="197"/>
    </i>
    <i r="2">
      <x v="263"/>
    </i>
    <i r="2">
      <x v="283"/>
    </i>
    <i r="1">
      <x v="13"/>
    </i>
    <i r="2">
      <x v="281"/>
    </i>
    <i r="1">
      <x v="14"/>
    </i>
    <i r="2">
      <x v="231"/>
    </i>
    <i r="1">
      <x v="17"/>
    </i>
    <i r="2">
      <x v="193"/>
    </i>
    <i r="1">
      <x v="18"/>
    </i>
    <i r="2">
      <x v="32"/>
    </i>
    <i r="2">
      <x v="162"/>
    </i>
    <i r="1">
      <x v="19"/>
    </i>
    <i r="2">
      <x v="273"/>
    </i>
    <i r="1">
      <x v="23"/>
    </i>
    <i r="2">
      <x v="225"/>
    </i>
    <i r="1">
      <x v="24"/>
    </i>
    <i r="2">
      <x v="6"/>
    </i>
    <i r="1">
      <x v="25"/>
    </i>
    <i r="2">
      <x v="226"/>
    </i>
    <i r="1">
      <x v="26"/>
    </i>
    <i r="2">
      <x v="282"/>
    </i>
    <i r="1">
      <x v="27"/>
    </i>
    <i r="2">
      <x v="168"/>
    </i>
    <i r="2">
      <x v="221"/>
    </i>
    <i r="2">
      <x v="222"/>
    </i>
    <i r="1">
      <x v="28"/>
    </i>
    <i r="2">
      <x v="170"/>
    </i>
    <i r="2">
      <x v="276"/>
    </i>
    <i r="1">
      <x v="31"/>
    </i>
    <i r="2">
      <x v="185"/>
    </i>
    <i r="1">
      <x v="32"/>
    </i>
    <i r="2">
      <x v="248"/>
    </i>
    <i r="2">
      <x v="287"/>
    </i>
    <i r="1">
      <x v="33"/>
    </i>
    <i r="2">
      <x v="69"/>
    </i>
    <i r="1">
      <x v="34"/>
    </i>
    <i r="2">
      <x v="179"/>
    </i>
    <i r="2">
      <x v="250"/>
    </i>
    <i r="2">
      <x v="284"/>
    </i>
    <i r="1">
      <x v="39"/>
    </i>
    <i r="2">
      <x v="91"/>
    </i>
    <i r="2">
      <x v="141"/>
    </i>
    <i r="2">
      <x v="290"/>
    </i>
    <i r="1">
      <x v="41"/>
    </i>
    <i r="2">
      <x v="223"/>
    </i>
    <i r="1">
      <x v="45"/>
    </i>
    <i r="2">
      <x v="23"/>
    </i>
    <i r="2">
      <x v="74"/>
    </i>
    <i r="2">
      <x v="89"/>
    </i>
    <i r="2">
      <x v="115"/>
    </i>
    <i r="2">
      <x v="146"/>
    </i>
    <i r="2">
      <x v="154"/>
    </i>
    <i r="2">
      <x v="272"/>
    </i>
    <i r="2">
      <x v="274"/>
    </i>
    <i r="2">
      <x v="285"/>
    </i>
    <i r="1">
      <x v="50"/>
    </i>
    <i r="2">
      <x v="240"/>
    </i>
    <i r="1">
      <x v="57"/>
    </i>
    <i r="2">
      <x v="311"/>
    </i>
    <i r="1">
      <x v="60"/>
    </i>
    <i r="2">
      <x v="36"/>
    </i>
    <i r="2">
      <x v="278"/>
    </i>
    <i r="1">
      <x v="61"/>
    </i>
    <i r="2">
      <x v="237"/>
    </i>
    <i r="1">
      <x v="67"/>
    </i>
    <i r="2">
      <x v="201"/>
    </i>
    <i r="2">
      <x v="210"/>
    </i>
    <i r="2">
      <x v="217"/>
    </i>
    <i r="1">
      <x v="69"/>
    </i>
    <i r="2">
      <x v="241"/>
    </i>
    <i r="1">
      <x v="73"/>
    </i>
    <i r="2">
      <x v="47"/>
    </i>
    <i r="1">
      <x v="77"/>
    </i>
    <i r="2">
      <x v="119"/>
    </i>
    <i r="2">
      <x v="247"/>
    </i>
    <i r="1">
      <x v="84"/>
    </i>
    <i r="2">
      <x v="20"/>
    </i>
    <i r="2">
      <x v="54"/>
    </i>
    <i r="1">
      <x v="85"/>
    </i>
    <i r="2">
      <x v="249"/>
    </i>
    <i r="1">
      <x v="88"/>
    </i>
    <i r="2">
      <x v="279"/>
    </i>
    <i>
      <x v="9"/>
    </i>
    <i r="1">
      <x v="1"/>
    </i>
    <i r="2">
      <x v="213"/>
    </i>
    <i r="1">
      <x v="3"/>
    </i>
    <i r="2">
      <x v="159"/>
    </i>
    <i r="1">
      <x v="4"/>
    </i>
    <i r="2">
      <x v="86"/>
    </i>
    <i r="1">
      <x v="8"/>
    </i>
    <i r="2">
      <x v="116"/>
    </i>
    <i r="1">
      <x v="19"/>
    </i>
    <i r="2">
      <x v="35"/>
    </i>
    <i r="1">
      <x v="24"/>
    </i>
    <i r="2">
      <x v="134"/>
    </i>
    <i r="1">
      <x v="34"/>
    </i>
    <i r="2">
      <x v="291"/>
    </i>
    <i r="1">
      <x v="36"/>
    </i>
    <i r="2">
      <x v="188"/>
    </i>
    <i r="1">
      <x v="39"/>
    </i>
    <i r="2">
      <x v="97"/>
    </i>
    <i r="2">
      <x v="129"/>
    </i>
    <i r="1">
      <x v="47"/>
    </i>
    <i r="2">
      <x v="30"/>
    </i>
    <i r="1">
      <x v="53"/>
    </i>
    <i r="2">
      <x v="122"/>
    </i>
    <i r="1">
      <x v="56"/>
    </i>
    <i r="2">
      <x v="167"/>
    </i>
    <i r="1">
      <x v="58"/>
    </i>
    <i r="2">
      <x v="212"/>
    </i>
    <i r="1">
      <x v="62"/>
    </i>
    <i r="2">
      <x v="131"/>
    </i>
    <i r="1">
      <x v="84"/>
    </i>
    <i r="2">
      <x v="14"/>
    </i>
    <i r="1">
      <x v="86"/>
    </i>
    <i r="2">
      <x v="294"/>
    </i>
    <i>
      <x v="10"/>
    </i>
    <i r="1">
      <x v="34"/>
    </i>
    <i r="2">
      <x v="111"/>
    </i>
    <i r="1">
      <x v="57"/>
    </i>
    <i r="2">
      <x v="13"/>
    </i>
    <i r="1">
      <x v="62"/>
    </i>
    <i r="2">
      <x v="130"/>
    </i>
    <i r="1">
      <x v="70"/>
    </i>
    <i r="2">
      <x v="98"/>
    </i>
    <i r="1">
      <x v="84"/>
    </i>
    <i r="2">
      <x v="1"/>
    </i>
    <i r="2">
      <x v="50"/>
    </i>
    <i r="2">
      <x v="120"/>
    </i>
    <i>
      <x v="11"/>
    </i>
    <i r="1">
      <x v="2"/>
    </i>
    <i r="2">
      <x v="64"/>
    </i>
    <i r="1">
      <x v="39"/>
    </i>
    <i r="2">
      <x v="127"/>
    </i>
    <i r="1">
      <x v="43"/>
    </i>
    <i r="2">
      <x v="136"/>
    </i>
    <i r="1">
      <x v="60"/>
    </i>
    <i r="2">
      <x v="132"/>
    </i>
    <i>
      <x v="12"/>
    </i>
    <i r="1">
      <x v="3"/>
    </i>
    <i r="2">
      <x v="27"/>
    </i>
    <i r="1">
      <x v="8"/>
    </i>
    <i r="2">
      <x v="264"/>
    </i>
    <i r="1">
      <x v="11"/>
    </i>
    <i r="2">
      <x v="227"/>
    </i>
    <i r="1">
      <x v="34"/>
    </i>
    <i r="2">
      <x v="259"/>
    </i>
    <i>
      <x v="13"/>
    </i>
    <i r="1">
      <x v="9"/>
    </i>
    <i r="2">
      <x/>
    </i>
    <i r="1">
      <x v="21"/>
    </i>
    <i r="2">
      <x v="189"/>
    </i>
    <i r="1">
      <x v="34"/>
    </i>
    <i r="2">
      <x v="113"/>
    </i>
    <i>
      <x v="14"/>
    </i>
    <i r="1">
      <x v="34"/>
    </i>
    <i r="2">
      <x v="73"/>
    </i>
    <i r="1">
      <x v="59"/>
    </i>
    <i r="2">
      <x v="133"/>
    </i>
    <i r="1">
      <x v="65"/>
    </i>
    <i r="2">
      <x v="71"/>
    </i>
    <i r="1">
      <x v="77"/>
    </i>
    <i r="2">
      <x v="247"/>
    </i>
    <i>
      <x v="15"/>
    </i>
    <i r="1">
      <x v="34"/>
    </i>
    <i r="2">
      <x v="139"/>
    </i>
    <i>
      <x v="16"/>
    </i>
    <i r="1">
      <x v="77"/>
    </i>
    <i r="2">
      <x v="302"/>
    </i>
    <i r="2">
      <x v="303"/>
    </i>
    <i>
      <x v="17"/>
    </i>
    <i r="1">
      <x v="71"/>
    </i>
    <i r="2">
      <x v="124"/>
    </i>
    <i>
      <x v="18"/>
    </i>
    <i r="1">
      <x v="8"/>
    </i>
    <i r="2">
      <x v="116"/>
    </i>
    <i r="1">
      <x v="77"/>
    </i>
    <i r="2">
      <x v="119"/>
    </i>
    <i>
      <x v="22"/>
    </i>
    <i r="1">
      <x v="84"/>
    </i>
    <i r="2">
      <x v="45"/>
    </i>
    <i t="grand">
      <x/>
    </i>
  </rowItems>
  <colItems count="1">
    <i/>
  </colItems>
  <dataFields count="1">
    <dataField name="Cuenta de Client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8"/>
  <sheetViews>
    <sheetView topLeftCell="A52" workbookViewId="0">
      <selection activeCell="A63" sqref="A63"/>
    </sheetView>
  </sheetViews>
  <sheetFormatPr baseColWidth="10" defaultColWidth="11" defaultRowHeight="13"/>
  <cols>
    <col min="1" max="1" width="49.09765625" customWidth="1"/>
    <col min="2" max="2" width="12.59765625" customWidth="1"/>
    <col min="3" max="3" width="13.59765625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s="37" t="s">
        <v>3</v>
      </c>
      <c r="B4">
        <v>3</v>
      </c>
      <c r="C4">
        <v>339219</v>
      </c>
    </row>
    <row r="5" spans="1:3">
      <c r="A5" s="37" t="s">
        <v>4</v>
      </c>
      <c r="B5">
        <v>1</v>
      </c>
      <c r="C5">
        <v>112956</v>
      </c>
    </row>
    <row r="6" spans="1:3">
      <c r="A6" s="37" t="s">
        <v>5</v>
      </c>
      <c r="B6">
        <v>5</v>
      </c>
      <c r="C6">
        <v>565287</v>
      </c>
    </row>
    <row r="7" spans="1:3">
      <c r="A7" s="37" t="s">
        <v>6</v>
      </c>
      <c r="B7">
        <v>4</v>
      </c>
      <c r="C7">
        <v>452846</v>
      </c>
    </row>
    <row r="8" spans="1:3">
      <c r="A8" s="37" t="s">
        <v>7</v>
      </c>
      <c r="B8">
        <v>2</v>
      </c>
      <c r="C8">
        <v>226171</v>
      </c>
    </row>
    <row r="9" spans="1:3">
      <c r="A9" s="37" t="s">
        <v>8</v>
      </c>
      <c r="B9">
        <v>11</v>
      </c>
      <c r="C9">
        <v>1244348</v>
      </c>
    </row>
    <row r="10" spans="1:3">
      <c r="A10" s="37" t="s">
        <v>9</v>
      </c>
      <c r="B10">
        <v>5</v>
      </c>
      <c r="C10">
        <v>565767</v>
      </c>
    </row>
    <row r="11" spans="1:3">
      <c r="A11" s="37" t="s">
        <v>10</v>
      </c>
      <c r="B11">
        <v>2</v>
      </c>
      <c r="C11">
        <v>226228</v>
      </c>
    </row>
    <row r="12" spans="1:3">
      <c r="A12" s="37" t="s">
        <v>11</v>
      </c>
      <c r="B12">
        <v>6</v>
      </c>
      <c r="C12">
        <v>678453</v>
      </c>
    </row>
    <row r="13" spans="1:3">
      <c r="A13" s="37" t="s">
        <v>12</v>
      </c>
      <c r="B13">
        <v>2</v>
      </c>
      <c r="C13">
        <v>226524</v>
      </c>
    </row>
    <row r="14" spans="1:3">
      <c r="A14" s="37" t="s">
        <v>13</v>
      </c>
      <c r="B14">
        <v>2</v>
      </c>
      <c r="C14">
        <v>226052</v>
      </c>
    </row>
    <row r="15" spans="1:3">
      <c r="A15" s="37" t="s">
        <v>14</v>
      </c>
      <c r="B15">
        <v>30</v>
      </c>
      <c r="C15">
        <v>3282852</v>
      </c>
    </row>
    <row r="16" spans="1:3">
      <c r="A16" s="37" t="s">
        <v>15</v>
      </c>
      <c r="B16">
        <v>2</v>
      </c>
      <c r="C16">
        <v>225824</v>
      </c>
    </row>
    <row r="17" spans="1:3">
      <c r="A17" s="37" t="s">
        <v>16</v>
      </c>
      <c r="B17">
        <v>2</v>
      </c>
      <c r="C17">
        <v>112995</v>
      </c>
    </row>
    <row r="18" spans="1:3">
      <c r="A18" s="37" t="s">
        <v>17</v>
      </c>
      <c r="B18">
        <v>3</v>
      </c>
      <c r="C18">
        <v>339182</v>
      </c>
    </row>
    <row r="19" spans="1:3">
      <c r="A19" s="37" t="s">
        <v>18</v>
      </c>
      <c r="B19">
        <v>2</v>
      </c>
      <c r="C19">
        <v>226551</v>
      </c>
    </row>
    <row r="20" spans="1:3">
      <c r="A20" s="37" t="s">
        <v>19</v>
      </c>
      <c r="B20">
        <v>2</v>
      </c>
      <c r="C20">
        <v>226080</v>
      </c>
    </row>
    <row r="21" spans="1:3">
      <c r="A21" s="37" t="s">
        <v>20</v>
      </c>
      <c r="B21">
        <v>2</v>
      </c>
      <c r="C21">
        <v>113266</v>
      </c>
    </row>
    <row r="22" spans="1:3">
      <c r="A22" s="37" t="s">
        <v>21</v>
      </c>
      <c r="B22">
        <v>3</v>
      </c>
      <c r="C22">
        <v>339378</v>
      </c>
    </row>
    <row r="23" spans="1:3">
      <c r="A23" s="37" t="s">
        <v>22</v>
      </c>
      <c r="B23">
        <v>12</v>
      </c>
      <c r="C23">
        <v>1357298</v>
      </c>
    </row>
    <row r="24" spans="1:3">
      <c r="A24" s="37" t="s">
        <v>23</v>
      </c>
      <c r="B24">
        <v>8</v>
      </c>
      <c r="C24">
        <v>905437</v>
      </c>
    </row>
    <row r="25" spans="1:3">
      <c r="A25" s="37" t="s">
        <v>24</v>
      </c>
      <c r="B25">
        <v>1</v>
      </c>
      <c r="C25">
        <v>113210</v>
      </c>
    </row>
    <row r="26" spans="1:3">
      <c r="A26" s="37" t="s">
        <v>25</v>
      </c>
      <c r="B26">
        <v>3</v>
      </c>
      <c r="C26">
        <v>339858</v>
      </c>
    </row>
    <row r="27" spans="1:3">
      <c r="A27" s="37" t="s">
        <v>26</v>
      </c>
      <c r="B27">
        <v>21</v>
      </c>
      <c r="C27">
        <v>2374777</v>
      </c>
    </row>
    <row r="28" spans="1:3">
      <c r="A28" s="37" t="s">
        <v>27</v>
      </c>
      <c r="B28">
        <v>3</v>
      </c>
      <c r="C28">
        <v>339303</v>
      </c>
    </row>
    <row r="29" spans="1:3">
      <c r="A29" s="37" t="s">
        <v>28</v>
      </c>
      <c r="B29">
        <v>39</v>
      </c>
      <c r="C29">
        <v>4412430</v>
      </c>
    </row>
    <row r="30" spans="1:3">
      <c r="A30" s="37" t="s">
        <v>29</v>
      </c>
      <c r="B30">
        <v>1</v>
      </c>
      <c r="C30">
        <v>113228</v>
      </c>
    </row>
    <row r="31" spans="1:3">
      <c r="A31" s="37" t="s">
        <v>30</v>
      </c>
      <c r="B31">
        <v>28</v>
      </c>
      <c r="C31">
        <v>2940088</v>
      </c>
    </row>
    <row r="32" spans="1:3">
      <c r="A32" s="37" t="s">
        <v>31</v>
      </c>
      <c r="B32">
        <v>22</v>
      </c>
      <c r="C32">
        <v>2036966</v>
      </c>
    </row>
    <row r="33" spans="1:3">
      <c r="A33" s="37" t="s">
        <v>32</v>
      </c>
      <c r="B33">
        <v>3</v>
      </c>
      <c r="C33">
        <v>339541</v>
      </c>
    </row>
    <row r="34" spans="1:3">
      <c r="A34" s="37" t="s">
        <v>33</v>
      </c>
      <c r="B34">
        <v>2</v>
      </c>
      <c r="C34">
        <v>226309</v>
      </c>
    </row>
    <row r="35" spans="1:3">
      <c r="A35" s="37" t="s">
        <v>34</v>
      </c>
      <c r="B35">
        <v>2</v>
      </c>
      <c r="C35">
        <v>226158</v>
      </c>
    </row>
    <row r="36" spans="1:3">
      <c r="A36" s="37" t="s">
        <v>35</v>
      </c>
      <c r="B36">
        <v>2</v>
      </c>
      <c r="C36">
        <v>226276</v>
      </c>
    </row>
    <row r="37" spans="1:3">
      <c r="A37" s="37" t="s">
        <v>36</v>
      </c>
      <c r="B37">
        <v>2</v>
      </c>
      <c r="C37">
        <v>226303</v>
      </c>
    </row>
    <row r="38" spans="1:3">
      <c r="A38" s="37" t="s">
        <v>37</v>
      </c>
      <c r="B38">
        <v>2</v>
      </c>
      <c r="C38">
        <v>226089</v>
      </c>
    </row>
    <row r="39" spans="1:3">
      <c r="A39" s="37" t="s">
        <v>38</v>
      </c>
      <c r="B39">
        <v>31</v>
      </c>
      <c r="C39">
        <v>3508190</v>
      </c>
    </row>
    <row r="40" spans="1:3">
      <c r="A40" s="37" t="s">
        <v>39</v>
      </c>
      <c r="B40">
        <v>18</v>
      </c>
      <c r="C40">
        <v>1832407</v>
      </c>
    </row>
    <row r="41" spans="1:3">
      <c r="A41" s="37" t="s">
        <v>40</v>
      </c>
      <c r="B41">
        <v>3</v>
      </c>
      <c r="C41">
        <v>339108</v>
      </c>
    </row>
    <row r="42" spans="1:3">
      <c r="A42" s="37" t="s">
        <v>41</v>
      </c>
      <c r="B42">
        <v>2</v>
      </c>
      <c r="C42">
        <v>225950</v>
      </c>
    </row>
    <row r="43" spans="1:3">
      <c r="A43" s="37" t="s">
        <v>42</v>
      </c>
      <c r="B43">
        <v>4</v>
      </c>
      <c r="C43">
        <v>452412</v>
      </c>
    </row>
    <row r="44" spans="1:3">
      <c r="A44" s="37" t="s">
        <v>43</v>
      </c>
      <c r="B44">
        <v>3</v>
      </c>
      <c r="C44">
        <v>339049</v>
      </c>
    </row>
    <row r="45" spans="1:3">
      <c r="A45" s="37" t="s">
        <v>44</v>
      </c>
      <c r="B45">
        <v>3</v>
      </c>
      <c r="C45">
        <v>339143</v>
      </c>
    </row>
    <row r="46" spans="1:3">
      <c r="A46" s="37" t="s">
        <v>45</v>
      </c>
      <c r="B46">
        <v>4</v>
      </c>
      <c r="C46">
        <v>453228</v>
      </c>
    </row>
    <row r="47" spans="1:3">
      <c r="A47" s="37" t="s">
        <v>46</v>
      </c>
      <c r="B47">
        <v>2</v>
      </c>
      <c r="C47">
        <v>226491</v>
      </c>
    </row>
    <row r="48" spans="1:3">
      <c r="A48" s="37" t="s">
        <v>47</v>
      </c>
      <c r="B48">
        <v>2</v>
      </c>
      <c r="C48">
        <v>226061</v>
      </c>
    </row>
    <row r="49" spans="1:3">
      <c r="A49" s="37" t="s">
        <v>48</v>
      </c>
      <c r="B49">
        <v>8</v>
      </c>
      <c r="C49">
        <v>904850</v>
      </c>
    </row>
    <row r="50" spans="1:3">
      <c r="A50" s="37" t="s">
        <v>49</v>
      </c>
      <c r="B50">
        <v>1</v>
      </c>
      <c r="C50">
        <v>113110</v>
      </c>
    </row>
    <row r="51" spans="1:3">
      <c r="A51" s="37" t="s">
        <v>50</v>
      </c>
      <c r="B51">
        <v>2</v>
      </c>
      <c r="C51">
        <v>226180</v>
      </c>
    </row>
    <row r="52" spans="1:3">
      <c r="A52" s="37" t="s">
        <v>51</v>
      </c>
      <c r="B52">
        <v>11</v>
      </c>
      <c r="C52">
        <v>1244934</v>
      </c>
    </row>
    <row r="53" spans="1:3">
      <c r="A53" s="37" t="s">
        <v>52</v>
      </c>
      <c r="B53">
        <v>7</v>
      </c>
      <c r="C53">
        <v>791440</v>
      </c>
    </row>
    <row r="54" spans="1:3">
      <c r="A54" s="37" t="s">
        <v>53</v>
      </c>
      <c r="B54">
        <v>7</v>
      </c>
      <c r="C54">
        <v>792512</v>
      </c>
    </row>
    <row r="55" spans="1:3">
      <c r="A55" s="37" t="s">
        <v>54</v>
      </c>
      <c r="B55">
        <v>31</v>
      </c>
      <c r="C55">
        <v>3393909</v>
      </c>
    </row>
    <row r="56" spans="1:3">
      <c r="A56" s="37" t="s">
        <v>55</v>
      </c>
      <c r="B56">
        <v>4</v>
      </c>
      <c r="C56">
        <v>451358</v>
      </c>
    </row>
    <row r="57" spans="1:3">
      <c r="A57" s="37" t="s">
        <v>56</v>
      </c>
      <c r="B57">
        <v>7</v>
      </c>
      <c r="C57">
        <v>791147</v>
      </c>
    </row>
    <row r="58" spans="1:3">
      <c r="A58" s="37" t="s">
        <v>57</v>
      </c>
      <c r="B58">
        <v>1</v>
      </c>
      <c r="C58">
        <v>112936</v>
      </c>
    </row>
    <row r="59" spans="1:3">
      <c r="A59" s="37" t="s">
        <v>58</v>
      </c>
      <c r="B59">
        <v>155</v>
      </c>
      <c r="C59">
        <v>23644301</v>
      </c>
    </row>
    <row r="60" spans="1:3">
      <c r="A60" s="37" t="s">
        <v>59</v>
      </c>
      <c r="B60">
        <v>14</v>
      </c>
      <c r="C60">
        <v>1583660</v>
      </c>
    </row>
    <row r="61" spans="1:3">
      <c r="A61" s="37" t="s">
        <v>60</v>
      </c>
      <c r="B61">
        <v>1</v>
      </c>
      <c r="C61">
        <v>113196</v>
      </c>
    </row>
    <row r="62" spans="1:3">
      <c r="A62" s="37" t="s">
        <v>61</v>
      </c>
      <c r="B62">
        <v>1</v>
      </c>
      <c r="C62">
        <v>113107</v>
      </c>
    </row>
    <row r="63" spans="1:3">
      <c r="A63" s="37" t="s">
        <v>62</v>
      </c>
      <c r="B63">
        <v>1</v>
      </c>
      <c r="C63">
        <v>113256</v>
      </c>
    </row>
    <row r="64" spans="1:3">
      <c r="A64" s="37" t="s">
        <v>63</v>
      </c>
      <c r="B64">
        <v>1</v>
      </c>
      <c r="C64">
        <v>113239</v>
      </c>
    </row>
    <row r="65" spans="1:3">
      <c r="A65" s="37" t="s">
        <v>64</v>
      </c>
      <c r="B65">
        <v>6</v>
      </c>
      <c r="C65">
        <v>678529</v>
      </c>
    </row>
    <row r="66" spans="1:3">
      <c r="A66" s="37" t="s">
        <v>65</v>
      </c>
      <c r="B66">
        <v>2</v>
      </c>
      <c r="C66">
        <v>225910</v>
      </c>
    </row>
    <row r="67" spans="1:3">
      <c r="A67" s="37" t="s">
        <v>66</v>
      </c>
      <c r="B67">
        <v>2</v>
      </c>
      <c r="C67">
        <v>226646</v>
      </c>
    </row>
    <row r="68" spans="1:3">
      <c r="A68" s="37" t="s">
        <v>67</v>
      </c>
      <c r="B68">
        <v>574</v>
      </c>
      <c r="C68">
        <v>69709509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00"/>
  <sheetViews>
    <sheetView showGridLines="0" tabSelected="1" topLeftCell="G56" zoomScale="70" zoomScaleNormal="70" workbookViewId="0">
      <selection activeCell="J63" sqref="J63"/>
    </sheetView>
  </sheetViews>
  <sheetFormatPr baseColWidth="10" defaultColWidth="11.59765625" defaultRowHeight="13"/>
  <cols>
    <col min="1" max="1" width="3.3984375" style="3" customWidth="1"/>
    <col min="2" max="2" width="61" style="1" customWidth="1"/>
    <col min="3" max="3" width="26.5" style="1" customWidth="1"/>
    <col min="4" max="4" width="24.5" style="124" customWidth="1"/>
    <col min="5" max="5" width="45.5" style="165" customWidth="1"/>
    <col min="6" max="6" width="46.59765625" style="2" customWidth="1"/>
    <col min="7" max="7" width="28.8984375" style="306" customWidth="1"/>
    <col min="8" max="8" width="10.8984375" style="4" customWidth="1"/>
    <col min="9" max="9" width="20.8984375" style="4" customWidth="1"/>
    <col min="10" max="10" width="19.69921875" style="4" customWidth="1"/>
    <col min="11" max="11" width="51" style="1" customWidth="1"/>
    <col min="12" max="12" width="15.796875" style="1" customWidth="1"/>
    <col min="13" max="13" width="21.09765625" style="1" customWidth="1"/>
    <col min="14" max="14" width="65.296875" style="3" customWidth="1"/>
    <col min="15" max="16384" width="11.59765625" style="3"/>
  </cols>
  <sheetData>
    <row r="2" spans="2:12" ht="19" thickBot="1">
      <c r="B2" s="5" t="s">
        <v>89</v>
      </c>
      <c r="C2" s="6"/>
      <c r="D2" s="123"/>
      <c r="E2" s="164"/>
      <c r="H2" s="30"/>
      <c r="I2" s="31"/>
      <c r="J2" s="31"/>
      <c r="K2" s="32"/>
      <c r="L2" s="32"/>
    </row>
    <row r="3" spans="2:12">
      <c r="I3" s="31"/>
      <c r="J3" s="31"/>
      <c r="K3" s="32"/>
      <c r="L3" s="32"/>
    </row>
    <row r="4" spans="2:12" ht="15.75" customHeight="1">
      <c r="B4" s="390" t="s">
        <v>367</v>
      </c>
      <c r="C4" s="390"/>
      <c r="D4" s="390"/>
      <c r="F4" s="391"/>
      <c r="G4" s="391"/>
      <c r="I4" s="8" t="s">
        <v>90</v>
      </c>
      <c r="J4" s="8" t="s">
        <v>91</v>
      </c>
      <c r="K4" s="8" t="s">
        <v>92</v>
      </c>
      <c r="L4" s="8"/>
    </row>
    <row r="5" spans="2:12" ht="14.5">
      <c r="B5" s="392" t="s">
        <v>93</v>
      </c>
      <c r="C5" s="7" t="s">
        <v>94</v>
      </c>
      <c r="D5" s="394" t="s">
        <v>95</v>
      </c>
      <c r="E5" s="13"/>
      <c r="F5" s="396"/>
      <c r="G5" s="326"/>
      <c r="H5" s="327"/>
      <c r="I5" s="33" t="s">
        <v>96</v>
      </c>
      <c r="J5" s="111">
        <v>61167</v>
      </c>
      <c r="K5" s="34">
        <v>1398534723</v>
      </c>
      <c r="L5" s="34"/>
    </row>
    <row r="6" spans="2:12">
      <c r="B6" s="393"/>
      <c r="C6" s="9">
        <v>46023</v>
      </c>
      <c r="D6" s="395"/>
      <c r="E6" s="13"/>
      <c r="F6" s="396"/>
      <c r="G6" s="328"/>
      <c r="H6" s="327"/>
      <c r="I6" s="35"/>
      <c r="J6" s="112"/>
      <c r="K6" s="36"/>
      <c r="L6" s="36"/>
    </row>
    <row r="7" spans="2:12">
      <c r="B7" s="10" t="s">
        <v>97</v>
      </c>
      <c r="C7" s="11">
        <v>354</v>
      </c>
      <c r="D7" s="125">
        <f>+C7/C10</f>
        <v>1</v>
      </c>
      <c r="E7" s="13"/>
      <c r="F7" s="325"/>
      <c r="G7" s="328"/>
      <c r="H7" s="327"/>
      <c r="I7" s="35"/>
      <c r="J7" s="112"/>
      <c r="K7" s="36"/>
      <c r="L7" s="36"/>
    </row>
    <row r="8" spans="2:12">
      <c r="B8" s="11" t="s">
        <v>98</v>
      </c>
      <c r="C8" s="11">
        <f>+C7-C9</f>
        <v>300</v>
      </c>
      <c r="D8" s="125">
        <f>+C8/C10</f>
        <v>0.84745762711864403</v>
      </c>
      <c r="E8" s="166"/>
      <c r="F8" s="329"/>
      <c r="G8" s="330"/>
      <c r="H8" s="331"/>
      <c r="I8" s="35"/>
      <c r="J8" s="112"/>
      <c r="K8" s="36"/>
      <c r="L8" s="36"/>
    </row>
    <row r="9" spans="2:12" ht="13.4" customHeight="1">
      <c r="B9" s="11" t="s">
        <v>99</v>
      </c>
      <c r="C9" s="11">
        <v>54</v>
      </c>
      <c r="D9" s="125">
        <f>+C9/C10</f>
        <v>0.15254237288135594</v>
      </c>
      <c r="E9" s="166"/>
      <c r="F9" s="329"/>
      <c r="G9" s="330"/>
      <c r="H9" s="331"/>
      <c r="I9" s="35"/>
      <c r="J9" s="112"/>
      <c r="K9" s="36"/>
      <c r="L9" s="36"/>
    </row>
    <row r="10" spans="2:12">
      <c r="B10" s="12" t="s">
        <v>100</v>
      </c>
      <c r="C10" s="12">
        <f>+C8+C9</f>
        <v>354</v>
      </c>
      <c r="D10" s="126">
        <v>1</v>
      </c>
      <c r="E10" s="167"/>
      <c r="F10" s="332"/>
      <c r="G10" s="333"/>
      <c r="H10" s="334"/>
      <c r="I10" s="35"/>
      <c r="J10" s="112"/>
      <c r="K10" s="36"/>
      <c r="L10" s="36"/>
    </row>
    <row r="11" spans="2:12">
      <c r="F11" s="335"/>
      <c r="G11" s="383"/>
      <c r="H11" s="327"/>
      <c r="I11" s="35"/>
      <c r="J11" s="112"/>
      <c r="K11" s="36"/>
      <c r="L11" s="36"/>
    </row>
    <row r="12" spans="2:12">
      <c r="I12" s="35"/>
      <c r="J12" s="112"/>
      <c r="K12" s="36"/>
      <c r="L12" s="36"/>
    </row>
    <row r="13" spans="2:12">
      <c r="I13" s="35"/>
      <c r="J13" s="112"/>
      <c r="K13" s="36"/>
      <c r="L13" s="36"/>
    </row>
    <row r="14" spans="2:12">
      <c r="B14" s="7" t="s">
        <v>101</v>
      </c>
      <c r="C14" s="9">
        <v>45992</v>
      </c>
      <c r="D14" s="127" t="s">
        <v>102</v>
      </c>
      <c r="F14" s="13"/>
      <c r="G14" s="14"/>
      <c r="I14" s="35"/>
      <c r="J14" s="112"/>
      <c r="K14" s="36"/>
      <c r="L14" s="36"/>
    </row>
    <row r="15" spans="2:12">
      <c r="B15" s="172" t="s">
        <v>1887</v>
      </c>
      <c r="C15" s="173">
        <v>1</v>
      </c>
      <c r="D15" s="128">
        <f>+Base!O17</f>
        <v>73500000</v>
      </c>
      <c r="E15" s="168"/>
      <c r="F15" s="15"/>
      <c r="G15" s="1"/>
      <c r="I15" s="35"/>
      <c r="J15" s="112"/>
      <c r="K15" s="36"/>
      <c r="L15" s="36"/>
    </row>
    <row r="16" spans="2:12">
      <c r="B16" s="349" t="s">
        <v>1888</v>
      </c>
      <c r="C16" s="350">
        <v>5</v>
      </c>
      <c r="D16" s="351">
        <f>+J40+J41+J42+J49</f>
        <v>12650800</v>
      </c>
      <c r="E16" s="168"/>
      <c r="F16" s="15"/>
      <c r="G16" s="1"/>
      <c r="I16" s="35"/>
      <c r="J16" s="112"/>
      <c r="K16" s="36"/>
      <c r="L16" s="36"/>
    </row>
    <row r="17" spans="2:12" ht="26">
      <c r="B17" s="370" t="s">
        <v>1900</v>
      </c>
      <c r="C17" s="308">
        <v>7</v>
      </c>
      <c r="D17" s="309">
        <f>SUM(J43:J49)</f>
        <v>188809200</v>
      </c>
      <c r="E17" s="168"/>
      <c r="F17" s="15"/>
      <c r="G17" s="1"/>
      <c r="I17" s="35"/>
      <c r="J17" s="112"/>
      <c r="K17" s="36"/>
      <c r="L17" s="36"/>
    </row>
    <row r="18" spans="2:12" ht="26">
      <c r="B18" s="371" t="s">
        <v>1901</v>
      </c>
      <c r="C18" s="116">
        <v>12</v>
      </c>
      <c r="D18" s="129">
        <f>SUM(J50:J61)</f>
        <v>329972000</v>
      </c>
      <c r="E18" s="168"/>
      <c r="F18" s="15"/>
      <c r="G18" s="1"/>
      <c r="I18" s="35"/>
      <c r="J18" s="112"/>
      <c r="K18" s="36"/>
      <c r="L18" s="36"/>
    </row>
    <row r="19" spans="2:12" ht="26">
      <c r="B19" s="372" t="s">
        <v>1889</v>
      </c>
      <c r="C19" s="373">
        <v>3</v>
      </c>
      <c r="D19" s="374">
        <f>+J62+J63+J64</f>
        <v>299860000</v>
      </c>
      <c r="E19" s="169"/>
      <c r="F19" s="109"/>
      <c r="G19" s="1"/>
      <c r="I19" s="35"/>
      <c r="J19" s="112"/>
      <c r="K19" s="36"/>
      <c r="L19" s="36"/>
    </row>
    <row r="20" spans="2:12" ht="26">
      <c r="B20" s="310" t="s">
        <v>1890</v>
      </c>
      <c r="C20" s="113">
        <v>7</v>
      </c>
      <c r="D20" s="131">
        <f>+J65+J66+J67+J68+J69+J70+J71</f>
        <v>235615000</v>
      </c>
      <c r="F20" s="110"/>
      <c r="G20" s="1"/>
      <c r="I20" s="35"/>
      <c r="J20" s="112"/>
      <c r="K20" s="36"/>
      <c r="L20" s="36"/>
    </row>
    <row r="21" spans="2:12">
      <c r="B21" s="16" t="s">
        <v>103</v>
      </c>
      <c r="C21" s="17">
        <v>8</v>
      </c>
      <c r="D21" s="132">
        <f>+Base!O148+Base!O151+Base!O254+Base!O401+Base!O402+J75</f>
        <v>28989750</v>
      </c>
      <c r="F21" s="15"/>
      <c r="G21" s="1"/>
      <c r="I21" s="35"/>
      <c r="J21" s="112"/>
      <c r="K21" s="36"/>
      <c r="L21" s="36"/>
    </row>
    <row r="22" spans="2:12">
      <c r="B22" s="311" t="s">
        <v>1891</v>
      </c>
      <c r="C22" s="312">
        <v>1</v>
      </c>
      <c r="D22" s="313">
        <f>+Base!O80</f>
        <v>9750000</v>
      </c>
      <c r="F22" s="15"/>
      <c r="G22" s="1"/>
      <c r="I22" s="35"/>
      <c r="J22" s="112"/>
      <c r="K22" s="36"/>
      <c r="L22" s="36"/>
    </row>
    <row r="23" spans="2:12" hidden="1">
      <c r="B23" s="117" t="s">
        <v>1892</v>
      </c>
      <c r="C23" s="118"/>
      <c r="D23" s="130"/>
      <c r="F23" s="15"/>
      <c r="G23" s="1"/>
      <c r="I23" s="35"/>
      <c r="J23" s="112"/>
      <c r="K23" s="36"/>
      <c r="L23" s="36"/>
    </row>
    <row r="24" spans="2:12" hidden="1">
      <c r="B24" s="18" t="s">
        <v>1896</v>
      </c>
      <c r="C24" s="19"/>
      <c r="D24" s="133"/>
      <c r="F24" s="15"/>
      <c r="G24" s="1"/>
      <c r="I24" s="35"/>
      <c r="J24" s="112"/>
      <c r="K24" s="36"/>
      <c r="L24" s="36"/>
    </row>
    <row r="25" spans="2:12" hidden="1">
      <c r="B25" s="20" t="s">
        <v>1893</v>
      </c>
      <c r="C25" s="21"/>
      <c r="D25" s="134"/>
      <c r="F25" s="15"/>
      <c r="G25" s="1"/>
      <c r="I25" s="35"/>
      <c r="J25" s="112"/>
      <c r="K25" s="36"/>
      <c r="L25" s="36"/>
    </row>
    <row r="26" spans="2:12">
      <c r="B26" s="22" t="s">
        <v>104</v>
      </c>
      <c r="C26" s="23">
        <v>4</v>
      </c>
      <c r="D26" s="135">
        <f>+J39+J81+J40+J41+J82+J83</f>
        <v>89215400</v>
      </c>
      <c r="F26" s="15"/>
      <c r="G26" s="1"/>
      <c r="I26" s="35"/>
      <c r="J26" s="112"/>
      <c r="K26" s="36"/>
      <c r="L26" s="36"/>
    </row>
    <row r="27" spans="2:12" ht="13.5" hidden="1" customHeight="1">
      <c r="B27" s="24" t="s">
        <v>1894</v>
      </c>
      <c r="C27" s="25"/>
      <c r="D27" s="136"/>
      <c r="G27" s="1"/>
      <c r="I27" s="35"/>
      <c r="J27" s="112"/>
      <c r="K27" s="36"/>
      <c r="L27" s="36"/>
    </row>
    <row r="28" spans="2:12" ht="13.5" customHeight="1">
      <c r="B28" s="320" t="s">
        <v>374</v>
      </c>
      <c r="C28" s="321">
        <v>6</v>
      </c>
      <c r="D28" s="322">
        <f>+J84+J85+J86+J87+J88+J89</f>
        <v>99643350</v>
      </c>
      <c r="G28" s="1"/>
      <c r="I28" s="35"/>
      <c r="J28" s="112"/>
      <c r="K28" s="36"/>
      <c r="L28" s="36"/>
    </row>
    <row r="29" spans="2:12" ht="13.5" hidden="1" customHeight="1">
      <c r="B29" s="114" t="s">
        <v>1864</v>
      </c>
      <c r="C29" s="115"/>
      <c r="D29" s="137">
        <f>+Base!O45</f>
        <v>296800000</v>
      </c>
      <c r="G29" s="1"/>
      <c r="I29" s="35"/>
      <c r="J29" s="112"/>
      <c r="K29" s="36"/>
      <c r="L29" s="36"/>
    </row>
    <row r="30" spans="2:12">
      <c r="B30" s="26" t="s">
        <v>105</v>
      </c>
      <c r="C30" s="27">
        <f>SUM(C15:C29)</f>
        <v>54</v>
      </c>
      <c r="D30" s="138">
        <f>SUM(D15:D29)</f>
        <v>1664805500</v>
      </c>
      <c r="F30" s="28"/>
      <c r="G30" s="29"/>
      <c r="I30" s="35"/>
      <c r="J30" s="112"/>
      <c r="K30" s="36"/>
      <c r="L30" s="36"/>
    </row>
    <row r="31" spans="2:12">
      <c r="B31" s="4" t="s">
        <v>384</v>
      </c>
      <c r="D31" s="139"/>
      <c r="I31" s="35"/>
      <c r="J31" s="112"/>
      <c r="K31" s="36"/>
      <c r="L31" s="36"/>
    </row>
    <row r="32" spans="2:12">
      <c r="I32" s="35"/>
      <c r="K32" s="36"/>
      <c r="L32" s="36"/>
    </row>
    <row r="33" spans="2:14" ht="21">
      <c r="B33" s="389" t="s">
        <v>1895</v>
      </c>
      <c r="C33" s="389"/>
      <c r="D33" s="324">
        <f>+D15+D16+D19+D17+D18</f>
        <v>904792000</v>
      </c>
      <c r="F33" s="28"/>
      <c r="G33" s="1"/>
    </row>
    <row r="35" spans="2:14" ht="15.5">
      <c r="B35" s="323" t="s">
        <v>106</v>
      </c>
    </row>
    <row r="36" spans="2:14">
      <c r="B36" s="29"/>
      <c r="D36" s="122"/>
    </row>
    <row r="37" spans="2:14">
      <c r="D37" s="122"/>
    </row>
    <row r="38" spans="2:14" ht="23">
      <c r="B38" s="235" t="s">
        <v>405</v>
      </c>
      <c r="C38" s="235" t="s">
        <v>70</v>
      </c>
      <c r="D38" s="235" t="s">
        <v>71</v>
      </c>
      <c r="E38" s="236" t="s">
        <v>72</v>
      </c>
      <c r="F38" s="235" t="s">
        <v>407</v>
      </c>
      <c r="G38" s="236" t="s">
        <v>107</v>
      </c>
      <c r="H38" s="235" t="s">
        <v>382</v>
      </c>
      <c r="I38" s="235" t="s">
        <v>94</v>
      </c>
      <c r="J38" s="235" t="s">
        <v>132</v>
      </c>
      <c r="K38" s="235" t="s">
        <v>108</v>
      </c>
      <c r="L38" s="235" t="s">
        <v>1897</v>
      </c>
      <c r="M38" s="235" t="s">
        <v>1853</v>
      </c>
      <c r="N38" s="235" t="s">
        <v>1856</v>
      </c>
    </row>
    <row r="39" spans="2:14" s="302" customFormat="1" ht="36" customHeight="1">
      <c r="B39" s="336" t="s">
        <v>1849</v>
      </c>
      <c r="C39" s="336" t="s">
        <v>1234</v>
      </c>
      <c r="D39" s="336" t="s">
        <v>488</v>
      </c>
      <c r="E39" s="337">
        <v>46010</v>
      </c>
      <c r="F39" s="338" t="s">
        <v>52</v>
      </c>
      <c r="G39" s="339" t="s">
        <v>136</v>
      </c>
      <c r="H39" s="336">
        <v>1000</v>
      </c>
      <c r="I39" s="336">
        <v>40</v>
      </c>
      <c r="J39" s="340">
        <v>73500000</v>
      </c>
      <c r="K39" s="337">
        <v>46047</v>
      </c>
      <c r="L39" s="337"/>
      <c r="M39" s="341" t="s">
        <v>1854</v>
      </c>
      <c r="N39" s="341" t="s">
        <v>1855</v>
      </c>
    </row>
    <row r="40" spans="2:14" s="302" customFormat="1" ht="36" customHeight="1">
      <c r="B40" s="352" t="s">
        <v>109</v>
      </c>
      <c r="C40" s="352" t="s">
        <v>1167</v>
      </c>
      <c r="D40" s="352" t="s">
        <v>488</v>
      </c>
      <c r="E40" s="353">
        <v>46013</v>
      </c>
      <c r="F40" s="354" t="s">
        <v>762</v>
      </c>
      <c r="G40" s="355" t="s">
        <v>158</v>
      </c>
      <c r="H40" s="352">
        <v>225</v>
      </c>
      <c r="I40" s="352">
        <v>9</v>
      </c>
      <c r="J40" s="356">
        <f>+J41+J42+J49</f>
        <v>6325400</v>
      </c>
      <c r="K40" s="353">
        <v>46015</v>
      </c>
      <c r="L40" s="353"/>
      <c r="M40" s="357" t="s">
        <v>1859</v>
      </c>
      <c r="N40" s="357" t="s">
        <v>1860</v>
      </c>
    </row>
    <row r="41" spans="2:14" s="302" customFormat="1" ht="36" customHeight="1">
      <c r="B41" s="352" t="s">
        <v>109</v>
      </c>
      <c r="C41" s="352" t="s">
        <v>1184</v>
      </c>
      <c r="D41" s="352" t="s">
        <v>488</v>
      </c>
      <c r="E41" s="353">
        <v>46017</v>
      </c>
      <c r="F41" s="354" t="s">
        <v>394</v>
      </c>
      <c r="G41" s="355" t="s">
        <v>1085</v>
      </c>
      <c r="H41" s="352">
        <v>30</v>
      </c>
      <c r="I41" s="352">
        <v>1</v>
      </c>
      <c r="J41" s="356">
        <v>1620000</v>
      </c>
      <c r="K41" s="353">
        <v>46020</v>
      </c>
      <c r="L41" s="353"/>
      <c r="M41" s="357" t="s">
        <v>1859</v>
      </c>
      <c r="N41" s="357" t="s">
        <v>1860</v>
      </c>
    </row>
    <row r="42" spans="2:14" s="302" customFormat="1" ht="36" customHeight="1">
      <c r="B42" s="352" t="s">
        <v>109</v>
      </c>
      <c r="C42" s="352" t="s">
        <v>1192</v>
      </c>
      <c r="D42" s="352" t="s">
        <v>488</v>
      </c>
      <c r="E42" s="353">
        <v>46013</v>
      </c>
      <c r="F42" s="354" t="s">
        <v>762</v>
      </c>
      <c r="G42" s="355" t="s">
        <v>158</v>
      </c>
      <c r="H42" s="352">
        <v>100</v>
      </c>
      <c r="I42" s="352">
        <v>4</v>
      </c>
      <c r="J42" s="356">
        <v>3705400</v>
      </c>
      <c r="K42" s="353">
        <v>46020</v>
      </c>
      <c r="L42" s="353"/>
      <c r="M42" s="357" t="s">
        <v>1859</v>
      </c>
      <c r="N42" s="357" t="s">
        <v>1860</v>
      </c>
    </row>
    <row r="43" spans="2:14" s="302" customFormat="1" ht="36" customHeight="1">
      <c r="B43" s="363" t="s">
        <v>117</v>
      </c>
      <c r="C43" s="363" t="s">
        <v>1006</v>
      </c>
      <c r="D43" s="364"/>
      <c r="E43" s="365">
        <v>46000</v>
      </c>
      <c r="F43" s="364" t="s">
        <v>52</v>
      </c>
      <c r="G43" s="366" t="s">
        <v>136</v>
      </c>
      <c r="H43" s="363">
        <v>500</v>
      </c>
      <c r="I43" s="363">
        <v>20</v>
      </c>
      <c r="J43" s="367">
        <v>36750000</v>
      </c>
      <c r="K43" s="365">
        <v>46001</v>
      </c>
      <c r="L43" s="365" t="s">
        <v>1899</v>
      </c>
      <c r="M43" s="368" t="s">
        <v>1854</v>
      </c>
      <c r="N43" s="368" t="s">
        <v>1865</v>
      </c>
    </row>
    <row r="44" spans="2:14" s="302" customFormat="1" ht="36" customHeight="1">
      <c r="B44" s="363" t="s">
        <v>117</v>
      </c>
      <c r="C44" s="363" t="s">
        <v>1632</v>
      </c>
      <c r="D44" s="363" t="s">
        <v>1634</v>
      </c>
      <c r="E44" s="365">
        <v>46038</v>
      </c>
      <c r="F44" s="364" t="s">
        <v>231</v>
      </c>
      <c r="G44" s="366" t="s">
        <v>230</v>
      </c>
      <c r="H44" s="363">
        <v>477</v>
      </c>
      <c r="I44" s="367">
        <v>1900</v>
      </c>
      <c r="J44" s="367">
        <v>46364400</v>
      </c>
      <c r="K44" s="365">
        <v>46043</v>
      </c>
      <c r="L44" s="365" t="s">
        <v>1899</v>
      </c>
      <c r="M44" s="368" t="s">
        <v>1859</v>
      </c>
      <c r="N44" s="368" t="s">
        <v>1867</v>
      </c>
    </row>
    <row r="45" spans="2:14" s="302" customFormat="1" ht="36" customHeight="1">
      <c r="B45" s="363" t="s">
        <v>117</v>
      </c>
      <c r="C45" s="363" t="s">
        <v>1632</v>
      </c>
      <c r="D45" s="364"/>
      <c r="E45" s="365">
        <v>46038</v>
      </c>
      <c r="F45" s="364" t="s">
        <v>231</v>
      </c>
      <c r="G45" s="366" t="s">
        <v>230</v>
      </c>
      <c r="H45" s="363">
        <v>59</v>
      </c>
      <c r="I45" s="367">
        <v>1900</v>
      </c>
      <c r="J45" s="367">
        <v>5734800</v>
      </c>
      <c r="K45" s="365">
        <v>46043</v>
      </c>
      <c r="L45" s="365" t="s">
        <v>1899</v>
      </c>
      <c r="M45" s="368" t="s">
        <v>1859</v>
      </c>
      <c r="N45" s="368" t="s">
        <v>1867</v>
      </c>
    </row>
    <row r="46" spans="2:14" s="302" customFormat="1" ht="36" customHeight="1">
      <c r="B46" s="363" t="s">
        <v>117</v>
      </c>
      <c r="C46" s="363" t="s">
        <v>1643</v>
      </c>
      <c r="D46" s="363"/>
      <c r="E46" s="365">
        <v>46038</v>
      </c>
      <c r="F46" s="364" t="s">
        <v>776</v>
      </c>
      <c r="G46" s="366" t="s">
        <v>230</v>
      </c>
      <c r="H46" s="363">
        <v>2</v>
      </c>
      <c r="I46" s="367">
        <v>1986</v>
      </c>
      <c r="J46" s="367">
        <f>+H46*105000</f>
        <v>210000</v>
      </c>
      <c r="K46" s="365">
        <v>46043</v>
      </c>
      <c r="L46" s="365" t="s">
        <v>1899</v>
      </c>
      <c r="M46" s="368" t="s">
        <v>1859</v>
      </c>
      <c r="N46" s="368" t="s">
        <v>1867</v>
      </c>
    </row>
    <row r="47" spans="2:14" s="302" customFormat="1" ht="36" customHeight="1">
      <c r="B47" s="363" t="s">
        <v>117</v>
      </c>
      <c r="C47" s="363" t="s">
        <v>1635</v>
      </c>
      <c r="D47" s="363" t="s">
        <v>1637</v>
      </c>
      <c r="E47" s="365">
        <v>46038</v>
      </c>
      <c r="F47" s="364" t="s">
        <v>776</v>
      </c>
      <c r="G47" s="366" t="s">
        <v>230</v>
      </c>
      <c r="H47" s="363">
        <v>988</v>
      </c>
      <c r="I47" s="367">
        <v>1986</v>
      </c>
      <c r="J47" s="367">
        <v>97200000</v>
      </c>
      <c r="K47" s="365">
        <v>46043</v>
      </c>
      <c r="L47" s="365" t="s">
        <v>1899</v>
      </c>
      <c r="M47" s="368" t="s">
        <v>1859</v>
      </c>
      <c r="N47" s="368" t="s">
        <v>1867</v>
      </c>
    </row>
    <row r="48" spans="2:14" s="302" customFormat="1" ht="36" customHeight="1">
      <c r="B48" s="369" t="s">
        <v>117</v>
      </c>
      <c r="C48" s="363" t="s">
        <v>1697</v>
      </c>
      <c r="D48" s="364"/>
      <c r="E48" s="365">
        <v>45677</v>
      </c>
      <c r="F48" s="364" t="s">
        <v>66</v>
      </c>
      <c r="G48" s="366" t="s">
        <v>136</v>
      </c>
      <c r="H48" s="363">
        <v>25</v>
      </c>
      <c r="I48" s="363">
        <v>1</v>
      </c>
      <c r="J48" s="367">
        <v>1550000</v>
      </c>
      <c r="K48" s="365">
        <v>46044</v>
      </c>
      <c r="L48" s="365" t="s">
        <v>1899</v>
      </c>
      <c r="M48" s="368" t="s">
        <v>1854</v>
      </c>
      <c r="N48" s="368" t="s">
        <v>1865</v>
      </c>
    </row>
    <row r="49" spans="2:14" s="302" customFormat="1" ht="36" customHeight="1">
      <c r="B49" s="369" t="s">
        <v>117</v>
      </c>
      <c r="C49" s="363" t="s">
        <v>1318</v>
      </c>
      <c r="D49" s="364"/>
      <c r="E49" s="365">
        <v>46024</v>
      </c>
      <c r="F49" s="364" t="s">
        <v>787</v>
      </c>
      <c r="G49" s="366" t="s">
        <v>1317</v>
      </c>
      <c r="H49" s="363">
        <v>5</v>
      </c>
      <c r="I49" s="363">
        <v>0</v>
      </c>
      <c r="J49" s="367">
        <v>1000000</v>
      </c>
      <c r="K49" s="365">
        <v>46029</v>
      </c>
      <c r="L49" s="365" t="s">
        <v>1899</v>
      </c>
      <c r="M49" s="368" t="s">
        <v>1854</v>
      </c>
      <c r="N49" s="368" t="s">
        <v>1865</v>
      </c>
    </row>
    <row r="50" spans="2:14" s="362" customFormat="1" ht="36" customHeight="1">
      <c r="B50" s="296" t="s">
        <v>117</v>
      </c>
      <c r="C50" s="296" t="s">
        <v>998</v>
      </c>
      <c r="D50" s="297"/>
      <c r="E50" s="298">
        <v>45995</v>
      </c>
      <c r="F50" s="297" t="s">
        <v>762</v>
      </c>
      <c r="G50" s="299" t="s">
        <v>136</v>
      </c>
      <c r="H50" s="296">
        <v>325</v>
      </c>
      <c r="I50" s="296">
        <v>13</v>
      </c>
      <c r="J50" s="300">
        <v>16957500</v>
      </c>
      <c r="K50" s="298">
        <v>45996</v>
      </c>
      <c r="L50" s="298" t="s">
        <v>1898</v>
      </c>
      <c r="M50" s="307" t="s">
        <v>1854</v>
      </c>
      <c r="N50" s="307" t="s">
        <v>1865</v>
      </c>
    </row>
    <row r="51" spans="2:14" s="362" customFormat="1" ht="36" customHeight="1">
      <c r="B51" s="296" t="s">
        <v>117</v>
      </c>
      <c r="C51" s="297"/>
      <c r="D51" s="297"/>
      <c r="E51" s="298">
        <v>46010</v>
      </c>
      <c r="F51" s="297" t="s">
        <v>393</v>
      </c>
      <c r="G51" s="299" t="s">
        <v>116</v>
      </c>
      <c r="H51" s="296">
        <v>175</v>
      </c>
      <c r="I51" s="296">
        <v>7</v>
      </c>
      <c r="J51" s="300">
        <v>3675000</v>
      </c>
      <c r="K51" s="298">
        <v>46015</v>
      </c>
      <c r="L51" s="298" t="s">
        <v>1898</v>
      </c>
      <c r="M51" s="307" t="s">
        <v>1859</v>
      </c>
      <c r="N51" s="307" t="s">
        <v>1860</v>
      </c>
    </row>
    <row r="52" spans="2:14" s="362" customFormat="1" ht="36" customHeight="1">
      <c r="B52" s="296" t="s">
        <v>117</v>
      </c>
      <c r="C52" s="296" t="s">
        <v>1400</v>
      </c>
      <c r="D52" s="297"/>
      <c r="E52" s="298">
        <v>46029</v>
      </c>
      <c r="F52" s="297" t="s">
        <v>32</v>
      </c>
      <c r="G52" s="299" t="s">
        <v>136</v>
      </c>
      <c r="H52" s="296">
        <v>50</v>
      </c>
      <c r="I52" s="296">
        <v>2</v>
      </c>
      <c r="J52" s="300">
        <v>2825000</v>
      </c>
      <c r="K52" s="298">
        <v>46031</v>
      </c>
      <c r="L52" s="298" t="s">
        <v>1898</v>
      </c>
      <c r="M52" s="307" t="s">
        <v>1854</v>
      </c>
      <c r="N52" s="307" t="s">
        <v>1865</v>
      </c>
    </row>
    <row r="53" spans="2:14" s="362" customFormat="1" ht="36" customHeight="1">
      <c r="B53" s="296" t="s">
        <v>117</v>
      </c>
      <c r="C53" s="296" t="s">
        <v>1526</v>
      </c>
      <c r="D53" s="296" t="s">
        <v>1528</v>
      </c>
      <c r="E53" s="298">
        <v>46035</v>
      </c>
      <c r="F53" s="297" t="s">
        <v>64</v>
      </c>
      <c r="G53" s="299" t="s">
        <v>679</v>
      </c>
      <c r="H53" s="296">
        <v>325</v>
      </c>
      <c r="I53" s="296">
        <v>13</v>
      </c>
      <c r="J53" s="300">
        <v>18287500</v>
      </c>
      <c r="K53" s="298">
        <v>46050</v>
      </c>
      <c r="L53" s="298" t="s">
        <v>1898</v>
      </c>
      <c r="M53" s="307" t="s">
        <v>1859</v>
      </c>
      <c r="N53" s="307" t="s">
        <v>1866</v>
      </c>
    </row>
    <row r="54" spans="2:14" s="362" customFormat="1" ht="36" customHeight="1">
      <c r="B54" s="296" t="s">
        <v>117</v>
      </c>
      <c r="C54" s="296" t="s">
        <v>1232</v>
      </c>
      <c r="D54" s="296"/>
      <c r="E54" s="298">
        <v>46003</v>
      </c>
      <c r="F54" s="297" t="s">
        <v>762</v>
      </c>
      <c r="G54" s="299" t="s">
        <v>840</v>
      </c>
      <c r="H54" s="296">
        <v>1000</v>
      </c>
      <c r="I54" s="296">
        <v>40</v>
      </c>
      <c r="J54" s="300">
        <v>18850000</v>
      </c>
      <c r="K54" s="298">
        <v>46035</v>
      </c>
      <c r="L54" s="298" t="s">
        <v>1898</v>
      </c>
      <c r="M54" s="307" t="s">
        <v>1854</v>
      </c>
      <c r="N54" s="307" t="s">
        <v>1865</v>
      </c>
    </row>
    <row r="55" spans="2:14" s="362" customFormat="1" ht="36" customHeight="1">
      <c r="B55" s="296" t="s">
        <v>117</v>
      </c>
      <c r="C55" s="296" t="s">
        <v>1558</v>
      </c>
      <c r="D55" s="296"/>
      <c r="E55" s="298">
        <v>46036</v>
      </c>
      <c r="F55" s="297" t="s">
        <v>762</v>
      </c>
      <c r="G55" s="299" t="s">
        <v>840</v>
      </c>
      <c r="H55" s="296">
        <v>2500</v>
      </c>
      <c r="I55" s="296">
        <v>100</v>
      </c>
      <c r="J55" s="300">
        <v>47125000</v>
      </c>
      <c r="K55" s="298">
        <v>46045</v>
      </c>
      <c r="L55" s="298" t="s">
        <v>1898</v>
      </c>
      <c r="M55" s="307" t="s">
        <v>1854</v>
      </c>
      <c r="N55" s="307" t="s">
        <v>1865</v>
      </c>
    </row>
    <row r="56" spans="2:14" s="362" customFormat="1" ht="36" customHeight="1">
      <c r="B56" s="296" t="s">
        <v>117</v>
      </c>
      <c r="C56" s="296" t="s">
        <v>1559</v>
      </c>
      <c r="D56" s="297"/>
      <c r="E56" s="298">
        <v>46036</v>
      </c>
      <c r="F56" s="297" t="s">
        <v>762</v>
      </c>
      <c r="G56" s="299" t="s">
        <v>767</v>
      </c>
      <c r="H56" s="296">
        <v>600</v>
      </c>
      <c r="I56" s="296">
        <v>24</v>
      </c>
      <c r="J56" s="300">
        <v>31752000</v>
      </c>
      <c r="K56" s="298">
        <v>46037</v>
      </c>
      <c r="L56" s="298" t="s">
        <v>1898</v>
      </c>
      <c r="M56" s="307" t="s">
        <v>1881</v>
      </c>
      <c r="N56" s="307" t="s">
        <v>1882</v>
      </c>
    </row>
    <row r="57" spans="2:14" s="362" customFormat="1" ht="36" customHeight="1">
      <c r="B57" s="296" t="s">
        <v>117</v>
      </c>
      <c r="C57" s="358" t="s">
        <v>1167</v>
      </c>
      <c r="D57" s="295" t="s">
        <v>1578</v>
      </c>
      <c r="E57" s="359">
        <v>46013</v>
      </c>
      <c r="F57" s="360" t="s">
        <v>762</v>
      </c>
      <c r="G57" s="299" t="s">
        <v>840</v>
      </c>
      <c r="H57" s="358">
        <v>1000</v>
      </c>
      <c r="I57" s="358">
        <v>40</v>
      </c>
      <c r="J57" s="361">
        <v>18850000</v>
      </c>
      <c r="K57" s="359">
        <v>46015</v>
      </c>
      <c r="L57" s="359" t="s">
        <v>1898</v>
      </c>
      <c r="M57" s="307" t="s">
        <v>1854</v>
      </c>
      <c r="N57" s="307" t="s">
        <v>1865</v>
      </c>
    </row>
    <row r="58" spans="2:14" s="362" customFormat="1" ht="36" customHeight="1">
      <c r="B58" s="296" t="s">
        <v>117</v>
      </c>
      <c r="C58" s="296" t="s">
        <v>1667</v>
      </c>
      <c r="D58" s="297"/>
      <c r="E58" s="298">
        <v>46041</v>
      </c>
      <c r="F58" s="297" t="s">
        <v>762</v>
      </c>
      <c r="G58" s="299" t="s">
        <v>116</v>
      </c>
      <c r="H58" s="296">
        <v>700</v>
      </c>
      <c r="I58" s="296">
        <v>28</v>
      </c>
      <c r="J58" s="300">
        <v>18850000</v>
      </c>
      <c r="K58" s="298">
        <v>46042</v>
      </c>
      <c r="L58" s="298" t="s">
        <v>1898</v>
      </c>
      <c r="M58" s="307" t="s">
        <v>1854</v>
      </c>
      <c r="N58" s="307" t="s">
        <v>1865</v>
      </c>
    </row>
    <row r="59" spans="2:14" s="362" customFormat="1" ht="36" customHeight="1">
      <c r="B59" s="295" t="s">
        <v>117</v>
      </c>
      <c r="C59" s="296" t="s">
        <v>1801</v>
      </c>
      <c r="D59" s="297"/>
      <c r="E59" s="298">
        <v>46050</v>
      </c>
      <c r="F59" s="297" t="s">
        <v>66</v>
      </c>
      <c r="G59" s="299" t="s">
        <v>136</v>
      </c>
      <c r="H59" s="296">
        <v>50</v>
      </c>
      <c r="I59" s="296">
        <v>2</v>
      </c>
      <c r="J59" s="300">
        <v>3100000</v>
      </c>
      <c r="K59" s="298">
        <v>46051</v>
      </c>
      <c r="L59" s="298" t="s">
        <v>1898</v>
      </c>
      <c r="M59" s="307" t="s">
        <v>1854</v>
      </c>
      <c r="N59" s="307" t="s">
        <v>1865</v>
      </c>
    </row>
    <row r="60" spans="2:14" s="362" customFormat="1" ht="36" customHeight="1">
      <c r="B60" s="295" t="s">
        <v>117</v>
      </c>
      <c r="C60" s="296" t="s">
        <v>1838</v>
      </c>
      <c r="D60" s="297"/>
      <c r="E60" s="298">
        <v>46051</v>
      </c>
      <c r="F60" s="297" t="s">
        <v>762</v>
      </c>
      <c r="G60" s="299" t="s">
        <v>136</v>
      </c>
      <c r="H60" s="296">
        <v>2000</v>
      </c>
      <c r="I60" s="296">
        <v>80</v>
      </c>
      <c r="J60" s="300">
        <v>99800000</v>
      </c>
      <c r="K60" s="298">
        <v>46052</v>
      </c>
      <c r="L60" s="298" t="s">
        <v>1898</v>
      </c>
      <c r="M60" s="307" t="s">
        <v>1854</v>
      </c>
      <c r="N60" s="307" t="s">
        <v>1865</v>
      </c>
    </row>
    <row r="61" spans="2:14" s="362" customFormat="1" ht="36" customHeight="1">
      <c r="B61" s="295" t="s">
        <v>117</v>
      </c>
      <c r="C61" s="296" t="s">
        <v>1839</v>
      </c>
      <c r="D61" s="297"/>
      <c r="E61" s="298">
        <v>46051</v>
      </c>
      <c r="F61" s="297" t="s">
        <v>762</v>
      </c>
      <c r="G61" s="299" t="s">
        <v>136</v>
      </c>
      <c r="H61" s="296">
        <v>1000</v>
      </c>
      <c r="I61" s="296">
        <v>40</v>
      </c>
      <c r="J61" s="300">
        <v>49900000</v>
      </c>
      <c r="K61" s="298">
        <v>46052</v>
      </c>
      <c r="L61" s="298" t="s">
        <v>1898</v>
      </c>
      <c r="M61" s="307" t="s">
        <v>1854</v>
      </c>
      <c r="N61" s="307" t="s">
        <v>1865</v>
      </c>
    </row>
    <row r="62" spans="2:14" s="302" customFormat="1" ht="36" customHeight="1">
      <c r="B62" s="375" t="s">
        <v>1863</v>
      </c>
      <c r="C62" s="376" t="s">
        <v>1760</v>
      </c>
      <c r="D62" s="377"/>
      <c r="E62" s="378">
        <v>45683</v>
      </c>
      <c r="F62" s="377" t="s">
        <v>762</v>
      </c>
      <c r="G62" s="379" t="s">
        <v>1669</v>
      </c>
      <c r="H62" s="376">
        <v>40</v>
      </c>
      <c r="I62" s="376">
        <v>2</v>
      </c>
      <c r="J62" s="380">
        <v>1380000</v>
      </c>
      <c r="K62" s="378">
        <v>46049</v>
      </c>
      <c r="L62" s="378"/>
      <c r="M62" s="381" t="s">
        <v>1868</v>
      </c>
      <c r="N62" s="381" t="s">
        <v>1878</v>
      </c>
    </row>
    <row r="63" spans="2:14" s="302" customFormat="1" ht="36" customHeight="1">
      <c r="B63" s="375" t="s">
        <v>1863</v>
      </c>
      <c r="C63" s="376" t="s">
        <v>1801</v>
      </c>
      <c r="D63" s="376" t="s">
        <v>1802</v>
      </c>
      <c r="E63" s="378">
        <v>46050</v>
      </c>
      <c r="F63" s="377" t="s">
        <v>66</v>
      </c>
      <c r="G63" s="379" t="s">
        <v>1669</v>
      </c>
      <c r="H63" s="376">
        <v>40</v>
      </c>
      <c r="I63" s="376">
        <v>2</v>
      </c>
      <c r="J63" s="380">
        <v>1680000</v>
      </c>
      <c r="K63" s="378">
        <v>46051</v>
      </c>
      <c r="L63" s="378"/>
      <c r="M63" s="381" t="s">
        <v>1868</v>
      </c>
      <c r="N63" s="381" t="s">
        <v>1878</v>
      </c>
    </row>
    <row r="64" spans="2:14" s="382" customFormat="1" ht="36" customHeight="1">
      <c r="B64" s="375" t="s">
        <v>1863</v>
      </c>
      <c r="C64" s="376" t="s">
        <v>1285</v>
      </c>
      <c r="D64" s="376"/>
      <c r="E64" s="378">
        <v>46024</v>
      </c>
      <c r="F64" s="377" t="s">
        <v>181</v>
      </c>
      <c r="G64" s="379" t="s">
        <v>158</v>
      </c>
      <c r="H64" s="376">
        <v>8000</v>
      </c>
      <c r="I64" s="376">
        <v>320</v>
      </c>
      <c r="J64" s="380">
        <v>296800000</v>
      </c>
      <c r="K64" s="378">
        <v>46027</v>
      </c>
      <c r="L64" s="378"/>
      <c r="M64" s="381" t="s">
        <v>1861</v>
      </c>
      <c r="N64" s="381" t="s">
        <v>1862</v>
      </c>
    </row>
    <row r="65" spans="1:14" s="302" customFormat="1" ht="36" customHeight="1">
      <c r="B65" s="301" t="s">
        <v>773</v>
      </c>
      <c r="C65" s="273" t="s">
        <v>1569</v>
      </c>
      <c r="D65" s="273" t="s">
        <v>1570</v>
      </c>
      <c r="E65" s="274">
        <v>46036</v>
      </c>
      <c r="F65" s="272" t="s">
        <v>181</v>
      </c>
      <c r="G65" s="275" t="s">
        <v>209</v>
      </c>
      <c r="H65" s="273">
        <v>500</v>
      </c>
      <c r="I65" s="273">
        <v>20</v>
      </c>
      <c r="J65" s="276">
        <v>73775000</v>
      </c>
      <c r="K65" s="274">
        <v>46038</v>
      </c>
      <c r="L65" s="274"/>
      <c r="M65" s="285" t="s">
        <v>773</v>
      </c>
      <c r="N65" s="304" t="s">
        <v>1873</v>
      </c>
    </row>
    <row r="66" spans="1:14" s="302" customFormat="1" ht="36" customHeight="1">
      <c r="B66" s="301" t="s">
        <v>773</v>
      </c>
      <c r="C66" s="273" t="s">
        <v>1573</v>
      </c>
      <c r="D66" s="273" t="s">
        <v>1574</v>
      </c>
      <c r="E66" s="274">
        <v>46036</v>
      </c>
      <c r="F66" s="272" t="s">
        <v>169</v>
      </c>
      <c r="G66" s="275" t="s">
        <v>194</v>
      </c>
      <c r="H66" s="273">
        <v>600</v>
      </c>
      <c r="I66" s="273">
        <v>24</v>
      </c>
      <c r="J66" s="276">
        <v>10920000</v>
      </c>
      <c r="K66" s="274">
        <v>46038</v>
      </c>
      <c r="L66" s="274"/>
      <c r="M66" s="285" t="s">
        <v>773</v>
      </c>
      <c r="N66" s="273" t="s">
        <v>1879</v>
      </c>
    </row>
    <row r="67" spans="1:14" s="302" customFormat="1" ht="36" customHeight="1">
      <c r="B67" s="301" t="s">
        <v>773</v>
      </c>
      <c r="C67" s="273" t="s">
        <v>1579</v>
      </c>
      <c r="D67" s="273" t="s">
        <v>1580</v>
      </c>
      <c r="E67" s="274">
        <v>46037</v>
      </c>
      <c r="F67" s="272" t="s">
        <v>195</v>
      </c>
      <c r="G67" s="275" t="s">
        <v>1208</v>
      </c>
      <c r="H67" s="273">
        <v>600</v>
      </c>
      <c r="I67" s="273">
        <v>24</v>
      </c>
      <c r="J67" s="276">
        <v>12120000</v>
      </c>
      <c r="K67" s="274">
        <v>46041</v>
      </c>
      <c r="L67" s="274"/>
      <c r="M67" s="285" t="s">
        <v>773</v>
      </c>
      <c r="N67" s="304" t="s">
        <v>1880</v>
      </c>
    </row>
    <row r="68" spans="1:14" s="302" customFormat="1" ht="36" customHeight="1">
      <c r="B68" s="301" t="s">
        <v>773</v>
      </c>
      <c r="C68" s="273" t="s">
        <v>1579</v>
      </c>
      <c r="D68" s="273" t="s">
        <v>1580</v>
      </c>
      <c r="E68" s="274">
        <v>46037</v>
      </c>
      <c r="F68" s="272" t="s">
        <v>195</v>
      </c>
      <c r="G68" s="275" t="s">
        <v>764</v>
      </c>
      <c r="H68" s="273">
        <v>50</v>
      </c>
      <c r="I68" s="273">
        <v>2</v>
      </c>
      <c r="J68" s="276">
        <v>12000000</v>
      </c>
      <c r="K68" s="274">
        <v>46041</v>
      </c>
      <c r="L68" s="274"/>
      <c r="M68" s="285" t="s">
        <v>773</v>
      </c>
      <c r="N68" s="304" t="s">
        <v>1880</v>
      </c>
    </row>
    <row r="69" spans="1:14" s="302" customFormat="1" ht="36" customHeight="1">
      <c r="B69" s="301" t="s">
        <v>773</v>
      </c>
      <c r="C69" s="273" t="s">
        <v>1652</v>
      </c>
      <c r="D69" s="273" t="s">
        <v>1653</v>
      </c>
      <c r="E69" s="274">
        <v>46041</v>
      </c>
      <c r="F69" s="272" t="s">
        <v>765</v>
      </c>
      <c r="G69" s="275" t="s">
        <v>779</v>
      </c>
      <c r="H69" s="273">
        <v>200</v>
      </c>
      <c r="I69" s="273">
        <v>8</v>
      </c>
      <c r="J69" s="276">
        <v>7000000</v>
      </c>
      <c r="K69" s="274">
        <v>46049</v>
      </c>
      <c r="L69" s="274"/>
      <c r="M69" s="285" t="s">
        <v>773</v>
      </c>
      <c r="N69" s="273" t="s">
        <v>1875</v>
      </c>
    </row>
    <row r="70" spans="1:14" s="302" customFormat="1" ht="36" customHeight="1">
      <c r="B70" s="301" t="s">
        <v>773</v>
      </c>
      <c r="C70" s="273" t="s">
        <v>1734</v>
      </c>
      <c r="D70" s="273" t="s">
        <v>1735</v>
      </c>
      <c r="E70" s="274">
        <v>45679</v>
      </c>
      <c r="F70" s="272" t="s">
        <v>393</v>
      </c>
      <c r="G70" s="275" t="s">
        <v>764</v>
      </c>
      <c r="H70" s="273">
        <v>500</v>
      </c>
      <c r="I70" s="273">
        <v>20</v>
      </c>
      <c r="J70" s="276">
        <v>118000000</v>
      </c>
      <c r="K70" s="274">
        <v>46049</v>
      </c>
      <c r="L70" s="274"/>
      <c r="M70" s="285" t="s">
        <v>773</v>
      </c>
      <c r="N70" s="288" t="s">
        <v>1872</v>
      </c>
    </row>
    <row r="71" spans="1:14" s="302" customFormat="1" ht="36" customHeight="1">
      <c r="B71" s="301" t="s">
        <v>773</v>
      </c>
      <c r="C71" s="273" t="s">
        <v>1760</v>
      </c>
      <c r="D71" s="273" t="s">
        <v>1761</v>
      </c>
      <c r="E71" s="274">
        <v>45683</v>
      </c>
      <c r="F71" s="272" t="s">
        <v>762</v>
      </c>
      <c r="G71" s="275" t="s">
        <v>766</v>
      </c>
      <c r="H71" s="273">
        <v>12</v>
      </c>
      <c r="I71" s="273">
        <v>12</v>
      </c>
      <c r="J71" s="276">
        <v>1800000</v>
      </c>
      <c r="K71" s="274">
        <v>46049</v>
      </c>
      <c r="L71" s="274"/>
      <c r="M71" s="285" t="s">
        <v>773</v>
      </c>
      <c r="N71" s="288" t="s">
        <v>1874</v>
      </c>
    </row>
    <row r="72" spans="1:14" s="302" customFormat="1" ht="36" customHeight="1">
      <c r="B72" s="265" t="s">
        <v>728</v>
      </c>
      <c r="C72" s="265" t="s">
        <v>1444</v>
      </c>
      <c r="D72" s="265" t="s">
        <v>1445</v>
      </c>
      <c r="E72" s="266">
        <v>46030</v>
      </c>
      <c r="F72" s="267" t="s">
        <v>323</v>
      </c>
      <c r="G72" s="268" t="s">
        <v>1281</v>
      </c>
      <c r="H72" s="265">
        <v>300</v>
      </c>
      <c r="I72" s="265">
        <v>12</v>
      </c>
      <c r="J72" s="269">
        <v>12237750</v>
      </c>
      <c r="K72" s="266">
        <v>46035</v>
      </c>
      <c r="L72" s="266"/>
      <c r="M72" s="305" t="s">
        <v>728</v>
      </c>
      <c r="N72" s="305" t="s">
        <v>1877</v>
      </c>
    </row>
    <row r="73" spans="1:14" s="302" customFormat="1" ht="36" customHeight="1">
      <c r="B73" s="265" t="s">
        <v>728</v>
      </c>
      <c r="C73" s="265" t="s">
        <v>1452</v>
      </c>
      <c r="D73" s="265" t="s">
        <v>1453</v>
      </c>
      <c r="E73" s="266">
        <v>46030</v>
      </c>
      <c r="F73" s="267" t="s">
        <v>1454</v>
      </c>
      <c r="G73" s="268" t="s">
        <v>1317</v>
      </c>
      <c r="H73" s="265">
        <v>15</v>
      </c>
      <c r="I73" s="265">
        <v>3</v>
      </c>
      <c r="J73" s="269">
        <v>3225000</v>
      </c>
      <c r="K73" s="266">
        <v>46031</v>
      </c>
      <c r="L73" s="266"/>
      <c r="M73" s="305" t="s">
        <v>728</v>
      </c>
      <c r="N73" s="305" t="s">
        <v>1877</v>
      </c>
    </row>
    <row r="74" spans="1:14" s="302" customFormat="1" ht="36" customHeight="1">
      <c r="B74" s="265" t="s">
        <v>728</v>
      </c>
      <c r="C74" s="265" t="s">
        <v>1607</v>
      </c>
      <c r="D74" s="265" t="s">
        <v>1608</v>
      </c>
      <c r="E74" s="266">
        <v>46037</v>
      </c>
      <c r="F74" s="267" t="s">
        <v>368</v>
      </c>
      <c r="G74" s="268" t="s">
        <v>766</v>
      </c>
      <c r="H74" s="265">
        <v>50</v>
      </c>
      <c r="I74" s="265">
        <v>2</v>
      </c>
      <c r="J74" s="269">
        <v>8250000</v>
      </c>
      <c r="K74" s="266">
        <v>46041</v>
      </c>
      <c r="L74" s="266"/>
      <c r="M74" s="305" t="s">
        <v>728</v>
      </c>
      <c r="N74" s="305" t="s">
        <v>1877</v>
      </c>
    </row>
    <row r="75" spans="1:14" s="302" customFormat="1" ht="36" customHeight="1">
      <c r="B75" s="265" t="s">
        <v>728</v>
      </c>
      <c r="C75" s="265" t="s">
        <v>1538</v>
      </c>
      <c r="D75" s="265" t="s">
        <v>1539</v>
      </c>
      <c r="E75" s="266">
        <v>46030</v>
      </c>
      <c r="F75" s="267" t="s">
        <v>323</v>
      </c>
      <c r="G75" s="268" t="s">
        <v>1281</v>
      </c>
      <c r="H75" s="265">
        <v>20</v>
      </c>
      <c r="I75" s="265">
        <v>1</v>
      </c>
      <c r="J75" s="269">
        <v>777000</v>
      </c>
      <c r="K75" s="266">
        <v>46043</v>
      </c>
      <c r="L75" s="266"/>
      <c r="M75" s="305" t="s">
        <v>728</v>
      </c>
      <c r="N75" s="305" t="s">
        <v>1877</v>
      </c>
    </row>
    <row r="76" spans="1:14" customFormat="1" ht="33.5" customHeight="1">
      <c r="A76" s="3"/>
      <c r="B76" s="265" t="s">
        <v>728</v>
      </c>
      <c r="C76" s="265" t="s">
        <v>1477</v>
      </c>
      <c r="D76" s="265" t="s">
        <v>1478</v>
      </c>
      <c r="E76" s="266">
        <v>46031</v>
      </c>
      <c r="F76" s="384" t="s">
        <v>231</v>
      </c>
      <c r="G76" s="267" t="s">
        <v>1208</v>
      </c>
      <c r="H76" s="265">
        <v>500</v>
      </c>
      <c r="I76" s="265">
        <v>20</v>
      </c>
      <c r="J76" s="265">
        <v>8000000</v>
      </c>
      <c r="K76" s="266">
        <v>46036</v>
      </c>
      <c r="L76" s="266"/>
      <c r="M76" s="305" t="s">
        <v>728</v>
      </c>
      <c r="N76" s="305" t="s">
        <v>1877</v>
      </c>
    </row>
    <row r="77" spans="1:14" customFormat="1" ht="27" customHeight="1">
      <c r="A77" s="3"/>
      <c r="B77" s="265" t="s">
        <v>728</v>
      </c>
      <c r="C77" s="265" t="s">
        <v>1635</v>
      </c>
      <c r="D77" s="265" t="s">
        <v>1636</v>
      </c>
      <c r="E77" s="266">
        <v>46038</v>
      </c>
      <c r="F77" s="384" t="s">
        <v>776</v>
      </c>
      <c r="G77" s="268" t="s">
        <v>772</v>
      </c>
      <c r="H77" s="265">
        <v>45</v>
      </c>
      <c r="I77" s="265">
        <v>45</v>
      </c>
      <c r="J77" s="269">
        <v>2700000</v>
      </c>
      <c r="K77" s="266">
        <v>46036</v>
      </c>
      <c r="L77" s="385"/>
      <c r="M77" s="305" t="s">
        <v>728</v>
      </c>
      <c r="N77" s="305" t="s">
        <v>1877</v>
      </c>
    </row>
    <row r="78" spans="1:14" s="302" customFormat="1" ht="36" customHeight="1">
      <c r="B78" s="265" t="s">
        <v>728</v>
      </c>
      <c r="C78" s="265" t="s">
        <v>1814</v>
      </c>
      <c r="D78" s="265" t="s">
        <v>1815</v>
      </c>
      <c r="E78" s="266">
        <v>46050</v>
      </c>
      <c r="F78" s="267" t="s">
        <v>791</v>
      </c>
      <c r="G78" s="268" t="s">
        <v>906</v>
      </c>
      <c r="H78" s="265">
        <v>20</v>
      </c>
      <c r="I78" s="265">
        <v>20</v>
      </c>
      <c r="J78" s="269">
        <v>4500000</v>
      </c>
      <c r="K78" s="266">
        <v>46051</v>
      </c>
      <c r="L78" s="266"/>
      <c r="M78" s="305" t="s">
        <v>728</v>
      </c>
      <c r="N78" s="305" t="s">
        <v>1877</v>
      </c>
    </row>
    <row r="79" spans="1:14" s="302" customFormat="1" ht="36" customHeight="1">
      <c r="B79" s="265" t="s">
        <v>728</v>
      </c>
      <c r="C79" s="265" t="s">
        <v>1816</v>
      </c>
      <c r="D79" s="265" t="s">
        <v>1817</v>
      </c>
      <c r="E79" s="266">
        <v>46050</v>
      </c>
      <c r="F79" s="267" t="s">
        <v>791</v>
      </c>
      <c r="G79" s="268" t="s">
        <v>1313</v>
      </c>
      <c r="H79" s="269">
        <v>2475</v>
      </c>
      <c r="I79" s="265">
        <v>33</v>
      </c>
      <c r="J79" s="267"/>
      <c r="K79" s="266">
        <v>46051</v>
      </c>
      <c r="L79" s="266"/>
      <c r="M79" s="305" t="s">
        <v>728</v>
      </c>
      <c r="N79" s="305" t="s">
        <v>1877</v>
      </c>
    </row>
    <row r="80" spans="1:14" s="302" customFormat="1" ht="36" customHeight="1">
      <c r="B80" s="314" t="s">
        <v>1850</v>
      </c>
      <c r="C80" s="314" t="s">
        <v>1344</v>
      </c>
      <c r="D80" s="314" t="s">
        <v>1345</v>
      </c>
      <c r="E80" s="315">
        <v>46027</v>
      </c>
      <c r="F80" s="316" t="s">
        <v>167</v>
      </c>
      <c r="G80" s="317" t="s">
        <v>194</v>
      </c>
      <c r="H80" s="314">
        <v>500</v>
      </c>
      <c r="I80" s="314">
        <v>20</v>
      </c>
      <c r="J80" s="318">
        <v>9750000</v>
      </c>
      <c r="K80" s="315">
        <v>46029</v>
      </c>
      <c r="L80" s="315"/>
      <c r="M80" s="319" t="s">
        <v>1886</v>
      </c>
      <c r="N80" s="319" t="s">
        <v>1885</v>
      </c>
    </row>
    <row r="81" spans="2:14" s="302" customFormat="1" ht="36" customHeight="1">
      <c r="B81" s="344" t="s">
        <v>109</v>
      </c>
      <c r="C81" s="344" t="s">
        <v>1255</v>
      </c>
      <c r="D81" s="344" t="s">
        <v>488</v>
      </c>
      <c r="E81" s="345"/>
      <c r="F81" s="345" t="s">
        <v>1256</v>
      </c>
      <c r="G81" s="346" t="s">
        <v>779</v>
      </c>
      <c r="H81" s="344">
        <v>50</v>
      </c>
      <c r="I81" s="344">
        <v>2</v>
      </c>
      <c r="J81" s="347">
        <v>1750000</v>
      </c>
      <c r="K81" s="343">
        <v>46027</v>
      </c>
      <c r="L81" s="343"/>
      <c r="M81" s="348" t="s">
        <v>1859</v>
      </c>
      <c r="N81" s="348" t="s">
        <v>1858</v>
      </c>
    </row>
    <row r="82" spans="2:14" s="302" customFormat="1" ht="36" customHeight="1">
      <c r="B82" s="291" t="s">
        <v>109</v>
      </c>
      <c r="C82" s="342" t="s">
        <v>1625</v>
      </c>
      <c r="D82" s="293" t="s">
        <v>488</v>
      </c>
      <c r="E82" s="343">
        <v>46038</v>
      </c>
      <c r="F82" s="293" t="s">
        <v>323</v>
      </c>
      <c r="G82" s="294" t="s">
        <v>1323</v>
      </c>
      <c r="H82" s="291">
        <v>100</v>
      </c>
      <c r="I82" s="291">
        <v>100</v>
      </c>
      <c r="J82" s="342">
        <v>6020000</v>
      </c>
      <c r="K82" s="292">
        <v>46039</v>
      </c>
      <c r="L82" s="292"/>
      <c r="M82" s="303" t="s">
        <v>1854</v>
      </c>
      <c r="N82" s="303" t="s">
        <v>1855</v>
      </c>
    </row>
    <row r="83" spans="2:14" s="302" customFormat="1" ht="36" customHeight="1">
      <c r="B83" s="291" t="s">
        <v>109</v>
      </c>
      <c r="C83" s="342" t="s">
        <v>1627</v>
      </c>
      <c r="D83" s="293" t="s">
        <v>488</v>
      </c>
      <c r="E83" s="343">
        <v>46038</v>
      </c>
      <c r="F83" s="293" t="s">
        <v>323</v>
      </c>
      <c r="G83" s="294" t="s">
        <v>1313</v>
      </c>
      <c r="H83" s="291">
        <v>7.5</v>
      </c>
      <c r="I83" s="291">
        <v>100</v>
      </c>
      <c r="J83" s="342">
        <v>0</v>
      </c>
      <c r="K83" s="292">
        <v>46039</v>
      </c>
      <c r="L83" s="292"/>
      <c r="M83" s="303" t="s">
        <v>1854</v>
      </c>
      <c r="N83" s="303" t="s">
        <v>1855</v>
      </c>
    </row>
    <row r="84" spans="2:14" s="302" customFormat="1" ht="77" customHeight="1">
      <c r="B84" s="237" t="s">
        <v>374</v>
      </c>
      <c r="C84" s="238" t="s">
        <v>1215</v>
      </c>
      <c r="D84" s="238" t="s">
        <v>1216</v>
      </c>
      <c r="E84" s="239"/>
      <c r="F84" s="239" t="s">
        <v>64</v>
      </c>
      <c r="G84" s="241" t="s">
        <v>679</v>
      </c>
      <c r="H84" s="238">
        <v>200</v>
      </c>
      <c r="I84" s="238">
        <v>8</v>
      </c>
      <c r="J84" s="242">
        <v>8085000</v>
      </c>
      <c r="K84" s="240">
        <v>46033</v>
      </c>
      <c r="L84" s="240"/>
      <c r="M84" s="246" t="s">
        <v>374</v>
      </c>
      <c r="N84" s="246" t="s">
        <v>1876</v>
      </c>
    </row>
    <row r="85" spans="2:14" s="302" customFormat="1" ht="77" customHeight="1">
      <c r="B85" s="238" t="s">
        <v>374</v>
      </c>
      <c r="C85" s="238" t="s">
        <v>1217</v>
      </c>
      <c r="D85" s="238" t="s">
        <v>1218</v>
      </c>
      <c r="E85" s="240">
        <v>46045</v>
      </c>
      <c r="F85" s="239" t="s">
        <v>64</v>
      </c>
      <c r="G85" s="241" t="s">
        <v>679</v>
      </c>
      <c r="H85" s="238">
        <v>50</v>
      </c>
      <c r="I85" s="238">
        <v>2</v>
      </c>
      <c r="J85" s="242">
        <v>1925000</v>
      </c>
      <c r="K85" s="240">
        <v>46050</v>
      </c>
      <c r="L85" s="240"/>
      <c r="M85" s="246" t="s">
        <v>374</v>
      </c>
      <c r="N85" s="246" t="s">
        <v>1871</v>
      </c>
    </row>
    <row r="86" spans="2:14" s="302" customFormat="1" ht="77" customHeight="1">
      <c r="B86" s="238" t="s">
        <v>374</v>
      </c>
      <c r="C86" s="238" t="s">
        <v>1403</v>
      </c>
      <c r="D86" s="238" t="s">
        <v>1404</v>
      </c>
      <c r="E86" s="240">
        <v>46029</v>
      </c>
      <c r="F86" s="239" t="s">
        <v>64</v>
      </c>
      <c r="G86" s="241" t="s">
        <v>679</v>
      </c>
      <c r="H86" s="238">
        <v>2000</v>
      </c>
      <c r="I86" s="238">
        <v>80</v>
      </c>
      <c r="J86" s="238">
        <v>77000000</v>
      </c>
      <c r="K86" s="240">
        <v>46031</v>
      </c>
      <c r="L86" s="240"/>
      <c r="M86" s="246" t="s">
        <v>374</v>
      </c>
      <c r="N86" s="246" t="s">
        <v>1869</v>
      </c>
    </row>
    <row r="87" spans="2:14" s="302" customFormat="1" ht="77" customHeight="1">
      <c r="B87" s="238" t="s">
        <v>374</v>
      </c>
      <c r="C87" s="238" t="s">
        <v>1406</v>
      </c>
      <c r="D87" s="238" t="s">
        <v>1410</v>
      </c>
      <c r="E87" s="240">
        <v>46029</v>
      </c>
      <c r="F87" s="239" t="s">
        <v>64</v>
      </c>
      <c r="G87" s="241" t="s">
        <v>679</v>
      </c>
      <c r="H87" s="238">
        <v>300</v>
      </c>
      <c r="I87" s="239"/>
      <c r="J87" s="242">
        <v>11550000</v>
      </c>
      <c r="K87" s="240">
        <v>46031</v>
      </c>
      <c r="L87" s="240"/>
      <c r="M87" s="246" t="s">
        <v>374</v>
      </c>
      <c r="N87" s="246" t="s">
        <v>1869</v>
      </c>
    </row>
    <row r="88" spans="2:14" s="302" customFormat="1" ht="77" customHeight="1">
      <c r="B88" s="238" t="s">
        <v>374</v>
      </c>
      <c r="C88" s="238" t="s">
        <v>1848</v>
      </c>
      <c r="D88" s="239"/>
      <c r="E88" s="240">
        <v>46050</v>
      </c>
      <c r="F88" s="239" t="s">
        <v>1454</v>
      </c>
      <c r="G88" s="241" t="s">
        <v>230</v>
      </c>
      <c r="H88" s="238">
        <v>2.5</v>
      </c>
      <c r="I88" s="238">
        <v>0</v>
      </c>
      <c r="J88" s="242">
        <v>267500</v>
      </c>
      <c r="K88" s="240">
        <v>46055</v>
      </c>
      <c r="L88" s="240"/>
      <c r="M88" s="246" t="s">
        <v>1884</v>
      </c>
      <c r="N88" s="246" t="s">
        <v>1883</v>
      </c>
    </row>
    <row r="89" spans="2:14" s="302" customFormat="1" ht="77" customHeight="1">
      <c r="B89" s="238" t="s">
        <v>1536</v>
      </c>
      <c r="C89" s="238" t="s">
        <v>1538</v>
      </c>
      <c r="D89" s="238" t="s">
        <v>1539</v>
      </c>
      <c r="E89" s="240">
        <v>46035</v>
      </c>
      <c r="F89" s="239" t="s">
        <v>323</v>
      </c>
      <c r="G89" s="241" t="s">
        <v>1281</v>
      </c>
      <c r="H89" s="238">
        <v>20</v>
      </c>
      <c r="I89" s="238">
        <v>1</v>
      </c>
      <c r="J89" s="242">
        <v>815850</v>
      </c>
      <c r="K89" s="240">
        <v>46037</v>
      </c>
      <c r="L89" s="240"/>
      <c r="M89" s="246" t="s">
        <v>374</v>
      </c>
      <c r="N89" s="246" t="s">
        <v>1870</v>
      </c>
    </row>
    <row r="90" spans="2:14">
      <c r="B90" s="160"/>
      <c r="C90" s="161"/>
      <c r="D90" s="386"/>
    </row>
    <row r="91" spans="2:14">
      <c r="B91" s="120"/>
      <c r="C91" s="121"/>
      <c r="D91" s="387"/>
    </row>
    <row r="92" spans="2:14">
      <c r="B92" s="201"/>
      <c r="C92" s="121"/>
      <c r="D92" s="387"/>
    </row>
    <row r="93" spans="2:14">
      <c r="B93" s="201"/>
      <c r="C93" s="121"/>
      <c r="D93" s="387"/>
    </row>
    <row r="94" spans="2:14">
      <c r="B94" s="158"/>
      <c r="C94" s="159"/>
      <c r="D94" s="388"/>
    </row>
    <row r="95" spans="2:14">
      <c r="B95" s="160"/>
      <c r="C95" s="161"/>
      <c r="D95" s="386"/>
    </row>
    <row r="96" spans="2:14">
      <c r="B96" s="120"/>
      <c r="C96" s="121"/>
      <c r="D96" s="387"/>
    </row>
    <row r="97" spans="2:4">
      <c r="B97" s="201"/>
      <c r="C97" s="121"/>
      <c r="D97" s="387"/>
    </row>
    <row r="98" spans="2:4">
      <c r="B98" s="160"/>
      <c r="C98" s="161"/>
      <c r="D98" s="386"/>
    </row>
    <row r="99" spans="2:4">
      <c r="B99" s="120"/>
      <c r="C99" s="121"/>
      <c r="D99" s="387"/>
    </row>
    <row r="100" spans="2:4">
      <c r="B100" s="201"/>
      <c r="C100" s="121"/>
      <c r="D100" s="387"/>
    </row>
  </sheetData>
  <autoFilter ref="B38:N38" xr:uid="{00000000-0001-0000-0100-000000000000}"/>
  <mergeCells count="6">
    <mergeCell ref="B33:C33"/>
    <mergeCell ref="B4:D4"/>
    <mergeCell ref="F4:G4"/>
    <mergeCell ref="B5:B6"/>
    <mergeCell ref="D5:D6"/>
    <mergeCell ref="F5:F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0E87-E30D-4A30-BE9D-4D3E780EBDFF}">
  <dimension ref="A1:S421"/>
  <sheetViews>
    <sheetView workbookViewId="0">
      <selection activeCell="J10" sqref="J10"/>
    </sheetView>
  </sheetViews>
  <sheetFormatPr baseColWidth="10" defaultRowHeight="13"/>
  <cols>
    <col min="1" max="1" width="21.69921875" customWidth="1"/>
    <col min="2" max="5" width="0" hidden="1" customWidth="1"/>
    <col min="9" max="9" width="0" hidden="1" customWidth="1"/>
    <col min="10" max="10" width="31.69921875" customWidth="1"/>
    <col min="11" max="11" width="15.69921875" hidden="1" customWidth="1"/>
    <col min="12" max="12" width="27.59765625" customWidth="1"/>
    <col min="17" max="17" width="25.59765625" style="207" customWidth="1"/>
    <col min="18" max="18" width="46.3984375" style="142" customWidth="1"/>
  </cols>
  <sheetData>
    <row r="1" spans="1:18" ht="46.5" thickBot="1">
      <c r="A1" s="235" t="s">
        <v>405</v>
      </c>
      <c r="B1" s="82" t="s">
        <v>68</v>
      </c>
      <c r="C1" s="82" t="s">
        <v>130</v>
      </c>
      <c r="D1" s="82" t="s">
        <v>406</v>
      </c>
      <c r="E1" s="215" t="s">
        <v>761</v>
      </c>
      <c r="F1" s="235" t="s">
        <v>70</v>
      </c>
      <c r="G1" s="235" t="s">
        <v>71</v>
      </c>
      <c r="H1" s="236" t="s">
        <v>72</v>
      </c>
      <c r="I1" s="215" t="s">
        <v>73</v>
      </c>
      <c r="J1" s="235" t="s">
        <v>407</v>
      </c>
      <c r="K1" s="215" t="s">
        <v>74</v>
      </c>
      <c r="L1" s="236" t="s">
        <v>107</v>
      </c>
      <c r="M1" s="235" t="s">
        <v>382</v>
      </c>
      <c r="N1" s="235" t="s">
        <v>94</v>
      </c>
      <c r="O1" s="235" t="s">
        <v>132</v>
      </c>
      <c r="P1" s="235" t="s">
        <v>108</v>
      </c>
      <c r="Q1" s="235" t="s">
        <v>1853</v>
      </c>
      <c r="R1" s="235" t="s">
        <v>1856</v>
      </c>
    </row>
    <row r="2" spans="1:18" ht="13.5" thickBot="1">
      <c r="A2" s="148"/>
      <c r="B2" s="38">
        <v>4700008278</v>
      </c>
      <c r="C2" s="39">
        <v>45940</v>
      </c>
      <c r="D2" s="40">
        <v>0.63888888888888884</v>
      </c>
      <c r="E2" s="42"/>
      <c r="F2" s="38" t="s">
        <v>1206</v>
      </c>
      <c r="G2" s="38" t="s">
        <v>1207</v>
      </c>
      <c r="H2" s="39">
        <v>46041</v>
      </c>
      <c r="I2" s="40">
        <v>0.5</v>
      </c>
      <c r="J2" s="42" t="s">
        <v>762</v>
      </c>
      <c r="K2" s="38" t="s">
        <v>83</v>
      </c>
      <c r="L2" s="41" t="s">
        <v>1208</v>
      </c>
      <c r="M2" s="38">
        <v>28000</v>
      </c>
      <c r="N2" s="149">
        <v>1120</v>
      </c>
      <c r="O2" s="149">
        <v>352500000</v>
      </c>
      <c r="P2" s="39">
        <v>46039</v>
      </c>
      <c r="Q2"/>
    </row>
    <row r="3" spans="1:18" ht="13.5" thickBot="1">
      <c r="A3" s="148"/>
      <c r="B3" s="38">
        <v>4700008277</v>
      </c>
      <c r="C3" s="39">
        <v>45940</v>
      </c>
      <c r="D3" s="40">
        <v>0.63888888888888884</v>
      </c>
      <c r="E3" s="42"/>
      <c r="F3" s="38" t="s">
        <v>1209</v>
      </c>
      <c r="G3" s="38" t="s">
        <v>1210</v>
      </c>
      <c r="H3" s="39">
        <v>46041</v>
      </c>
      <c r="I3" s="40">
        <v>0.5</v>
      </c>
      <c r="J3" s="42" t="s">
        <v>762</v>
      </c>
      <c r="K3" s="38" t="s">
        <v>83</v>
      </c>
      <c r="L3" s="41" t="s">
        <v>1208</v>
      </c>
      <c r="M3" s="38">
        <v>28000</v>
      </c>
      <c r="N3" s="149">
        <v>1120</v>
      </c>
      <c r="O3" s="149">
        <v>347060000</v>
      </c>
      <c r="P3" s="39">
        <v>46025</v>
      </c>
      <c r="Q3"/>
    </row>
    <row r="4" spans="1:18" ht="25.5" thickBot="1">
      <c r="A4" s="148"/>
      <c r="B4" s="38">
        <v>7000398537</v>
      </c>
      <c r="C4" s="39">
        <v>45974</v>
      </c>
      <c r="D4" s="40">
        <v>0.73888888888888893</v>
      </c>
      <c r="E4" s="42"/>
      <c r="F4" s="38" t="s">
        <v>1211</v>
      </c>
      <c r="G4" s="38" t="s">
        <v>1212</v>
      </c>
      <c r="H4" s="42"/>
      <c r="I4" s="42"/>
      <c r="J4" s="42" t="s">
        <v>133</v>
      </c>
      <c r="K4" s="38" t="s">
        <v>191</v>
      </c>
      <c r="L4" s="41" t="s">
        <v>1213</v>
      </c>
      <c r="M4" s="38">
        <v>900</v>
      </c>
      <c r="N4" s="38">
        <v>36</v>
      </c>
      <c r="O4" s="149">
        <v>62120000</v>
      </c>
      <c r="P4" s="39">
        <v>46043</v>
      </c>
      <c r="Q4"/>
    </row>
    <row r="5" spans="1:18" ht="13.5" thickBot="1">
      <c r="A5" s="148"/>
      <c r="B5" s="38">
        <v>4700008436</v>
      </c>
      <c r="C5" s="39">
        <v>45988</v>
      </c>
      <c r="D5" s="40">
        <v>0.6118055555555556</v>
      </c>
      <c r="E5" s="42"/>
      <c r="F5" s="38" t="s">
        <v>1214</v>
      </c>
      <c r="G5" s="42"/>
      <c r="H5" s="39">
        <v>46052</v>
      </c>
      <c r="I5" s="40">
        <v>0.3347222222222222</v>
      </c>
      <c r="J5" s="42" t="s">
        <v>762</v>
      </c>
      <c r="K5" s="38" t="s">
        <v>83</v>
      </c>
      <c r="L5" s="41" t="s">
        <v>1208</v>
      </c>
      <c r="M5" s="38">
        <v>52000</v>
      </c>
      <c r="N5" s="149">
        <v>2080</v>
      </c>
      <c r="O5" s="149">
        <v>806000000</v>
      </c>
      <c r="P5" s="39">
        <v>46053</v>
      </c>
      <c r="Q5"/>
    </row>
    <row r="6" spans="1:18" s="190" customFormat="1" ht="65.5" thickBot="1">
      <c r="A6" s="237" t="s">
        <v>374</v>
      </c>
      <c r="B6" s="156">
        <v>4500364909</v>
      </c>
      <c r="C6" s="170">
        <v>45988</v>
      </c>
      <c r="D6" s="171">
        <v>0.5</v>
      </c>
      <c r="E6" s="216"/>
      <c r="F6" s="238" t="s">
        <v>1215</v>
      </c>
      <c r="G6" s="238" t="s">
        <v>1216</v>
      </c>
      <c r="H6" s="239"/>
      <c r="I6" s="216"/>
      <c r="J6" s="239" t="s">
        <v>64</v>
      </c>
      <c r="K6" s="218" t="s">
        <v>142</v>
      </c>
      <c r="L6" s="241" t="s">
        <v>679</v>
      </c>
      <c r="M6" s="238">
        <v>200</v>
      </c>
      <c r="N6" s="238">
        <v>8</v>
      </c>
      <c r="O6" s="242">
        <v>8085000</v>
      </c>
      <c r="P6" s="240">
        <v>46033</v>
      </c>
      <c r="Q6" s="243" t="s">
        <v>374</v>
      </c>
      <c r="R6" s="244" t="s">
        <v>1876</v>
      </c>
    </row>
    <row r="7" spans="1:18" ht="26.5" thickBot="1">
      <c r="A7" s="238" t="s">
        <v>374</v>
      </c>
      <c r="B7" s="156">
        <v>4500364909</v>
      </c>
      <c r="C7" s="170">
        <v>45988</v>
      </c>
      <c r="D7" s="171">
        <v>0.5</v>
      </c>
      <c r="E7" s="216"/>
      <c r="F7" s="238" t="s">
        <v>1217</v>
      </c>
      <c r="G7" s="238" t="s">
        <v>1218</v>
      </c>
      <c r="H7" s="240">
        <v>46045</v>
      </c>
      <c r="I7" s="217">
        <v>0.45416666666666666</v>
      </c>
      <c r="J7" s="239" t="s">
        <v>64</v>
      </c>
      <c r="K7" s="218" t="s">
        <v>142</v>
      </c>
      <c r="L7" s="241" t="s">
        <v>679</v>
      </c>
      <c r="M7" s="238">
        <v>50</v>
      </c>
      <c r="N7" s="238">
        <v>2</v>
      </c>
      <c r="O7" s="242">
        <v>1925000</v>
      </c>
      <c r="P7" s="240">
        <v>46050</v>
      </c>
      <c r="Q7" s="245" t="s">
        <v>374</v>
      </c>
      <c r="R7" s="246" t="s">
        <v>1871</v>
      </c>
    </row>
    <row r="8" spans="1:18" ht="13.5" thickBot="1">
      <c r="A8" s="148"/>
      <c r="B8" s="38">
        <v>4500364909</v>
      </c>
      <c r="C8" s="39">
        <v>45988</v>
      </c>
      <c r="D8" s="40">
        <v>0.5</v>
      </c>
      <c r="E8" s="42"/>
      <c r="F8" s="177" t="s">
        <v>1219</v>
      </c>
      <c r="G8" s="38" t="s">
        <v>1220</v>
      </c>
      <c r="H8" s="42"/>
      <c r="I8" s="42"/>
      <c r="J8" s="42" t="s">
        <v>64</v>
      </c>
      <c r="K8" s="38" t="s">
        <v>142</v>
      </c>
      <c r="L8" s="41" t="s">
        <v>679</v>
      </c>
      <c r="M8" s="38">
        <v>250</v>
      </c>
      <c r="N8" s="38">
        <v>10</v>
      </c>
      <c r="O8" s="149">
        <v>10106250</v>
      </c>
      <c r="P8" s="39">
        <v>46042</v>
      </c>
      <c r="Q8"/>
    </row>
    <row r="9" spans="1:18" s="196" customFormat="1" ht="13.5" thickBot="1">
      <c r="A9" s="199"/>
      <c r="B9" s="193">
        <v>4500364805</v>
      </c>
      <c r="C9" s="195">
        <v>45988</v>
      </c>
      <c r="D9" s="208">
        <v>0.57708333333333328</v>
      </c>
      <c r="E9" s="192"/>
      <c r="F9" s="193" t="s">
        <v>1221</v>
      </c>
      <c r="G9" s="193" t="s">
        <v>1222</v>
      </c>
      <c r="H9" s="192"/>
      <c r="I9" s="192"/>
      <c r="J9" s="192" t="s">
        <v>64</v>
      </c>
      <c r="K9" s="193" t="s">
        <v>142</v>
      </c>
      <c r="L9" s="194" t="s">
        <v>111</v>
      </c>
      <c r="M9" s="193">
        <v>475</v>
      </c>
      <c r="N9" s="193">
        <v>19</v>
      </c>
      <c r="O9" s="198">
        <v>12112500</v>
      </c>
      <c r="P9" s="195">
        <v>46033</v>
      </c>
      <c r="Q9" s="209" t="s">
        <v>773</v>
      </c>
      <c r="R9" s="197"/>
    </row>
    <row r="10" spans="1:18" s="196" customFormat="1" ht="13.5" thickBot="1">
      <c r="A10" s="199"/>
      <c r="B10" s="193">
        <v>4500364805</v>
      </c>
      <c r="C10" s="195">
        <v>45988</v>
      </c>
      <c r="D10" s="208">
        <v>0.57708333333333328</v>
      </c>
      <c r="E10" s="192"/>
      <c r="F10" s="193" t="s">
        <v>1221</v>
      </c>
      <c r="G10" s="193" t="s">
        <v>1222</v>
      </c>
      <c r="H10" s="192"/>
      <c r="I10" s="192"/>
      <c r="J10" s="192" t="s">
        <v>64</v>
      </c>
      <c r="K10" s="193" t="s">
        <v>142</v>
      </c>
      <c r="L10" s="194" t="s">
        <v>1223</v>
      </c>
      <c r="M10" s="193">
        <v>50</v>
      </c>
      <c r="N10" s="193">
        <v>2</v>
      </c>
      <c r="O10" s="198">
        <v>9000000</v>
      </c>
      <c r="P10" s="195">
        <v>46033</v>
      </c>
      <c r="Q10" s="210"/>
      <c r="R10" s="197"/>
    </row>
    <row r="11" spans="1:18" ht="13.5" thickBot="1">
      <c r="A11" s="148"/>
      <c r="B11" s="38">
        <v>4500364805</v>
      </c>
      <c r="C11" s="39">
        <v>45988</v>
      </c>
      <c r="D11" s="40">
        <v>0.57708333333333328</v>
      </c>
      <c r="E11" s="42"/>
      <c r="F11" s="177" t="s">
        <v>1224</v>
      </c>
      <c r="G11" s="38" t="s">
        <v>1225</v>
      </c>
      <c r="H11" s="42"/>
      <c r="I11" s="42"/>
      <c r="J11" s="42" t="s">
        <v>64</v>
      </c>
      <c r="K11" s="38" t="s">
        <v>142</v>
      </c>
      <c r="L11" s="41" t="s">
        <v>111</v>
      </c>
      <c r="M11" s="38">
        <v>750</v>
      </c>
      <c r="N11" s="38">
        <v>30</v>
      </c>
      <c r="O11" s="149">
        <v>19125000</v>
      </c>
      <c r="P11" s="39">
        <v>46041</v>
      </c>
      <c r="Q11"/>
    </row>
    <row r="12" spans="1:18" ht="13.5" thickBot="1">
      <c r="A12" s="148"/>
      <c r="B12" s="38">
        <v>4500364805</v>
      </c>
      <c r="C12" s="39">
        <v>45988</v>
      </c>
      <c r="D12" s="40">
        <v>0.57708333333333328</v>
      </c>
      <c r="E12" s="42"/>
      <c r="F12" s="177" t="s">
        <v>1224</v>
      </c>
      <c r="G12" s="38" t="s">
        <v>1225</v>
      </c>
      <c r="H12" s="42"/>
      <c r="I12" s="42"/>
      <c r="J12" s="42" t="s">
        <v>64</v>
      </c>
      <c r="K12" s="38" t="s">
        <v>142</v>
      </c>
      <c r="L12" s="41" t="s">
        <v>1223</v>
      </c>
      <c r="M12" s="38">
        <v>75</v>
      </c>
      <c r="N12" s="38">
        <v>3</v>
      </c>
      <c r="O12" s="149">
        <v>13500000</v>
      </c>
      <c r="P12" s="39">
        <v>46041</v>
      </c>
      <c r="Q12"/>
    </row>
    <row r="13" spans="1:18" ht="13.5" thickBot="1">
      <c r="A13" s="148"/>
      <c r="B13" s="38">
        <v>4500364805</v>
      </c>
      <c r="C13" s="39">
        <v>45988</v>
      </c>
      <c r="D13" s="40">
        <v>0.57708333333333328</v>
      </c>
      <c r="E13" s="42"/>
      <c r="F13" s="38" t="s">
        <v>1226</v>
      </c>
      <c r="G13" s="38" t="s">
        <v>1227</v>
      </c>
      <c r="H13" s="42"/>
      <c r="I13" s="42"/>
      <c r="J13" s="42" t="s">
        <v>64</v>
      </c>
      <c r="K13" s="38" t="s">
        <v>142</v>
      </c>
      <c r="L13" s="41" t="s">
        <v>111</v>
      </c>
      <c r="M13" s="38">
        <v>500</v>
      </c>
      <c r="N13" s="38">
        <v>20</v>
      </c>
      <c r="O13" s="149">
        <v>13387500</v>
      </c>
      <c r="P13" s="39">
        <v>46050</v>
      </c>
      <c r="Q13"/>
    </row>
    <row r="14" spans="1:18" ht="13.5" thickBot="1">
      <c r="A14" s="162"/>
      <c r="B14" s="38">
        <v>5504051929</v>
      </c>
      <c r="C14" s="39">
        <v>45989</v>
      </c>
      <c r="D14" s="40">
        <v>0.66527777777777775</v>
      </c>
      <c r="E14" s="42"/>
      <c r="F14" s="38" t="s">
        <v>1228</v>
      </c>
      <c r="G14" s="38" t="s">
        <v>1229</v>
      </c>
      <c r="H14" s="39">
        <v>45992</v>
      </c>
      <c r="I14" s="40">
        <v>0.33333333333333331</v>
      </c>
      <c r="J14" s="42" t="s">
        <v>52</v>
      </c>
      <c r="K14" s="38" t="s">
        <v>135</v>
      </c>
      <c r="L14" s="41" t="s">
        <v>679</v>
      </c>
      <c r="M14" s="38">
        <v>8000</v>
      </c>
      <c r="N14" s="38">
        <v>320</v>
      </c>
      <c r="O14" s="149">
        <v>294000000</v>
      </c>
      <c r="P14" s="39">
        <v>46042</v>
      </c>
      <c r="Q14"/>
    </row>
    <row r="15" spans="1:18" ht="13.5" thickBot="1">
      <c r="A15" s="148"/>
      <c r="B15" s="38">
        <v>4500365455</v>
      </c>
      <c r="C15" s="39">
        <v>45993</v>
      </c>
      <c r="D15" s="40">
        <v>0.39166666666666666</v>
      </c>
      <c r="E15" s="42"/>
      <c r="F15" s="38" t="s">
        <v>1230</v>
      </c>
      <c r="G15" s="38" t="s">
        <v>1231</v>
      </c>
      <c r="H15" s="42"/>
      <c r="I15" s="42"/>
      <c r="J15" s="42" t="s">
        <v>64</v>
      </c>
      <c r="K15" s="38" t="s">
        <v>142</v>
      </c>
      <c r="L15" s="41" t="s">
        <v>1223</v>
      </c>
      <c r="M15" s="38">
        <v>50</v>
      </c>
      <c r="N15" s="38">
        <v>2</v>
      </c>
      <c r="O15" s="149">
        <v>9000000</v>
      </c>
      <c r="P15" s="39">
        <v>46050</v>
      </c>
      <c r="Q15"/>
    </row>
    <row r="16" spans="1:18" ht="13.5" thickBot="1">
      <c r="A16" s="148"/>
      <c r="B16" s="38">
        <v>4500085508</v>
      </c>
      <c r="C16" s="39">
        <v>46003</v>
      </c>
      <c r="D16" s="42"/>
      <c r="E16" s="42"/>
      <c r="F16" s="38" t="s">
        <v>1232</v>
      </c>
      <c r="G16" s="38" t="s">
        <v>1233</v>
      </c>
      <c r="H16" s="39">
        <v>46003</v>
      </c>
      <c r="I16" s="42"/>
      <c r="J16" s="42" t="s">
        <v>762</v>
      </c>
      <c r="K16" s="38" t="s">
        <v>168</v>
      </c>
      <c r="L16" s="41" t="s">
        <v>840</v>
      </c>
      <c r="M16" s="38">
        <v>2000</v>
      </c>
      <c r="N16" s="38">
        <v>80</v>
      </c>
      <c r="O16" s="149">
        <v>37700000</v>
      </c>
      <c r="P16" s="39">
        <v>46035</v>
      </c>
      <c r="Q16"/>
    </row>
    <row r="17" spans="1:19" ht="13.5" thickBot="1">
      <c r="A17" s="247" t="s">
        <v>1849</v>
      </c>
      <c r="B17" s="58">
        <v>5504128090</v>
      </c>
      <c r="C17" s="59">
        <v>46009</v>
      </c>
      <c r="D17" s="61"/>
      <c r="E17" s="219"/>
      <c r="F17" s="247" t="s">
        <v>1234</v>
      </c>
      <c r="G17" s="247" t="s">
        <v>488</v>
      </c>
      <c r="H17" s="248">
        <v>46010</v>
      </c>
      <c r="I17" s="219"/>
      <c r="J17" s="249" t="s">
        <v>52</v>
      </c>
      <c r="K17" s="220" t="s">
        <v>135</v>
      </c>
      <c r="L17" s="250" t="s">
        <v>136</v>
      </c>
      <c r="M17" s="247">
        <v>1000</v>
      </c>
      <c r="N17" s="247">
        <v>40</v>
      </c>
      <c r="O17" s="251">
        <v>73500000</v>
      </c>
      <c r="P17" s="248">
        <v>46047</v>
      </c>
      <c r="Q17" s="252" t="s">
        <v>1854</v>
      </c>
      <c r="R17" s="252" t="s">
        <v>1855</v>
      </c>
      <c r="S17" s="200" t="s">
        <v>1857</v>
      </c>
    </row>
    <row r="18" spans="1:19" ht="25.5" thickBot="1">
      <c r="A18" s="148"/>
      <c r="B18" s="38">
        <v>1324104</v>
      </c>
      <c r="C18" s="39">
        <v>46013</v>
      </c>
      <c r="D18" s="42"/>
      <c r="E18" s="42"/>
      <c r="F18" s="38" t="s">
        <v>1235</v>
      </c>
      <c r="G18" s="38" t="s">
        <v>1236</v>
      </c>
      <c r="H18" s="39">
        <v>46013</v>
      </c>
      <c r="I18" s="42"/>
      <c r="J18" s="42" t="s">
        <v>786</v>
      </c>
      <c r="K18" s="38" t="s">
        <v>235</v>
      </c>
      <c r="L18" s="41" t="s">
        <v>772</v>
      </c>
      <c r="M18" s="38">
        <v>20</v>
      </c>
      <c r="N18" s="38">
        <v>1</v>
      </c>
      <c r="O18" s="149">
        <v>1100000</v>
      </c>
      <c r="P18" s="39">
        <v>46039</v>
      </c>
      <c r="Q18"/>
    </row>
    <row r="19" spans="1:19" ht="23.5" thickBot="1">
      <c r="A19" s="148"/>
      <c r="B19" s="38" t="s">
        <v>1237</v>
      </c>
      <c r="C19" s="39">
        <v>46010</v>
      </c>
      <c r="D19" s="42"/>
      <c r="E19" s="42"/>
      <c r="F19" s="38" t="s">
        <v>1238</v>
      </c>
      <c r="G19" s="38" t="s">
        <v>1239</v>
      </c>
      <c r="H19" s="39">
        <v>46013</v>
      </c>
      <c r="I19" s="42"/>
      <c r="J19" s="42" t="s">
        <v>146</v>
      </c>
      <c r="K19" s="38" t="s">
        <v>147</v>
      </c>
      <c r="L19" s="41" t="s">
        <v>1208</v>
      </c>
      <c r="M19" s="38">
        <v>4000</v>
      </c>
      <c r="N19" s="38">
        <v>160</v>
      </c>
      <c r="O19" s="149">
        <v>62000000</v>
      </c>
      <c r="P19" s="39">
        <v>46037</v>
      </c>
      <c r="Q19"/>
    </row>
    <row r="20" spans="1:19" ht="23.5" thickBot="1">
      <c r="A20" s="148"/>
      <c r="B20" s="38" t="s">
        <v>1237</v>
      </c>
      <c r="C20" s="39">
        <v>46010</v>
      </c>
      <c r="D20" s="42"/>
      <c r="E20" s="42"/>
      <c r="F20" s="38" t="s">
        <v>1238</v>
      </c>
      <c r="G20" s="38" t="s">
        <v>1239</v>
      </c>
      <c r="H20" s="39">
        <v>46013</v>
      </c>
      <c r="I20" s="42"/>
      <c r="J20" s="42" t="s">
        <v>146</v>
      </c>
      <c r="K20" s="38" t="s">
        <v>147</v>
      </c>
      <c r="L20" s="41" t="s">
        <v>779</v>
      </c>
      <c r="M20" s="38">
        <v>250</v>
      </c>
      <c r="N20" s="38">
        <v>10</v>
      </c>
      <c r="O20" s="149">
        <v>8375000</v>
      </c>
      <c r="P20" s="39">
        <v>46037</v>
      </c>
      <c r="Q20"/>
    </row>
    <row r="21" spans="1:19" ht="23.5" thickBot="1">
      <c r="A21" s="148"/>
      <c r="B21" s="38" t="s">
        <v>1237</v>
      </c>
      <c r="C21" s="39">
        <v>46010</v>
      </c>
      <c r="D21" s="42"/>
      <c r="E21" s="42"/>
      <c r="F21" s="38" t="s">
        <v>1238</v>
      </c>
      <c r="G21" s="38" t="s">
        <v>1239</v>
      </c>
      <c r="H21" s="39">
        <v>46013</v>
      </c>
      <c r="I21" s="42"/>
      <c r="J21" s="42" t="s">
        <v>146</v>
      </c>
      <c r="K21" s="38" t="s">
        <v>147</v>
      </c>
      <c r="L21" s="41" t="s">
        <v>679</v>
      </c>
      <c r="M21" s="38">
        <v>200</v>
      </c>
      <c r="N21" s="38">
        <v>8</v>
      </c>
      <c r="O21" s="149">
        <v>7000000</v>
      </c>
      <c r="P21" s="39">
        <v>46037</v>
      </c>
      <c r="Q21"/>
    </row>
    <row r="22" spans="1:19" ht="13.5" thickBot="1">
      <c r="A22" s="148"/>
      <c r="B22" s="38">
        <v>1324586</v>
      </c>
      <c r="C22" s="39">
        <v>46013</v>
      </c>
      <c r="D22" s="42"/>
      <c r="E22" s="42"/>
      <c r="F22" s="38" t="s">
        <v>1240</v>
      </c>
      <c r="G22" s="38" t="s">
        <v>1241</v>
      </c>
      <c r="H22" s="39">
        <v>46013</v>
      </c>
      <c r="I22" s="42"/>
      <c r="J22" s="42" t="s">
        <v>784</v>
      </c>
      <c r="K22" s="38" t="s">
        <v>142</v>
      </c>
      <c r="L22" s="41" t="s">
        <v>1223</v>
      </c>
      <c r="M22" s="38">
        <v>75</v>
      </c>
      <c r="N22" s="38">
        <v>3</v>
      </c>
      <c r="O22" s="149">
        <v>13125000</v>
      </c>
      <c r="P22" s="39">
        <v>46029</v>
      </c>
      <c r="Q22"/>
    </row>
    <row r="23" spans="1:19" ht="13.5" thickBot="1">
      <c r="A23" s="148"/>
      <c r="B23" s="42"/>
      <c r="C23" s="39">
        <v>46006</v>
      </c>
      <c r="D23" s="40">
        <v>0.69513888888888886</v>
      </c>
      <c r="E23" s="42"/>
      <c r="F23" s="38" t="s">
        <v>1242</v>
      </c>
      <c r="G23" s="38" t="s">
        <v>1243</v>
      </c>
      <c r="H23" s="39">
        <v>46027</v>
      </c>
      <c r="I23" s="42"/>
      <c r="J23" s="42" t="s">
        <v>1244</v>
      </c>
      <c r="K23" s="38" t="s">
        <v>397</v>
      </c>
      <c r="L23" s="41" t="s">
        <v>1245</v>
      </c>
      <c r="M23" s="38">
        <v>13000</v>
      </c>
      <c r="N23" s="38">
        <v>520</v>
      </c>
      <c r="O23" s="38" t="s">
        <v>1246</v>
      </c>
      <c r="P23" s="39">
        <v>46041</v>
      </c>
      <c r="Q23"/>
    </row>
    <row r="24" spans="1:19" ht="13.5" thickBot="1">
      <c r="A24" s="148"/>
      <c r="B24" s="42"/>
      <c r="C24" s="39">
        <v>46006</v>
      </c>
      <c r="D24" s="40">
        <v>0.69513888888888886</v>
      </c>
      <c r="E24" s="42"/>
      <c r="F24" s="38" t="s">
        <v>1242</v>
      </c>
      <c r="G24" s="38" t="s">
        <v>1243</v>
      </c>
      <c r="H24" s="39">
        <v>46027</v>
      </c>
      <c r="I24" s="42"/>
      <c r="J24" s="42" t="s">
        <v>1244</v>
      </c>
      <c r="K24" s="38" t="s">
        <v>397</v>
      </c>
      <c r="L24" s="41" t="s">
        <v>116</v>
      </c>
      <c r="M24" s="38">
        <v>5000</v>
      </c>
      <c r="N24" s="38">
        <v>200</v>
      </c>
      <c r="O24" s="38" t="s">
        <v>1247</v>
      </c>
      <c r="P24" s="39">
        <v>46041</v>
      </c>
      <c r="Q24"/>
    </row>
    <row r="25" spans="1:19" ht="13.5" thickBot="1">
      <c r="A25" s="148"/>
      <c r="B25" s="42"/>
      <c r="C25" s="39">
        <v>46006</v>
      </c>
      <c r="D25" s="40">
        <v>0.69513888888888886</v>
      </c>
      <c r="E25" s="42"/>
      <c r="F25" s="38" t="s">
        <v>1242</v>
      </c>
      <c r="G25" s="38" t="s">
        <v>1243</v>
      </c>
      <c r="H25" s="39">
        <v>46027</v>
      </c>
      <c r="I25" s="42"/>
      <c r="J25" s="42" t="s">
        <v>1244</v>
      </c>
      <c r="K25" s="38" t="s">
        <v>397</v>
      </c>
      <c r="L25" s="41" t="s">
        <v>768</v>
      </c>
      <c r="M25" s="38">
        <v>2000</v>
      </c>
      <c r="N25" s="38">
        <v>80</v>
      </c>
      <c r="O25" s="38" t="s">
        <v>1248</v>
      </c>
      <c r="P25" s="39">
        <v>46041</v>
      </c>
      <c r="Q25"/>
    </row>
    <row r="26" spans="1:19" ht="25.5" thickBot="1">
      <c r="A26" s="148"/>
      <c r="B26" s="38">
        <v>4700008501</v>
      </c>
      <c r="C26" s="42"/>
      <c r="D26" s="42"/>
      <c r="E26" s="42"/>
      <c r="F26" s="38" t="s">
        <v>1249</v>
      </c>
      <c r="G26" s="38" t="s">
        <v>1250</v>
      </c>
      <c r="H26" s="42"/>
      <c r="I26" s="42"/>
      <c r="J26" s="42" t="s">
        <v>1251</v>
      </c>
      <c r="K26" s="38" t="s">
        <v>1252</v>
      </c>
      <c r="L26" s="41" t="s">
        <v>153</v>
      </c>
      <c r="M26" s="38">
        <v>200</v>
      </c>
      <c r="N26" s="38">
        <v>8</v>
      </c>
      <c r="O26" s="38" t="s">
        <v>1253</v>
      </c>
      <c r="P26" s="39">
        <v>46029</v>
      </c>
      <c r="Q26"/>
    </row>
    <row r="27" spans="1:19" ht="25.5" thickBot="1">
      <c r="A27" s="148"/>
      <c r="B27" s="38">
        <v>4700008501</v>
      </c>
      <c r="C27" s="42"/>
      <c r="D27" s="42"/>
      <c r="E27" s="42"/>
      <c r="F27" s="38" t="s">
        <v>1249</v>
      </c>
      <c r="G27" s="38" t="s">
        <v>1250</v>
      </c>
      <c r="H27" s="42"/>
      <c r="I27" s="42"/>
      <c r="J27" s="42" t="s">
        <v>1251</v>
      </c>
      <c r="K27" s="38" t="s">
        <v>1252</v>
      </c>
      <c r="L27" s="41" t="s">
        <v>1208</v>
      </c>
      <c r="M27" s="38">
        <v>500</v>
      </c>
      <c r="N27" s="38">
        <v>20</v>
      </c>
      <c r="O27" s="38" t="s">
        <v>1254</v>
      </c>
      <c r="P27" s="39">
        <v>46029</v>
      </c>
      <c r="Q27"/>
    </row>
    <row r="28" spans="1:19" ht="13.5" thickBot="1">
      <c r="A28" s="247" t="s">
        <v>109</v>
      </c>
      <c r="B28" s="58" t="s">
        <v>775</v>
      </c>
      <c r="C28" s="59">
        <v>46015</v>
      </c>
      <c r="D28" s="61"/>
      <c r="E28" s="219"/>
      <c r="F28" s="247" t="s">
        <v>1255</v>
      </c>
      <c r="G28" s="247" t="s">
        <v>488</v>
      </c>
      <c r="H28" s="249"/>
      <c r="I28" s="219"/>
      <c r="J28" s="249" t="s">
        <v>1256</v>
      </c>
      <c r="K28" s="220" t="s">
        <v>78</v>
      </c>
      <c r="L28" s="250" t="s">
        <v>779</v>
      </c>
      <c r="M28" s="247">
        <v>50</v>
      </c>
      <c r="N28" s="247">
        <v>2</v>
      </c>
      <c r="O28" s="251">
        <v>1750000</v>
      </c>
      <c r="P28" s="248">
        <v>46027</v>
      </c>
      <c r="Q28" s="252" t="s">
        <v>1859</v>
      </c>
      <c r="R28" s="252" t="s">
        <v>1858</v>
      </c>
    </row>
    <row r="29" spans="1:19" ht="13.5" thickBot="1">
      <c r="A29" s="148"/>
      <c r="B29" s="38">
        <v>5504154550</v>
      </c>
      <c r="C29" s="39">
        <v>46020</v>
      </c>
      <c r="D29" s="42"/>
      <c r="E29" s="42"/>
      <c r="F29" s="38" t="s">
        <v>1257</v>
      </c>
      <c r="G29" s="38" t="s">
        <v>1258</v>
      </c>
      <c r="H29" s="39">
        <v>46020</v>
      </c>
      <c r="I29" s="42"/>
      <c r="J29" s="42" t="s">
        <v>52</v>
      </c>
      <c r="K29" s="38" t="s">
        <v>137</v>
      </c>
      <c r="L29" s="41" t="s">
        <v>151</v>
      </c>
      <c r="M29" s="38">
        <v>1000</v>
      </c>
      <c r="N29" s="38">
        <v>40</v>
      </c>
      <c r="O29" s="149">
        <v>67500000</v>
      </c>
      <c r="P29" s="39">
        <v>46027</v>
      </c>
      <c r="Q29"/>
    </row>
    <row r="30" spans="1:19" ht="13.5" thickBot="1">
      <c r="A30" s="148"/>
      <c r="B30" s="38">
        <v>5504154571</v>
      </c>
      <c r="C30" s="39">
        <v>46020</v>
      </c>
      <c r="D30" s="42"/>
      <c r="E30" s="42"/>
      <c r="F30" s="38" t="s">
        <v>1259</v>
      </c>
      <c r="G30" s="38" t="s">
        <v>1260</v>
      </c>
      <c r="H30" s="39">
        <v>46020</v>
      </c>
      <c r="I30" s="42"/>
      <c r="J30" s="42" t="s">
        <v>52</v>
      </c>
      <c r="K30" s="38" t="s">
        <v>1261</v>
      </c>
      <c r="L30" s="41" t="s">
        <v>151</v>
      </c>
      <c r="M30" s="38">
        <v>800</v>
      </c>
      <c r="N30" s="38">
        <v>32</v>
      </c>
      <c r="O30" s="149">
        <v>54000000</v>
      </c>
      <c r="P30" s="39">
        <v>46027</v>
      </c>
      <c r="Q30"/>
    </row>
    <row r="31" spans="1:19" ht="13.5" thickBot="1">
      <c r="A31" s="148"/>
      <c r="B31" s="38">
        <v>1326935</v>
      </c>
      <c r="C31" s="39">
        <v>46020</v>
      </c>
      <c r="D31" s="42"/>
      <c r="E31" s="42"/>
      <c r="F31" s="38" t="s">
        <v>1262</v>
      </c>
      <c r="G31" s="38" t="s">
        <v>1263</v>
      </c>
      <c r="H31" s="39">
        <v>46020</v>
      </c>
      <c r="I31" s="42"/>
      <c r="J31" s="42" t="s">
        <v>751</v>
      </c>
      <c r="K31" s="38" t="s">
        <v>80</v>
      </c>
      <c r="L31" s="41" t="s">
        <v>766</v>
      </c>
      <c r="M31" s="38">
        <v>50</v>
      </c>
      <c r="N31" s="38">
        <v>2</v>
      </c>
      <c r="O31" s="149">
        <v>6775000</v>
      </c>
      <c r="P31" s="39">
        <v>46029</v>
      </c>
      <c r="Q31"/>
    </row>
    <row r="32" spans="1:19" ht="13.5" thickBot="1">
      <c r="A32" s="148"/>
      <c r="B32" s="38">
        <v>4500145409</v>
      </c>
      <c r="C32" s="39">
        <v>46020</v>
      </c>
      <c r="D32" s="42"/>
      <c r="E32" s="42"/>
      <c r="F32" s="38" t="s">
        <v>1264</v>
      </c>
      <c r="G32" s="38" t="s">
        <v>1265</v>
      </c>
      <c r="H32" s="39">
        <v>46021</v>
      </c>
      <c r="I32" s="42"/>
      <c r="J32" s="42" t="s">
        <v>6</v>
      </c>
      <c r="K32" s="38" t="s">
        <v>936</v>
      </c>
      <c r="L32" s="41" t="s">
        <v>1191</v>
      </c>
      <c r="M32" s="38">
        <v>150</v>
      </c>
      <c r="N32" s="38">
        <v>6</v>
      </c>
      <c r="O32" s="149">
        <v>9030000</v>
      </c>
      <c r="P32" s="39">
        <v>46027</v>
      </c>
      <c r="Q32"/>
    </row>
    <row r="33" spans="1:18" ht="13.5" thickBot="1">
      <c r="A33" s="148"/>
      <c r="B33" s="38">
        <v>4500145409</v>
      </c>
      <c r="C33" s="39">
        <v>46020</v>
      </c>
      <c r="D33" s="42"/>
      <c r="E33" s="42"/>
      <c r="F33" s="38" t="s">
        <v>1264</v>
      </c>
      <c r="G33" s="38" t="s">
        <v>1265</v>
      </c>
      <c r="H33" s="39">
        <v>46021</v>
      </c>
      <c r="I33" s="42"/>
      <c r="J33" s="42" t="s">
        <v>6</v>
      </c>
      <c r="K33" s="38" t="s">
        <v>936</v>
      </c>
      <c r="L33" s="41" t="s">
        <v>111</v>
      </c>
      <c r="M33" s="38">
        <v>200</v>
      </c>
      <c r="N33" s="38">
        <v>8</v>
      </c>
      <c r="O33" s="149">
        <v>5100000</v>
      </c>
      <c r="P33" s="39">
        <v>46027</v>
      </c>
      <c r="Q33"/>
    </row>
    <row r="34" spans="1:18" ht="13.5" thickBot="1">
      <c r="A34" s="148"/>
      <c r="B34" s="38">
        <v>4500145409</v>
      </c>
      <c r="C34" s="39">
        <v>46020</v>
      </c>
      <c r="D34" s="42"/>
      <c r="E34" s="42"/>
      <c r="F34" s="38" t="s">
        <v>1264</v>
      </c>
      <c r="G34" s="38" t="s">
        <v>1265</v>
      </c>
      <c r="H34" s="39">
        <v>46021</v>
      </c>
      <c r="I34" s="42"/>
      <c r="J34" s="42" t="s">
        <v>6</v>
      </c>
      <c r="K34" s="38" t="s">
        <v>936</v>
      </c>
      <c r="L34" s="41" t="s">
        <v>1208</v>
      </c>
      <c r="M34" s="38">
        <v>1000</v>
      </c>
      <c r="N34" s="38">
        <v>40</v>
      </c>
      <c r="O34" s="149">
        <v>15700000</v>
      </c>
      <c r="P34" s="39">
        <v>46027</v>
      </c>
      <c r="Q34"/>
    </row>
    <row r="35" spans="1:18" ht="13.5" thickBot="1">
      <c r="A35" s="148"/>
      <c r="B35" s="38">
        <v>1327234</v>
      </c>
      <c r="C35" s="39">
        <v>46020</v>
      </c>
      <c r="D35" s="42"/>
      <c r="E35" s="42"/>
      <c r="F35" s="38" t="s">
        <v>1266</v>
      </c>
      <c r="G35" s="38" t="s">
        <v>1267</v>
      </c>
      <c r="H35" s="39">
        <v>46021</v>
      </c>
      <c r="I35" s="42"/>
      <c r="J35" s="42" t="s">
        <v>751</v>
      </c>
      <c r="K35" s="38" t="s">
        <v>84</v>
      </c>
      <c r="L35" s="41" t="s">
        <v>768</v>
      </c>
      <c r="M35" s="38">
        <v>500</v>
      </c>
      <c r="N35" s="38">
        <v>20</v>
      </c>
      <c r="O35" s="149">
        <v>66150000</v>
      </c>
      <c r="P35" s="39">
        <v>46027</v>
      </c>
      <c r="Q35"/>
    </row>
    <row r="36" spans="1:18" ht="13.5" thickBot="1">
      <c r="A36" s="148"/>
      <c r="B36" s="38">
        <v>1327288</v>
      </c>
      <c r="C36" s="39">
        <v>46020</v>
      </c>
      <c r="D36" s="42"/>
      <c r="E36" s="42"/>
      <c r="F36" s="38" t="s">
        <v>1268</v>
      </c>
      <c r="G36" s="38" t="s">
        <v>1269</v>
      </c>
      <c r="H36" s="39">
        <v>46021</v>
      </c>
      <c r="I36" s="42"/>
      <c r="J36" s="42" t="s">
        <v>784</v>
      </c>
      <c r="K36" s="38" t="s">
        <v>142</v>
      </c>
      <c r="L36" s="41" t="s">
        <v>1223</v>
      </c>
      <c r="M36" s="38">
        <v>50</v>
      </c>
      <c r="N36" s="38">
        <v>2</v>
      </c>
      <c r="O36" s="149">
        <v>8750000</v>
      </c>
      <c r="P36" s="39">
        <v>46027</v>
      </c>
      <c r="Q36" t="s">
        <v>1205</v>
      </c>
    </row>
    <row r="37" spans="1:18" ht="13.5" thickBot="1">
      <c r="A37" s="148"/>
      <c r="B37" s="38">
        <v>4500085836</v>
      </c>
      <c r="C37" s="39">
        <v>46021</v>
      </c>
      <c r="D37" s="42"/>
      <c r="E37" s="42"/>
      <c r="F37" s="38" t="s">
        <v>1270</v>
      </c>
      <c r="G37" s="38" t="s">
        <v>1271</v>
      </c>
      <c r="H37" s="39">
        <v>46021</v>
      </c>
      <c r="I37" s="42"/>
      <c r="J37" s="42" t="s">
        <v>762</v>
      </c>
      <c r="K37" s="38" t="s">
        <v>83</v>
      </c>
      <c r="L37" s="41" t="s">
        <v>339</v>
      </c>
      <c r="M37" s="38">
        <v>100</v>
      </c>
      <c r="N37" s="38">
        <v>4</v>
      </c>
      <c r="O37" s="149">
        <v>12500000</v>
      </c>
      <c r="P37" s="39">
        <v>46030</v>
      </c>
      <c r="Q37"/>
    </row>
    <row r="38" spans="1:18" ht="13.5" thickBot="1">
      <c r="A38" s="148"/>
      <c r="B38" s="38">
        <v>4500085836</v>
      </c>
      <c r="C38" s="39">
        <v>46021</v>
      </c>
      <c r="D38" s="42"/>
      <c r="E38" s="42"/>
      <c r="F38" s="38" t="s">
        <v>1270</v>
      </c>
      <c r="G38" s="38" t="s">
        <v>1271</v>
      </c>
      <c r="H38" s="39">
        <v>46021</v>
      </c>
      <c r="I38" s="42"/>
      <c r="J38" s="42" t="s">
        <v>762</v>
      </c>
      <c r="K38" s="38" t="s">
        <v>83</v>
      </c>
      <c r="L38" s="41" t="s">
        <v>766</v>
      </c>
      <c r="M38" s="38">
        <v>100</v>
      </c>
      <c r="N38" s="38">
        <v>4</v>
      </c>
      <c r="O38" s="149">
        <v>13550000</v>
      </c>
      <c r="P38" s="39">
        <v>46030</v>
      </c>
      <c r="Q38"/>
    </row>
    <row r="39" spans="1:18" ht="13.5" thickBot="1">
      <c r="A39" s="148"/>
      <c r="B39" s="38">
        <v>4500085836</v>
      </c>
      <c r="C39" s="39">
        <v>46021</v>
      </c>
      <c r="D39" s="42"/>
      <c r="E39" s="42"/>
      <c r="F39" s="38" t="s">
        <v>1270</v>
      </c>
      <c r="G39" s="38" t="s">
        <v>1271</v>
      </c>
      <c r="H39" s="39">
        <v>46021</v>
      </c>
      <c r="I39" s="42"/>
      <c r="J39" s="42" t="s">
        <v>762</v>
      </c>
      <c r="K39" s="38" t="s">
        <v>83</v>
      </c>
      <c r="L39" s="41" t="s">
        <v>779</v>
      </c>
      <c r="M39" s="38">
        <v>400</v>
      </c>
      <c r="N39" s="38">
        <v>16</v>
      </c>
      <c r="O39" s="149">
        <v>12080000</v>
      </c>
      <c r="P39" s="39">
        <v>46030</v>
      </c>
      <c r="Q39"/>
    </row>
    <row r="40" spans="1:18" ht="13.5" thickBot="1">
      <c r="A40" s="148"/>
      <c r="B40" s="38">
        <v>4500085836</v>
      </c>
      <c r="C40" s="39">
        <v>46021</v>
      </c>
      <c r="D40" s="42"/>
      <c r="E40" s="42"/>
      <c r="F40" s="38" t="s">
        <v>1270</v>
      </c>
      <c r="G40" s="38" t="s">
        <v>1271</v>
      </c>
      <c r="H40" s="39">
        <v>46021</v>
      </c>
      <c r="I40" s="42"/>
      <c r="J40" s="42" t="s">
        <v>762</v>
      </c>
      <c r="K40" s="38" t="s">
        <v>83</v>
      </c>
      <c r="L40" s="41" t="s">
        <v>194</v>
      </c>
      <c r="M40" s="38">
        <v>500</v>
      </c>
      <c r="N40" s="38">
        <v>20</v>
      </c>
      <c r="O40" s="149">
        <v>8800000</v>
      </c>
      <c r="P40" s="39">
        <v>46030</v>
      </c>
      <c r="Q40"/>
    </row>
    <row r="41" spans="1:18" ht="13.5" thickBot="1">
      <c r="A41" s="148"/>
      <c r="B41" s="38">
        <v>1327821</v>
      </c>
      <c r="C41" s="39">
        <v>46021</v>
      </c>
      <c r="D41" s="42"/>
      <c r="E41" s="42"/>
      <c r="F41" s="38" t="s">
        <v>1272</v>
      </c>
      <c r="G41" s="38" t="s">
        <v>1273</v>
      </c>
      <c r="H41" s="39">
        <v>46021</v>
      </c>
      <c r="I41" s="42"/>
      <c r="J41" s="42" t="s">
        <v>751</v>
      </c>
      <c r="K41" s="38" t="s">
        <v>79</v>
      </c>
      <c r="L41" s="41" t="s">
        <v>1274</v>
      </c>
      <c r="M41" s="38">
        <v>40</v>
      </c>
      <c r="N41" s="38">
        <v>2</v>
      </c>
      <c r="O41" s="149">
        <v>1642200</v>
      </c>
      <c r="P41" s="39">
        <v>46030</v>
      </c>
      <c r="Q41"/>
    </row>
    <row r="42" spans="1:18" ht="25.5" thickBot="1">
      <c r="A42" s="148"/>
      <c r="B42" s="38">
        <v>1328652</v>
      </c>
      <c r="C42" s="39">
        <v>46022</v>
      </c>
      <c r="D42" s="42"/>
      <c r="E42" s="42"/>
      <c r="F42" s="38" t="s">
        <v>1275</v>
      </c>
      <c r="G42" s="38" t="s">
        <v>1276</v>
      </c>
      <c r="H42" s="39">
        <v>46024</v>
      </c>
      <c r="I42" s="42"/>
      <c r="J42" s="42" t="s">
        <v>786</v>
      </c>
      <c r="K42" s="38" t="s">
        <v>1277</v>
      </c>
      <c r="L42" s="41" t="s">
        <v>1278</v>
      </c>
      <c r="M42" s="38">
        <v>72</v>
      </c>
      <c r="N42" s="38">
        <v>3</v>
      </c>
      <c r="O42" s="149">
        <v>3355200</v>
      </c>
      <c r="P42" s="39">
        <v>46030</v>
      </c>
      <c r="Q42"/>
    </row>
    <row r="43" spans="1:18" ht="25.5" thickBot="1">
      <c r="A43" s="148"/>
      <c r="B43" s="38">
        <v>1328676</v>
      </c>
      <c r="C43" s="39">
        <v>46022</v>
      </c>
      <c r="D43" s="42"/>
      <c r="E43" s="42"/>
      <c r="F43" s="38" t="s">
        <v>1279</v>
      </c>
      <c r="G43" s="38" t="s">
        <v>1280</v>
      </c>
      <c r="H43" s="39">
        <v>46024</v>
      </c>
      <c r="I43" s="42"/>
      <c r="J43" s="42" t="s">
        <v>786</v>
      </c>
      <c r="K43" s="38" t="s">
        <v>1277</v>
      </c>
      <c r="L43" s="41" t="s">
        <v>1281</v>
      </c>
      <c r="M43" s="38">
        <v>160</v>
      </c>
      <c r="N43" s="38">
        <v>6</v>
      </c>
      <c r="O43" s="149">
        <v>5796000</v>
      </c>
      <c r="P43" s="39">
        <v>46030</v>
      </c>
      <c r="Q43"/>
    </row>
    <row r="44" spans="1:18" ht="38" thickBot="1">
      <c r="A44" s="148"/>
      <c r="B44" s="38" t="s">
        <v>1282</v>
      </c>
      <c r="C44" s="39">
        <v>45659</v>
      </c>
      <c r="D44" s="42"/>
      <c r="E44" s="42"/>
      <c r="F44" s="38" t="s">
        <v>1283</v>
      </c>
      <c r="G44" s="38" t="s">
        <v>1284</v>
      </c>
      <c r="H44" s="39">
        <v>46024</v>
      </c>
      <c r="I44" s="42"/>
      <c r="J44" s="42" t="s">
        <v>763</v>
      </c>
      <c r="K44" s="38" t="s">
        <v>79</v>
      </c>
      <c r="L44" s="41" t="s">
        <v>215</v>
      </c>
      <c r="M44" s="38">
        <v>100</v>
      </c>
      <c r="N44" s="38">
        <v>4</v>
      </c>
      <c r="O44" s="149">
        <v>1701000</v>
      </c>
      <c r="P44" s="39">
        <v>46030</v>
      </c>
      <c r="Q44"/>
    </row>
    <row r="45" spans="1:18" ht="13.5" thickBot="1">
      <c r="A45" s="253" t="s">
        <v>1863</v>
      </c>
      <c r="B45" s="55">
        <v>4500185557</v>
      </c>
      <c r="C45" s="53">
        <v>46022</v>
      </c>
      <c r="D45" s="150"/>
      <c r="E45" s="221"/>
      <c r="F45" s="253" t="s">
        <v>1285</v>
      </c>
      <c r="G45" s="254"/>
      <c r="H45" s="255">
        <v>46024</v>
      </c>
      <c r="I45" s="221"/>
      <c r="J45" s="254" t="s">
        <v>181</v>
      </c>
      <c r="K45" s="222" t="s">
        <v>164</v>
      </c>
      <c r="L45" s="256" t="s">
        <v>158</v>
      </c>
      <c r="M45" s="253">
        <v>8000</v>
      </c>
      <c r="N45" s="253">
        <v>320</v>
      </c>
      <c r="O45" s="257">
        <v>296800000</v>
      </c>
      <c r="P45" s="255">
        <v>46027</v>
      </c>
      <c r="Q45" s="258" t="s">
        <v>1861</v>
      </c>
      <c r="R45" s="258" t="s">
        <v>1862</v>
      </c>
    </row>
    <row r="46" spans="1:18" ht="13.5" thickBot="1">
      <c r="A46" s="162"/>
      <c r="B46" s="38" t="s">
        <v>775</v>
      </c>
      <c r="C46" s="39">
        <v>46024</v>
      </c>
      <c r="D46" s="42"/>
      <c r="E46" s="42"/>
      <c r="F46" s="38" t="s">
        <v>1286</v>
      </c>
      <c r="G46" s="38" t="s">
        <v>1287</v>
      </c>
      <c r="H46" s="39">
        <v>46024</v>
      </c>
      <c r="I46" s="42"/>
      <c r="J46" s="42" t="s">
        <v>62</v>
      </c>
      <c r="K46" s="38" t="s">
        <v>139</v>
      </c>
      <c r="L46" s="41" t="s">
        <v>209</v>
      </c>
      <c r="M46" s="38">
        <v>50</v>
      </c>
      <c r="N46" s="38">
        <v>2</v>
      </c>
      <c r="O46" s="149">
        <v>8657250</v>
      </c>
      <c r="P46" s="39">
        <v>46028</v>
      </c>
      <c r="Q46"/>
    </row>
    <row r="47" spans="1:18" ht="13.5" thickBot="1">
      <c r="A47" s="148"/>
      <c r="B47" s="38" t="s">
        <v>775</v>
      </c>
      <c r="C47" s="39">
        <v>46024</v>
      </c>
      <c r="D47" s="42"/>
      <c r="E47" s="42"/>
      <c r="F47" s="38" t="s">
        <v>1288</v>
      </c>
      <c r="G47" s="38" t="s">
        <v>1289</v>
      </c>
      <c r="H47" s="39">
        <v>46024</v>
      </c>
      <c r="I47" s="42"/>
      <c r="J47" s="42" t="s">
        <v>62</v>
      </c>
      <c r="K47" s="38" t="s">
        <v>139</v>
      </c>
      <c r="L47" s="41" t="s">
        <v>764</v>
      </c>
      <c r="M47" s="38">
        <v>25</v>
      </c>
      <c r="N47" s="38">
        <v>1</v>
      </c>
      <c r="O47" s="149">
        <v>6000000</v>
      </c>
      <c r="P47" s="39">
        <v>46028</v>
      </c>
      <c r="Q47"/>
    </row>
    <row r="48" spans="1:18" ht="13.5" thickBot="1">
      <c r="A48" s="148"/>
      <c r="B48" s="38" t="s">
        <v>775</v>
      </c>
      <c r="C48" s="39">
        <v>46024</v>
      </c>
      <c r="D48" s="42"/>
      <c r="E48" s="42"/>
      <c r="F48" s="38" t="s">
        <v>1288</v>
      </c>
      <c r="G48" s="38" t="s">
        <v>1289</v>
      </c>
      <c r="H48" s="39">
        <v>46024</v>
      </c>
      <c r="I48" s="42"/>
      <c r="J48" s="42" t="s">
        <v>62</v>
      </c>
      <c r="K48" s="38" t="s">
        <v>139</v>
      </c>
      <c r="L48" s="41" t="s">
        <v>209</v>
      </c>
      <c r="M48" s="38">
        <v>150</v>
      </c>
      <c r="N48" s="38">
        <v>6</v>
      </c>
      <c r="O48" s="149">
        <v>25971750</v>
      </c>
      <c r="P48" s="39">
        <v>46028</v>
      </c>
      <c r="Q48"/>
    </row>
    <row r="49" spans="1:18" ht="13.5" thickBot="1">
      <c r="A49" s="148"/>
      <c r="B49" s="38" t="s">
        <v>775</v>
      </c>
      <c r="C49" s="39">
        <v>46024</v>
      </c>
      <c r="D49" s="42"/>
      <c r="E49" s="42"/>
      <c r="F49" s="38" t="s">
        <v>1288</v>
      </c>
      <c r="G49" s="38" t="s">
        <v>1289</v>
      </c>
      <c r="H49" s="39">
        <v>46024</v>
      </c>
      <c r="I49" s="42"/>
      <c r="J49" s="42" t="s">
        <v>62</v>
      </c>
      <c r="K49" s="38" t="s">
        <v>139</v>
      </c>
      <c r="L49" s="41" t="s">
        <v>221</v>
      </c>
      <c r="M49" s="38">
        <v>100</v>
      </c>
      <c r="N49" s="38">
        <v>4</v>
      </c>
      <c r="O49" s="149">
        <v>24675000</v>
      </c>
      <c r="P49" s="39">
        <v>46028</v>
      </c>
      <c r="Q49"/>
    </row>
    <row r="50" spans="1:18" ht="13.5" thickBot="1">
      <c r="A50" s="148"/>
      <c r="B50" s="38" t="s">
        <v>775</v>
      </c>
      <c r="C50" s="39">
        <v>46024</v>
      </c>
      <c r="D50" s="42"/>
      <c r="E50" s="42"/>
      <c r="F50" s="38" t="s">
        <v>1288</v>
      </c>
      <c r="G50" s="38" t="s">
        <v>1289</v>
      </c>
      <c r="H50" s="39">
        <v>46024</v>
      </c>
      <c r="I50" s="42"/>
      <c r="J50" s="42" t="s">
        <v>62</v>
      </c>
      <c r="K50" s="38" t="s">
        <v>139</v>
      </c>
      <c r="L50" s="41" t="s">
        <v>779</v>
      </c>
      <c r="M50" s="38">
        <v>25</v>
      </c>
      <c r="N50" s="38">
        <v>1</v>
      </c>
      <c r="O50" s="149">
        <v>837500</v>
      </c>
      <c r="P50" s="39">
        <v>46028</v>
      </c>
      <c r="Q50"/>
    </row>
    <row r="51" spans="1:18" ht="13.5" thickBot="1">
      <c r="A51" s="148"/>
      <c r="B51" s="38" t="s">
        <v>775</v>
      </c>
      <c r="C51" s="39">
        <v>46024</v>
      </c>
      <c r="D51" s="42"/>
      <c r="E51" s="42"/>
      <c r="F51" s="38" t="s">
        <v>1288</v>
      </c>
      <c r="G51" s="38" t="s">
        <v>1289</v>
      </c>
      <c r="H51" s="39">
        <v>46024</v>
      </c>
      <c r="I51" s="42"/>
      <c r="J51" s="42" t="s">
        <v>62</v>
      </c>
      <c r="K51" s="38" t="s">
        <v>139</v>
      </c>
      <c r="L51" s="41" t="s">
        <v>767</v>
      </c>
      <c r="M51" s="38">
        <v>50</v>
      </c>
      <c r="N51" s="38">
        <v>2</v>
      </c>
      <c r="O51" s="149">
        <v>3450000</v>
      </c>
      <c r="P51" s="39">
        <v>46028</v>
      </c>
      <c r="Q51"/>
    </row>
    <row r="52" spans="1:18" ht="23.5" thickBot="1">
      <c r="A52" s="148"/>
      <c r="B52" s="38" t="s">
        <v>775</v>
      </c>
      <c r="C52" s="39">
        <v>46022</v>
      </c>
      <c r="D52" s="42"/>
      <c r="E52" s="42"/>
      <c r="F52" s="38" t="s">
        <v>1290</v>
      </c>
      <c r="G52" s="38" t="s">
        <v>1291</v>
      </c>
      <c r="H52" s="39">
        <v>46024</v>
      </c>
      <c r="I52" s="42"/>
      <c r="J52" s="42" t="s">
        <v>1292</v>
      </c>
      <c r="K52" s="38" t="s">
        <v>1293</v>
      </c>
      <c r="L52" s="41" t="s">
        <v>230</v>
      </c>
      <c r="M52" s="38">
        <v>76</v>
      </c>
      <c r="N52" s="38">
        <v>3</v>
      </c>
      <c r="O52" s="149">
        <v>8360000</v>
      </c>
      <c r="P52" s="39">
        <v>46028</v>
      </c>
      <c r="Q52"/>
    </row>
    <row r="53" spans="1:18" ht="13.5" thickBot="1">
      <c r="A53" s="148"/>
      <c r="B53" s="38">
        <v>98130</v>
      </c>
      <c r="C53" s="39">
        <v>46024</v>
      </c>
      <c r="D53" s="42"/>
      <c r="E53" s="42"/>
      <c r="F53" s="38" t="s">
        <v>1294</v>
      </c>
      <c r="G53" s="38" t="s">
        <v>1295</v>
      </c>
      <c r="H53" s="39">
        <v>46024</v>
      </c>
      <c r="I53" s="42"/>
      <c r="J53" s="42" t="s">
        <v>231</v>
      </c>
      <c r="K53" s="38" t="s">
        <v>142</v>
      </c>
      <c r="L53" s="41" t="s">
        <v>1208</v>
      </c>
      <c r="M53" s="38">
        <v>450</v>
      </c>
      <c r="N53" s="38">
        <v>18</v>
      </c>
      <c r="O53" s="149">
        <v>7200000</v>
      </c>
      <c r="P53" s="39">
        <v>46029</v>
      </c>
      <c r="Q53"/>
    </row>
    <row r="54" spans="1:18" ht="13.5" thickBot="1">
      <c r="A54" s="148"/>
      <c r="B54" s="38" t="s">
        <v>775</v>
      </c>
      <c r="C54" s="39">
        <v>46022</v>
      </c>
      <c r="D54" s="42"/>
      <c r="E54" s="42"/>
      <c r="F54" s="38" t="s">
        <v>1296</v>
      </c>
      <c r="G54" s="38" t="s">
        <v>1297</v>
      </c>
      <c r="H54" s="39">
        <v>46024</v>
      </c>
      <c r="I54" s="42"/>
      <c r="J54" s="42" t="s">
        <v>42</v>
      </c>
      <c r="K54" s="38" t="s">
        <v>78</v>
      </c>
      <c r="L54" s="41" t="s">
        <v>194</v>
      </c>
      <c r="M54" s="38">
        <v>50</v>
      </c>
      <c r="N54" s="38">
        <v>2</v>
      </c>
      <c r="O54" s="149">
        <v>1021150</v>
      </c>
      <c r="P54" s="39">
        <v>46027</v>
      </c>
      <c r="Q54"/>
    </row>
    <row r="55" spans="1:18" ht="25.5" thickBot="1">
      <c r="A55" s="148"/>
      <c r="B55" s="38" t="s">
        <v>1298</v>
      </c>
      <c r="C55" s="39">
        <v>46024</v>
      </c>
      <c r="D55" s="42"/>
      <c r="E55" s="42"/>
      <c r="F55" s="38" t="s">
        <v>1299</v>
      </c>
      <c r="G55" s="38" t="s">
        <v>1300</v>
      </c>
      <c r="H55" s="39">
        <v>46024</v>
      </c>
      <c r="I55" s="42"/>
      <c r="J55" s="42" t="s">
        <v>12</v>
      </c>
      <c r="K55" s="38" t="s">
        <v>176</v>
      </c>
      <c r="L55" s="41" t="s">
        <v>207</v>
      </c>
      <c r="M55" s="38">
        <v>10</v>
      </c>
      <c r="N55" s="38">
        <v>0</v>
      </c>
      <c r="O55" s="149">
        <v>5011760</v>
      </c>
      <c r="P55" s="39">
        <v>46028</v>
      </c>
      <c r="Q55"/>
    </row>
    <row r="56" spans="1:18" ht="25.5" thickBot="1">
      <c r="A56" s="148"/>
      <c r="B56" s="38" t="s">
        <v>1298</v>
      </c>
      <c r="C56" s="39">
        <v>46024</v>
      </c>
      <c r="D56" s="42"/>
      <c r="E56" s="42"/>
      <c r="F56" s="38" t="s">
        <v>1299</v>
      </c>
      <c r="G56" s="38" t="s">
        <v>1300</v>
      </c>
      <c r="H56" s="39">
        <v>46024</v>
      </c>
      <c r="I56" s="42"/>
      <c r="J56" s="42" t="s">
        <v>12</v>
      </c>
      <c r="K56" s="38" t="s">
        <v>176</v>
      </c>
      <c r="L56" s="41" t="s">
        <v>766</v>
      </c>
      <c r="M56" s="38">
        <v>10</v>
      </c>
      <c r="N56" s="38">
        <v>0</v>
      </c>
      <c r="O56" s="149">
        <v>1600000</v>
      </c>
      <c r="P56" s="39">
        <v>46028</v>
      </c>
      <c r="Q56"/>
    </row>
    <row r="57" spans="1:18" ht="23.5" thickBot="1">
      <c r="A57" s="148"/>
      <c r="B57" s="38" t="s">
        <v>775</v>
      </c>
      <c r="C57" s="39">
        <v>46024</v>
      </c>
      <c r="D57" s="42"/>
      <c r="E57" s="42"/>
      <c r="F57" s="38" t="s">
        <v>1301</v>
      </c>
      <c r="G57" s="38" t="s">
        <v>1302</v>
      </c>
      <c r="H57" s="39">
        <v>46024</v>
      </c>
      <c r="I57" s="42"/>
      <c r="J57" s="42" t="s">
        <v>780</v>
      </c>
      <c r="K57" s="38" t="s">
        <v>1179</v>
      </c>
      <c r="L57" s="41" t="s">
        <v>768</v>
      </c>
      <c r="M57" s="38">
        <v>50</v>
      </c>
      <c r="N57" s="38">
        <v>2</v>
      </c>
      <c r="O57" s="149">
        <v>8000000</v>
      </c>
      <c r="P57" s="39">
        <v>46027</v>
      </c>
      <c r="Q57"/>
    </row>
    <row r="58" spans="1:18" ht="38" thickBot="1">
      <c r="A58" s="148"/>
      <c r="B58" s="38" t="s">
        <v>1303</v>
      </c>
      <c r="C58" s="39">
        <v>46024</v>
      </c>
      <c r="D58" s="42"/>
      <c r="E58" s="42"/>
      <c r="F58" s="38" t="s">
        <v>1304</v>
      </c>
      <c r="G58" s="38" t="s">
        <v>1305</v>
      </c>
      <c r="H58" s="39">
        <v>46024</v>
      </c>
      <c r="I58" s="42"/>
      <c r="J58" s="42" t="s">
        <v>763</v>
      </c>
      <c r="K58" s="38" t="s">
        <v>76</v>
      </c>
      <c r="L58" s="41" t="s">
        <v>194</v>
      </c>
      <c r="M58" s="38">
        <v>1500</v>
      </c>
      <c r="N58" s="38">
        <v>60</v>
      </c>
      <c r="O58" s="149">
        <v>27525000</v>
      </c>
      <c r="P58" s="39">
        <v>46031</v>
      </c>
      <c r="Q58"/>
    </row>
    <row r="59" spans="1:18" ht="13.5" thickBot="1">
      <c r="A59" s="148"/>
      <c r="B59" s="38">
        <v>1328872</v>
      </c>
      <c r="C59" s="39">
        <v>46024</v>
      </c>
      <c r="D59" s="42"/>
      <c r="E59" s="42"/>
      <c r="F59" s="38" t="s">
        <v>1306</v>
      </c>
      <c r="G59" s="38" t="s">
        <v>1307</v>
      </c>
      <c r="H59" s="39">
        <v>46024</v>
      </c>
      <c r="I59" s="42"/>
      <c r="J59" s="42" t="s">
        <v>784</v>
      </c>
      <c r="K59" s="38" t="s">
        <v>142</v>
      </c>
      <c r="L59" s="41" t="s">
        <v>767</v>
      </c>
      <c r="M59" s="38">
        <v>150</v>
      </c>
      <c r="N59" s="38">
        <v>6</v>
      </c>
      <c r="O59" s="149">
        <v>7938000</v>
      </c>
      <c r="P59" s="39">
        <v>46031</v>
      </c>
      <c r="Q59"/>
    </row>
    <row r="60" spans="1:18" ht="25.5" thickBot="1">
      <c r="A60" s="148"/>
      <c r="B60" s="38">
        <v>1328966</v>
      </c>
      <c r="C60" s="39">
        <v>46024</v>
      </c>
      <c r="D60" s="42"/>
      <c r="E60" s="42"/>
      <c r="F60" s="38" t="s">
        <v>1308</v>
      </c>
      <c r="G60" s="38" t="s">
        <v>1309</v>
      </c>
      <c r="H60" s="39">
        <v>46024</v>
      </c>
      <c r="I60" s="42"/>
      <c r="J60" s="42" t="s">
        <v>786</v>
      </c>
      <c r="K60" s="38" t="s">
        <v>331</v>
      </c>
      <c r="L60" s="41" t="s">
        <v>1310</v>
      </c>
      <c r="M60" s="38">
        <v>7</v>
      </c>
      <c r="N60" s="38">
        <v>0</v>
      </c>
      <c r="O60" s="149">
        <v>1549380</v>
      </c>
      <c r="P60" s="39">
        <v>46029</v>
      </c>
      <c r="Q60"/>
    </row>
    <row r="61" spans="1:18" ht="25.5" thickBot="1">
      <c r="A61" s="148"/>
      <c r="B61" s="38">
        <v>1328966</v>
      </c>
      <c r="C61" s="39">
        <v>46024</v>
      </c>
      <c r="D61" s="42"/>
      <c r="E61" s="42"/>
      <c r="F61" s="38" t="s">
        <v>1311</v>
      </c>
      <c r="G61" s="38" t="s">
        <v>1312</v>
      </c>
      <c r="H61" s="39">
        <v>46024</v>
      </c>
      <c r="I61" s="42"/>
      <c r="J61" s="42" t="s">
        <v>786</v>
      </c>
      <c r="K61" s="38" t="s">
        <v>331</v>
      </c>
      <c r="L61" s="41" t="s">
        <v>1313</v>
      </c>
      <c r="M61" s="38">
        <v>0.52500000000000002</v>
      </c>
      <c r="N61" s="38">
        <v>0</v>
      </c>
      <c r="O61" s="38">
        <v>0</v>
      </c>
      <c r="P61" s="39">
        <v>46029</v>
      </c>
      <c r="Q61"/>
    </row>
    <row r="62" spans="1:18" ht="35" thickBot="1">
      <c r="A62" s="162"/>
      <c r="B62" s="38" t="s">
        <v>775</v>
      </c>
      <c r="C62" s="39">
        <v>46024</v>
      </c>
      <c r="D62" s="42"/>
      <c r="E62" s="42"/>
      <c r="F62" s="38" t="s">
        <v>1314</v>
      </c>
      <c r="G62" s="38" t="s">
        <v>1315</v>
      </c>
      <c r="H62" s="39">
        <v>46024</v>
      </c>
      <c r="I62" s="42"/>
      <c r="J62" s="42" t="s">
        <v>787</v>
      </c>
      <c r="K62" s="38" t="s">
        <v>1316</v>
      </c>
      <c r="L62" s="41" t="s">
        <v>1317</v>
      </c>
      <c r="M62" s="38">
        <v>15</v>
      </c>
      <c r="N62" s="38">
        <v>1</v>
      </c>
      <c r="O62" s="149">
        <v>3000000</v>
      </c>
      <c r="P62" s="39">
        <v>46027</v>
      </c>
      <c r="Q62"/>
    </row>
    <row r="63" spans="1:18" ht="35" thickBot="1">
      <c r="A63" s="253" t="s">
        <v>117</v>
      </c>
      <c r="B63" s="55" t="s">
        <v>775</v>
      </c>
      <c r="C63" s="53">
        <v>46024</v>
      </c>
      <c r="D63" s="150"/>
      <c r="E63" s="221"/>
      <c r="F63" s="253" t="s">
        <v>1318</v>
      </c>
      <c r="G63" s="254"/>
      <c r="H63" s="255">
        <v>46024</v>
      </c>
      <c r="I63" s="221"/>
      <c r="J63" s="254" t="s">
        <v>787</v>
      </c>
      <c r="K63" s="222" t="s">
        <v>1316</v>
      </c>
      <c r="L63" s="256" t="s">
        <v>1317</v>
      </c>
      <c r="M63" s="253">
        <v>5</v>
      </c>
      <c r="N63" s="253">
        <v>0</v>
      </c>
      <c r="O63" s="257">
        <v>1000000</v>
      </c>
      <c r="P63" s="255">
        <v>46029</v>
      </c>
      <c r="Q63" s="258" t="s">
        <v>1854</v>
      </c>
      <c r="R63" s="258" t="s">
        <v>1865</v>
      </c>
    </row>
    <row r="64" spans="1:18" ht="13.5" thickBot="1">
      <c r="A64" s="148"/>
      <c r="B64" s="38">
        <v>1329073</v>
      </c>
      <c r="C64" s="39">
        <v>46027</v>
      </c>
      <c r="D64" s="42"/>
      <c r="E64" s="42"/>
      <c r="F64" s="38" t="s">
        <v>1319</v>
      </c>
      <c r="G64" s="38" t="s">
        <v>1320</v>
      </c>
      <c r="H64" s="39">
        <v>46027</v>
      </c>
      <c r="I64" s="42"/>
      <c r="J64" s="42" t="s">
        <v>751</v>
      </c>
      <c r="K64" s="38" t="s">
        <v>84</v>
      </c>
      <c r="L64" s="41" t="s">
        <v>768</v>
      </c>
      <c r="M64" s="38">
        <v>500</v>
      </c>
      <c r="N64" s="38">
        <v>20</v>
      </c>
      <c r="O64" s="149">
        <v>66150000</v>
      </c>
      <c r="P64" s="39">
        <v>46030</v>
      </c>
      <c r="Q64"/>
    </row>
    <row r="65" spans="1:18" ht="23.5" thickBot="1">
      <c r="A65" s="148"/>
      <c r="B65" s="38">
        <v>49023</v>
      </c>
      <c r="C65" s="39">
        <v>46027</v>
      </c>
      <c r="D65" s="42"/>
      <c r="E65" s="42"/>
      <c r="F65" s="38" t="s">
        <v>1321</v>
      </c>
      <c r="G65" s="38" t="s">
        <v>1322</v>
      </c>
      <c r="H65" s="39">
        <v>46027</v>
      </c>
      <c r="I65" s="42"/>
      <c r="J65" s="42" t="s">
        <v>880</v>
      </c>
      <c r="K65" s="38" t="s">
        <v>1179</v>
      </c>
      <c r="L65" s="41" t="s">
        <v>1323</v>
      </c>
      <c r="M65" s="38">
        <v>4</v>
      </c>
      <c r="N65" s="38">
        <v>0</v>
      </c>
      <c r="O65" s="149">
        <v>240000</v>
      </c>
      <c r="P65" s="39">
        <v>46030</v>
      </c>
      <c r="Q65"/>
    </row>
    <row r="66" spans="1:18" ht="23.5" thickBot="1">
      <c r="A66" s="148"/>
      <c r="B66" s="38">
        <v>49023</v>
      </c>
      <c r="C66" s="39">
        <v>46027</v>
      </c>
      <c r="D66" s="42"/>
      <c r="E66" s="42"/>
      <c r="F66" s="38" t="s">
        <v>1324</v>
      </c>
      <c r="G66" s="38" t="s">
        <v>1325</v>
      </c>
      <c r="H66" s="39">
        <v>46027</v>
      </c>
      <c r="I66" s="42"/>
      <c r="J66" s="42" t="s">
        <v>880</v>
      </c>
      <c r="K66" s="38" t="s">
        <v>1179</v>
      </c>
      <c r="L66" s="41" t="s">
        <v>1313</v>
      </c>
      <c r="M66" s="38">
        <v>0.3</v>
      </c>
      <c r="N66" s="38">
        <v>0</v>
      </c>
      <c r="O66" s="38">
        <v>0</v>
      </c>
      <c r="P66" s="39">
        <v>46030</v>
      </c>
      <c r="Q66"/>
    </row>
    <row r="67" spans="1:18" ht="23.5" thickBot="1">
      <c r="A67" s="148"/>
      <c r="B67" s="38">
        <v>49023</v>
      </c>
      <c r="C67" s="39">
        <v>46031</v>
      </c>
      <c r="D67" s="42"/>
      <c r="E67" s="42"/>
      <c r="F67" s="38" t="s">
        <v>1326</v>
      </c>
      <c r="G67" s="38" t="s">
        <v>1327</v>
      </c>
      <c r="H67" s="39">
        <v>46031</v>
      </c>
      <c r="I67" s="42"/>
      <c r="J67" s="42" t="s">
        <v>880</v>
      </c>
      <c r="K67" s="38" t="s">
        <v>1179</v>
      </c>
      <c r="L67" s="41" t="s">
        <v>1191</v>
      </c>
      <c r="M67" s="38">
        <v>15</v>
      </c>
      <c r="N67" s="42"/>
      <c r="O67" s="149">
        <v>900000</v>
      </c>
      <c r="P67" s="39">
        <v>46036</v>
      </c>
      <c r="Q67"/>
    </row>
    <row r="68" spans="1:18" ht="23.5" thickBot="1">
      <c r="A68" s="148"/>
      <c r="B68" s="38">
        <v>49023</v>
      </c>
      <c r="C68" s="39">
        <v>46031</v>
      </c>
      <c r="D68" s="42"/>
      <c r="E68" s="42"/>
      <c r="F68" s="38" t="s">
        <v>1326</v>
      </c>
      <c r="G68" s="38" t="s">
        <v>1327</v>
      </c>
      <c r="H68" s="39">
        <v>46031</v>
      </c>
      <c r="I68" s="42"/>
      <c r="J68" s="42" t="s">
        <v>880</v>
      </c>
      <c r="K68" s="38" t="s">
        <v>1179</v>
      </c>
      <c r="L68" s="41" t="s">
        <v>1323</v>
      </c>
      <c r="M68" s="38">
        <v>1</v>
      </c>
      <c r="N68" s="42"/>
      <c r="O68" s="149">
        <v>60000</v>
      </c>
      <c r="P68" s="39">
        <v>46036</v>
      </c>
      <c r="Q68"/>
    </row>
    <row r="69" spans="1:18" ht="23.5" thickBot="1">
      <c r="A69" s="148"/>
      <c r="B69" s="38">
        <v>49023</v>
      </c>
      <c r="C69" s="39">
        <v>46031</v>
      </c>
      <c r="D69" s="42"/>
      <c r="E69" s="42"/>
      <c r="F69" s="38" t="s">
        <v>1328</v>
      </c>
      <c r="G69" s="38" t="s">
        <v>1329</v>
      </c>
      <c r="H69" s="39">
        <v>46031</v>
      </c>
      <c r="I69" s="42"/>
      <c r="J69" s="42" t="s">
        <v>880</v>
      </c>
      <c r="K69" s="38" t="s">
        <v>1179</v>
      </c>
      <c r="L69" s="41" t="s">
        <v>1313</v>
      </c>
      <c r="M69" s="38">
        <v>1.2</v>
      </c>
      <c r="N69" s="38">
        <v>0</v>
      </c>
      <c r="O69" s="42"/>
      <c r="P69" s="39">
        <v>46036</v>
      </c>
      <c r="Q69"/>
    </row>
    <row r="70" spans="1:18" ht="25.5" thickBot="1">
      <c r="A70" s="148"/>
      <c r="B70" s="38" t="s">
        <v>1330</v>
      </c>
      <c r="C70" s="39">
        <v>46027</v>
      </c>
      <c r="D70" s="42"/>
      <c r="E70" s="42"/>
      <c r="F70" s="38" t="s">
        <v>1331</v>
      </c>
      <c r="G70" s="38" t="s">
        <v>1332</v>
      </c>
      <c r="H70" s="39">
        <v>46027</v>
      </c>
      <c r="I70" s="42"/>
      <c r="J70" s="42" t="s">
        <v>471</v>
      </c>
      <c r="K70" s="38" t="s">
        <v>79</v>
      </c>
      <c r="L70" s="41" t="s">
        <v>766</v>
      </c>
      <c r="M70" s="38">
        <v>10</v>
      </c>
      <c r="N70" s="38">
        <v>0</v>
      </c>
      <c r="O70" s="149">
        <v>1648000</v>
      </c>
      <c r="P70" s="39">
        <v>46029</v>
      </c>
      <c r="Q70"/>
    </row>
    <row r="71" spans="1:18" ht="25.5" thickBot="1">
      <c r="A71" s="148"/>
      <c r="B71" s="38" t="s">
        <v>1330</v>
      </c>
      <c r="C71" s="39">
        <v>46027</v>
      </c>
      <c r="D71" s="42"/>
      <c r="E71" s="42"/>
      <c r="F71" s="38" t="s">
        <v>1331</v>
      </c>
      <c r="G71" s="38" t="s">
        <v>1332</v>
      </c>
      <c r="H71" s="39">
        <v>46027</v>
      </c>
      <c r="I71" s="42"/>
      <c r="J71" s="42" t="s">
        <v>471</v>
      </c>
      <c r="K71" s="38" t="s">
        <v>79</v>
      </c>
      <c r="L71" s="41" t="s">
        <v>207</v>
      </c>
      <c r="M71" s="38">
        <v>8</v>
      </c>
      <c r="N71" s="38">
        <v>0</v>
      </c>
      <c r="O71" s="149">
        <v>4240000</v>
      </c>
      <c r="P71" s="39">
        <v>46029</v>
      </c>
      <c r="Q71"/>
    </row>
    <row r="72" spans="1:18" ht="25.5" thickBot="1">
      <c r="A72" s="148"/>
      <c r="B72" s="38" t="s">
        <v>1330</v>
      </c>
      <c r="C72" s="39">
        <v>46027</v>
      </c>
      <c r="D72" s="42"/>
      <c r="E72" s="42"/>
      <c r="F72" s="38" t="s">
        <v>1331</v>
      </c>
      <c r="G72" s="38" t="s">
        <v>1332</v>
      </c>
      <c r="H72" s="39">
        <v>46027</v>
      </c>
      <c r="I72" s="42"/>
      <c r="J72" s="42" t="s">
        <v>471</v>
      </c>
      <c r="K72" s="38" t="s">
        <v>79</v>
      </c>
      <c r="L72" s="41" t="s">
        <v>1191</v>
      </c>
      <c r="M72" s="38">
        <v>5</v>
      </c>
      <c r="N72" s="38">
        <v>0</v>
      </c>
      <c r="O72" s="149">
        <v>305500</v>
      </c>
      <c r="P72" s="39">
        <v>46029</v>
      </c>
      <c r="Q72"/>
    </row>
    <row r="73" spans="1:18" ht="25.5" thickBot="1">
      <c r="A73" s="148"/>
      <c r="B73" s="38" t="s">
        <v>1330</v>
      </c>
      <c r="C73" s="39">
        <v>46027</v>
      </c>
      <c r="D73" s="42"/>
      <c r="E73" s="42"/>
      <c r="F73" s="38" t="s">
        <v>1333</v>
      </c>
      <c r="G73" s="38" t="s">
        <v>1334</v>
      </c>
      <c r="H73" s="39">
        <v>46027</v>
      </c>
      <c r="I73" s="42"/>
      <c r="J73" s="42" t="s">
        <v>471</v>
      </c>
      <c r="K73" s="38" t="s">
        <v>79</v>
      </c>
      <c r="L73" s="41" t="s">
        <v>1313</v>
      </c>
      <c r="M73" s="38">
        <v>0.375</v>
      </c>
      <c r="N73" s="38">
        <v>0</v>
      </c>
      <c r="O73" s="38">
        <v>0</v>
      </c>
      <c r="P73" s="39">
        <v>46029</v>
      </c>
      <c r="Q73"/>
    </row>
    <row r="74" spans="1:18" ht="13.5" thickBot="1">
      <c r="A74" s="162"/>
      <c r="B74" s="38" t="s">
        <v>775</v>
      </c>
      <c r="C74" s="39">
        <v>46027</v>
      </c>
      <c r="D74" s="42"/>
      <c r="E74" s="42"/>
      <c r="F74" s="38" t="s">
        <v>1335</v>
      </c>
      <c r="G74" s="38" t="s">
        <v>1336</v>
      </c>
      <c r="H74" s="39">
        <v>46027</v>
      </c>
      <c r="I74" s="42"/>
      <c r="J74" s="42" t="s">
        <v>45</v>
      </c>
      <c r="K74" s="38" t="s">
        <v>1070</v>
      </c>
      <c r="L74" s="41" t="s">
        <v>207</v>
      </c>
      <c r="M74" s="38">
        <v>4</v>
      </c>
      <c r="N74" s="38">
        <v>0</v>
      </c>
      <c r="O74" s="149">
        <v>2100000</v>
      </c>
      <c r="P74" s="39">
        <v>46027</v>
      </c>
      <c r="Q74"/>
    </row>
    <row r="75" spans="1:18" ht="38" thickBot="1">
      <c r="A75" s="148"/>
      <c r="B75" s="38" t="s">
        <v>1337</v>
      </c>
      <c r="C75" s="39">
        <v>46027</v>
      </c>
      <c r="D75" s="42"/>
      <c r="E75" s="42"/>
      <c r="F75" s="38" t="s">
        <v>1338</v>
      </c>
      <c r="G75" s="38" t="s">
        <v>1339</v>
      </c>
      <c r="H75" s="39">
        <v>46027</v>
      </c>
      <c r="I75" s="42"/>
      <c r="J75" s="42" t="s">
        <v>32</v>
      </c>
      <c r="K75" s="38" t="s">
        <v>331</v>
      </c>
      <c r="L75" s="41" t="s">
        <v>230</v>
      </c>
      <c r="M75" s="38">
        <v>14.5</v>
      </c>
      <c r="N75" s="38">
        <v>1</v>
      </c>
      <c r="O75" s="149">
        <v>1486250</v>
      </c>
      <c r="P75" s="39">
        <v>46029</v>
      </c>
      <c r="Q75"/>
    </row>
    <row r="76" spans="1:18" ht="38" thickBot="1">
      <c r="A76" s="148"/>
      <c r="B76" s="38" t="s">
        <v>1337</v>
      </c>
      <c r="C76" s="39">
        <v>46027</v>
      </c>
      <c r="D76" s="42"/>
      <c r="E76" s="42"/>
      <c r="F76" s="38" t="s">
        <v>1338</v>
      </c>
      <c r="G76" s="38" t="s">
        <v>1339</v>
      </c>
      <c r="H76" s="39">
        <v>46027</v>
      </c>
      <c r="I76" s="42"/>
      <c r="J76" s="42" t="s">
        <v>32</v>
      </c>
      <c r="K76" s="38" t="s">
        <v>331</v>
      </c>
      <c r="L76" s="41" t="s">
        <v>772</v>
      </c>
      <c r="M76" s="38">
        <v>20</v>
      </c>
      <c r="N76" s="38">
        <v>1</v>
      </c>
      <c r="O76" s="149">
        <v>1090000</v>
      </c>
      <c r="P76" s="39">
        <v>46029</v>
      </c>
      <c r="Q76"/>
    </row>
    <row r="77" spans="1:18" ht="13.5" thickBot="1">
      <c r="A77" s="148"/>
      <c r="B77" s="38">
        <v>4500085828</v>
      </c>
      <c r="C77" s="39">
        <v>46027</v>
      </c>
      <c r="D77" s="42"/>
      <c r="E77" s="42"/>
      <c r="F77" s="38" t="s">
        <v>1340</v>
      </c>
      <c r="G77" s="38" t="s">
        <v>1341</v>
      </c>
      <c r="H77" s="39">
        <v>46027</v>
      </c>
      <c r="I77" s="42"/>
      <c r="J77" s="42" t="s">
        <v>1342</v>
      </c>
      <c r="K77" s="38" t="s">
        <v>375</v>
      </c>
      <c r="L77" s="41" t="s">
        <v>115</v>
      </c>
      <c r="M77" s="38">
        <v>1000</v>
      </c>
      <c r="N77" s="38">
        <v>40</v>
      </c>
      <c r="O77" s="149">
        <v>72867000</v>
      </c>
      <c r="P77" s="39">
        <v>46028</v>
      </c>
      <c r="Q77"/>
    </row>
    <row r="78" spans="1:18" ht="13.5" thickBot="1">
      <c r="A78" s="148"/>
      <c r="B78" s="38">
        <v>4500085828</v>
      </c>
      <c r="C78" s="39">
        <v>46027</v>
      </c>
      <c r="D78" s="42"/>
      <c r="E78" s="42"/>
      <c r="F78" s="38" t="s">
        <v>1340</v>
      </c>
      <c r="G78" s="38" t="s">
        <v>1341</v>
      </c>
      <c r="H78" s="39">
        <v>46027</v>
      </c>
      <c r="I78" s="42"/>
      <c r="J78" s="42" t="s">
        <v>1342</v>
      </c>
      <c r="K78" s="38" t="s">
        <v>375</v>
      </c>
      <c r="L78" s="41" t="s">
        <v>209</v>
      </c>
      <c r="M78" s="38">
        <v>300</v>
      </c>
      <c r="N78" s="38">
        <v>12</v>
      </c>
      <c r="O78" s="149">
        <v>36870300</v>
      </c>
      <c r="P78" s="39">
        <v>46028</v>
      </c>
      <c r="Q78"/>
    </row>
    <row r="79" spans="1:18" ht="23.5" thickBot="1">
      <c r="A79" s="148"/>
      <c r="B79" s="38" t="s">
        <v>1343</v>
      </c>
      <c r="C79" s="39">
        <v>46027</v>
      </c>
      <c r="D79" s="42"/>
      <c r="E79" s="42"/>
      <c r="F79" s="38" t="s">
        <v>1344</v>
      </c>
      <c r="G79" s="38" t="s">
        <v>1345</v>
      </c>
      <c r="H79" s="39">
        <v>46027</v>
      </c>
      <c r="I79" s="42"/>
      <c r="J79" s="42" t="s">
        <v>167</v>
      </c>
      <c r="K79" s="38" t="s">
        <v>168</v>
      </c>
      <c r="L79" s="41" t="s">
        <v>1208</v>
      </c>
      <c r="M79" s="38">
        <v>1000</v>
      </c>
      <c r="N79" s="38">
        <v>40</v>
      </c>
      <c r="O79" s="149">
        <v>16000000</v>
      </c>
      <c r="P79" s="39">
        <v>46029</v>
      </c>
      <c r="Q79"/>
    </row>
    <row r="80" spans="1:18" s="214" customFormat="1" ht="23.5" thickBot="1">
      <c r="A80" s="259" t="s">
        <v>1850</v>
      </c>
      <c r="B80" s="202" t="s">
        <v>1343</v>
      </c>
      <c r="C80" s="203">
        <v>46027</v>
      </c>
      <c r="D80" s="205"/>
      <c r="E80" s="223"/>
      <c r="F80" s="259" t="s">
        <v>1344</v>
      </c>
      <c r="G80" s="259" t="s">
        <v>1345</v>
      </c>
      <c r="H80" s="260">
        <v>46027</v>
      </c>
      <c r="I80" s="223"/>
      <c r="J80" s="261" t="s">
        <v>167</v>
      </c>
      <c r="K80" s="224" t="s">
        <v>168</v>
      </c>
      <c r="L80" s="262" t="s">
        <v>194</v>
      </c>
      <c r="M80" s="259">
        <v>500</v>
      </c>
      <c r="N80" s="259">
        <v>20</v>
      </c>
      <c r="O80" s="263">
        <v>9750000</v>
      </c>
      <c r="P80" s="260">
        <v>46029</v>
      </c>
      <c r="Q80" s="264" t="s">
        <v>1886</v>
      </c>
      <c r="R80" s="264" t="s">
        <v>1885</v>
      </c>
    </row>
    <row r="81" spans="1:18" ht="23.5" thickBot="1">
      <c r="A81" s="148"/>
      <c r="B81" s="38" t="s">
        <v>1346</v>
      </c>
      <c r="C81" s="39">
        <v>46027</v>
      </c>
      <c r="D81" s="42"/>
      <c r="E81" s="42"/>
      <c r="F81" s="38" t="s">
        <v>1347</v>
      </c>
      <c r="G81" s="38" t="s">
        <v>1348</v>
      </c>
      <c r="H81" s="39">
        <v>46027</v>
      </c>
      <c r="I81" s="42"/>
      <c r="J81" s="42" t="s">
        <v>323</v>
      </c>
      <c r="K81" s="38" t="s">
        <v>465</v>
      </c>
      <c r="L81" s="41" t="s">
        <v>679</v>
      </c>
      <c r="M81" s="38">
        <v>200</v>
      </c>
      <c r="N81" s="38">
        <v>8</v>
      </c>
      <c r="O81" s="149">
        <v>8085000</v>
      </c>
      <c r="P81" s="39">
        <v>46029</v>
      </c>
      <c r="Q81"/>
    </row>
    <row r="82" spans="1:18" ht="13.5" thickBot="1">
      <c r="A82" s="148"/>
      <c r="B82" s="38" t="s">
        <v>775</v>
      </c>
      <c r="C82" s="39">
        <v>46027</v>
      </c>
      <c r="D82" s="42"/>
      <c r="E82" s="42"/>
      <c r="F82" s="38" t="s">
        <v>1349</v>
      </c>
      <c r="G82" s="38" t="s">
        <v>1350</v>
      </c>
      <c r="H82" s="39">
        <v>46027</v>
      </c>
      <c r="I82" s="42"/>
      <c r="J82" s="42" t="s">
        <v>45</v>
      </c>
      <c r="K82" s="38" t="s">
        <v>78</v>
      </c>
      <c r="L82" s="41" t="s">
        <v>1278</v>
      </c>
      <c r="M82" s="38">
        <v>6</v>
      </c>
      <c r="N82" s="38">
        <v>0</v>
      </c>
      <c r="O82" s="149">
        <v>279954</v>
      </c>
      <c r="P82" s="39">
        <v>46027</v>
      </c>
      <c r="Q82"/>
    </row>
    <row r="83" spans="1:18" s="188" customFormat="1" ht="23.5" thickBot="1">
      <c r="A83" s="183"/>
      <c r="B83" s="184" t="s">
        <v>1237</v>
      </c>
      <c r="C83" s="185">
        <v>46010</v>
      </c>
      <c r="D83" s="186"/>
      <c r="E83" s="186"/>
      <c r="F83" s="184" t="s">
        <v>1351</v>
      </c>
      <c r="G83" s="184" t="s">
        <v>1352</v>
      </c>
      <c r="H83" s="185">
        <v>46013</v>
      </c>
      <c r="I83" s="186"/>
      <c r="J83" s="186" t="s">
        <v>146</v>
      </c>
      <c r="K83" s="184" t="s">
        <v>147</v>
      </c>
      <c r="L83" s="187" t="s">
        <v>679</v>
      </c>
      <c r="M83" s="184">
        <v>200</v>
      </c>
      <c r="N83" s="184">
        <v>8</v>
      </c>
      <c r="O83" s="184">
        <v>0</v>
      </c>
      <c r="P83" s="185">
        <v>46037</v>
      </c>
      <c r="R83" s="189"/>
    </row>
    <row r="84" spans="1:18" ht="25.5" thickBot="1">
      <c r="A84" s="148"/>
      <c r="B84" s="38" t="s">
        <v>775</v>
      </c>
      <c r="C84" s="39">
        <v>46028</v>
      </c>
      <c r="D84" s="42"/>
      <c r="E84" s="42"/>
      <c r="F84" s="38" t="s">
        <v>1353</v>
      </c>
      <c r="G84" s="38" t="s">
        <v>1354</v>
      </c>
      <c r="H84" s="39">
        <v>46028</v>
      </c>
      <c r="I84" s="42"/>
      <c r="J84" s="42" t="s">
        <v>1355</v>
      </c>
      <c r="K84" s="38" t="s">
        <v>1070</v>
      </c>
      <c r="L84" s="41" t="s">
        <v>1208</v>
      </c>
      <c r="M84" s="38">
        <v>750</v>
      </c>
      <c r="N84" s="38">
        <v>30</v>
      </c>
      <c r="O84" s="149">
        <v>11850000</v>
      </c>
      <c r="P84" s="39">
        <v>46028</v>
      </c>
      <c r="Q84"/>
    </row>
    <row r="85" spans="1:18" ht="25.5" thickBot="1">
      <c r="A85" s="148"/>
      <c r="B85" s="38" t="s">
        <v>775</v>
      </c>
      <c r="C85" s="39">
        <v>46028</v>
      </c>
      <c r="D85" s="42"/>
      <c r="E85" s="42"/>
      <c r="F85" s="38" t="s">
        <v>1356</v>
      </c>
      <c r="G85" s="38" t="s">
        <v>1357</v>
      </c>
      <c r="H85" s="39">
        <v>46028</v>
      </c>
      <c r="I85" s="42"/>
      <c r="J85" s="42" t="s">
        <v>1358</v>
      </c>
      <c r="K85" s="38" t="s">
        <v>1293</v>
      </c>
      <c r="L85" s="41" t="s">
        <v>207</v>
      </c>
      <c r="M85" s="38">
        <v>50</v>
      </c>
      <c r="N85" s="38">
        <v>2</v>
      </c>
      <c r="O85" s="149">
        <v>25750000</v>
      </c>
      <c r="P85" s="39">
        <v>46028</v>
      </c>
      <c r="Q85"/>
    </row>
    <row r="86" spans="1:18" ht="13.5" thickBot="1">
      <c r="A86" s="148"/>
      <c r="B86" s="38">
        <v>20927</v>
      </c>
      <c r="C86" s="39">
        <v>46028</v>
      </c>
      <c r="D86" s="42"/>
      <c r="E86" s="42"/>
      <c r="F86" s="38" t="s">
        <v>1359</v>
      </c>
      <c r="G86" s="38" t="s">
        <v>1360</v>
      </c>
      <c r="H86" s="39">
        <v>46028</v>
      </c>
      <c r="I86" s="42"/>
      <c r="J86" s="42" t="s">
        <v>144</v>
      </c>
      <c r="K86" s="38" t="s">
        <v>88</v>
      </c>
      <c r="L86" s="41" t="s">
        <v>1208</v>
      </c>
      <c r="M86" s="38">
        <v>25</v>
      </c>
      <c r="N86" s="38">
        <v>1</v>
      </c>
      <c r="O86" s="149">
        <v>507500</v>
      </c>
      <c r="P86" s="39">
        <v>46035</v>
      </c>
      <c r="Q86"/>
    </row>
    <row r="87" spans="1:18" ht="13.5" thickBot="1">
      <c r="A87" s="148"/>
      <c r="B87" s="38">
        <v>20927</v>
      </c>
      <c r="C87" s="39">
        <v>46028</v>
      </c>
      <c r="D87" s="42"/>
      <c r="E87" s="42"/>
      <c r="F87" s="38" t="s">
        <v>1359</v>
      </c>
      <c r="G87" s="38" t="s">
        <v>1360</v>
      </c>
      <c r="H87" s="39">
        <v>46028</v>
      </c>
      <c r="I87" s="42"/>
      <c r="J87" s="42" t="s">
        <v>144</v>
      </c>
      <c r="K87" s="38" t="s">
        <v>88</v>
      </c>
      <c r="L87" s="41" t="s">
        <v>788</v>
      </c>
      <c r="M87" s="38">
        <v>200</v>
      </c>
      <c r="N87" s="38">
        <v>8</v>
      </c>
      <c r="O87" s="149">
        <v>8800000</v>
      </c>
      <c r="P87" s="39">
        <v>46035</v>
      </c>
      <c r="Q87"/>
    </row>
    <row r="88" spans="1:18" ht="25.5" thickBot="1">
      <c r="A88" s="148"/>
      <c r="B88" s="38">
        <v>1329504</v>
      </c>
      <c r="C88" s="39">
        <v>46028</v>
      </c>
      <c r="D88" s="42"/>
      <c r="E88" s="42"/>
      <c r="F88" s="38" t="s">
        <v>1361</v>
      </c>
      <c r="G88" s="38" t="s">
        <v>1362</v>
      </c>
      <c r="H88" s="39">
        <v>46028</v>
      </c>
      <c r="I88" s="42"/>
      <c r="J88" s="42" t="s">
        <v>786</v>
      </c>
      <c r="K88" s="38" t="s">
        <v>78</v>
      </c>
      <c r="L88" s="41" t="s">
        <v>1191</v>
      </c>
      <c r="M88" s="38">
        <v>50</v>
      </c>
      <c r="N88" s="38">
        <v>2</v>
      </c>
      <c r="O88" s="149">
        <v>2325000</v>
      </c>
      <c r="P88" s="39">
        <v>46030</v>
      </c>
      <c r="Q88"/>
    </row>
    <row r="89" spans="1:18" ht="25.5" thickBot="1">
      <c r="A89" s="148"/>
      <c r="B89" s="38">
        <v>1329504</v>
      </c>
      <c r="C89" s="39">
        <v>46028</v>
      </c>
      <c r="D89" s="42"/>
      <c r="E89" s="42"/>
      <c r="F89" s="38" t="s">
        <v>1363</v>
      </c>
      <c r="G89" s="38" t="s">
        <v>1364</v>
      </c>
      <c r="H89" s="39">
        <v>46028</v>
      </c>
      <c r="I89" s="42"/>
      <c r="J89" s="42" t="s">
        <v>786</v>
      </c>
      <c r="K89" s="38" t="s">
        <v>78</v>
      </c>
      <c r="L89" s="41" t="s">
        <v>1313</v>
      </c>
      <c r="M89" s="38">
        <v>3.75</v>
      </c>
      <c r="N89" s="38">
        <v>0</v>
      </c>
      <c r="O89" s="38">
        <v>0</v>
      </c>
      <c r="P89" s="39">
        <v>46030</v>
      </c>
      <c r="Q89"/>
    </row>
    <row r="90" spans="1:18" ht="13.5" thickBot="1">
      <c r="A90" s="148"/>
      <c r="B90" s="38">
        <v>64118</v>
      </c>
      <c r="C90" s="39">
        <v>46028</v>
      </c>
      <c r="D90" s="42"/>
      <c r="E90" s="42"/>
      <c r="F90" s="38" t="s">
        <v>1365</v>
      </c>
      <c r="G90" s="38" t="s">
        <v>1366</v>
      </c>
      <c r="H90" s="39">
        <v>46028</v>
      </c>
      <c r="I90" s="42"/>
      <c r="J90" s="42" t="s">
        <v>42</v>
      </c>
      <c r="K90" s="38" t="s">
        <v>78</v>
      </c>
      <c r="L90" s="41" t="s">
        <v>215</v>
      </c>
      <c r="M90" s="38">
        <v>700</v>
      </c>
      <c r="N90" s="38">
        <v>28</v>
      </c>
      <c r="O90" s="149">
        <v>13119750</v>
      </c>
      <c r="P90" s="39">
        <v>46029</v>
      </c>
      <c r="Q90"/>
    </row>
    <row r="91" spans="1:18" ht="23.5" thickBot="1">
      <c r="A91" s="162"/>
      <c r="B91" s="38" t="s">
        <v>775</v>
      </c>
      <c r="C91" s="39">
        <v>46028</v>
      </c>
      <c r="D91" s="42"/>
      <c r="E91" s="42"/>
      <c r="F91" s="38" t="s">
        <v>1367</v>
      </c>
      <c r="G91" s="38" t="s">
        <v>1368</v>
      </c>
      <c r="H91" s="39">
        <v>46028</v>
      </c>
      <c r="I91" s="42"/>
      <c r="J91" s="42" t="s">
        <v>780</v>
      </c>
      <c r="K91" s="38" t="s">
        <v>1179</v>
      </c>
      <c r="L91" s="41" t="s">
        <v>767</v>
      </c>
      <c r="M91" s="38">
        <v>75</v>
      </c>
      <c r="N91" s="38">
        <v>3</v>
      </c>
      <c r="O91" s="149">
        <v>4050000</v>
      </c>
      <c r="P91" s="39">
        <v>46030</v>
      </c>
      <c r="Q91"/>
    </row>
    <row r="92" spans="1:18" ht="23.5" thickBot="1">
      <c r="A92" s="148"/>
      <c r="B92" s="38" t="s">
        <v>775</v>
      </c>
      <c r="C92" s="39">
        <v>46028</v>
      </c>
      <c r="D92" s="42"/>
      <c r="E92" s="42"/>
      <c r="F92" s="38" t="s">
        <v>1369</v>
      </c>
      <c r="G92" s="38" t="s">
        <v>1370</v>
      </c>
      <c r="H92" s="39">
        <v>46028</v>
      </c>
      <c r="I92" s="42"/>
      <c r="J92" s="42" t="s">
        <v>780</v>
      </c>
      <c r="K92" s="38" t="s">
        <v>1179</v>
      </c>
      <c r="L92" s="41" t="s">
        <v>767</v>
      </c>
      <c r="M92" s="38">
        <v>225</v>
      </c>
      <c r="N92" s="38">
        <v>9</v>
      </c>
      <c r="O92" s="149">
        <v>12150000</v>
      </c>
      <c r="P92" s="39">
        <v>46030</v>
      </c>
      <c r="Q92"/>
    </row>
    <row r="93" spans="1:18" ht="13.5" thickBot="1">
      <c r="A93" s="148"/>
      <c r="B93" s="38" t="s">
        <v>775</v>
      </c>
      <c r="C93" s="39">
        <v>46028</v>
      </c>
      <c r="D93" s="42"/>
      <c r="E93" s="42"/>
      <c r="F93" s="38" t="s">
        <v>1371</v>
      </c>
      <c r="G93" s="38" t="s">
        <v>1372</v>
      </c>
      <c r="H93" s="39">
        <v>46028</v>
      </c>
      <c r="I93" s="42"/>
      <c r="J93" s="42" t="s">
        <v>867</v>
      </c>
      <c r="K93" s="38" t="s">
        <v>78</v>
      </c>
      <c r="L93" s="41" t="s">
        <v>221</v>
      </c>
      <c r="M93" s="38">
        <v>10</v>
      </c>
      <c r="N93" s="38">
        <v>0</v>
      </c>
      <c r="O93" s="149">
        <v>2900000</v>
      </c>
      <c r="P93" s="39">
        <v>46029</v>
      </c>
      <c r="Q93"/>
    </row>
    <row r="94" spans="1:18" ht="13.5" thickBot="1">
      <c r="A94" s="148"/>
      <c r="B94" s="38" t="s">
        <v>775</v>
      </c>
      <c r="C94" s="39">
        <v>46028</v>
      </c>
      <c r="D94" s="42"/>
      <c r="E94" s="42"/>
      <c r="F94" s="38" t="s">
        <v>1371</v>
      </c>
      <c r="G94" s="38" t="s">
        <v>1372</v>
      </c>
      <c r="H94" s="39">
        <v>46028</v>
      </c>
      <c r="I94" s="42"/>
      <c r="J94" s="42" t="s">
        <v>867</v>
      </c>
      <c r="K94" s="38" t="s">
        <v>78</v>
      </c>
      <c r="L94" s="41" t="s">
        <v>766</v>
      </c>
      <c r="M94" s="38">
        <v>20</v>
      </c>
      <c r="N94" s="38">
        <v>1</v>
      </c>
      <c r="O94" s="149">
        <v>3200000</v>
      </c>
      <c r="P94" s="39">
        <v>46029</v>
      </c>
      <c r="Q94"/>
    </row>
    <row r="95" spans="1:18" ht="13.5" thickBot="1">
      <c r="A95" s="148"/>
      <c r="B95" s="38" t="s">
        <v>775</v>
      </c>
      <c r="C95" s="39">
        <v>46028</v>
      </c>
      <c r="D95" s="42"/>
      <c r="E95" s="42"/>
      <c r="F95" s="38" t="s">
        <v>1371</v>
      </c>
      <c r="G95" s="38" t="s">
        <v>1372</v>
      </c>
      <c r="H95" s="39">
        <v>46028</v>
      </c>
      <c r="I95" s="42"/>
      <c r="J95" s="42" t="s">
        <v>867</v>
      </c>
      <c r="K95" s="38" t="s">
        <v>78</v>
      </c>
      <c r="L95" s="41" t="s">
        <v>1310</v>
      </c>
      <c r="M95" s="38">
        <v>10</v>
      </c>
      <c r="N95" s="38">
        <v>0</v>
      </c>
      <c r="O95" s="149">
        <v>2108000</v>
      </c>
      <c r="P95" s="39">
        <v>46029</v>
      </c>
      <c r="Q95"/>
    </row>
    <row r="96" spans="1:18" ht="13.5" thickBot="1">
      <c r="A96" s="148"/>
      <c r="B96" s="38" t="s">
        <v>775</v>
      </c>
      <c r="C96" s="39">
        <v>46028</v>
      </c>
      <c r="D96" s="42"/>
      <c r="E96" s="42"/>
      <c r="F96" s="38" t="s">
        <v>1373</v>
      </c>
      <c r="G96" s="38" t="s">
        <v>1374</v>
      </c>
      <c r="H96" s="39">
        <v>46028</v>
      </c>
      <c r="I96" s="42"/>
      <c r="J96" s="42" t="s">
        <v>867</v>
      </c>
      <c r="K96" s="38" t="s">
        <v>78</v>
      </c>
      <c r="L96" s="41" t="s">
        <v>1313</v>
      </c>
      <c r="M96" s="38">
        <v>0.75</v>
      </c>
      <c r="N96" s="38">
        <v>0</v>
      </c>
      <c r="O96" s="38">
        <v>0</v>
      </c>
      <c r="P96" s="39">
        <v>46029</v>
      </c>
      <c r="Q96"/>
    </row>
    <row r="97" spans="1:18" ht="23.5" thickBot="1">
      <c r="A97" s="148"/>
      <c r="B97" s="38" t="s">
        <v>775</v>
      </c>
      <c r="C97" s="39">
        <v>46028</v>
      </c>
      <c r="D97" s="42"/>
      <c r="E97" s="42"/>
      <c r="F97" s="38" t="s">
        <v>1375</v>
      </c>
      <c r="G97" s="38" t="s">
        <v>1376</v>
      </c>
      <c r="H97" s="39">
        <v>46028</v>
      </c>
      <c r="I97" s="42"/>
      <c r="J97" s="42" t="s">
        <v>864</v>
      </c>
      <c r="K97" s="38" t="s">
        <v>1377</v>
      </c>
      <c r="L97" s="41" t="s">
        <v>766</v>
      </c>
      <c r="M97" s="38">
        <v>160</v>
      </c>
      <c r="N97" s="38">
        <v>6</v>
      </c>
      <c r="O97" s="149">
        <v>23200000</v>
      </c>
      <c r="P97" s="39">
        <v>46030</v>
      </c>
      <c r="Q97"/>
    </row>
    <row r="98" spans="1:18" ht="13.5" thickBot="1">
      <c r="A98" s="148"/>
      <c r="B98" s="38">
        <v>4503941536</v>
      </c>
      <c r="C98" s="39">
        <v>46028</v>
      </c>
      <c r="D98" s="42"/>
      <c r="E98" s="42"/>
      <c r="F98" s="38" t="s">
        <v>1378</v>
      </c>
      <c r="G98" s="38" t="s">
        <v>1379</v>
      </c>
      <c r="H98" s="39">
        <v>46028</v>
      </c>
      <c r="I98" s="42"/>
      <c r="J98" s="42" t="s">
        <v>785</v>
      </c>
      <c r="K98" s="38" t="s">
        <v>142</v>
      </c>
      <c r="L98" s="41" t="s">
        <v>194</v>
      </c>
      <c r="M98" s="38">
        <v>15000</v>
      </c>
      <c r="N98" s="38">
        <v>600</v>
      </c>
      <c r="O98" s="149">
        <v>266250000</v>
      </c>
      <c r="P98" s="39">
        <v>46030</v>
      </c>
      <c r="Q98"/>
    </row>
    <row r="99" spans="1:18" ht="23.5" thickBot="1">
      <c r="A99" s="148"/>
      <c r="B99" s="38" t="s">
        <v>1380</v>
      </c>
      <c r="C99" s="39">
        <v>46027</v>
      </c>
      <c r="D99" s="42"/>
      <c r="E99" s="42"/>
      <c r="F99" s="38" t="s">
        <v>1381</v>
      </c>
      <c r="G99" s="38" t="s">
        <v>1382</v>
      </c>
      <c r="H99" s="39">
        <v>46027</v>
      </c>
      <c r="I99" s="42"/>
      <c r="J99" s="42" t="s">
        <v>66</v>
      </c>
      <c r="K99" s="38" t="s">
        <v>75</v>
      </c>
      <c r="L99" s="41" t="s">
        <v>767</v>
      </c>
      <c r="M99" s="38">
        <v>50</v>
      </c>
      <c r="N99" s="38">
        <v>2</v>
      </c>
      <c r="O99" s="149">
        <v>3625000</v>
      </c>
      <c r="P99" s="39">
        <v>46028</v>
      </c>
      <c r="Q99"/>
    </row>
    <row r="100" spans="1:18" ht="23.5" thickBot="1">
      <c r="A100" s="148"/>
      <c r="B100" s="38" t="s">
        <v>1380</v>
      </c>
      <c r="C100" s="39">
        <v>46027</v>
      </c>
      <c r="D100" s="42"/>
      <c r="E100" s="42"/>
      <c r="F100" s="38" t="s">
        <v>1381</v>
      </c>
      <c r="G100" s="38" t="s">
        <v>1382</v>
      </c>
      <c r="H100" s="39">
        <v>46027</v>
      </c>
      <c r="I100" s="42"/>
      <c r="J100" s="42" t="s">
        <v>66</v>
      </c>
      <c r="K100" s="38" t="s">
        <v>75</v>
      </c>
      <c r="L100" s="41" t="s">
        <v>768</v>
      </c>
      <c r="M100" s="38">
        <v>50</v>
      </c>
      <c r="N100" s="42"/>
      <c r="O100" s="149">
        <v>77750000</v>
      </c>
      <c r="P100" s="39">
        <v>46028</v>
      </c>
      <c r="Q100"/>
    </row>
    <row r="101" spans="1:18" ht="23.5" thickBot="1">
      <c r="A101" s="148"/>
      <c r="B101" s="38" t="s">
        <v>1380</v>
      </c>
      <c r="C101" s="39">
        <v>46027</v>
      </c>
      <c r="D101" s="42"/>
      <c r="E101" s="42"/>
      <c r="F101" s="38" t="s">
        <v>1381</v>
      </c>
      <c r="G101" s="38" t="s">
        <v>1382</v>
      </c>
      <c r="H101" s="39">
        <v>46027</v>
      </c>
      <c r="I101" s="42"/>
      <c r="J101" s="42" t="s">
        <v>66</v>
      </c>
      <c r="K101" s="38" t="s">
        <v>75</v>
      </c>
      <c r="L101" s="41" t="s">
        <v>153</v>
      </c>
      <c r="M101" s="38">
        <v>125</v>
      </c>
      <c r="N101" s="42"/>
      <c r="O101" s="149">
        <v>8562500</v>
      </c>
      <c r="P101" s="39">
        <v>46028</v>
      </c>
      <c r="Q101"/>
    </row>
    <row r="102" spans="1:18" ht="23.5" thickBot="1">
      <c r="A102" s="148"/>
      <c r="B102" s="38" t="s">
        <v>1380</v>
      </c>
      <c r="C102" s="39">
        <v>46027</v>
      </c>
      <c r="D102" s="42"/>
      <c r="E102" s="42"/>
      <c r="F102" s="38" t="s">
        <v>1381</v>
      </c>
      <c r="G102" s="38" t="s">
        <v>1382</v>
      </c>
      <c r="H102" s="39">
        <v>46027</v>
      </c>
      <c r="I102" s="42"/>
      <c r="J102" s="42" t="s">
        <v>66</v>
      </c>
      <c r="K102" s="38" t="s">
        <v>75</v>
      </c>
      <c r="L102" s="41" t="s">
        <v>788</v>
      </c>
      <c r="M102" s="38">
        <v>100</v>
      </c>
      <c r="N102" s="42"/>
      <c r="O102" s="149">
        <v>4200000</v>
      </c>
      <c r="P102" s="39">
        <v>46028</v>
      </c>
      <c r="Q102"/>
    </row>
    <row r="103" spans="1:18" ht="23.5" thickBot="1">
      <c r="A103" s="148"/>
      <c r="B103" s="38" t="s">
        <v>1380</v>
      </c>
      <c r="C103" s="39">
        <v>46027</v>
      </c>
      <c r="D103" s="42"/>
      <c r="E103" s="42"/>
      <c r="F103" s="38" t="s">
        <v>1381</v>
      </c>
      <c r="G103" s="38" t="s">
        <v>1382</v>
      </c>
      <c r="H103" s="39">
        <v>46027</v>
      </c>
      <c r="I103" s="42"/>
      <c r="J103" s="42" t="s">
        <v>66</v>
      </c>
      <c r="K103" s="38" t="s">
        <v>75</v>
      </c>
      <c r="L103" s="41" t="s">
        <v>113</v>
      </c>
      <c r="M103" s="38">
        <v>100</v>
      </c>
      <c r="N103" s="42"/>
      <c r="O103" s="149">
        <v>6400000</v>
      </c>
      <c r="P103" s="39">
        <v>46028</v>
      </c>
      <c r="Q103"/>
    </row>
    <row r="104" spans="1:18" ht="23.5" thickBot="1">
      <c r="A104" s="148"/>
      <c r="B104" s="38" t="s">
        <v>1380</v>
      </c>
      <c r="C104" s="39">
        <v>46027</v>
      </c>
      <c r="D104" s="42"/>
      <c r="E104" s="42"/>
      <c r="F104" s="38" t="s">
        <v>1381</v>
      </c>
      <c r="G104" s="38" t="s">
        <v>1382</v>
      </c>
      <c r="H104" s="39">
        <v>46027</v>
      </c>
      <c r="I104" s="42"/>
      <c r="J104" s="42" t="s">
        <v>66</v>
      </c>
      <c r="K104" s="38" t="s">
        <v>75</v>
      </c>
      <c r="L104" s="41" t="s">
        <v>1191</v>
      </c>
      <c r="M104" s="38">
        <v>100</v>
      </c>
      <c r="N104" s="42"/>
      <c r="O104" s="149">
        <v>5500000</v>
      </c>
      <c r="P104" s="39">
        <v>46028</v>
      </c>
      <c r="Q104"/>
    </row>
    <row r="105" spans="1:18" ht="13.5" thickBot="1">
      <c r="A105" s="148"/>
      <c r="B105" s="38">
        <v>20876</v>
      </c>
      <c r="C105" s="39">
        <v>46017</v>
      </c>
      <c r="D105" s="42"/>
      <c r="E105" s="42"/>
      <c r="F105" s="38" t="s">
        <v>1199</v>
      </c>
      <c r="G105" s="38" t="s">
        <v>1383</v>
      </c>
      <c r="H105" s="39">
        <v>46017</v>
      </c>
      <c r="I105" s="42"/>
      <c r="J105" s="42" t="s">
        <v>144</v>
      </c>
      <c r="K105" s="38" t="s">
        <v>88</v>
      </c>
      <c r="L105" s="41" t="s">
        <v>767</v>
      </c>
      <c r="M105" s="38">
        <v>25</v>
      </c>
      <c r="N105" s="38">
        <v>1</v>
      </c>
      <c r="O105" s="149">
        <v>2915000</v>
      </c>
      <c r="P105" s="39">
        <v>46021</v>
      </c>
      <c r="Q105"/>
    </row>
    <row r="106" spans="1:18" ht="13.5" thickBot="1">
      <c r="A106" s="148"/>
      <c r="B106" s="38">
        <v>20876</v>
      </c>
      <c r="C106" s="39">
        <v>46017</v>
      </c>
      <c r="D106" s="42"/>
      <c r="E106" s="42"/>
      <c r="F106" s="38" t="s">
        <v>1199</v>
      </c>
      <c r="G106" s="38" t="s">
        <v>1383</v>
      </c>
      <c r="H106" s="39">
        <v>46017</v>
      </c>
      <c r="I106" s="42"/>
      <c r="J106" s="42" t="s">
        <v>144</v>
      </c>
      <c r="K106" s="38" t="s">
        <v>88</v>
      </c>
      <c r="L106" s="41" t="s">
        <v>209</v>
      </c>
      <c r="M106" s="38">
        <v>25</v>
      </c>
      <c r="N106" s="38">
        <v>1</v>
      </c>
      <c r="O106" s="149">
        <v>4737500</v>
      </c>
      <c r="P106" s="39">
        <v>46021</v>
      </c>
      <c r="Q106"/>
    </row>
    <row r="107" spans="1:18" ht="20.5" customHeight="1" thickBot="1">
      <c r="A107" s="253" t="s">
        <v>117</v>
      </c>
      <c r="B107" s="55">
        <v>4500085254</v>
      </c>
      <c r="C107" s="53">
        <v>45995</v>
      </c>
      <c r="D107" s="54">
        <v>0.35416666666666669</v>
      </c>
      <c r="E107" s="221"/>
      <c r="F107" s="253" t="s">
        <v>998</v>
      </c>
      <c r="G107" s="254"/>
      <c r="H107" s="255">
        <v>45995</v>
      </c>
      <c r="I107" s="225">
        <v>0.3840277777777778</v>
      </c>
      <c r="J107" s="254" t="s">
        <v>762</v>
      </c>
      <c r="K107" s="222" t="s">
        <v>83</v>
      </c>
      <c r="L107" s="256" t="s">
        <v>136</v>
      </c>
      <c r="M107" s="253">
        <v>325</v>
      </c>
      <c r="N107" s="253">
        <v>13</v>
      </c>
      <c r="O107" s="257">
        <v>16957500</v>
      </c>
      <c r="P107" s="255">
        <v>45996</v>
      </c>
      <c r="Q107" s="258" t="s">
        <v>1854</v>
      </c>
      <c r="R107" s="258" t="s">
        <v>1865</v>
      </c>
    </row>
    <row r="108" spans="1:18" ht="13.5" thickBot="1">
      <c r="A108" s="253" t="s">
        <v>117</v>
      </c>
      <c r="B108" s="55">
        <v>5504078413</v>
      </c>
      <c r="C108" s="53">
        <v>45996</v>
      </c>
      <c r="D108" s="54">
        <v>0.81111111111111112</v>
      </c>
      <c r="E108" s="221"/>
      <c r="F108" s="253" t="s">
        <v>1006</v>
      </c>
      <c r="G108" s="254"/>
      <c r="H108" s="255">
        <v>46000</v>
      </c>
      <c r="I108" s="225">
        <v>0.40763888888888888</v>
      </c>
      <c r="J108" s="254" t="s">
        <v>52</v>
      </c>
      <c r="K108" s="222" t="s">
        <v>1007</v>
      </c>
      <c r="L108" s="256" t="s">
        <v>136</v>
      </c>
      <c r="M108" s="253">
        <v>500</v>
      </c>
      <c r="N108" s="253">
        <v>20</v>
      </c>
      <c r="O108" s="257">
        <v>36750000</v>
      </c>
      <c r="P108" s="255">
        <v>46001</v>
      </c>
      <c r="Q108" s="258" t="s">
        <v>1854</v>
      </c>
      <c r="R108" s="258" t="s">
        <v>1865</v>
      </c>
    </row>
    <row r="109" spans="1:18" ht="13.5" thickBot="1">
      <c r="A109" s="253" t="s">
        <v>117</v>
      </c>
      <c r="B109" s="55" t="s">
        <v>775</v>
      </c>
      <c r="C109" s="53">
        <v>46009</v>
      </c>
      <c r="D109" s="150"/>
      <c r="E109" s="221"/>
      <c r="F109" s="254"/>
      <c r="G109" s="254"/>
      <c r="H109" s="255">
        <v>46010</v>
      </c>
      <c r="I109" s="221"/>
      <c r="J109" s="254" t="s">
        <v>393</v>
      </c>
      <c r="K109" s="221"/>
      <c r="L109" s="256" t="s">
        <v>116</v>
      </c>
      <c r="M109" s="253">
        <v>175</v>
      </c>
      <c r="N109" s="253">
        <v>7</v>
      </c>
      <c r="O109" s="254"/>
      <c r="P109" s="255">
        <v>46015</v>
      </c>
      <c r="Q109" s="258" t="s">
        <v>1859</v>
      </c>
      <c r="R109" s="258" t="s">
        <v>1860</v>
      </c>
    </row>
    <row r="110" spans="1:18" ht="22.5" customHeight="1" thickBot="1">
      <c r="A110" s="247" t="s">
        <v>109</v>
      </c>
      <c r="B110" s="58">
        <v>4500085729</v>
      </c>
      <c r="C110" s="59">
        <v>46013</v>
      </c>
      <c r="D110" s="61"/>
      <c r="E110" s="219"/>
      <c r="F110" s="247" t="s">
        <v>1167</v>
      </c>
      <c r="G110" s="247" t="s">
        <v>488</v>
      </c>
      <c r="H110" s="248">
        <v>46013</v>
      </c>
      <c r="I110" s="219"/>
      <c r="J110" s="249" t="s">
        <v>762</v>
      </c>
      <c r="K110" s="220" t="s">
        <v>83</v>
      </c>
      <c r="L110" s="250" t="s">
        <v>158</v>
      </c>
      <c r="M110" s="247">
        <v>225</v>
      </c>
      <c r="N110" s="247">
        <v>9</v>
      </c>
      <c r="O110" s="251">
        <v>14821600</v>
      </c>
      <c r="P110" s="248">
        <v>46015</v>
      </c>
      <c r="Q110" s="252" t="s">
        <v>1859</v>
      </c>
      <c r="R110" s="252" t="s">
        <v>1860</v>
      </c>
    </row>
    <row r="111" spans="1:18" ht="13.5" thickBot="1">
      <c r="A111" s="247" t="s">
        <v>109</v>
      </c>
      <c r="B111" s="58" t="s">
        <v>775</v>
      </c>
      <c r="C111" s="59">
        <v>46015</v>
      </c>
      <c r="D111" s="61"/>
      <c r="E111" s="219"/>
      <c r="F111" s="247" t="s">
        <v>1184</v>
      </c>
      <c r="G111" s="247" t="s">
        <v>488</v>
      </c>
      <c r="H111" s="248">
        <v>46017</v>
      </c>
      <c r="I111" s="219"/>
      <c r="J111" s="249" t="s">
        <v>394</v>
      </c>
      <c r="K111" s="220" t="s">
        <v>1137</v>
      </c>
      <c r="L111" s="250" t="s">
        <v>1085</v>
      </c>
      <c r="M111" s="247">
        <v>30</v>
      </c>
      <c r="N111" s="247">
        <v>1</v>
      </c>
      <c r="O111" s="251">
        <v>1620000</v>
      </c>
      <c r="P111" s="248">
        <v>46020</v>
      </c>
      <c r="Q111" s="252" t="s">
        <v>1859</v>
      </c>
      <c r="R111" s="252" t="s">
        <v>1860</v>
      </c>
    </row>
    <row r="112" spans="1:18" ht="13.5" thickBot="1">
      <c r="A112" s="247" t="s">
        <v>109</v>
      </c>
      <c r="B112" s="58">
        <v>4500085789</v>
      </c>
      <c r="C112" s="59">
        <v>46017</v>
      </c>
      <c r="D112" s="61"/>
      <c r="E112" s="219"/>
      <c r="F112" s="247" t="s">
        <v>1192</v>
      </c>
      <c r="G112" s="247" t="s">
        <v>488</v>
      </c>
      <c r="H112" s="248">
        <v>46013</v>
      </c>
      <c r="I112" s="219"/>
      <c r="J112" s="249" t="s">
        <v>762</v>
      </c>
      <c r="K112" s="220" t="s">
        <v>375</v>
      </c>
      <c r="L112" s="250" t="s">
        <v>158</v>
      </c>
      <c r="M112" s="247">
        <v>100</v>
      </c>
      <c r="N112" s="247">
        <v>4</v>
      </c>
      <c r="O112" s="251">
        <v>3705400</v>
      </c>
      <c r="P112" s="248">
        <v>46020</v>
      </c>
      <c r="Q112" s="252" t="s">
        <v>1859</v>
      </c>
      <c r="R112" s="252" t="s">
        <v>1860</v>
      </c>
    </row>
    <row r="113" spans="1:18" ht="25.5" thickBot="1">
      <c r="A113" s="148"/>
      <c r="B113" s="38" t="s">
        <v>775</v>
      </c>
      <c r="C113" s="39">
        <v>46028</v>
      </c>
      <c r="D113" s="42"/>
      <c r="E113" s="42"/>
      <c r="F113" s="38" t="s">
        <v>1384</v>
      </c>
      <c r="G113" s="38" t="s">
        <v>1385</v>
      </c>
      <c r="H113" s="39">
        <v>46029</v>
      </c>
      <c r="I113" s="42"/>
      <c r="J113" s="42" t="s">
        <v>1386</v>
      </c>
      <c r="K113" s="38" t="s">
        <v>1387</v>
      </c>
      <c r="L113" s="41" t="s">
        <v>1208</v>
      </c>
      <c r="M113" s="38">
        <v>450</v>
      </c>
      <c r="N113" s="38">
        <v>18</v>
      </c>
      <c r="O113" s="149">
        <v>7110000</v>
      </c>
      <c r="P113" s="39">
        <v>46031</v>
      </c>
      <c r="Q113"/>
    </row>
    <row r="114" spans="1:18" ht="23.5" thickBot="1">
      <c r="A114" s="148"/>
      <c r="B114" s="38">
        <v>23184</v>
      </c>
      <c r="C114" s="39">
        <v>46028</v>
      </c>
      <c r="D114" s="42"/>
      <c r="E114" s="42"/>
      <c r="F114" s="38" t="s">
        <v>1388</v>
      </c>
      <c r="G114" s="38" t="s">
        <v>1389</v>
      </c>
      <c r="H114" s="39">
        <v>46029</v>
      </c>
      <c r="I114" s="42"/>
      <c r="J114" s="42" t="s">
        <v>1390</v>
      </c>
      <c r="K114" s="38" t="s">
        <v>1387</v>
      </c>
      <c r="L114" s="41" t="s">
        <v>194</v>
      </c>
      <c r="M114" s="38">
        <v>500</v>
      </c>
      <c r="N114" s="38">
        <v>20</v>
      </c>
      <c r="O114" s="149">
        <v>10000000</v>
      </c>
      <c r="P114" s="39">
        <v>46031</v>
      </c>
      <c r="Q114"/>
    </row>
    <row r="115" spans="1:18" ht="23.5" thickBot="1">
      <c r="A115" s="148"/>
      <c r="B115" s="38" t="s">
        <v>1391</v>
      </c>
      <c r="C115" s="39">
        <v>46029</v>
      </c>
      <c r="D115" s="42"/>
      <c r="E115" s="42"/>
      <c r="F115" s="38" t="s">
        <v>1392</v>
      </c>
      <c r="G115" s="38" t="s">
        <v>1393</v>
      </c>
      <c r="H115" s="39">
        <v>46029</v>
      </c>
      <c r="I115" s="42"/>
      <c r="J115" s="42" t="s">
        <v>169</v>
      </c>
      <c r="K115" s="38" t="s">
        <v>147</v>
      </c>
      <c r="L115" s="41" t="s">
        <v>111</v>
      </c>
      <c r="M115" s="38">
        <v>600</v>
      </c>
      <c r="N115" s="38">
        <v>24</v>
      </c>
      <c r="O115" s="149">
        <v>16065000</v>
      </c>
      <c r="P115" s="39">
        <v>46035</v>
      </c>
      <c r="Q115"/>
    </row>
    <row r="116" spans="1:18" ht="13.5" thickBot="1">
      <c r="A116" s="148"/>
      <c r="B116" s="38" t="s">
        <v>775</v>
      </c>
      <c r="C116" s="39">
        <v>46029</v>
      </c>
      <c r="D116" s="42"/>
      <c r="E116" s="42"/>
      <c r="F116" s="38" t="s">
        <v>1394</v>
      </c>
      <c r="G116" s="38" t="s">
        <v>1395</v>
      </c>
      <c r="H116" s="39">
        <v>46029</v>
      </c>
      <c r="I116" s="42"/>
      <c r="J116" s="42" t="s">
        <v>36</v>
      </c>
      <c r="K116" s="38" t="s">
        <v>1396</v>
      </c>
      <c r="L116" s="41" t="s">
        <v>151</v>
      </c>
      <c r="M116" s="38">
        <v>300</v>
      </c>
      <c r="N116" s="38">
        <v>12</v>
      </c>
      <c r="O116" s="149">
        <v>20700000</v>
      </c>
      <c r="P116" s="39">
        <v>46031</v>
      </c>
      <c r="Q116"/>
    </row>
    <row r="117" spans="1:18" ht="13.5" thickBot="1">
      <c r="A117" s="148"/>
      <c r="B117" s="38" t="s">
        <v>1397</v>
      </c>
      <c r="C117" s="39">
        <v>46029</v>
      </c>
      <c r="D117" s="42"/>
      <c r="E117" s="42"/>
      <c r="F117" s="38" t="s">
        <v>1398</v>
      </c>
      <c r="G117" s="38" t="s">
        <v>1399</v>
      </c>
      <c r="H117" s="39">
        <v>46029</v>
      </c>
      <c r="I117" s="42"/>
      <c r="J117" s="42" t="s">
        <v>160</v>
      </c>
      <c r="K117" s="38" t="s">
        <v>80</v>
      </c>
      <c r="L117" s="41" t="s">
        <v>1278</v>
      </c>
      <c r="M117" s="38">
        <v>4</v>
      </c>
      <c r="N117" s="38">
        <v>0</v>
      </c>
      <c r="O117" s="149">
        <v>186636</v>
      </c>
      <c r="P117" s="39">
        <v>46030</v>
      </c>
      <c r="Q117"/>
    </row>
    <row r="118" spans="1:18" ht="38" thickBot="1">
      <c r="A118" s="253" t="s">
        <v>117</v>
      </c>
      <c r="B118" s="55">
        <v>15780</v>
      </c>
      <c r="C118" s="53">
        <v>46029</v>
      </c>
      <c r="D118" s="150"/>
      <c r="E118" s="221"/>
      <c r="F118" s="253" t="s">
        <v>1400</v>
      </c>
      <c r="G118" s="254"/>
      <c r="H118" s="255">
        <v>46029</v>
      </c>
      <c r="I118" s="221"/>
      <c r="J118" s="254" t="s">
        <v>32</v>
      </c>
      <c r="K118" s="222" t="s">
        <v>150</v>
      </c>
      <c r="L118" s="256" t="s">
        <v>136</v>
      </c>
      <c r="M118" s="253">
        <v>50</v>
      </c>
      <c r="N118" s="253">
        <v>2</v>
      </c>
      <c r="O118" s="257">
        <v>2825000</v>
      </c>
      <c r="P118" s="255">
        <v>46031</v>
      </c>
      <c r="Q118" s="258" t="s">
        <v>1854</v>
      </c>
      <c r="R118" s="258" t="s">
        <v>1865</v>
      </c>
    </row>
    <row r="119" spans="1:18" ht="38" thickBot="1">
      <c r="A119" s="148"/>
      <c r="B119" s="38">
        <v>15780</v>
      </c>
      <c r="C119" s="39">
        <v>46029</v>
      </c>
      <c r="D119" s="42"/>
      <c r="E119" s="42"/>
      <c r="F119" s="38" t="s">
        <v>1400</v>
      </c>
      <c r="G119" s="38" t="s">
        <v>1401</v>
      </c>
      <c r="H119" s="39">
        <v>46029</v>
      </c>
      <c r="I119" s="42"/>
      <c r="J119" s="42" t="s">
        <v>32</v>
      </c>
      <c r="K119" s="38" t="s">
        <v>150</v>
      </c>
      <c r="L119" s="41" t="s">
        <v>1191</v>
      </c>
      <c r="M119" s="38">
        <v>100</v>
      </c>
      <c r="N119" s="38">
        <v>4</v>
      </c>
      <c r="O119" s="149">
        <v>5300000</v>
      </c>
      <c r="P119" s="39">
        <v>46031</v>
      </c>
      <c r="Q119"/>
    </row>
    <row r="120" spans="1:18" ht="38" thickBot="1">
      <c r="A120" s="148"/>
      <c r="B120" s="38">
        <v>15780</v>
      </c>
      <c r="C120" s="39">
        <v>46029</v>
      </c>
      <c r="D120" s="42"/>
      <c r="E120" s="42"/>
      <c r="F120" s="38" t="s">
        <v>1400</v>
      </c>
      <c r="G120" s="38" t="s">
        <v>1401</v>
      </c>
      <c r="H120" s="39">
        <v>46029</v>
      </c>
      <c r="I120" s="42"/>
      <c r="J120" s="42" t="s">
        <v>32</v>
      </c>
      <c r="K120" s="38" t="s">
        <v>150</v>
      </c>
      <c r="L120" s="41" t="s">
        <v>111</v>
      </c>
      <c r="M120" s="38">
        <v>50</v>
      </c>
      <c r="N120" s="38">
        <v>2</v>
      </c>
      <c r="O120" s="149">
        <v>1275000</v>
      </c>
      <c r="P120" s="39">
        <v>46031</v>
      </c>
      <c r="Q120"/>
    </row>
    <row r="121" spans="1:18" ht="38" thickBot="1">
      <c r="A121" s="148"/>
      <c r="B121" s="38">
        <v>15780</v>
      </c>
      <c r="C121" s="39">
        <v>46029</v>
      </c>
      <c r="D121" s="42"/>
      <c r="E121" s="42" t="s">
        <v>1851</v>
      </c>
      <c r="F121" s="38" t="s">
        <v>1402</v>
      </c>
      <c r="G121" s="38" t="s">
        <v>1389</v>
      </c>
      <c r="H121" s="39">
        <v>46029</v>
      </c>
      <c r="I121" s="42"/>
      <c r="J121" s="42" t="s">
        <v>32</v>
      </c>
      <c r="K121" s="38" t="s">
        <v>150</v>
      </c>
      <c r="L121" s="41" t="s">
        <v>1313</v>
      </c>
      <c r="M121" s="38">
        <v>7.5</v>
      </c>
      <c r="N121" s="38">
        <v>0</v>
      </c>
      <c r="O121" s="38">
        <v>0</v>
      </c>
      <c r="P121" s="39">
        <v>46031</v>
      </c>
      <c r="Q121"/>
    </row>
    <row r="122" spans="1:18" s="190" customFormat="1" ht="23.5" thickBot="1">
      <c r="A122" s="238" t="s">
        <v>374</v>
      </c>
      <c r="B122" s="156">
        <v>4500367673</v>
      </c>
      <c r="C122" s="170">
        <v>46028</v>
      </c>
      <c r="D122" s="157"/>
      <c r="E122" s="216"/>
      <c r="F122" s="238" t="s">
        <v>1403</v>
      </c>
      <c r="G122" s="238" t="s">
        <v>1404</v>
      </c>
      <c r="H122" s="240">
        <v>46029</v>
      </c>
      <c r="I122" s="216"/>
      <c r="J122" s="239" t="s">
        <v>64</v>
      </c>
      <c r="K122" s="218" t="s">
        <v>1405</v>
      </c>
      <c r="L122" s="241" t="s">
        <v>679</v>
      </c>
      <c r="M122" s="238">
        <v>2000</v>
      </c>
      <c r="N122" s="238">
        <v>80</v>
      </c>
      <c r="O122" s="238">
        <f>+M122*38500</f>
        <v>77000000</v>
      </c>
      <c r="P122" s="240">
        <v>46031</v>
      </c>
      <c r="Q122" s="245" t="s">
        <v>374</v>
      </c>
      <c r="R122" s="246" t="s">
        <v>1869</v>
      </c>
    </row>
    <row r="123" spans="1:18" ht="23.5" thickBot="1">
      <c r="A123" s="162"/>
      <c r="B123" s="38">
        <v>4500367673</v>
      </c>
      <c r="C123" s="39">
        <v>46028</v>
      </c>
      <c r="D123" s="42"/>
      <c r="E123" s="42"/>
      <c r="F123" s="38" t="s">
        <v>1406</v>
      </c>
      <c r="G123" s="38" t="s">
        <v>1407</v>
      </c>
      <c r="H123" s="39">
        <v>46029</v>
      </c>
      <c r="I123" s="42"/>
      <c r="J123" s="42" t="s">
        <v>372</v>
      </c>
      <c r="K123" s="38" t="s">
        <v>1405</v>
      </c>
      <c r="L123" s="41" t="s">
        <v>679</v>
      </c>
      <c r="M123" s="38">
        <v>300</v>
      </c>
      <c r="N123" s="38">
        <v>12</v>
      </c>
      <c r="O123" s="149">
        <v>11550000</v>
      </c>
      <c r="P123" s="39">
        <v>46031</v>
      </c>
      <c r="Q123"/>
    </row>
    <row r="124" spans="1:18" ht="23.5" thickBot="1">
      <c r="A124" s="162"/>
      <c r="B124" s="38">
        <v>4500367673</v>
      </c>
      <c r="C124" s="39">
        <v>46028</v>
      </c>
      <c r="D124" s="42"/>
      <c r="E124" s="42"/>
      <c r="F124" s="38" t="s">
        <v>1408</v>
      </c>
      <c r="G124" s="38" t="s">
        <v>1409</v>
      </c>
      <c r="H124" s="39">
        <v>46029</v>
      </c>
      <c r="I124" s="42"/>
      <c r="J124" s="42" t="s">
        <v>372</v>
      </c>
      <c r="K124" s="38" t="s">
        <v>1405</v>
      </c>
      <c r="L124" s="41" t="s">
        <v>679</v>
      </c>
      <c r="M124" s="38">
        <v>2000</v>
      </c>
      <c r="N124" s="38">
        <v>80</v>
      </c>
      <c r="O124" s="149">
        <v>77000000</v>
      </c>
      <c r="P124" s="39">
        <v>46031</v>
      </c>
      <c r="Q124"/>
    </row>
    <row r="125" spans="1:18" s="190" customFormat="1" ht="23.5" thickBot="1">
      <c r="A125" s="238" t="s">
        <v>374</v>
      </c>
      <c r="B125" s="156">
        <v>4500367673</v>
      </c>
      <c r="C125" s="170">
        <v>46028</v>
      </c>
      <c r="D125" s="157"/>
      <c r="E125" s="216"/>
      <c r="F125" s="238" t="s">
        <v>1406</v>
      </c>
      <c r="G125" s="238" t="s">
        <v>1410</v>
      </c>
      <c r="H125" s="240">
        <v>46029</v>
      </c>
      <c r="I125" s="216"/>
      <c r="J125" s="239" t="s">
        <v>64</v>
      </c>
      <c r="K125" s="218" t="s">
        <v>1405</v>
      </c>
      <c r="L125" s="241" t="s">
        <v>679</v>
      </c>
      <c r="M125" s="238">
        <v>300</v>
      </c>
      <c r="N125" s="239"/>
      <c r="O125" s="242">
        <v>11550000</v>
      </c>
      <c r="P125" s="240">
        <v>46031</v>
      </c>
      <c r="Q125" s="245" t="s">
        <v>374</v>
      </c>
      <c r="R125" s="246" t="s">
        <v>1869</v>
      </c>
    </row>
    <row r="126" spans="1:18" ht="38" thickBot="1">
      <c r="A126" s="148"/>
      <c r="B126" s="38" t="s">
        <v>1411</v>
      </c>
      <c r="C126" s="39">
        <v>46029</v>
      </c>
      <c r="D126" s="42"/>
      <c r="E126" s="42"/>
      <c r="F126" s="38" t="s">
        <v>1412</v>
      </c>
      <c r="G126" s="38" t="s">
        <v>1413</v>
      </c>
      <c r="H126" s="39">
        <v>46029</v>
      </c>
      <c r="I126" s="42"/>
      <c r="J126" s="42" t="s">
        <v>763</v>
      </c>
      <c r="K126" s="38" t="s">
        <v>76</v>
      </c>
      <c r="L126" s="41" t="s">
        <v>194</v>
      </c>
      <c r="M126" s="38">
        <v>2000</v>
      </c>
      <c r="N126" s="38">
        <v>80</v>
      </c>
      <c r="O126" s="149">
        <v>36700000</v>
      </c>
      <c r="P126" s="39">
        <v>46031</v>
      </c>
      <c r="Q126"/>
    </row>
    <row r="127" spans="1:18" ht="25.5" thickBot="1">
      <c r="A127" s="148"/>
      <c r="B127" s="38">
        <v>1330569</v>
      </c>
      <c r="C127" s="39">
        <v>46029</v>
      </c>
      <c r="D127" s="42"/>
      <c r="E127" s="42"/>
      <c r="F127" s="38" t="s">
        <v>1414</v>
      </c>
      <c r="G127" s="38" t="s">
        <v>1415</v>
      </c>
      <c r="H127" s="39">
        <v>46029</v>
      </c>
      <c r="I127" s="42"/>
      <c r="J127" s="42" t="s">
        <v>786</v>
      </c>
      <c r="K127" s="38" t="s">
        <v>78</v>
      </c>
      <c r="L127" s="41" t="s">
        <v>1191</v>
      </c>
      <c r="M127" s="38">
        <v>50</v>
      </c>
      <c r="N127" s="38">
        <v>2</v>
      </c>
      <c r="O127" s="149">
        <v>2325000</v>
      </c>
      <c r="P127" s="39">
        <v>46031</v>
      </c>
      <c r="Q127"/>
    </row>
    <row r="128" spans="1:18" ht="25.5" thickBot="1">
      <c r="A128" s="148"/>
      <c r="B128" s="38">
        <v>1330569</v>
      </c>
      <c r="C128" s="39">
        <v>46029</v>
      </c>
      <c r="D128" s="42"/>
      <c r="E128" s="42"/>
      <c r="F128" s="38" t="s">
        <v>1416</v>
      </c>
      <c r="G128" s="38" t="s">
        <v>1417</v>
      </c>
      <c r="H128" s="39">
        <v>46029</v>
      </c>
      <c r="I128" s="42"/>
      <c r="J128" s="42" t="s">
        <v>786</v>
      </c>
      <c r="K128" s="38" t="s">
        <v>78</v>
      </c>
      <c r="L128" s="41" t="s">
        <v>1313</v>
      </c>
      <c r="M128" s="38">
        <v>3.75</v>
      </c>
      <c r="N128" s="38">
        <v>0</v>
      </c>
      <c r="O128" s="38">
        <v>0</v>
      </c>
      <c r="P128" s="39">
        <v>46031</v>
      </c>
      <c r="Q128"/>
    </row>
    <row r="129" spans="1:18" ht="25.5" thickBot="1">
      <c r="A129" s="148"/>
      <c r="B129" s="42"/>
      <c r="C129" s="42"/>
      <c r="D129" s="42"/>
      <c r="E129" s="42"/>
      <c r="F129" s="38" t="s">
        <v>1418</v>
      </c>
      <c r="G129" s="38" t="s">
        <v>1419</v>
      </c>
      <c r="H129" s="39">
        <v>46029</v>
      </c>
      <c r="I129" s="40">
        <v>0.62222222222222223</v>
      </c>
      <c r="J129" s="42" t="s">
        <v>399</v>
      </c>
      <c r="K129" s="38" t="s">
        <v>400</v>
      </c>
      <c r="L129" s="41" t="s">
        <v>113</v>
      </c>
      <c r="M129" s="38">
        <v>8000</v>
      </c>
      <c r="N129" s="38">
        <v>320</v>
      </c>
      <c r="O129" s="38" t="s">
        <v>1420</v>
      </c>
      <c r="P129" s="39">
        <v>46042</v>
      </c>
      <c r="Q129"/>
    </row>
    <row r="130" spans="1:18" ht="25.5" thickBot="1">
      <c r="A130" s="148"/>
      <c r="B130" s="42"/>
      <c r="C130" s="42"/>
      <c r="D130" s="42"/>
      <c r="E130" s="42"/>
      <c r="F130" s="38" t="s">
        <v>1418</v>
      </c>
      <c r="G130" s="38" t="s">
        <v>1419</v>
      </c>
      <c r="H130" s="39">
        <v>46029</v>
      </c>
      <c r="I130" s="40">
        <v>0.62222222222222223</v>
      </c>
      <c r="J130" s="42" t="s">
        <v>399</v>
      </c>
      <c r="K130" s="38" t="s">
        <v>400</v>
      </c>
      <c r="L130" s="41" t="s">
        <v>153</v>
      </c>
      <c r="M130" s="38">
        <v>8000</v>
      </c>
      <c r="N130" s="38">
        <v>320</v>
      </c>
      <c r="O130" s="38" t="s">
        <v>1421</v>
      </c>
      <c r="P130" s="39">
        <v>46042</v>
      </c>
      <c r="Q130"/>
    </row>
    <row r="131" spans="1:18" ht="23.5" thickBot="1">
      <c r="A131" s="148"/>
      <c r="B131" s="38" t="s">
        <v>775</v>
      </c>
      <c r="C131" s="39">
        <v>46029</v>
      </c>
      <c r="D131" s="42"/>
      <c r="E131" s="42"/>
      <c r="F131" s="38" t="s">
        <v>1422</v>
      </c>
      <c r="G131" s="38" t="s">
        <v>1423</v>
      </c>
      <c r="H131" s="39">
        <v>46029</v>
      </c>
      <c r="I131" s="42"/>
      <c r="J131" s="42" t="s">
        <v>780</v>
      </c>
      <c r="K131" s="38" t="s">
        <v>1179</v>
      </c>
      <c r="L131" s="41" t="s">
        <v>230</v>
      </c>
      <c r="M131" s="38">
        <v>60</v>
      </c>
      <c r="N131" s="38">
        <v>2</v>
      </c>
      <c r="O131" s="149">
        <v>6120000</v>
      </c>
      <c r="P131" s="39">
        <v>46028</v>
      </c>
      <c r="Q131"/>
    </row>
    <row r="132" spans="1:18" s="175" customFormat="1" ht="25.5" thickBot="1">
      <c r="A132" s="148"/>
      <c r="B132" s="38">
        <v>1330975</v>
      </c>
      <c r="C132" s="39">
        <v>46029</v>
      </c>
      <c r="D132" s="42"/>
      <c r="E132" s="42"/>
      <c r="F132" s="38" t="s">
        <v>1424</v>
      </c>
      <c r="G132" s="38" t="s">
        <v>1425</v>
      </c>
      <c r="H132" s="39">
        <v>46030</v>
      </c>
      <c r="I132" s="42"/>
      <c r="J132" s="42" t="s">
        <v>786</v>
      </c>
      <c r="K132" s="38" t="s">
        <v>1426</v>
      </c>
      <c r="L132" s="41" t="s">
        <v>906</v>
      </c>
      <c r="M132" s="38">
        <v>8</v>
      </c>
      <c r="N132" s="38">
        <v>0</v>
      </c>
      <c r="O132" s="149">
        <v>1848000</v>
      </c>
      <c r="P132" s="39">
        <v>46030</v>
      </c>
      <c r="R132" s="176"/>
    </row>
    <row r="133" spans="1:18" ht="25.5" thickBot="1">
      <c r="A133" s="148"/>
      <c r="B133" s="38">
        <v>1330975</v>
      </c>
      <c r="C133" s="39">
        <v>46029</v>
      </c>
      <c r="D133" s="42"/>
      <c r="E133" s="42"/>
      <c r="F133" s="38" t="s">
        <v>1427</v>
      </c>
      <c r="G133" s="38" t="s">
        <v>1428</v>
      </c>
      <c r="H133" s="39">
        <v>46030</v>
      </c>
      <c r="I133" s="42"/>
      <c r="J133" s="42" t="s">
        <v>786</v>
      </c>
      <c r="K133" s="38" t="s">
        <v>1426</v>
      </c>
      <c r="L133" s="41" t="s">
        <v>1313</v>
      </c>
      <c r="M133" s="38">
        <v>0.6</v>
      </c>
      <c r="N133" s="38">
        <v>0</v>
      </c>
      <c r="O133" s="38">
        <v>0</v>
      </c>
      <c r="P133" s="39">
        <v>46030</v>
      </c>
      <c r="Q133"/>
    </row>
    <row r="134" spans="1:18" ht="13.5" thickBot="1">
      <c r="A134" s="148"/>
      <c r="B134" s="38">
        <v>4500086002</v>
      </c>
      <c r="C134" s="39">
        <v>46029</v>
      </c>
      <c r="D134" s="42"/>
      <c r="E134" s="42"/>
      <c r="F134" s="38" t="s">
        <v>1429</v>
      </c>
      <c r="G134" s="38" t="s">
        <v>1430</v>
      </c>
      <c r="H134" s="39">
        <v>46030</v>
      </c>
      <c r="I134" s="42"/>
      <c r="J134" s="42" t="s">
        <v>762</v>
      </c>
      <c r="K134" s="38" t="s">
        <v>83</v>
      </c>
      <c r="L134" s="41" t="s">
        <v>1191</v>
      </c>
      <c r="M134" s="38">
        <v>1200</v>
      </c>
      <c r="N134" s="38">
        <v>48</v>
      </c>
      <c r="O134" s="149">
        <v>55800000</v>
      </c>
      <c r="P134" s="39">
        <v>46031</v>
      </c>
      <c r="Q134"/>
    </row>
    <row r="135" spans="1:18" ht="13.5" thickBot="1">
      <c r="A135" s="148"/>
      <c r="B135" s="38">
        <v>4500086002</v>
      </c>
      <c r="C135" s="39">
        <v>46029</v>
      </c>
      <c r="D135" s="42"/>
      <c r="E135" s="42"/>
      <c r="F135" s="38" t="s">
        <v>1429</v>
      </c>
      <c r="G135" s="38" t="s">
        <v>1430</v>
      </c>
      <c r="H135" s="39">
        <v>46030</v>
      </c>
      <c r="I135" s="42"/>
      <c r="J135" s="42" t="s">
        <v>762</v>
      </c>
      <c r="K135" s="38" t="s">
        <v>83</v>
      </c>
      <c r="L135" s="41" t="s">
        <v>151</v>
      </c>
      <c r="M135" s="38">
        <v>1000</v>
      </c>
      <c r="N135" s="38">
        <v>40</v>
      </c>
      <c r="O135" s="149">
        <v>61700000</v>
      </c>
      <c r="P135" s="39">
        <v>46031</v>
      </c>
      <c r="Q135"/>
    </row>
    <row r="136" spans="1:18" ht="13.5" thickBot="1">
      <c r="A136" s="148"/>
      <c r="B136" s="38">
        <v>4500086002</v>
      </c>
      <c r="C136" s="39">
        <v>46029</v>
      </c>
      <c r="D136" s="42"/>
      <c r="E136" s="42"/>
      <c r="F136" s="38" t="s">
        <v>1429</v>
      </c>
      <c r="G136" s="38" t="s">
        <v>1430</v>
      </c>
      <c r="H136" s="39">
        <v>46030</v>
      </c>
      <c r="I136" s="42"/>
      <c r="J136" s="42" t="s">
        <v>762</v>
      </c>
      <c r="K136" s="38" t="s">
        <v>83</v>
      </c>
      <c r="L136" s="41" t="s">
        <v>767</v>
      </c>
      <c r="M136" s="38">
        <v>500</v>
      </c>
      <c r="N136" s="38">
        <v>20</v>
      </c>
      <c r="O136" s="149">
        <v>26460000</v>
      </c>
      <c r="P136" s="39">
        <v>46031</v>
      </c>
      <c r="Q136"/>
    </row>
    <row r="137" spans="1:18" ht="13.5" thickBot="1">
      <c r="A137" s="148"/>
      <c r="B137" s="38">
        <v>4500086002</v>
      </c>
      <c r="C137" s="39">
        <v>46029</v>
      </c>
      <c r="D137" s="42"/>
      <c r="E137" s="42"/>
      <c r="F137" s="38" t="s">
        <v>1429</v>
      </c>
      <c r="G137" s="38" t="s">
        <v>1430</v>
      </c>
      <c r="H137" s="39">
        <v>46030</v>
      </c>
      <c r="I137" s="42"/>
      <c r="J137" s="42" t="s">
        <v>762</v>
      </c>
      <c r="K137" s="38" t="s">
        <v>83</v>
      </c>
      <c r="L137" s="41" t="s">
        <v>1431</v>
      </c>
      <c r="M137" s="38">
        <v>1000</v>
      </c>
      <c r="N137" s="38">
        <v>40</v>
      </c>
      <c r="O137" s="149">
        <v>19010000</v>
      </c>
      <c r="P137" s="39">
        <v>46031</v>
      </c>
      <c r="Q137"/>
    </row>
    <row r="138" spans="1:18" ht="13.5" thickBot="1">
      <c r="A138" s="148"/>
      <c r="B138" s="38">
        <v>4500086002</v>
      </c>
      <c r="C138" s="39">
        <v>46029</v>
      </c>
      <c r="D138" s="42"/>
      <c r="E138" s="42"/>
      <c r="F138" s="38" t="s">
        <v>1429</v>
      </c>
      <c r="G138" s="38" t="s">
        <v>1430</v>
      </c>
      <c r="H138" s="39">
        <v>46030</v>
      </c>
      <c r="I138" s="42"/>
      <c r="J138" s="42" t="s">
        <v>762</v>
      </c>
      <c r="K138" s="38" t="s">
        <v>83</v>
      </c>
      <c r="L138" s="41" t="s">
        <v>766</v>
      </c>
      <c r="M138" s="38">
        <v>200</v>
      </c>
      <c r="N138" s="38">
        <v>8</v>
      </c>
      <c r="O138" s="149">
        <v>27100000</v>
      </c>
      <c r="P138" s="39">
        <v>46031</v>
      </c>
      <c r="Q138"/>
    </row>
    <row r="139" spans="1:18" ht="13.5" thickBot="1">
      <c r="A139" s="148"/>
      <c r="B139" s="38">
        <v>4500086002</v>
      </c>
      <c r="C139" s="39">
        <v>46029</v>
      </c>
      <c r="D139" s="42"/>
      <c r="E139" s="42"/>
      <c r="F139" s="38" t="s">
        <v>1429</v>
      </c>
      <c r="G139" s="38" t="s">
        <v>1430</v>
      </c>
      <c r="H139" s="39">
        <v>46030</v>
      </c>
      <c r="I139" s="42"/>
      <c r="J139" s="42" t="s">
        <v>762</v>
      </c>
      <c r="K139" s="38" t="s">
        <v>83</v>
      </c>
      <c r="L139" s="41" t="s">
        <v>788</v>
      </c>
      <c r="M139" s="38">
        <v>200</v>
      </c>
      <c r="N139" s="38">
        <v>8</v>
      </c>
      <c r="O139" s="149">
        <v>6900000</v>
      </c>
      <c r="P139" s="39">
        <v>46031</v>
      </c>
      <c r="Q139"/>
    </row>
    <row r="140" spans="1:18" ht="13.5" thickBot="1">
      <c r="A140" s="148"/>
      <c r="B140" s="38">
        <v>4500086002</v>
      </c>
      <c r="C140" s="39">
        <v>46029</v>
      </c>
      <c r="D140" s="42"/>
      <c r="E140" s="42"/>
      <c r="F140" s="38" t="s">
        <v>1429</v>
      </c>
      <c r="G140" s="38" t="s">
        <v>1430</v>
      </c>
      <c r="H140" s="39">
        <v>46030</v>
      </c>
      <c r="I140" s="42"/>
      <c r="J140" s="42" t="s">
        <v>762</v>
      </c>
      <c r="K140" s="38" t="s">
        <v>83</v>
      </c>
      <c r="L140" s="41" t="s">
        <v>194</v>
      </c>
      <c r="M140" s="38">
        <v>1000</v>
      </c>
      <c r="N140" s="38">
        <v>40</v>
      </c>
      <c r="O140" s="149">
        <v>17600000</v>
      </c>
      <c r="P140" s="39">
        <v>46031</v>
      </c>
      <c r="Q140"/>
    </row>
    <row r="141" spans="1:18" ht="13.5" thickBot="1">
      <c r="A141" s="148"/>
      <c r="B141" s="38">
        <v>4500086002</v>
      </c>
      <c r="C141" s="39">
        <v>46029</v>
      </c>
      <c r="D141" s="42"/>
      <c r="E141" s="42"/>
      <c r="F141" s="38" t="s">
        <v>1429</v>
      </c>
      <c r="G141" s="38" t="s">
        <v>1430</v>
      </c>
      <c r="H141" s="39">
        <v>46030</v>
      </c>
      <c r="I141" s="42"/>
      <c r="J141" s="42" t="s">
        <v>762</v>
      </c>
      <c r="K141" s="38" t="s">
        <v>83</v>
      </c>
      <c r="L141" s="41" t="s">
        <v>930</v>
      </c>
      <c r="M141" s="38">
        <v>150</v>
      </c>
      <c r="N141" s="38">
        <v>6</v>
      </c>
      <c r="O141" s="149">
        <v>66000000</v>
      </c>
      <c r="P141" s="39">
        <v>46031</v>
      </c>
      <c r="Q141"/>
    </row>
    <row r="142" spans="1:18" ht="13.5" thickBot="1">
      <c r="A142" s="148"/>
      <c r="B142" s="38">
        <v>4500086002</v>
      </c>
      <c r="C142" s="39">
        <v>46029</v>
      </c>
      <c r="D142" s="42"/>
      <c r="E142" s="42"/>
      <c r="F142" s="38" t="s">
        <v>1429</v>
      </c>
      <c r="G142" s="38" t="s">
        <v>1430</v>
      </c>
      <c r="H142" s="39">
        <v>46030</v>
      </c>
      <c r="I142" s="42"/>
      <c r="J142" s="42" t="s">
        <v>762</v>
      </c>
      <c r="K142" s="38" t="s">
        <v>83</v>
      </c>
      <c r="L142" s="41" t="s">
        <v>779</v>
      </c>
      <c r="M142" s="38">
        <v>500</v>
      </c>
      <c r="N142" s="38">
        <v>20</v>
      </c>
      <c r="O142" s="149">
        <v>15100000</v>
      </c>
      <c r="P142" s="39">
        <v>46031</v>
      </c>
      <c r="Q142"/>
    </row>
    <row r="143" spans="1:18" ht="13.5" thickBot="1">
      <c r="A143" s="148"/>
      <c r="B143" s="38">
        <v>4500086002</v>
      </c>
      <c r="C143" s="39">
        <v>46029</v>
      </c>
      <c r="D143" s="42"/>
      <c r="E143" s="42"/>
      <c r="F143" s="38" t="s">
        <v>1432</v>
      </c>
      <c r="G143" s="38" t="s">
        <v>1433</v>
      </c>
      <c r="H143" s="39">
        <v>46030</v>
      </c>
      <c r="I143" s="42"/>
      <c r="J143" s="42" t="s">
        <v>762</v>
      </c>
      <c r="K143" s="38" t="s">
        <v>83</v>
      </c>
      <c r="L143" s="41" t="s">
        <v>1434</v>
      </c>
      <c r="M143" s="38">
        <v>90</v>
      </c>
      <c r="N143" s="38">
        <v>4</v>
      </c>
      <c r="O143" s="38">
        <v>0</v>
      </c>
      <c r="P143" s="39">
        <v>46031</v>
      </c>
      <c r="Q143"/>
    </row>
    <row r="144" spans="1:18" ht="13.5" thickBot="1">
      <c r="A144" s="148"/>
      <c r="B144" s="38">
        <v>4500086002</v>
      </c>
      <c r="C144" s="39">
        <v>46029</v>
      </c>
      <c r="D144" s="42"/>
      <c r="E144" s="42"/>
      <c r="F144" s="38" t="s">
        <v>1435</v>
      </c>
      <c r="G144" s="38" t="s">
        <v>1436</v>
      </c>
      <c r="H144" s="39">
        <v>46030</v>
      </c>
      <c r="I144" s="42"/>
      <c r="J144" s="42" t="s">
        <v>762</v>
      </c>
      <c r="K144" s="38" t="s">
        <v>83</v>
      </c>
      <c r="L144" s="41" t="s">
        <v>111</v>
      </c>
      <c r="M144" s="38">
        <v>1000</v>
      </c>
      <c r="N144" s="38">
        <v>40</v>
      </c>
      <c r="O144" s="149">
        <v>24000000</v>
      </c>
      <c r="P144" s="39">
        <v>46031</v>
      </c>
      <c r="Q144"/>
    </row>
    <row r="145" spans="1:18" ht="13.5" thickBot="1">
      <c r="A145" s="148"/>
      <c r="B145" s="38" t="s">
        <v>1437</v>
      </c>
      <c r="C145" s="39">
        <v>46029</v>
      </c>
      <c r="D145" s="42"/>
      <c r="E145" s="42"/>
      <c r="F145" s="38" t="s">
        <v>1438</v>
      </c>
      <c r="G145" s="38" t="s">
        <v>1439</v>
      </c>
      <c r="H145" s="39">
        <v>46030</v>
      </c>
      <c r="I145" s="42"/>
      <c r="J145" s="42" t="s">
        <v>1440</v>
      </c>
      <c r="K145" s="38" t="s">
        <v>75</v>
      </c>
      <c r="L145" s="41" t="s">
        <v>1208</v>
      </c>
      <c r="M145" s="38">
        <v>200</v>
      </c>
      <c r="N145" s="38">
        <v>8</v>
      </c>
      <c r="O145" s="149">
        <v>3240000</v>
      </c>
      <c r="P145" s="39">
        <v>46038</v>
      </c>
      <c r="Q145"/>
    </row>
    <row r="146" spans="1:18" ht="23.5" thickBot="1">
      <c r="A146" s="148"/>
      <c r="B146" s="38">
        <v>4500086011</v>
      </c>
      <c r="C146" s="39">
        <v>46030</v>
      </c>
      <c r="D146" s="42"/>
      <c r="E146" s="42"/>
      <c r="F146" s="38" t="s">
        <v>1441</v>
      </c>
      <c r="G146" s="38" t="s">
        <v>1442</v>
      </c>
      <c r="H146" s="39">
        <v>46030</v>
      </c>
      <c r="I146" s="42"/>
      <c r="J146" s="42" t="s">
        <v>1342</v>
      </c>
      <c r="K146" s="38" t="s">
        <v>379</v>
      </c>
      <c r="L146" s="41" t="s">
        <v>115</v>
      </c>
      <c r="M146" s="38">
        <v>4000</v>
      </c>
      <c r="N146" s="38">
        <v>160</v>
      </c>
      <c r="O146" s="149">
        <v>291468000</v>
      </c>
      <c r="P146" s="39">
        <v>46031</v>
      </c>
      <c r="Q146"/>
    </row>
    <row r="147" spans="1:18" ht="23.5" thickBot="1">
      <c r="A147" s="148"/>
      <c r="B147" s="38">
        <v>4500086011</v>
      </c>
      <c r="C147" s="39">
        <v>46030</v>
      </c>
      <c r="D147" s="42"/>
      <c r="E147" s="42"/>
      <c r="F147" s="38" t="s">
        <v>1441</v>
      </c>
      <c r="G147" s="38" t="s">
        <v>1442</v>
      </c>
      <c r="H147" s="39">
        <v>46030</v>
      </c>
      <c r="I147" s="42"/>
      <c r="J147" s="42" t="s">
        <v>1342</v>
      </c>
      <c r="K147" s="38" t="s">
        <v>379</v>
      </c>
      <c r="L147" s="41" t="s">
        <v>209</v>
      </c>
      <c r="M147" s="38">
        <v>2500</v>
      </c>
      <c r="N147" s="38">
        <v>100</v>
      </c>
      <c r="O147" s="149">
        <v>307252500</v>
      </c>
      <c r="P147" s="39">
        <v>46031</v>
      </c>
      <c r="Q147"/>
    </row>
    <row r="148" spans="1:18" ht="35" thickBot="1">
      <c r="A148" s="265" t="s">
        <v>728</v>
      </c>
      <c r="B148" s="67" t="s">
        <v>1443</v>
      </c>
      <c r="C148" s="65">
        <v>46030</v>
      </c>
      <c r="D148" s="64"/>
      <c r="E148" s="226"/>
      <c r="F148" s="265" t="s">
        <v>1444</v>
      </c>
      <c r="G148" s="265" t="s">
        <v>1445</v>
      </c>
      <c r="H148" s="266">
        <v>46030</v>
      </c>
      <c r="I148" s="226"/>
      <c r="J148" s="267" t="s">
        <v>323</v>
      </c>
      <c r="K148" s="227" t="s">
        <v>1446</v>
      </c>
      <c r="L148" s="268" t="s">
        <v>1281</v>
      </c>
      <c r="M148" s="265">
        <v>300</v>
      </c>
      <c r="N148" s="265">
        <v>12</v>
      </c>
      <c r="O148" s="269">
        <v>12237750</v>
      </c>
      <c r="P148" s="266">
        <v>46035</v>
      </c>
      <c r="Q148" s="270" t="s">
        <v>728</v>
      </c>
      <c r="R148" s="270" t="s">
        <v>1877</v>
      </c>
    </row>
    <row r="149" spans="1:18" ht="23.5" thickBot="1">
      <c r="A149" s="162"/>
      <c r="B149" s="38" t="s">
        <v>775</v>
      </c>
      <c r="C149" s="39">
        <v>46030</v>
      </c>
      <c r="D149" s="42"/>
      <c r="E149" s="42"/>
      <c r="F149" s="38" t="s">
        <v>1447</v>
      </c>
      <c r="G149" s="38" t="s">
        <v>1448</v>
      </c>
      <c r="H149" s="39">
        <v>46030</v>
      </c>
      <c r="I149" s="42"/>
      <c r="J149" s="42" t="s">
        <v>780</v>
      </c>
      <c r="K149" s="38" t="s">
        <v>1179</v>
      </c>
      <c r="L149" s="41" t="s">
        <v>768</v>
      </c>
      <c r="M149" s="38">
        <v>30</v>
      </c>
      <c r="N149" s="38">
        <v>1</v>
      </c>
      <c r="O149" s="149">
        <v>4800000</v>
      </c>
      <c r="P149" s="39">
        <v>46030</v>
      </c>
      <c r="Q149"/>
    </row>
    <row r="150" spans="1:18" ht="23.5" thickBot="1">
      <c r="A150" s="162"/>
      <c r="B150" s="38" t="s">
        <v>775</v>
      </c>
      <c r="C150" s="39">
        <v>46030</v>
      </c>
      <c r="D150" s="42"/>
      <c r="E150" s="42"/>
      <c r="F150" s="38" t="s">
        <v>1449</v>
      </c>
      <c r="G150" s="38" t="s">
        <v>1450</v>
      </c>
      <c r="H150" s="39">
        <v>46030</v>
      </c>
      <c r="I150" s="42"/>
      <c r="J150" s="42" t="s">
        <v>1451</v>
      </c>
      <c r="K150" s="38" t="s">
        <v>1179</v>
      </c>
      <c r="L150" s="41" t="s">
        <v>230</v>
      </c>
      <c r="M150" s="38">
        <v>6</v>
      </c>
      <c r="N150" s="38">
        <v>0</v>
      </c>
      <c r="O150" s="149">
        <v>690000</v>
      </c>
      <c r="P150" s="39">
        <v>46030</v>
      </c>
      <c r="Q150"/>
    </row>
    <row r="151" spans="1:18" ht="13.5" thickBot="1">
      <c r="A151" s="265" t="s">
        <v>728</v>
      </c>
      <c r="B151" s="67" t="s">
        <v>775</v>
      </c>
      <c r="C151" s="65">
        <v>46030</v>
      </c>
      <c r="D151" s="64"/>
      <c r="E151" s="226"/>
      <c r="F151" s="265" t="s">
        <v>1452</v>
      </c>
      <c r="G151" s="265" t="s">
        <v>1453</v>
      </c>
      <c r="H151" s="266">
        <v>46030</v>
      </c>
      <c r="I151" s="226"/>
      <c r="J151" s="267" t="s">
        <v>1454</v>
      </c>
      <c r="K151" s="227" t="s">
        <v>366</v>
      </c>
      <c r="L151" s="268" t="s">
        <v>1317</v>
      </c>
      <c r="M151" s="265">
        <v>15</v>
      </c>
      <c r="N151" s="265">
        <v>3</v>
      </c>
      <c r="O151" s="269">
        <v>3225000</v>
      </c>
      <c r="P151" s="266">
        <v>46031</v>
      </c>
      <c r="Q151" s="270" t="s">
        <v>728</v>
      </c>
      <c r="R151" s="270" t="s">
        <v>1877</v>
      </c>
    </row>
    <row r="152" spans="1:18" ht="23.5" thickBot="1">
      <c r="A152" s="148"/>
      <c r="B152" s="38" t="s">
        <v>775</v>
      </c>
      <c r="C152" s="39">
        <v>46030</v>
      </c>
      <c r="D152" s="42"/>
      <c r="E152" s="42"/>
      <c r="F152" s="38" t="s">
        <v>1455</v>
      </c>
      <c r="G152" s="38" t="s">
        <v>1456</v>
      </c>
      <c r="H152" s="39">
        <v>46030</v>
      </c>
      <c r="I152" s="42"/>
      <c r="J152" s="42" t="s">
        <v>780</v>
      </c>
      <c r="K152" s="38" t="s">
        <v>1179</v>
      </c>
      <c r="L152" s="41" t="s">
        <v>151</v>
      </c>
      <c r="M152" s="38">
        <v>100</v>
      </c>
      <c r="N152" s="38">
        <v>4</v>
      </c>
      <c r="O152" s="149">
        <v>5522000</v>
      </c>
      <c r="P152" s="39">
        <v>46035</v>
      </c>
      <c r="Q152"/>
    </row>
    <row r="153" spans="1:18" ht="23.5" thickBot="1">
      <c r="A153" s="148"/>
      <c r="B153" s="38" t="s">
        <v>775</v>
      </c>
      <c r="C153" s="39">
        <v>46030</v>
      </c>
      <c r="D153" s="42"/>
      <c r="E153" s="42"/>
      <c r="F153" s="38" t="s">
        <v>1455</v>
      </c>
      <c r="G153" s="38" t="s">
        <v>1456</v>
      </c>
      <c r="H153" s="39">
        <v>46030</v>
      </c>
      <c r="I153" s="42"/>
      <c r="J153" s="42" t="s">
        <v>780</v>
      </c>
      <c r="K153" s="38" t="s">
        <v>1179</v>
      </c>
      <c r="L153" s="41" t="s">
        <v>1223</v>
      </c>
      <c r="M153" s="38">
        <v>100</v>
      </c>
      <c r="N153" s="38">
        <v>4</v>
      </c>
      <c r="O153" s="149">
        <v>2500000</v>
      </c>
      <c r="P153" s="39">
        <v>46035</v>
      </c>
      <c r="Q153"/>
    </row>
    <row r="154" spans="1:18" ht="23.5" thickBot="1">
      <c r="A154" s="148"/>
      <c r="B154" s="38" t="s">
        <v>775</v>
      </c>
      <c r="C154" s="39">
        <v>46030</v>
      </c>
      <c r="D154" s="42"/>
      <c r="E154" s="42"/>
      <c r="F154" s="38" t="s">
        <v>1455</v>
      </c>
      <c r="G154" s="38" t="s">
        <v>1456</v>
      </c>
      <c r="H154" s="39">
        <v>46030</v>
      </c>
      <c r="I154" s="42"/>
      <c r="J154" s="42" t="s">
        <v>780</v>
      </c>
      <c r="K154" s="38" t="s">
        <v>1179</v>
      </c>
      <c r="L154" s="41" t="s">
        <v>1208</v>
      </c>
      <c r="M154" s="38">
        <v>200</v>
      </c>
      <c r="N154" s="38">
        <v>8</v>
      </c>
      <c r="O154" s="149">
        <v>3200000</v>
      </c>
      <c r="P154" s="39">
        <v>46035</v>
      </c>
      <c r="Q154"/>
    </row>
    <row r="155" spans="1:18" ht="23.5" thickBot="1">
      <c r="A155" s="148"/>
      <c r="B155" s="38" t="s">
        <v>775</v>
      </c>
      <c r="C155" s="39">
        <v>46030</v>
      </c>
      <c r="D155" s="42"/>
      <c r="E155" s="42"/>
      <c r="F155" s="38" t="s">
        <v>1455</v>
      </c>
      <c r="G155" s="38" t="s">
        <v>1456</v>
      </c>
      <c r="H155" s="39">
        <v>46030</v>
      </c>
      <c r="I155" s="42"/>
      <c r="J155" s="42" t="s">
        <v>780</v>
      </c>
      <c r="K155" s="38" t="s">
        <v>1179</v>
      </c>
      <c r="L155" s="41" t="s">
        <v>194</v>
      </c>
      <c r="M155" s="38">
        <v>300</v>
      </c>
      <c r="N155" s="38">
        <v>12</v>
      </c>
      <c r="O155" s="149">
        <v>6390000</v>
      </c>
      <c r="P155" s="39">
        <v>46035</v>
      </c>
      <c r="Q155"/>
    </row>
    <row r="156" spans="1:18" ht="23.5" thickBot="1">
      <c r="A156" s="148"/>
      <c r="B156" s="38" t="s">
        <v>775</v>
      </c>
      <c r="C156" s="39">
        <v>46030</v>
      </c>
      <c r="D156" s="42"/>
      <c r="E156" s="42"/>
      <c r="F156" s="38" t="s">
        <v>1457</v>
      </c>
      <c r="G156" s="38" t="s">
        <v>1458</v>
      </c>
      <c r="H156" s="39">
        <v>46030</v>
      </c>
      <c r="I156" s="42"/>
      <c r="J156" s="42" t="s">
        <v>780</v>
      </c>
      <c r="K156" s="38" t="s">
        <v>1179</v>
      </c>
      <c r="L156" s="41" t="s">
        <v>1223</v>
      </c>
      <c r="M156" s="38">
        <v>100</v>
      </c>
      <c r="N156" s="38">
        <v>4</v>
      </c>
      <c r="O156" s="149">
        <v>20500000</v>
      </c>
      <c r="P156" s="39">
        <v>46042</v>
      </c>
      <c r="Q156"/>
    </row>
    <row r="157" spans="1:18" ht="23.5" thickBot="1">
      <c r="A157" s="148"/>
      <c r="B157" s="38" t="s">
        <v>775</v>
      </c>
      <c r="C157" s="39">
        <v>46030</v>
      </c>
      <c r="D157" s="42"/>
      <c r="E157" s="42"/>
      <c r="F157" s="38" t="s">
        <v>1457</v>
      </c>
      <c r="G157" s="38" t="s">
        <v>1458</v>
      </c>
      <c r="H157" s="39">
        <v>46030</v>
      </c>
      <c r="I157" s="42"/>
      <c r="J157" s="42" t="s">
        <v>780</v>
      </c>
      <c r="K157" s="38" t="s">
        <v>1179</v>
      </c>
      <c r="L157" s="41" t="s">
        <v>1208</v>
      </c>
      <c r="M157" s="38">
        <v>200</v>
      </c>
      <c r="N157" s="38">
        <v>8</v>
      </c>
      <c r="O157" s="149">
        <v>3200000</v>
      </c>
      <c r="P157" s="39">
        <v>46042</v>
      </c>
      <c r="Q157"/>
    </row>
    <row r="158" spans="1:18" ht="23.5" thickBot="1">
      <c r="A158" s="148"/>
      <c r="B158" s="38" t="s">
        <v>775</v>
      </c>
      <c r="C158" s="39">
        <v>46030</v>
      </c>
      <c r="D158" s="42"/>
      <c r="E158" s="42"/>
      <c r="F158" s="38" t="s">
        <v>1457</v>
      </c>
      <c r="G158" s="38" t="s">
        <v>1458</v>
      </c>
      <c r="H158" s="39">
        <v>46030</v>
      </c>
      <c r="I158" s="42"/>
      <c r="J158" s="42" t="s">
        <v>780</v>
      </c>
      <c r="K158" s="38" t="s">
        <v>1179</v>
      </c>
      <c r="L158" s="41" t="s">
        <v>215</v>
      </c>
      <c r="M158" s="38">
        <v>400</v>
      </c>
      <c r="N158" s="38">
        <v>16</v>
      </c>
      <c r="O158" s="149">
        <v>6480000</v>
      </c>
      <c r="P158" s="39">
        <v>46042</v>
      </c>
      <c r="Q158"/>
    </row>
    <row r="159" spans="1:18" ht="23.5" thickBot="1">
      <c r="A159" s="148"/>
      <c r="B159" s="38" t="s">
        <v>775</v>
      </c>
      <c r="C159" s="39">
        <v>46030</v>
      </c>
      <c r="D159" s="42"/>
      <c r="E159" s="42"/>
      <c r="F159" s="38" t="s">
        <v>1457</v>
      </c>
      <c r="G159" s="38" t="s">
        <v>1458</v>
      </c>
      <c r="H159" s="39">
        <v>46030</v>
      </c>
      <c r="I159" s="42"/>
      <c r="J159" s="42" t="s">
        <v>780</v>
      </c>
      <c r="K159" s="38" t="s">
        <v>1179</v>
      </c>
      <c r="L159" s="41" t="s">
        <v>194</v>
      </c>
      <c r="M159" s="38">
        <v>300</v>
      </c>
      <c r="N159" s="38">
        <v>12</v>
      </c>
      <c r="O159" s="149">
        <v>6390000</v>
      </c>
      <c r="P159" s="39">
        <v>46042</v>
      </c>
      <c r="Q159"/>
    </row>
    <row r="160" spans="1:18" ht="23.5" thickBot="1">
      <c r="A160" s="148"/>
      <c r="B160" s="38" t="s">
        <v>775</v>
      </c>
      <c r="C160" s="39">
        <v>46030</v>
      </c>
      <c r="D160" s="42"/>
      <c r="E160" s="42"/>
      <c r="F160" s="38" t="s">
        <v>1457</v>
      </c>
      <c r="G160" s="38" t="s">
        <v>1458</v>
      </c>
      <c r="H160" s="39">
        <v>46030</v>
      </c>
      <c r="I160" s="42"/>
      <c r="J160" s="42" t="s">
        <v>780</v>
      </c>
      <c r="K160" s="38" t="s">
        <v>1179</v>
      </c>
      <c r="L160" s="41" t="s">
        <v>767</v>
      </c>
      <c r="M160" s="38">
        <v>200</v>
      </c>
      <c r="N160" s="38">
        <v>8</v>
      </c>
      <c r="O160" s="149">
        <v>10800000</v>
      </c>
      <c r="P160" s="39">
        <v>46042</v>
      </c>
      <c r="Q160"/>
    </row>
    <row r="161" spans="1:17" ht="23.5" thickBot="1">
      <c r="A161" s="148"/>
      <c r="B161" s="38" t="s">
        <v>775</v>
      </c>
      <c r="C161" s="39">
        <v>46030</v>
      </c>
      <c r="D161" s="42"/>
      <c r="E161" s="38" t="s">
        <v>793</v>
      </c>
      <c r="F161" s="38" t="s">
        <v>1459</v>
      </c>
      <c r="G161" s="38" t="s">
        <v>1460</v>
      </c>
      <c r="H161" s="39">
        <v>46030</v>
      </c>
      <c r="I161" s="42"/>
      <c r="J161" s="42" t="s">
        <v>780</v>
      </c>
      <c r="K161" s="38" t="s">
        <v>1179</v>
      </c>
      <c r="L161" s="41" t="s">
        <v>1208</v>
      </c>
      <c r="M161" s="38">
        <v>200</v>
      </c>
      <c r="N161" s="38">
        <v>8</v>
      </c>
      <c r="O161" s="149">
        <v>3200000</v>
      </c>
      <c r="P161" s="39">
        <v>46049</v>
      </c>
      <c r="Q161"/>
    </row>
    <row r="162" spans="1:17" ht="23.5" thickBot="1">
      <c r="A162" s="148"/>
      <c r="B162" s="38" t="s">
        <v>775</v>
      </c>
      <c r="C162" s="39">
        <v>46030</v>
      </c>
      <c r="D162" s="42"/>
      <c r="E162" s="38" t="s">
        <v>793</v>
      </c>
      <c r="F162" s="38" t="s">
        <v>1459</v>
      </c>
      <c r="G162" s="38" t="s">
        <v>1460</v>
      </c>
      <c r="H162" s="39">
        <v>46030</v>
      </c>
      <c r="I162" s="42"/>
      <c r="J162" s="42" t="s">
        <v>780</v>
      </c>
      <c r="K162" s="38" t="s">
        <v>1179</v>
      </c>
      <c r="L162" s="41" t="s">
        <v>215</v>
      </c>
      <c r="M162" s="38">
        <v>400</v>
      </c>
      <c r="N162" s="38">
        <v>16</v>
      </c>
      <c r="O162" s="149">
        <v>6480000</v>
      </c>
      <c r="P162" s="39">
        <v>46049</v>
      </c>
      <c r="Q162"/>
    </row>
    <row r="163" spans="1:17" ht="23.5" thickBot="1">
      <c r="A163" s="148"/>
      <c r="B163" s="38" t="s">
        <v>775</v>
      </c>
      <c r="C163" s="39">
        <v>46030</v>
      </c>
      <c r="D163" s="42"/>
      <c r="E163" s="38" t="s">
        <v>793</v>
      </c>
      <c r="F163" s="38" t="s">
        <v>1459</v>
      </c>
      <c r="G163" s="38" t="s">
        <v>1460</v>
      </c>
      <c r="H163" s="39">
        <v>46030</v>
      </c>
      <c r="I163" s="42"/>
      <c r="J163" s="42" t="s">
        <v>780</v>
      </c>
      <c r="K163" s="38" t="s">
        <v>1179</v>
      </c>
      <c r="L163" s="41" t="s">
        <v>194</v>
      </c>
      <c r="M163" s="38">
        <v>300</v>
      </c>
      <c r="N163" s="38">
        <v>12</v>
      </c>
      <c r="O163" s="149">
        <v>6390000</v>
      </c>
      <c r="P163" s="39">
        <v>46049</v>
      </c>
      <c r="Q163"/>
    </row>
    <row r="164" spans="1:17" ht="23.5" thickBot="1">
      <c r="A164" s="148"/>
      <c r="B164" s="38" t="s">
        <v>1461</v>
      </c>
      <c r="C164" s="39">
        <v>46030</v>
      </c>
      <c r="D164" s="42"/>
      <c r="E164" s="42"/>
      <c r="F164" s="38" t="s">
        <v>1462</v>
      </c>
      <c r="G164" s="38" t="s">
        <v>1463</v>
      </c>
      <c r="H164" s="39">
        <v>46030</v>
      </c>
      <c r="I164" s="42"/>
      <c r="J164" s="42" t="s">
        <v>381</v>
      </c>
      <c r="K164" s="38" t="s">
        <v>1464</v>
      </c>
      <c r="L164" s="41" t="s">
        <v>764</v>
      </c>
      <c r="M164" s="38">
        <v>75</v>
      </c>
      <c r="N164" s="38">
        <v>3</v>
      </c>
      <c r="O164" s="149">
        <v>18000000</v>
      </c>
      <c r="P164" s="39">
        <v>46037</v>
      </c>
      <c r="Q164"/>
    </row>
    <row r="165" spans="1:17" ht="23.5" thickBot="1">
      <c r="A165" s="148"/>
      <c r="B165" s="38" t="s">
        <v>1461</v>
      </c>
      <c r="C165" s="39">
        <v>46030</v>
      </c>
      <c r="D165" s="42"/>
      <c r="E165" s="42"/>
      <c r="F165" s="38" t="s">
        <v>1462</v>
      </c>
      <c r="G165" s="38" t="s">
        <v>1465</v>
      </c>
      <c r="H165" s="39">
        <v>46030</v>
      </c>
      <c r="I165" s="42"/>
      <c r="J165" s="42" t="s">
        <v>381</v>
      </c>
      <c r="K165" s="38" t="s">
        <v>1464</v>
      </c>
      <c r="L165" s="41" t="s">
        <v>194</v>
      </c>
      <c r="M165" s="38">
        <v>175</v>
      </c>
      <c r="N165" s="38">
        <v>7</v>
      </c>
      <c r="O165" s="149">
        <v>3395000</v>
      </c>
      <c r="P165" s="39">
        <v>46037</v>
      </c>
      <c r="Q165"/>
    </row>
    <row r="166" spans="1:17" ht="13.5" thickBot="1">
      <c r="A166" s="148"/>
      <c r="B166" s="38" t="s">
        <v>775</v>
      </c>
      <c r="C166" s="39">
        <v>46030</v>
      </c>
      <c r="D166" s="42"/>
      <c r="E166" s="42"/>
      <c r="F166" s="38" t="s">
        <v>1466</v>
      </c>
      <c r="G166" s="38" t="s">
        <v>1467</v>
      </c>
      <c r="H166" s="39">
        <v>46030</v>
      </c>
      <c r="I166" s="42"/>
      <c r="J166" s="42" t="s">
        <v>1131</v>
      </c>
      <c r="K166" s="38" t="s">
        <v>83</v>
      </c>
      <c r="L166" s="41" t="s">
        <v>1313</v>
      </c>
      <c r="M166" s="38">
        <v>0.6</v>
      </c>
      <c r="N166" s="38">
        <v>0</v>
      </c>
      <c r="O166" s="38">
        <v>0</v>
      </c>
      <c r="P166" s="39">
        <v>46031</v>
      </c>
      <c r="Q166"/>
    </row>
    <row r="167" spans="1:17" ht="13.5" thickBot="1">
      <c r="A167" s="148"/>
      <c r="B167" s="38">
        <v>1331600</v>
      </c>
      <c r="C167" s="39">
        <v>46030</v>
      </c>
      <c r="D167" s="42"/>
      <c r="E167" s="42"/>
      <c r="F167" s="38" t="s">
        <v>1468</v>
      </c>
      <c r="G167" s="38" t="s">
        <v>1469</v>
      </c>
      <c r="H167" s="39">
        <v>46031</v>
      </c>
      <c r="I167" s="42"/>
      <c r="J167" s="42" t="s">
        <v>784</v>
      </c>
      <c r="K167" s="38" t="s">
        <v>78</v>
      </c>
      <c r="L167" s="41" t="s">
        <v>111</v>
      </c>
      <c r="M167" s="38">
        <v>4000</v>
      </c>
      <c r="N167" s="38">
        <v>160</v>
      </c>
      <c r="O167" s="149">
        <v>100800000</v>
      </c>
      <c r="P167" s="39">
        <v>46035</v>
      </c>
      <c r="Q167"/>
    </row>
    <row r="168" spans="1:17" ht="13.5" thickBot="1">
      <c r="A168" s="148"/>
      <c r="B168" s="38" t="s">
        <v>775</v>
      </c>
      <c r="C168" s="39">
        <v>46031</v>
      </c>
      <c r="D168" s="42"/>
      <c r="E168" s="42"/>
      <c r="F168" s="38" t="s">
        <v>1470</v>
      </c>
      <c r="G168" s="38" t="s">
        <v>1471</v>
      </c>
      <c r="H168" s="39">
        <v>46031</v>
      </c>
      <c r="I168" s="42"/>
      <c r="J168" s="42" t="s">
        <v>1472</v>
      </c>
      <c r="K168" s="38" t="s">
        <v>366</v>
      </c>
      <c r="L168" s="41" t="s">
        <v>1191</v>
      </c>
      <c r="M168" s="38">
        <v>500</v>
      </c>
      <c r="N168" s="38">
        <v>20</v>
      </c>
      <c r="O168" s="149">
        <v>26500000</v>
      </c>
      <c r="P168" s="39">
        <v>46036</v>
      </c>
      <c r="Q168"/>
    </row>
    <row r="169" spans="1:17" ht="13.5" thickBot="1">
      <c r="A169" s="148"/>
      <c r="B169" s="38" t="s">
        <v>775</v>
      </c>
      <c r="C169" s="39">
        <v>46031</v>
      </c>
      <c r="D169" s="42"/>
      <c r="E169" s="42"/>
      <c r="F169" s="38" t="s">
        <v>1470</v>
      </c>
      <c r="G169" s="38" t="s">
        <v>1473</v>
      </c>
      <c r="H169" s="39">
        <v>46031</v>
      </c>
      <c r="I169" s="42"/>
      <c r="J169" s="42" t="s">
        <v>1472</v>
      </c>
      <c r="K169" s="38" t="s">
        <v>366</v>
      </c>
      <c r="L169" s="41" t="s">
        <v>1313</v>
      </c>
      <c r="M169" s="38">
        <v>37.5</v>
      </c>
      <c r="N169" s="38">
        <v>2</v>
      </c>
      <c r="O169" s="38">
        <v>0</v>
      </c>
      <c r="P169" s="39">
        <v>46036</v>
      </c>
      <c r="Q169"/>
    </row>
    <row r="170" spans="1:17" ht="38" thickBot="1">
      <c r="A170" s="148"/>
      <c r="B170" s="38" t="s">
        <v>1474</v>
      </c>
      <c r="C170" s="39">
        <v>46031</v>
      </c>
      <c r="D170" s="42"/>
      <c r="E170" s="42"/>
      <c r="F170" s="38" t="s">
        <v>1475</v>
      </c>
      <c r="G170" s="38" t="s">
        <v>1476</v>
      </c>
      <c r="H170" s="39">
        <v>46031</v>
      </c>
      <c r="I170" s="42"/>
      <c r="J170" s="42" t="s">
        <v>763</v>
      </c>
      <c r="K170" s="38" t="s">
        <v>76</v>
      </c>
      <c r="L170" s="41" t="s">
        <v>111</v>
      </c>
      <c r="M170" s="38">
        <v>150</v>
      </c>
      <c r="N170" s="38">
        <v>6</v>
      </c>
      <c r="O170" s="149">
        <v>3825000</v>
      </c>
      <c r="P170" s="39">
        <v>46036</v>
      </c>
      <c r="Q170"/>
    </row>
    <row r="171" spans="1:17" ht="38" thickBot="1">
      <c r="A171" s="148"/>
      <c r="B171" s="38" t="s">
        <v>1474</v>
      </c>
      <c r="C171" s="39">
        <v>46031</v>
      </c>
      <c r="D171" s="42"/>
      <c r="E171" s="42"/>
      <c r="F171" s="38" t="s">
        <v>1475</v>
      </c>
      <c r="G171" s="38" t="s">
        <v>1476</v>
      </c>
      <c r="H171" s="39">
        <v>46031</v>
      </c>
      <c r="I171" s="42"/>
      <c r="J171" s="42" t="s">
        <v>763</v>
      </c>
      <c r="K171" s="38" t="s">
        <v>76</v>
      </c>
      <c r="L171" s="41" t="s">
        <v>194</v>
      </c>
      <c r="M171" s="38">
        <v>2000</v>
      </c>
      <c r="N171" s="38">
        <v>80</v>
      </c>
      <c r="O171" s="149">
        <v>36700000</v>
      </c>
      <c r="P171" s="39">
        <v>46036</v>
      </c>
      <c r="Q171"/>
    </row>
    <row r="172" spans="1:17" ht="13.5" thickBot="1">
      <c r="A172" s="148"/>
      <c r="B172" s="38">
        <v>98439</v>
      </c>
      <c r="C172" s="39">
        <v>46031</v>
      </c>
      <c r="D172" s="42"/>
      <c r="E172" s="42"/>
      <c r="F172" s="38" t="s">
        <v>1477</v>
      </c>
      <c r="G172" s="38" t="s">
        <v>1478</v>
      </c>
      <c r="H172" s="39">
        <v>46031</v>
      </c>
      <c r="I172" s="42"/>
      <c r="J172" s="42" t="s">
        <v>231</v>
      </c>
      <c r="K172" s="38" t="s">
        <v>142</v>
      </c>
      <c r="L172" s="41" t="s">
        <v>1208</v>
      </c>
      <c r="M172" s="38">
        <v>500</v>
      </c>
      <c r="N172" s="38">
        <v>20</v>
      </c>
      <c r="O172" s="149">
        <v>8000000</v>
      </c>
      <c r="P172" s="39">
        <v>46036</v>
      </c>
      <c r="Q172"/>
    </row>
    <row r="173" spans="1:17" ht="25.5" thickBot="1">
      <c r="A173" s="148"/>
      <c r="B173" s="38">
        <v>7000398537</v>
      </c>
      <c r="C173" s="39">
        <v>46031</v>
      </c>
      <c r="D173" s="42"/>
      <c r="E173" s="42"/>
      <c r="F173" s="38" t="s">
        <v>1479</v>
      </c>
      <c r="G173" s="38" t="s">
        <v>1480</v>
      </c>
      <c r="H173" s="39">
        <v>46031</v>
      </c>
      <c r="I173" s="42"/>
      <c r="J173" s="42" t="s">
        <v>133</v>
      </c>
      <c r="K173" s="38" t="s">
        <v>1119</v>
      </c>
      <c r="L173" s="41" t="s">
        <v>1213</v>
      </c>
      <c r="M173" s="38">
        <v>100</v>
      </c>
      <c r="N173" s="38">
        <v>4</v>
      </c>
      <c r="O173" s="149">
        <v>6627600</v>
      </c>
      <c r="P173" s="39">
        <v>46035</v>
      </c>
      <c r="Q173"/>
    </row>
    <row r="174" spans="1:17" ht="13.5" thickBot="1">
      <c r="A174" s="148"/>
      <c r="B174" s="38">
        <v>98445</v>
      </c>
      <c r="C174" s="39">
        <v>46031</v>
      </c>
      <c r="D174" s="42"/>
      <c r="E174" s="42"/>
      <c r="F174" s="38" t="s">
        <v>1481</v>
      </c>
      <c r="G174" s="38" t="s">
        <v>1482</v>
      </c>
      <c r="H174" s="39">
        <v>46031</v>
      </c>
      <c r="I174" s="42"/>
      <c r="J174" s="42" t="s">
        <v>231</v>
      </c>
      <c r="K174" s="38" t="s">
        <v>142</v>
      </c>
      <c r="L174" s="41" t="s">
        <v>207</v>
      </c>
      <c r="M174" s="38">
        <v>70</v>
      </c>
      <c r="N174" s="38">
        <v>3</v>
      </c>
      <c r="O174" s="149">
        <v>34650000</v>
      </c>
      <c r="P174" s="39">
        <v>46036</v>
      </c>
      <c r="Q174"/>
    </row>
    <row r="175" spans="1:17" ht="13.5" thickBot="1">
      <c r="A175" s="148"/>
      <c r="B175" s="38">
        <v>98445</v>
      </c>
      <c r="C175" s="39">
        <v>46031</v>
      </c>
      <c r="D175" s="42"/>
      <c r="E175" s="42"/>
      <c r="F175" s="38" t="s">
        <v>1481</v>
      </c>
      <c r="G175" s="38" t="s">
        <v>1482</v>
      </c>
      <c r="H175" s="39">
        <v>46031</v>
      </c>
      <c r="I175" s="42"/>
      <c r="J175" s="42" t="s">
        <v>231</v>
      </c>
      <c r="K175" s="38" t="s">
        <v>142</v>
      </c>
      <c r="L175" s="41" t="s">
        <v>230</v>
      </c>
      <c r="M175" s="38">
        <v>241.5</v>
      </c>
      <c r="N175" s="38">
        <v>10</v>
      </c>
      <c r="O175" s="149">
        <v>23473800</v>
      </c>
      <c r="P175" s="39">
        <v>46036</v>
      </c>
      <c r="Q175"/>
    </row>
    <row r="176" spans="1:17" ht="13.5" thickBot="1">
      <c r="A176" s="148"/>
      <c r="B176" s="38">
        <v>98445</v>
      </c>
      <c r="C176" s="39">
        <v>46031</v>
      </c>
      <c r="D176" s="42"/>
      <c r="E176" s="42"/>
      <c r="F176" s="38" t="s">
        <v>1481</v>
      </c>
      <c r="G176" s="38" t="s">
        <v>1482</v>
      </c>
      <c r="H176" s="39">
        <v>46031</v>
      </c>
      <c r="I176" s="42"/>
      <c r="J176" s="42" t="s">
        <v>231</v>
      </c>
      <c r="K176" s="38" t="s">
        <v>142</v>
      </c>
      <c r="L176" s="41" t="s">
        <v>772</v>
      </c>
      <c r="M176" s="38">
        <v>155</v>
      </c>
      <c r="N176" s="38">
        <v>6</v>
      </c>
      <c r="O176" s="149">
        <v>10075000</v>
      </c>
      <c r="P176" s="39">
        <v>46036</v>
      </c>
      <c r="Q176"/>
    </row>
    <row r="177" spans="1:17" ht="13.5" thickBot="1">
      <c r="A177" s="148"/>
      <c r="B177" s="38">
        <v>98445</v>
      </c>
      <c r="C177" s="39">
        <v>46031</v>
      </c>
      <c r="D177" s="42"/>
      <c r="E177" s="42"/>
      <c r="F177" s="38" t="s">
        <v>1481</v>
      </c>
      <c r="G177" s="38" t="s">
        <v>1482</v>
      </c>
      <c r="H177" s="39">
        <v>46031</v>
      </c>
      <c r="I177" s="42"/>
      <c r="J177" s="42" t="s">
        <v>231</v>
      </c>
      <c r="K177" s="38" t="s">
        <v>142</v>
      </c>
      <c r="L177" s="41" t="s">
        <v>766</v>
      </c>
      <c r="M177" s="38">
        <v>5</v>
      </c>
      <c r="N177" s="38">
        <v>0</v>
      </c>
      <c r="O177" s="149">
        <v>725000</v>
      </c>
      <c r="P177" s="39">
        <v>46036</v>
      </c>
      <c r="Q177"/>
    </row>
    <row r="178" spans="1:17" ht="13.5" thickBot="1">
      <c r="A178" s="148"/>
      <c r="B178" s="38">
        <v>98445</v>
      </c>
      <c r="C178" s="39">
        <v>46031</v>
      </c>
      <c r="D178" s="42"/>
      <c r="E178" s="42"/>
      <c r="F178" s="38" t="s">
        <v>1481</v>
      </c>
      <c r="G178" s="38" t="s">
        <v>1482</v>
      </c>
      <c r="H178" s="39">
        <v>46031</v>
      </c>
      <c r="I178" s="42"/>
      <c r="J178" s="42" t="s">
        <v>231</v>
      </c>
      <c r="K178" s="38" t="s">
        <v>142</v>
      </c>
      <c r="L178" s="41" t="s">
        <v>1281</v>
      </c>
      <c r="M178" s="38">
        <v>220</v>
      </c>
      <c r="N178" s="38">
        <v>9</v>
      </c>
      <c r="O178" s="149">
        <v>8547000</v>
      </c>
      <c r="P178" s="39">
        <v>46036</v>
      </c>
      <c r="Q178"/>
    </row>
    <row r="179" spans="1:17" ht="13.5" thickBot="1">
      <c r="A179" s="148"/>
      <c r="B179" s="38" t="s">
        <v>775</v>
      </c>
      <c r="C179" s="39">
        <v>46031</v>
      </c>
      <c r="D179" s="42"/>
      <c r="E179" s="42"/>
      <c r="F179" s="38" t="s">
        <v>1483</v>
      </c>
      <c r="G179" s="38" t="s">
        <v>1484</v>
      </c>
      <c r="H179" s="39">
        <v>46031</v>
      </c>
      <c r="I179" s="42"/>
      <c r="J179" s="42" t="s">
        <v>18</v>
      </c>
      <c r="K179" s="38" t="s">
        <v>77</v>
      </c>
      <c r="L179" s="41" t="s">
        <v>111</v>
      </c>
      <c r="M179" s="38">
        <v>1000</v>
      </c>
      <c r="N179" s="38">
        <v>40</v>
      </c>
      <c r="O179" s="149">
        <v>25500000</v>
      </c>
      <c r="P179" s="39">
        <v>46036</v>
      </c>
      <c r="Q179"/>
    </row>
    <row r="180" spans="1:17" ht="25.5" thickBot="1">
      <c r="A180" s="148"/>
      <c r="B180" s="38" t="s">
        <v>775</v>
      </c>
      <c r="C180" s="39">
        <v>46031</v>
      </c>
      <c r="D180" s="42"/>
      <c r="E180" s="42"/>
      <c r="F180" s="38" t="s">
        <v>1485</v>
      </c>
      <c r="G180" s="38" t="s">
        <v>1486</v>
      </c>
      <c r="H180" s="39">
        <v>46031</v>
      </c>
      <c r="I180" s="42"/>
      <c r="J180" s="42" t="s">
        <v>1487</v>
      </c>
      <c r="K180" s="38" t="s">
        <v>142</v>
      </c>
      <c r="L180" s="41" t="s">
        <v>1208</v>
      </c>
      <c r="M180" s="38">
        <v>300</v>
      </c>
      <c r="N180" s="38">
        <v>12</v>
      </c>
      <c r="O180" s="149">
        <v>6990000</v>
      </c>
      <c r="P180" s="39">
        <v>46036</v>
      </c>
      <c r="Q180"/>
    </row>
    <row r="181" spans="1:17" ht="13.5" thickBot="1">
      <c r="A181" s="148"/>
      <c r="B181" s="38">
        <v>5504198365</v>
      </c>
      <c r="C181" s="39">
        <v>46031</v>
      </c>
      <c r="D181" s="42"/>
      <c r="E181" s="42"/>
      <c r="F181" s="38" t="s">
        <v>1488</v>
      </c>
      <c r="G181" s="38" t="s">
        <v>1489</v>
      </c>
      <c r="H181" s="39">
        <v>46031</v>
      </c>
      <c r="I181" s="42"/>
      <c r="J181" s="42" t="s">
        <v>52</v>
      </c>
      <c r="K181" s="38" t="s">
        <v>142</v>
      </c>
      <c r="L181" s="41" t="s">
        <v>1310</v>
      </c>
      <c r="M181" s="38">
        <v>50</v>
      </c>
      <c r="N181" s="38">
        <v>2</v>
      </c>
      <c r="O181" s="149">
        <v>11067000</v>
      </c>
      <c r="P181" s="39">
        <v>46047</v>
      </c>
      <c r="Q181"/>
    </row>
    <row r="182" spans="1:17" ht="13.5" thickBot="1">
      <c r="A182" s="148"/>
      <c r="B182" s="38">
        <v>5504198365</v>
      </c>
      <c r="C182" s="39">
        <v>46031</v>
      </c>
      <c r="D182" s="42"/>
      <c r="E182" s="42"/>
      <c r="F182" s="38" t="s">
        <v>1490</v>
      </c>
      <c r="G182" s="38" t="s">
        <v>1491</v>
      </c>
      <c r="H182" s="39">
        <v>46031</v>
      </c>
      <c r="I182" s="42"/>
      <c r="J182" s="42" t="s">
        <v>52</v>
      </c>
      <c r="K182" s="38" t="s">
        <v>142</v>
      </c>
      <c r="L182" s="41" t="s">
        <v>1313</v>
      </c>
      <c r="M182" s="38">
        <v>3.75</v>
      </c>
      <c r="N182" s="38">
        <v>0</v>
      </c>
      <c r="O182" s="38">
        <v>0</v>
      </c>
      <c r="P182" s="39">
        <v>46047</v>
      </c>
      <c r="Q182"/>
    </row>
    <row r="183" spans="1:17" ht="13.5" thickBot="1">
      <c r="A183" s="148"/>
      <c r="B183" s="38" t="s">
        <v>775</v>
      </c>
      <c r="C183" s="39">
        <v>46031</v>
      </c>
      <c r="D183" s="42"/>
      <c r="E183" s="42"/>
      <c r="F183" s="38" t="s">
        <v>1492</v>
      </c>
      <c r="G183" s="38" t="s">
        <v>1493</v>
      </c>
      <c r="H183" s="39">
        <v>46031</v>
      </c>
      <c r="I183" s="42"/>
      <c r="J183" s="42" t="s">
        <v>45</v>
      </c>
      <c r="K183" s="38" t="s">
        <v>78</v>
      </c>
      <c r="L183" s="41" t="s">
        <v>1310</v>
      </c>
      <c r="M183" s="38">
        <v>10</v>
      </c>
      <c r="N183" s="38">
        <v>0</v>
      </c>
      <c r="O183" s="149">
        <v>2108000</v>
      </c>
      <c r="P183" s="39">
        <v>46031</v>
      </c>
      <c r="Q183"/>
    </row>
    <row r="184" spans="1:17" ht="13.5" thickBot="1">
      <c r="A184" s="148"/>
      <c r="B184" s="38" t="s">
        <v>775</v>
      </c>
      <c r="C184" s="39">
        <v>46031</v>
      </c>
      <c r="D184" s="42"/>
      <c r="E184" s="42"/>
      <c r="F184" s="38" t="s">
        <v>1492</v>
      </c>
      <c r="G184" s="38" t="s">
        <v>1493</v>
      </c>
      <c r="H184" s="39">
        <v>46031</v>
      </c>
      <c r="I184" s="42"/>
      <c r="J184" s="42" t="s">
        <v>45</v>
      </c>
      <c r="K184" s="38" t="s">
        <v>78</v>
      </c>
      <c r="L184" s="41" t="s">
        <v>1323</v>
      </c>
      <c r="M184" s="38">
        <v>10</v>
      </c>
      <c r="N184" s="38">
        <v>0</v>
      </c>
      <c r="O184" s="149">
        <v>568500</v>
      </c>
      <c r="P184" s="39">
        <v>46031</v>
      </c>
      <c r="Q184"/>
    </row>
    <row r="185" spans="1:17" ht="13.5" thickBot="1">
      <c r="A185" s="148"/>
      <c r="B185" s="38" t="s">
        <v>775</v>
      </c>
      <c r="C185" s="39">
        <v>46031</v>
      </c>
      <c r="D185" s="42"/>
      <c r="E185" s="42"/>
      <c r="F185" s="38" t="s">
        <v>1494</v>
      </c>
      <c r="G185" s="38" t="s">
        <v>1495</v>
      </c>
      <c r="H185" s="39">
        <v>46031</v>
      </c>
      <c r="I185" s="42"/>
      <c r="J185" s="42" t="s">
        <v>45</v>
      </c>
      <c r="K185" s="38" t="s">
        <v>78</v>
      </c>
      <c r="L185" s="41" t="s">
        <v>1313</v>
      </c>
      <c r="M185" s="38">
        <v>1.5</v>
      </c>
      <c r="N185" s="38">
        <v>0</v>
      </c>
      <c r="O185" s="38">
        <v>0</v>
      </c>
      <c r="P185" s="39">
        <v>46031</v>
      </c>
      <c r="Q185"/>
    </row>
    <row r="186" spans="1:17" ht="23.5" thickBot="1">
      <c r="A186" s="148"/>
      <c r="B186" s="38" t="s">
        <v>775</v>
      </c>
      <c r="C186" s="39">
        <v>46031</v>
      </c>
      <c r="D186" s="42"/>
      <c r="E186" s="42"/>
      <c r="F186" s="38" t="s">
        <v>1496</v>
      </c>
      <c r="G186" s="38" t="s">
        <v>1497</v>
      </c>
      <c r="H186" s="39">
        <v>46031</v>
      </c>
      <c r="I186" s="42"/>
      <c r="J186" s="42" t="s">
        <v>1451</v>
      </c>
      <c r="K186" s="38" t="s">
        <v>1179</v>
      </c>
      <c r="L186" s="41" t="s">
        <v>230</v>
      </c>
      <c r="M186" s="38">
        <v>6</v>
      </c>
      <c r="N186" s="38">
        <v>0</v>
      </c>
      <c r="O186" s="149">
        <v>690000</v>
      </c>
      <c r="P186" s="39">
        <v>46031</v>
      </c>
      <c r="Q186"/>
    </row>
    <row r="187" spans="1:17" ht="25.5" thickBot="1">
      <c r="A187" s="148"/>
      <c r="B187" s="38">
        <v>4500145548</v>
      </c>
      <c r="C187" s="39">
        <v>46031</v>
      </c>
      <c r="D187" s="42"/>
      <c r="E187" s="42"/>
      <c r="F187" s="38" t="s">
        <v>1498</v>
      </c>
      <c r="G187" s="38" t="s">
        <v>1499</v>
      </c>
      <c r="H187" s="39">
        <v>46031</v>
      </c>
      <c r="I187" s="42"/>
      <c r="J187" s="42" t="s">
        <v>1500</v>
      </c>
      <c r="K187" s="38" t="s">
        <v>1501</v>
      </c>
      <c r="L187" s="41" t="s">
        <v>207</v>
      </c>
      <c r="M187" s="38">
        <v>1</v>
      </c>
      <c r="N187" s="38">
        <v>0</v>
      </c>
      <c r="O187" s="149">
        <v>507000</v>
      </c>
      <c r="P187" s="39">
        <v>46036</v>
      </c>
      <c r="Q187"/>
    </row>
    <row r="188" spans="1:17" ht="13.5" thickBot="1">
      <c r="A188" s="148"/>
      <c r="B188" s="38" t="s">
        <v>1502</v>
      </c>
      <c r="C188" s="39">
        <v>46031</v>
      </c>
      <c r="D188" s="42"/>
      <c r="E188" s="42"/>
      <c r="F188" s="38" t="s">
        <v>1503</v>
      </c>
      <c r="G188" s="38" t="s">
        <v>1504</v>
      </c>
      <c r="H188" s="39">
        <v>46031</v>
      </c>
      <c r="I188" s="42"/>
      <c r="J188" s="42" t="s">
        <v>1505</v>
      </c>
      <c r="K188" s="38" t="s">
        <v>1506</v>
      </c>
      <c r="L188" s="41" t="s">
        <v>111</v>
      </c>
      <c r="M188" s="38">
        <v>250</v>
      </c>
      <c r="N188" s="38">
        <v>10</v>
      </c>
      <c r="O188" s="149">
        <v>6693750</v>
      </c>
      <c r="P188" s="39">
        <v>46037</v>
      </c>
      <c r="Q188"/>
    </row>
    <row r="189" spans="1:17" ht="35" thickBot="1">
      <c r="A189" s="148"/>
      <c r="B189" s="38" t="s">
        <v>1507</v>
      </c>
      <c r="C189" s="39">
        <v>46031</v>
      </c>
      <c r="D189" s="42"/>
      <c r="E189" s="42"/>
      <c r="F189" s="38" t="s">
        <v>1508</v>
      </c>
      <c r="G189" s="38" t="s">
        <v>1509</v>
      </c>
      <c r="H189" s="39">
        <v>46031</v>
      </c>
      <c r="I189" s="42"/>
      <c r="J189" s="42" t="s">
        <v>864</v>
      </c>
      <c r="K189" s="38" t="s">
        <v>155</v>
      </c>
      <c r="L189" s="41" t="s">
        <v>221</v>
      </c>
      <c r="M189" s="38">
        <v>6</v>
      </c>
      <c r="N189" s="38">
        <v>0</v>
      </c>
      <c r="O189" s="149">
        <v>1170000</v>
      </c>
      <c r="P189" s="39">
        <v>46037</v>
      </c>
      <c r="Q189"/>
    </row>
    <row r="190" spans="1:17" ht="35" thickBot="1">
      <c r="A190" s="148"/>
      <c r="B190" s="38" t="s">
        <v>1507</v>
      </c>
      <c r="C190" s="39">
        <v>46031</v>
      </c>
      <c r="D190" s="42"/>
      <c r="E190" s="42"/>
      <c r="F190" s="38" t="s">
        <v>1508</v>
      </c>
      <c r="G190" s="38" t="s">
        <v>1509</v>
      </c>
      <c r="H190" s="39">
        <v>46031</v>
      </c>
      <c r="I190" s="42"/>
      <c r="J190" s="42" t="s">
        <v>864</v>
      </c>
      <c r="K190" s="38" t="s">
        <v>155</v>
      </c>
      <c r="L190" s="41" t="s">
        <v>230</v>
      </c>
      <c r="M190" s="38">
        <v>6</v>
      </c>
      <c r="N190" s="38">
        <v>0</v>
      </c>
      <c r="O190" s="149">
        <v>583200</v>
      </c>
      <c r="P190" s="39">
        <v>46037</v>
      </c>
      <c r="Q190"/>
    </row>
    <row r="191" spans="1:17" ht="23.5" thickBot="1">
      <c r="A191" s="148"/>
      <c r="B191" s="38" t="s">
        <v>1510</v>
      </c>
      <c r="C191" s="39">
        <v>46031</v>
      </c>
      <c r="D191" s="42"/>
      <c r="E191" s="42"/>
      <c r="F191" s="38" t="s">
        <v>1511</v>
      </c>
      <c r="G191" s="38" t="s">
        <v>1512</v>
      </c>
      <c r="H191" s="39">
        <v>46031</v>
      </c>
      <c r="I191" s="42"/>
      <c r="J191" s="42" t="s">
        <v>864</v>
      </c>
      <c r="K191" s="38" t="s">
        <v>155</v>
      </c>
      <c r="L191" s="41" t="s">
        <v>1323</v>
      </c>
      <c r="M191" s="38">
        <v>10</v>
      </c>
      <c r="N191" s="38">
        <v>0</v>
      </c>
      <c r="O191" s="149">
        <v>520000</v>
      </c>
      <c r="P191" s="39">
        <v>46037</v>
      </c>
      <c r="Q191"/>
    </row>
    <row r="192" spans="1:17" ht="38" thickBot="1">
      <c r="A192" s="148"/>
      <c r="B192" s="38">
        <v>50482</v>
      </c>
      <c r="C192" s="39">
        <v>46031</v>
      </c>
      <c r="D192" s="42"/>
      <c r="E192" s="42"/>
      <c r="F192" s="38" t="s">
        <v>1513</v>
      </c>
      <c r="G192" s="38" t="s">
        <v>1514</v>
      </c>
      <c r="H192" s="39">
        <v>46035</v>
      </c>
      <c r="I192" s="42"/>
      <c r="J192" s="42" t="s">
        <v>763</v>
      </c>
      <c r="K192" s="38" t="s">
        <v>79</v>
      </c>
      <c r="L192" s="41" t="s">
        <v>194</v>
      </c>
      <c r="M192" s="38">
        <v>1500</v>
      </c>
      <c r="N192" s="38">
        <v>60</v>
      </c>
      <c r="O192" s="149">
        <v>27525000</v>
      </c>
      <c r="P192" s="39">
        <v>46036</v>
      </c>
      <c r="Q192"/>
    </row>
    <row r="193" spans="1:18" ht="23.5" thickBot="1">
      <c r="A193" s="148"/>
      <c r="B193" s="38" t="s">
        <v>1515</v>
      </c>
      <c r="C193" s="39">
        <v>46031</v>
      </c>
      <c r="D193" s="42"/>
      <c r="E193" s="42"/>
      <c r="F193" s="38" t="s">
        <v>1516</v>
      </c>
      <c r="G193" s="38" t="s">
        <v>1517</v>
      </c>
      <c r="H193" s="39">
        <v>46035</v>
      </c>
      <c r="I193" s="42"/>
      <c r="J193" s="42" t="s">
        <v>31</v>
      </c>
      <c r="K193" s="38" t="s">
        <v>82</v>
      </c>
      <c r="L193" s="41" t="s">
        <v>209</v>
      </c>
      <c r="M193" s="38">
        <v>500</v>
      </c>
      <c r="N193" s="38">
        <v>20</v>
      </c>
      <c r="O193" s="149">
        <v>82000000</v>
      </c>
      <c r="P193" s="39">
        <v>46042</v>
      </c>
      <c r="Q193"/>
    </row>
    <row r="194" spans="1:18" ht="23.5" thickBot="1">
      <c r="A194" s="148"/>
      <c r="B194" s="38" t="s">
        <v>1515</v>
      </c>
      <c r="C194" s="39">
        <v>46031</v>
      </c>
      <c r="D194" s="42"/>
      <c r="E194" s="42"/>
      <c r="F194" s="38" t="s">
        <v>1516</v>
      </c>
      <c r="G194" s="38" t="s">
        <v>1517</v>
      </c>
      <c r="H194" s="39">
        <v>46035</v>
      </c>
      <c r="I194" s="42"/>
      <c r="J194" s="42" t="s">
        <v>31</v>
      </c>
      <c r="K194" s="38" t="s">
        <v>82</v>
      </c>
      <c r="L194" s="41" t="s">
        <v>116</v>
      </c>
      <c r="M194" s="38">
        <v>6000</v>
      </c>
      <c r="N194" s="38">
        <v>240</v>
      </c>
      <c r="O194" s="149">
        <v>123000000</v>
      </c>
      <c r="P194" s="39">
        <v>46042</v>
      </c>
      <c r="Q194"/>
    </row>
    <row r="195" spans="1:18" ht="13.5" thickBot="1">
      <c r="A195" s="148"/>
      <c r="B195" s="42"/>
      <c r="C195" s="42"/>
      <c r="D195" s="42"/>
      <c r="E195" s="42"/>
      <c r="F195" s="38" t="s">
        <v>1518</v>
      </c>
      <c r="G195" s="38" t="s">
        <v>1519</v>
      </c>
      <c r="H195" s="39">
        <v>46035</v>
      </c>
      <c r="I195" s="42"/>
      <c r="J195" s="42" t="s">
        <v>396</v>
      </c>
      <c r="K195" s="38" t="s">
        <v>397</v>
      </c>
      <c r="L195" s="41" t="s">
        <v>153</v>
      </c>
      <c r="M195" s="38">
        <v>400</v>
      </c>
      <c r="N195" s="38">
        <v>16</v>
      </c>
      <c r="O195" s="38" t="s">
        <v>1520</v>
      </c>
      <c r="P195" s="39">
        <v>46041</v>
      </c>
      <c r="Q195"/>
    </row>
    <row r="196" spans="1:18" ht="13.5" thickBot="1">
      <c r="A196" s="148"/>
      <c r="B196" s="42"/>
      <c r="C196" s="42"/>
      <c r="D196" s="42"/>
      <c r="E196" s="42"/>
      <c r="F196" s="38" t="s">
        <v>1518</v>
      </c>
      <c r="G196" s="38" t="s">
        <v>1519</v>
      </c>
      <c r="H196" s="39">
        <v>46035</v>
      </c>
      <c r="I196" s="42"/>
      <c r="J196" s="42" t="s">
        <v>396</v>
      </c>
      <c r="K196" s="38" t="s">
        <v>397</v>
      </c>
      <c r="L196" s="41" t="s">
        <v>151</v>
      </c>
      <c r="M196" s="38">
        <v>300</v>
      </c>
      <c r="N196" s="38">
        <v>12</v>
      </c>
      <c r="O196" s="38" t="s">
        <v>1521</v>
      </c>
      <c r="P196" s="39">
        <v>46041</v>
      </c>
      <c r="Q196"/>
    </row>
    <row r="197" spans="1:18" ht="13.5" thickBot="1">
      <c r="A197" s="162"/>
      <c r="B197" s="42"/>
      <c r="C197" s="42"/>
      <c r="D197" s="42"/>
      <c r="E197" s="42"/>
      <c r="F197" s="38" t="s">
        <v>1518</v>
      </c>
      <c r="G197" s="38" t="s">
        <v>1519</v>
      </c>
      <c r="H197" s="39">
        <v>46035</v>
      </c>
      <c r="I197" s="42"/>
      <c r="J197" s="42" t="s">
        <v>396</v>
      </c>
      <c r="K197" s="38" t="s">
        <v>397</v>
      </c>
      <c r="L197" s="41" t="s">
        <v>116</v>
      </c>
      <c r="M197" s="38">
        <v>50</v>
      </c>
      <c r="N197" s="38">
        <v>2</v>
      </c>
      <c r="O197" s="38">
        <v>226</v>
      </c>
      <c r="P197" s="39">
        <v>46041</v>
      </c>
      <c r="Q197"/>
    </row>
    <row r="198" spans="1:18" ht="25.5" thickBot="1">
      <c r="A198" s="162"/>
      <c r="B198" s="38">
        <v>1332612</v>
      </c>
      <c r="C198" s="39">
        <v>46035</v>
      </c>
      <c r="D198" s="42"/>
      <c r="E198" s="42"/>
      <c r="F198" s="38" t="s">
        <v>1522</v>
      </c>
      <c r="G198" s="38" t="s">
        <v>1523</v>
      </c>
      <c r="H198" s="39">
        <v>46035</v>
      </c>
      <c r="I198" s="42"/>
      <c r="J198" s="42" t="s">
        <v>786</v>
      </c>
      <c r="K198" s="38" t="s">
        <v>78</v>
      </c>
      <c r="L198" s="41" t="s">
        <v>1191</v>
      </c>
      <c r="M198" s="38">
        <v>50</v>
      </c>
      <c r="N198" s="38">
        <v>2</v>
      </c>
      <c r="O198" s="149">
        <v>2325000</v>
      </c>
      <c r="P198" s="39">
        <v>46035</v>
      </c>
      <c r="Q198"/>
    </row>
    <row r="199" spans="1:18" ht="25.5" thickBot="1">
      <c r="A199" s="162"/>
      <c r="B199" s="38">
        <v>1332612</v>
      </c>
      <c r="C199" s="39">
        <v>46035</v>
      </c>
      <c r="D199" s="42"/>
      <c r="E199" s="42"/>
      <c r="F199" s="38" t="s">
        <v>1524</v>
      </c>
      <c r="G199" s="38" t="s">
        <v>1525</v>
      </c>
      <c r="H199" s="39">
        <v>46035</v>
      </c>
      <c r="I199" s="42"/>
      <c r="J199" s="42" t="s">
        <v>786</v>
      </c>
      <c r="K199" s="38" t="s">
        <v>78</v>
      </c>
      <c r="L199" s="41" t="s">
        <v>1313</v>
      </c>
      <c r="M199" s="38">
        <v>3.75</v>
      </c>
      <c r="N199" s="38">
        <v>0</v>
      </c>
      <c r="O199" s="38">
        <v>0</v>
      </c>
      <c r="P199" s="39">
        <v>46035</v>
      </c>
      <c r="Q199"/>
    </row>
    <row r="200" spans="1:18" ht="13.5" thickBot="1">
      <c r="A200" s="148"/>
      <c r="B200" s="38">
        <v>4500368120</v>
      </c>
      <c r="C200" s="39">
        <v>46035</v>
      </c>
      <c r="D200" s="42"/>
      <c r="E200" s="42"/>
      <c r="F200" s="38" t="s">
        <v>1526</v>
      </c>
      <c r="G200" s="38" t="s">
        <v>1527</v>
      </c>
      <c r="H200" s="39">
        <v>46035</v>
      </c>
      <c r="I200" s="42"/>
      <c r="J200" s="42" t="s">
        <v>64</v>
      </c>
      <c r="K200" s="38" t="s">
        <v>142</v>
      </c>
      <c r="L200" s="41" t="s">
        <v>111</v>
      </c>
      <c r="M200" s="38">
        <v>700</v>
      </c>
      <c r="N200" s="38">
        <v>28</v>
      </c>
      <c r="O200" s="149">
        <v>17850000</v>
      </c>
      <c r="P200" s="39">
        <v>46050</v>
      </c>
      <c r="Q200"/>
    </row>
    <row r="201" spans="1:18" ht="13.5" thickBot="1">
      <c r="A201" s="148"/>
      <c r="B201" s="38">
        <v>4500368120</v>
      </c>
      <c r="C201" s="39">
        <v>46035</v>
      </c>
      <c r="D201" s="42"/>
      <c r="E201" s="42"/>
      <c r="F201" s="38" t="s">
        <v>1526</v>
      </c>
      <c r="G201" s="38" t="s">
        <v>1527</v>
      </c>
      <c r="H201" s="39">
        <v>46035</v>
      </c>
      <c r="I201" s="42"/>
      <c r="J201" s="42" t="s">
        <v>64</v>
      </c>
      <c r="K201" s="38" t="s">
        <v>142</v>
      </c>
      <c r="L201" s="41" t="s">
        <v>679</v>
      </c>
      <c r="M201" s="38">
        <v>75</v>
      </c>
      <c r="N201" s="38">
        <v>3</v>
      </c>
      <c r="O201" s="149">
        <v>2887500</v>
      </c>
      <c r="P201" s="39">
        <v>46050</v>
      </c>
      <c r="Q201"/>
    </row>
    <row r="202" spans="1:18" ht="13.5" thickBot="1">
      <c r="A202" s="253" t="s">
        <v>117</v>
      </c>
      <c r="B202" s="55">
        <v>4500368120</v>
      </c>
      <c r="C202" s="53">
        <v>46035</v>
      </c>
      <c r="D202" s="150"/>
      <c r="E202" s="221"/>
      <c r="F202" s="253" t="s">
        <v>1526</v>
      </c>
      <c r="G202" s="253" t="s">
        <v>1528</v>
      </c>
      <c r="H202" s="255">
        <v>46035</v>
      </c>
      <c r="I202" s="221"/>
      <c r="J202" s="254" t="s">
        <v>64</v>
      </c>
      <c r="K202" s="222" t="s">
        <v>142</v>
      </c>
      <c r="L202" s="256" t="s">
        <v>679</v>
      </c>
      <c r="M202" s="253">
        <v>325</v>
      </c>
      <c r="N202" s="253">
        <v>13</v>
      </c>
      <c r="O202" s="257">
        <v>18287500</v>
      </c>
      <c r="P202" s="255">
        <v>46050</v>
      </c>
      <c r="Q202" s="258" t="s">
        <v>1859</v>
      </c>
      <c r="R202" s="258" t="s">
        <v>1866</v>
      </c>
    </row>
    <row r="203" spans="1:18" ht="23.5" thickBot="1">
      <c r="A203" s="148"/>
      <c r="B203" s="38">
        <v>5503100270</v>
      </c>
      <c r="C203" s="39">
        <v>46035</v>
      </c>
      <c r="D203" s="42"/>
      <c r="E203" s="42"/>
      <c r="F203" s="38" t="s">
        <v>1529</v>
      </c>
      <c r="G203" s="38" t="s">
        <v>1530</v>
      </c>
      <c r="H203" s="39">
        <v>46035</v>
      </c>
      <c r="I203" s="42"/>
      <c r="J203" s="42" t="s">
        <v>52</v>
      </c>
      <c r="K203" s="38" t="s">
        <v>1531</v>
      </c>
      <c r="L203" s="41" t="s">
        <v>1278</v>
      </c>
      <c r="M203" s="38">
        <v>200</v>
      </c>
      <c r="N203" s="38">
        <v>8</v>
      </c>
      <c r="O203" s="149">
        <v>9300000</v>
      </c>
      <c r="P203" s="39">
        <v>46037</v>
      </c>
      <c r="Q203"/>
    </row>
    <row r="204" spans="1:18" ht="23.5" thickBot="1">
      <c r="A204" s="148"/>
      <c r="B204" s="38">
        <v>5504044879</v>
      </c>
      <c r="C204" s="39">
        <v>46035</v>
      </c>
      <c r="D204" s="42"/>
      <c r="E204" s="42"/>
      <c r="F204" s="38" t="s">
        <v>1532</v>
      </c>
      <c r="G204" s="38" t="s">
        <v>1533</v>
      </c>
      <c r="H204" s="39">
        <v>46035</v>
      </c>
      <c r="I204" s="42"/>
      <c r="J204" s="42" t="s">
        <v>52</v>
      </c>
      <c r="K204" s="38" t="s">
        <v>1531</v>
      </c>
      <c r="L204" s="41" t="s">
        <v>161</v>
      </c>
      <c r="M204" s="38">
        <v>20</v>
      </c>
      <c r="N204" s="38">
        <v>1</v>
      </c>
      <c r="O204" s="149">
        <v>2850000</v>
      </c>
      <c r="P204" s="39">
        <v>46037</v>
      </c>
      <c r="Q204"/>
    </row>
    <row r="205" spans="1:18" ht="25.5" thickBot="1">
      <c r="A205" s="148"/>
      <c r="B205" s="38" t="s">
        <v>775</v>
      </c>
      <c r="C205" s="39">
        <v>46035</v>
      </c>
      <c r="D205" s="42"/>
      <c r="E205" s="42"/>
      <c r="F205" s="38" t="s">
        <v>1534</v>
      </c>
      <c r="G205" s="38" t="s">
        <v>1535</v>
      </c>
      <c r="H205" s="39">
        <v>46035</v>
      </c>
      <c r="I205" s="42"/>
      <c r="J205" s="42" t="s">
        <v>1355</v>
      </c>
      <c r="K205" s="38" t="s">
        <v>1070</v>
      </c>
      <c r="L205" s="41" t="s">
        <v>1208</v>
      </c>
      <c r="M205" s="38">
        <v>1300</v>
      </c>
      <c r="N205" s="38">
        <v>52</v>
      </c>
      <c r="O205" s="149">
        <v>20540000</v>
      </c>
      <c r="P205" s="39">
        <v>46035</v>
      </c>
      <c r="Q205"/>
    </row>
    <row r="206" spans="1:18" s="190" customFormat="1" ht="23.5" thickBot="1">
      <c r="A206" s="238" t="s">
        <v>1536</v>
      </c>
      <c r="B206" s="156" t="s">
        <v>1537</v>
      </c>
      <c r="C206" s="170">
        <v>46035</v>
      </c>
      <c r="D206" s="157"/>
      <c r="E206" s="216"/>
      <c r="F206" s="238" t="s">
        <v>1538</v>
      </c>
      <c r="G206" s="238" t="s">
        <v>1539</v>
      </c>
      <c r="H206" s="240">
        <v>46035</v>
      </c>
      <c r="I206" s="216"/>
      <c r="J206" s="239" t="s">
        <v>323</v>
      </c>
      <c r="K206" s="218" t="s">
        <v>1540</v>
      </c>
      <c r="L206" s="241" t="s">
        <v>1281</v>
      </c>
      <c r="M206" s="238">
        <v>20</v>
      </c>
      <c r="N206" s="238">
        <v>1</v>
      </c>
      <c r="O206" s="242">
        <v>815850</v>
      </c>
      <c r="P206" s="240">
        <v>46037</v>
      </c>
      <c r="Q206" s="245" t="s">
        <v>374</v>
      </c>
      <c r="R206" s="246" t="s">
        <v>1870</v>
      </c>
    </row>
    <row r="207" spans="1:18" s="196" customFormat="1" ht="13.5" thickBot="1">
      <c r="A207" s="191"/>
      <c r="B207" s="192"/>
      <c r="C207" s="192"/>
      <c r="D207" s="192"/>
      <c r="E207" s="192"/>
      <c r="F207" s="193" t="s">
        <v>1541</v>
      </c>
      <c r="G207" s="193" t="s">
        <v>1542</v>
      </c>
      <c r="H207" s="192"/>
      <c r="I207" s="192"/>
      <c r="J207" s="192" t="s">
        <v>319</v>
      </c>
      <c r="K207" s="193" t="s">
        <v>81</v>
      </c>
      <c r="L207" s="194" t="s">
        <v>111</v>
      </c>
      <c r="M207" s="193">
        <v>275</v>
      </c>
      <c r="N207" s="193">
        <v>11</v>
      </c>
      <c r="O207" s="193">
        <v>0</v>
      </c>
      <c r="P207" s="195">
        <v>46025</v>
      </c>
      <c r="R207" s="197"/>
    </row>
    <row r="208" spans="1:18" ht="25.5" thickBot="1">
      <c r="A208" s="148"/>
      <c r="B208" s="38" t="s">
        <v>1543</v>
      </c>
      <c r="C208" s="39">
        <v>46035</v>
      </c>
      <c r="D208" s="42"/>
      <c r="E208" s="42"/>
      <c r="F208" s="38" t="s">
        <v>1544</v>
      </c>
      <c r="G208" s="38" t="s">
        <v>1545</v>
      </c>
      <c r="H208" s="39">
        <v>46035</v>
      </c>
      <c r="I208" s="42"/>
      <c r="J208" s="42" t="s">
        <v>351</v>
      </c>
      <c r="K208" s="38" t="s">
        <v>1546</v>
      </c>
      <c r="L208" s="41" t="s">
        <v>221</v>
      </c>
      <c r="M208" s="38">
        <v>19</v>
      </c>
      <c r="N208" s="38">
        <v>1</v>
      </c>
      <c r="O208" s="149">
        <v>5320000</v>
      </c>
      <c r="P208" s="39">
        <v>46036</v>
      </c>
      <c r="Q208"/>
    </row>
    <row r="209" spans="1:18" ht="23.5" thickBot="1">
      <c r="A209" s="148"/>
      <c r="B209" s="38" t="s">
        <v>1547</v>
      </c>
      <c r="C209" s="39">
        <v>46035</v>
      </c>
      <c r="D209" s="42"/>
      <c r="E209" s="42"/>
      <c r="F209" s="38" t="s">
        <v>1548</v>
      </c>
      <c r="G209" s="38" t="s">
        <v>1549</v>
      </c>
      <c r="H209" s="39">
        <v>46035</v>
      </c>
      <c r="I209" s="42"/>
      <c r="J209" s="42" t="s">
        <v>319</v>
      </c>
      <c r="K209" s="38" t="s">
        <v>1550</v>
      </c>
      <c r="L209" s="41" t="s">
        <v>111</v>
      </c>
      <c r="M209" s="38">
        <v>4000</v>
      </c>
      <c r="N209" s="38">
        <v>160</v>
      </c>
      <c r="O209" s="149">
        <v>107100000</v>
      </c>
      <c r="P209" s="39">
        <v>46037</v>
      </c>
      <c r="Q209"/>
    </row>
    <row r="210" spans="1:18" ht="23.5" thickBot="1">
      <c r="A210" s="148"/>
      <c r="B210" s="38" t="s">
        <v>1551</v>
      </c>
      <c r="C210" s="39">
        <v>46035</v>
      </c>
      <c r="D210" s="42"/>
      <c r="E210" s="42"/>
      <c r="F210" s="38" t="s">
        <v>1552</v>
      </c>
      <c r="G210" s="38" t="s">
        <v>1553</v>
      </c>
      <c r="H210" s="39">
        <v>46035</v>
      </c>
      <c r="I210" s="42"/>
      <c r="J210" s="42" t="s">
        <v>319</v>
      </c>
      <c r="K210" s="38" t="s">
        <v>1554</v>
      </c>
      <c r="L210" s="41" t="s">
        <v>111</v>
      </c>
      <c r="M210" s="38">
        <v>1000</v>
      </c>
      <c r="N210" s="38">
        <v>40</v>
      </c>
      <c r="O210" s="149">
        <v>26775000</v>
      </c>
      <c r="P210" s="39">
        <v>46037</v>
      </c>
      <c r="Q210"/>
    </row>
    <row r="211" spans="1:18" ht="13.5" thickBot="1">
      <c r="A211" s="148"/>
      <c r="B211" s="38">
        <v>4500086115</v>
      </c>
      <c r="C211" s="39">
        <v>46035</v>
      </c>
      <c r="D211" s="42"/>
      <c r="E211" s="42"/>
      <c r="F211" s="38" t="s">
        <v>1555</v>
      </c>
      <c r="G211" s="38" t="s">
        <v>1556</v>
      </c>
      <c r="H211" s="39">
        <v>46036</v>
      </c>
      <c r="I211" s="42"/>
      <c r="J211" s="42" t="s">
        <v>762</v>
      </c>
      <c r="K211" s="38" t="s">
        <v>375</v>
      </c>
      <c r="L211" s="41" t="s">
        <v>1557</v>
      </c>
      <c r="M211" s="38">
        <v>100</v>
      </c>
      <c r="N211" s="38">
        <v>4</v>
      </c>
      <c r="O211" s="149">
        <v>6200000</v>
      </c>
      <c r="P211" s="39">
        <v>46036</v>
      </c>
      <c r="Q211"/>
    </row>
    <row r="212" spans="1:18" ht="13.5" thickBot="1">
      <c r="A212" s="148"/>
      <c r="B212" s="38">
        <v>4500086115</v>
      </c>
      <c r="C212" s="39">
        <v>46035</v>
      </c>
      <c r="D212" s="42"/>
      <c r="E212" s="42"/>
      <c r="F212" s="38" t="s">
        <v>1555</v>
      </c>
      <c r="G212" s="38" t="s">
        <v>1556</v>
      </c>
      <c r="H212" s="39">
        <v>46036</v>
      </c>
      <c r="I212" s="42"/>
      <c r="J212" s="42" t="s">
        <v>762</v>
      </c>
      <c r="K212" s="38" t="s">
        <v>375</v>
      </c>
      <c r="L212" s="41" t="s">
        <v>111</v>
      </c>
      <c r="M212" s="38">
        <v>400</v>
      </c>
      <c r="N212" s="38">
        <v>16</v>
      </c>
      <c r="O212" s="149">
        <v>9600000</v>
      </c>
      <c r="P212" s="39">
        <v>46036</v>
      </c>
      <c r="Q212"/>
    </row>
    <row r="213" spans="1:18" ht="13.5" thickBot="1">
      <c r="A213" s="148"/>
      <c r="B213" s="38">
        <v>4500086115</v>
      </c>
      <c r="C213" s="39">
        <v>46035</v>
      </c>
      <c r="D213" s="42"/>
      <c r="E213" s="42"/>
      <c r="F213" s="38" t="s">
        <v>1555</v>
      </c>
      <c r="G213" s="38" t="s">
        <v>1556</v>
      </c>
      <c r="H213" s="39">
        <v>46036</v>
      </c>
      <c r="I213" s="42"/>
      <c r="J213" s="42" t="s">
        <v>762</v>
      </c>
      <c r="K213" s="38" t="s">
        <v>375</v>
      </c>
      <c r="L213" s="41" t="s">
        <v>1431</v>
      </c>
      <c r="M213" s="38">
        <v>200</v>
      </c>
      <c r="N213" s="38">
        <v>8</v>
      </c>
      <c r="O213" s="149">
        <v>3802000</v>
      </c>
      <c r="P213" s="39">
        <v>46036</v>
      </c>
      <c r="Q213"/>
    </row>
    <row r="214" spans="1:18" ht="13.5" thickBot="1">
      <c r="A214" s="148"/>
      <c r="B214" s="38">
        <v>4500086115</v>
      </c>
      <c r="C214" s="39">
        <v>46035</v>
      </c>
      <c r="D214" s="42"/>
      <c r="E214" s="42"/>
      <c r="F214" s="38" t="s">
        <v>1555</v>
      </c>
      <c r="G214" s="38" t="s">
        <v>1556</v>
      </c>
      <c r="H214" s="39">
        <v>46036</v>
      </c>
      <c r="I214" s="42"/>
      <c r="J214" s="42" t="s">
        <v>762</v>
      </c>
      <c r="K214" s="38" t="s">
        <v>375</v>
      </c>
      <c r="L214" s="41" t="s">
        <v>194</v>
      </c>
      <c r="M214" s="38">
        <v>100</v>
      </c>
      <c r="N214" s="38">
        <v>4</v>
      </c>
      <c r="O214" s="149">
        <v>1760000</v>
      </c>
      <c r="P214" s="39">
        <v>46036</v>
      </c>
      <c r="Q214"/>
    </row>
    <row r="215" spans="1:18" ht="13.5" thickBot="1">
      <c r="A215" s="253" t="s">
        <v>117</v>
      </c>
      <c r="B215" s="55">
        <v>4500085508</v>
      </c>
      <c r="C215" s="53">
        <v>46003</v>
      </c>
      <c r="D215" s="150"/>
      <c r="E215" s="221"/>
      <c r="F215" s="253" t="s">
        <v>1232</v>
      </c>
      <c r="G215" s="253"/>
      <c r="H215" s="255">
        <v>46003</v>
      </c>
      <c r="I215" s="221"/>
      <c r="J215" s="254" t="s">
        <v>762</v>
      </c>
      <c r="K215" s="222" t="s">
        <v>168</v>
      </c>
      <c r="L215" s="256" t="s">
        <v>840</v>
      </c>
      <c r="M215" s="253">
        <v>1000</v>
      </c>
      <c r="N215" s="253">
        <v>40</v>
      </c>
      <c r="O215" s="257">
        <v>18850000</v>
      </c>
      <c r="P215" s="255">
        <v>46035</v>
      </c>
      <c r="Q215" s="258" t="s">
        <v>1854</v>
      </c>
      <c r="R215" s="258" t="s">
        <v>1865</v>
      </c>
    </row>
    <row r="216" spans="1:18" ht="13.5" thickBot="1">
      <c r="A216" s="253" t="s">
        <v>117</v>
      </c>
      <c r="B216" s="55">
        <v>4500086115</v>
      </c>
      <c r="C216" s="53">
        <v>46035</v>
      </c>
      <c r="D216" s="150"/>
      <c r="E216" s="221"/>
      <c r="F216" s="253" t="s">
        <v>1558</v>
      </c>
      <c r="G216" s="253"/>
      <c r="H216" s="255">
        <v>46036</v>
      </c>
      <c r="I216" s="221"/>
      <c r="J216" s="254" t="s">
        <v>762</v>
      </c>
      <c r="K216" s="222" t="s">
        <v>375</v>
      </c>
      <c r="L216" s="256" t="s">
        <v>840</v>
      </c>
      <c r="M216" s="253">
        <v>2500</v>
      </c>
      <c r="N216" s="253">
        <v>100</v>
      </c>
      <c r="O216" s="257">
        <v>47125000</v>
      </c>
      <c r="P216" s="255">
        <v>46045</v>
      </c>
      <c r="Q216" s="258" t="s">
        <v>1854</v>
      </c>
      <c r="R216" s="258" t="s">
        <v>1865</v>
      </c>
    </row>
    <row r="217" spans="1:18" ht="13.5" thickBot="1">
      <c r="A217" s="253" t="s">
        <v>117</v>
      </c>
      <c r="B217" s="55">
        <v>4500086127</v>
      </c>
      <c r="C217" s="53">
        <v>46035</v>
      </c>
      <c r="D217" s="150"/>
      <c r="E217" s="221"/>
      <c r="F217" s="253" t="s">
        <v>1559</v>
      </c>
      <c r="G217" s="254"/>
      <c r="H217" s="255">
        <v>46036</v>
      </c>
      <c r="I217" s="221"/>
      <c r="J217" s="254" t="s">
        <v>762</v>
      </c>
      <c r="K217" s="222" t="s">
        <v>83</v>
      </c>
      <c r="L217" s="256" t="s">
        <v>767</v>
      </c>
      <c r="M217" s="253">
        <v>600</v>
      </c>
      <c r="N217" s="253">
        <v>24</v>
      </c>
      <c r="O217" s="257">
        <v>31752000</v>
      </c>
      <c r="P217" s="255">
        <v>46037</v>
      </c>
      <c r="Q217" s="271" t="s">
        <v>1881</v>
      </c>
      <c r="R217" s="271" t="s">
        <v>1882</v>
      </c>
    </row>
    <row r="218" spans="1:18" ht="13.5" thickBot="1">
      <c r="A218" s="162"/>
      <c r="B218" s="38">
        <v>4500086127</v>
      </c>
      <c r="C218" s="39">
        <v>46035</v>
      </c>
      <c r="D218" s="42"/>
      <c r="E218" s="42"/>
      <c r="F218" s="38" t="s">
        <v>1559</v>
      </c>
      <c r="G218" s="38" t="s">
        <v>1560</v>
      </c>
      <c r="H218" s="39">
        <v>46036</v>
      </c>
      <c r="I218" s="42"/>
      <c r="J218" s="42" t="s">
        <v>762</v>
      </c>
      <c r="K218" s="38" t="s">
        <v>83</v>
      </c>
      <c r="L218" s="41" t="s">
        <v>767</v>
      </c>
      <c r="M218" s="38">
        <v>200</v>
      </c>
      <c r="N218" s="38">
        <v>8</v>
      </c>
      <c r="O218" s="149">
        <v>10584000</v>
      </c>
      <c r="P218" s="39">
        <v>46037</v>
      </c>
      <c r="Q218"/>
    </row>
    <row r="219" spans="1:18" ht="13.5" thickBot="1">
      <c r="A219" s="148"/>
      <c r="B219" s="38">
        <v>4500086127</v>
      </c>
      <c r="C219" s="39">
        <v>46035</v>
      </c>
      <c r="D219" s="42"/>
      <c r="E219" s="42"/>
      <c r="F219" s="38" t="s">
        <v>1559</v>
      </c>
      <c r="G219" s="38" t="s">
        <v>1560</v>
      </c>
      <c r="H219" s="39">
        <v>46036</v>
      </c>
      <c r="I219" s="42"/>
      <c r="J219" s="42" t="s">
        <v>762</v>
      </c>
      <c r="K219" s="38" t="s">
        <v>83</v>
      </c>
      <c r="L219" s="41" t="s">
        <v>339</v>
      </c>
      <c r="M219" s="38">
        <v>150</v>
      </c>
      <c r="N219" s="38">
        <v>6</v>
      </c>
      <c r="O219" s="149">
        <v>18750000</v>
      </c>
      <c r="P219" s="39">
        <v>46037</v>
      </c>
      <c r="Q219"/>
    </row>
    <row r="220" spans="1:18" ht="13.5" thickBot="1">
      <c r="A220" s="148"/>
      <c r="B220" s="38">
        <v>4500086127</v>
      </c>
      <c r="C220" s="39">
        <v>46035</v>
      </c>
      <c r="D220" s="42"/>
      <c r="E220" s="42"/>
      <c r="F220" s="38" t="s">
        <v>1559</v>
      </c>
      <c r="G220" s="38" t="s">
        <v>1560</v>
      </c>
      <c r="H220" s="39">
        <v>46036</v>
      </c>
      <c r="I220" s="42"/>
      <c r="J220" s="42" t="s">
        <v>762</v>
      </c>
      <c r="K220" s="38" t="s">
        <v>83</v>
      </c>
      <c r="L220" s="41" t="s">
        <v>221</v>
      </c>
      <c r="M220" s="38">
        <v>200</v>
      </c>
      <c r="N220" s="38">
        <v>8</v>
      </c>
      <c r="O220" s="149">
        <v>35000000</v>
      </c>
      <c r="P220" s="39">
        <v>46037</v>
      </c>
      <c r="Q220"/>
    </row>
    <row r="221" spans="1:18" ht="13.5" thickBot="1">
      <c r="A221" s="148"/>
      <c r="B221" s="38">
        <v>4500086127</v>
      </c>
      <c r="C221" s="39">
        <v>46035</v>
      </c>
      <c r="D221" s="42"/>
      <c r="E221" s="42"/>
      <c r="F221" s="38" t="s">
        <v>1559</v>
      </c>
      <c r="G221" s="38" t="s">
        <v>1560</v>
      </c>
      <c r="H221" s="39">
        <v>46036</v>
      </c>
      <c r="I221" s="42"/>
      <c r="J221" s="42" t="s">
        <v>762</v>
      </c>
      <c r="K221" s="38" t="s">
        <v>83</v>
      </c>
      <c r="L221" s="41" t="s">
        <v>194</v>
      </c>
      <c r="M221" s="38">
        <v>2000</v>
      </c>
      <c r="N221" s="38">
        <v>80</v>
      </c>
      <c r="O221" s="149">
        <v>35200000</v>
      </c>
      <c r="P221" s="39">
        <v>46037</v>
      </c>
      <c r="Q221"/>
    </row>
    <row r="222" spans="1:18" ht="13.5" thickBot="1">
      <c r="A222" s="148"/>
      <c r="B222" s="38">
        <v>4500086127</v>
      </c>
      <c r="C222" s="39">
        <v>46035</v>
      </c>
      <c r="D222" s="42"/>
      <c r="E222" s="42"/>
      <c r="F222" s="38" t="s">
        <v>1559</v>
      </c>
      <c r="G222" s="38" t="s">
        <v>1560</v>
      </c>
      <c r="H222" s="39">
        <v>46036</v>
      </c>
      <c r="I222" s="42"/>
      <c r="J222" s="42" t="s">
        <v>762</v>
      </c>
      <c r="K222" s="38" t="s">
        <v>83</v>
      </c>
      <c r="L222" s="41" t="s">
        <v>116</v>
      </c>
      <c r="M222" s="38">
        <v>1000</v>
      </c>
      <c r="N222" s="38">
        <v>40</v>
      </c>
      <c r="O222" s="149">
        <v>18850000</v>
      </c>
      <c r="P222" s="39">
        <v>46037</v>
      </c>
      <c r="Q222"/>
    </row>
    <row r="223" spans="1:18" ht="13.5" thickBot="1">
      <c r="A223" s="148"/>
      <c r="B223" s="38">
        <v>4500086127</v>
      </c>
      <c r="C223" s="39">
        <v>46035</v>
      </c>
      <c r="D223" s="42"/>
      <c r="E223" s="42"/>
      <c r="F223" s="38" t="s">
        <v>1559</v>
      </c>
      <c r="G223" s="38" t="s">
        <v>1560</v>
      </c>
      <c r="H223" s="39">
        <v>46036</v>
      </c>
      <c r="I223" s="42"/>
      <c r="J223" s="42" t="s">
        <v>762</v>
      </c>
      <c r="K223" s="38" t="s">
        <v>83</v>
      </c>
      <c r="L223" s="41" t="s">
        <v>766</v>
      </c>
      <c r="M223" s="38">
        <v>200</v>
      </c>
      <c r="N223" s="38">
        <v>8</v>
      </c>
      <c r="O223" s="149">
        <v>27100000</v>
      </c>
      <c r="P223" s="39">
        <v>46037</v>
      </c>
      <c r="Q223"/>
    </row>
    <row r="224" spans="1:18" ht="13.5" thickBot="1">
      <c r="A224" s="148"/>
      <c r="B224" s="38">
        <v>4500086127</v>
      </c>
      <c r="C224" s="39">
        <v>46035</v>
      </c>
      <c r="D224" s="42"/>
      <c r="E224" s="42"/>
      <c r="F224" s="38" t="s">
        <v>1559</v>
      </c>
      <c r="G224" s="38" t="s">
        <v>1560</v>
      </c>
      <c r="H224" s="39">
        <v>46036</v>
      </c>
      <c r="I224" s="42"/>
      <c r="J224" s="42" t="s">
        <v>762</v>
      </c>
      <c r="K224" s="38" t="s">
        <v>83</v>
      </c>
      <c r="L224" s="41" t="s">
        <v>930</v>
      </c>
      <c r="M224" s="38">
        <v>250</v>
      </c>
      <c r="N224" s="38">
        <v>10</v>
      </c>
      <c r="O224" s="149">
        <v>110000000</v>
      </c>
      <c r="P224" s="39">
        <v>46037</v>
      </c>
      <c r="Q224"/>
    </row>
    <row r="225" spans="1:18" ht="13.5" thickBot="1">
      <c r="A225" s="148"/>
      <c r="B225" s="38">
        <v>4500086127</v>
      </c>
      <c r="C225" s="39">
        <v>46035</v>
      </c>
      <c r="D225" s="42"/>
      <c r="E225" s="42"/>
      <c r="F225" s="38" t="s">
        <v>1559</v>
      </c>
      <c r="G225" s="38" t="s">
        <v>1560</v>
      </c>
      <c r="H225" s="39">
        <v>46036</v>
      </c>
      <c r="I225" s="42"/>
      <c r="J225" s="42" t="s">
        <v>762</v>
      </c>
      <c r="K225" s="38" t="s">
        <v>83</v>
      </c>
      <c r="L225" s="41" t="s">
        <v>788</v>
      </c>
      <c r="M225" s="38">
        <v>200</v>
      </c>
      <c r="N225" s="38">
        <v>8</v>
      </c>
      <c r="O225" s="149">
        <v>6900000</v>
      </c>
      <c r="P225" s="39">
        <v>46037</v>
      </c>
      <c r="Q225"/>
    </row>
    <row r="226" spans="1:18" ht="13.5" thickBot="1">
      <c r="A226" s="148"/>
      <c r="B226" s="38">
        <v>4500086127</v>
      </c>
      <c r="C226" s="39">
        <v>46035</v>
      </c>
      <c r="D226" s="42"/>
      <c r="E226" s="42"/>
      <c r="F226" s="38" t="s">
        <v>1559</v>
      </c>
      <c r="G226" s="38" t="s">
        <v>1560</v>
      </c>
      <c r="H226" s="39">
        <v>46036</v>
      </c>
      <c r="I226" s="42"/>
      <c r="J226" s="42" t="s">
        <v>762</v>
      </c>
      <c r="K226" s="38" t="s">
        <v>83</v>
      </c>
      <c r="L226" s="41" t="s">
        <v>1245</v>
      </c>
      <c r="M226" s="38">
        <v>50</v>
      </c>
      <c r="N226" s="38">
        <v>2</v>
      </c>
      <c r="O226" s="149">
        <v>935000</v>
      </c>
      <c r="P226" s="39">
        <v>46037</v>
      </c>
      <c r="Q226"/>
    </row>
    <row r="227" spans="1:18" ht="13.5" thickBot="1">
      <c r="A227" s="162"/>
      <c r="B227" s="38">
        <v>4500086127</v>
      </c>
      <c r="C227" s="39">
        <v>46035</v>
      </c>
      <c r="D227" s="42"/>
      <c r="E227" s="42"/>
      <c r="F227" s="38" t="s">
        <v>1561</v>
      </c>
      <c r="G227" s="38" t="s">
        <v>1562</v>
      </c>
      <c r="H227" s="39">
        <v>46036</v>
      </c>
      <c r="I227" s="42"/>
      <c r="J227" s="42" t="s">
        <v>762</v>
      </c>
      <c r="K227" s="38" t="s">
        <v>83</v>
      </c>
      <c r="L227" s="41" t="s">
        <v>111</v>
      </c>
      <c r="M227" s="38">
        <v>3000</v>
      </c>
      <c r="N227" s="38">
        <v>120</v>
      </c>
      <c r="O227" s="149">
        <v>75600000</v>
      </c>
      <c r="P227" s="39">
        <v>46037</v>
      </c>
      <c r="Q227"/>
    </row>
    <row r="228" spans="1:18" ht="13.5" thickBot="1">
      <c r="A228" s="148"/>
      <c r="B228" s="38" t="s">
        <v>775</v>
      </c>
      <c r="C228" s="39">
        <v>46036</v>
      </c>
      <c r="D228" s="42"/>
      <c r="E228" s="42"/>
      <c r="F228" s="38" t="s">
        <v>1563</v>
      </c>
      <c r="G228" s="38" t="s">
        <v>1564</v>
      </c>
      <c r="H228" s="39">
        <v>46036</v>
      </c>
      <c r="I228" s="42"/>
      <c r="J228" s="42" t="s">
        <v>319</v>
      </c>
      <c r="K228" s="38" t="s">
        <v>137</v>
      </c>
      <c r="L228" s="41" t="s">
        <v>230</v>
      </c>
      <c r="M228" s="38">
        <v>70</v>
      </c>
      <c r="N228" s="38">
        <v>3</v>
      </c>
      <c r="O228" s="42"/>
      <c r="P228" s="39">
        <v>46036</v>
      </c>
      <c r="Q228"/>
    </row>
    <row r="229" spans="1:18" ht="23.5" thickBot="1">
      <c r="A229" s="162"/>
      <c r="B229" s="38" t="s">
        <v>775</v>
      </c>
      <c r="C229" s="39">
        <v>46035</v>
      </c>
      <c r="D229" s="42"/>
      <c r="E229" s="42"/>
      <c r="F229" s="38" t="s">
        <v>1565</v>
      </c>
      <c r="G229" s="38" t="s">
        <v>1566</v>
      </c>
      <c r="H229" s="39">
        <v>46036</v>
      </c>
      <c r="I229" s="42"/>
      <c r="J229" s="42" t="s">
        <v>780</v>
      </c>
      <c r="K229" s="38" t="s">
        <v>1179</v>
      </c>
      <c r="L229" s="41" t="s">
        <v>1223</v>
      </c>
      <c r="M229" s="38">
        <v>25</v>
      </c>
      <c r="N229" s="38">
        <v>1</v>
      </c>
      <c r="O229" s="149">
        <v>5125000</v>
      </c>
      <c r="P229" s="39">
        <v>46036</v>
      </c>
      <c r="Q229"/>
    </row>
    <row r="230" spans="1:18" ht="23.5" thickBot="1">
      <c r="A230" s="148"/>
      <c r="B230" s="38">
        <v>49102</v>
      </c>
      <c r="C230" s="39">
        <v>46036</v>
      </c>
      <c r="D230" s="42"/>
      <c r="E230" s="42"/>
      <c r="F230" s="38" t="s">
        <v>1567</v>
      </c>
      <c r="G230" s="38" t="s">
        <v>1568</v>
      </c>
      <c r="H230" s="39">
        <v>46036</v>
      </c>
      <c r="I230" s="42"/>
      <c r="J230" s="42" t="s">
        <v>880</v>
      </c>
      <c r="K230" s="38" t="s">
        <v>1179</v>
      </c>
      <c r="L230" s="41" t="s">
        <v>1317</v>
      </c>
      <c r="M230" s="38">
        <v>30</v>
      </c>
      <c r="N230" s="38">
        <v>1</v>
      </c>
      <c r="O230" s="149">
        <v>6000000</v>
      </c>
      <c r="P230" s="39">
        <v>46036</v>
      </c>
      <c r="Q230"/>
    </row>
    <row r="231" spans="1:18" ht="13.5" thickBot="1">
      <c r="A231" s="272" t="s">
        <v>773</v>
      </c>
      <c r="B231" s="152">
        <v>4500187724</v>
      </c>
      <c r="C231" s="153">
        <v>46036</v>
      </c>
      <c r="D231" s="155"/>
      <c r="E231" s="228"/>
      <c r="F231" s="273" t="s">
        <v>1569</v>
      </c>
      <c r="G231" s="273" t="s">
        <v>1570</v>
      </c>
      <c r="H231" s="274">
        <v>46036</v>
      </c>
      <c r="I231" s="228"/>
      <c r="J231" s="272" t="s">
        <v>181</v>
      </c>
      <c r="K231" s="229" t="s">
        <v>1571</v>
      </c>
      <c r="L231" s="275" t="s">
        <v>209</v>
      </c>
      <c r="M231" s="273">
        <v>500</v>
      </c>
      <c r="N231" s="273">
        <v>20</v>
      </c>
      <c r="O231" s="276">
        <v>73775000</v>
      </c>
      <c r="P231" s="274">
        <v>46038</v>
      </c>
      <c r="Q231" s="277" t="s">
        <v>773</v>
      </c>
      <c r="R231" s="278" t="s">
        <v>1873</v>
      </c>
    </row>
    <row r="232" spans="1:18" ht="35" thickBot="1">
      <c r="A232" s="272" t="s">
        <v>773</v>
      </c>
      <c r="B232" s="152" t="s">
        <v>1572</v>
      </c>
      <c r="C232" s="153">
        <v>46036</v>
      </c>
      <c r="D232" s="155"/>
      <c r="E232" s="228"/>
      <c r="F232" s="273" t="s">
        <v>1573</v>
      </c>
      <c r="G232" s="273" t="s">
        <v>1574</v>
      </c>
      <c r="H232" s="274">
        <v>46036</v>
      </c>
      <c r="I232" s="228"/>
      <c r="J232" s="272" t="s">
        <v>169</v>
      </c>
      <c r="K232" s="229" t="s">
        <v>170</v>
      </c>
      <c r="L232" s="275" t="s">
        <v>194</v>
      </c>
      <c r="M232" s="273">
        <v>600</v>
      </c>
      <c r="N232" s="273">
        <v>24</v>
      </c>
      <c r="O232" s="276">
        <v>10920000</v>
      </c>
      <c r="P232" s="274">
        <v>46038</v>
      </c>
      <c r="Q232" s="277" t="s">
        <v>773</v>
      </c>
      <c r="R232" s="273" t="s">
        <v>1879</v>
      </c>
    </row>
    <row r="233" spans="1:18" ht="38" thickBot="1">
      <c r="A233" s="148"/>
      <c r="B233" s="38" t="s">
        <v>775</v>
      </c>
      <c r="C233" s="39">
        <v>46036</v>
      </c>
      <c r="D233" s="42"/>
      <c r="E233" s="42"/>
      <c r="F233" s="38" t="s">
        <v>1575</v>
      </c>
      <c r="G233" s="38" t="s">
        <v>1576</v>
      </c>
      <c r="H233" s="39">
        <v>46036</v>
      </c>
      <c r="I233" s="42"/>
      <c r="J233" s="42" t="s">
        <v>1577</v>
      </c>
      <c r="K233" s="38" t="s">
        <v>137</v>
      </c>
      <c r="L233" s="41" t="s">
        <v>779</v>
      </c>
      <c r="M233" s="38">
        <v>25</v>
      </c>
      <c r="N233" s="38">
        <v>1</v>
      </c>
      <c r="O233" s="149">
        <v>875000</v>
      </c>
      <c r="P233" s="39">
        <v>46038</v>
      </c>
      <c r="Q233"/>
    </row>
    <row r="234" spans="1:18" ht="38" thickBot="1">
      <c r="A234" s="148"/>
      <c r="B234" s="38" t="s">
        <v>775</v>
      </c>
      <c r="C234" s="39">
        <v>46036</v>
      </c>
      <c r="D234" s="42"/>
      <c r="E234" s="42"/>
      <c r="F234" s="38" t="s">
        <v>1575</v>
      </c>
      <c r="G234" s="38" t="s">
        <v>1576</v>
      </c>
      <c r="H234" s="39">
        <v>46036</v>
      </c>
      <c r="I234" s="42"/>
      <c r="J234" s="42" t="s">
        <v>1577</v>
      </c>
      <c r="K234" s="38" t="s">
        <v>137</v>
      </c>
      <c r="L234" s="41" t="s">
        <v>679</v>
      </c>
      <c r="M234" s="38">
        <v>25</v>
      </c>
      <c r="N234" s="38">
        <v>1</v>
      </c>
      <c r="O234" s="149">
        <v>962500</v>
      </c>
      <c r="P234" s="39">
        <v>46038</v>
      </c>
      <c r="Q234"/>
    </row>
    <row r="235" spans="1:18" ht="13.5" thickBot="1">
      <c r="A235" s="253" t="s">
        <v>117</v>
      </c>
      <c r="B235" s="178">
        <v>4500085729</v>
      </c>
      <c r="C235" s="179">
        <v>46013</v>
      </c>
      <c r="D235" s="56"/>
      <c r="E235" s="230"/>
      <c r="F235" s="279" t="s">
        <v>1167</v>
      </c>
      <c r="G235" s="280" t="s">
        <v>1578</v>
      </c>
      <c r="H235" s="281">
        <v>46013</v>
      </c>
      <c r="I235" s="230"/>
      <c r="J235" s="282" t="s">
        <v>762</v>
      </c>
      <c r="K235" s="231" t="s">
        <v>83</v>
      </c>
      <c r="L235" s="283" t="s">
        <v>840</v>
      </c>
      <c r="M235" s="279">
        <v>1000</v>
      </c>
      <c r="N235" s="279">
        <v>40</v>
      </c>
      <c r="O235" s="284">
        <v>18850000</v>
      </c>
      <c r="P235" s="281">
        <v>46015</v>
      </c>
      <c r="Q235" s="271" t="s">
        <v>1854</v>
      </c>
      <c r="R235" s="271" t="s">
        <v>1865</v>
      </c>
    </row>
    <row r="236" spans="1:18" ht="13.5" thickBot="1">
      <c r="A236" s="272" t="s">
        <v>773</v>
      </c>
      <c r="B236" s="152">
        <v>1002014332</v>
      </c>
      <c r="C236" s="153">
        <v>46036</v>
      </c>
      <c r="D236" s="155"/>
      <c r="E236" s="228"/>
      <c r="F236" s="273" t="s">
        <v>1579</v>
      </c>
      <c r="G236" s="273" t="s">
        <v>1580</v>
      </c>
      <c r="H236" s="274">
        <v>46037</v>
      </c>
      <c r="I236" s="228"/>
      <c r="J236" s="272" t="s">
        <v>195</v>
      </c>
      <c r="K236" s="229" t="s">
        <v>141</v>
      </c>
      <c r="L236" s="275" t="s">
        <v>1208</v>
      </c>
      <c r="M236" s="273">
        <v>600</v>
      </c>
      <c r="N236" s="273">
        <v>24</v>
      </c>
      <c r="O236" s="276">
        <v>12120000</v>
      </c>
      <c r="P236" s="274">
        <v>46041</v>
      </c>
      <c r="Q236" s="285" t="s">
        <v>773</v>
      </c>
      <c r="R236" s="278" t="s">
        <v>1880</v>
      </c>
    </row>
    <row r="237" spans="1:18" ht="13.5" thickBot="1">
      <c r="A237" s="272" t="s">
        <v>773</v>
      </c>
      <c r="B237" s="152">
        <v>1002014332</v>
      </c>
      <c r="C237" s="153">
        <v>46036</v>
      </c>
      <c r="D237" s="155"/>
      <c r="E237" s="228"/>
      <c r="F237" s="273" t="s">
        <v>1579</v>
      </c>
      <c r="G237" s="273" t="s">
        <v>1580</v>
      </c>
      <c r="H237" s="274">
        <v>46037</v>
      </c>
      <c r="I237" s="228"/>
      <c r="J237" s="272" t="s">
        <v>195</v>
      </c>
      <c r="K237" s="229" t="s">
        <v>141</v>
      </c>
      <c r="L237" s="275" t="s">
        <v>764</v>
      </c>
      <c r="M237" s="273">
        <v>50</v>
      </c>
      <c r="N237" s="273">
        <v>2</v>
      </c>
      <c r="O237" s="276">
        <v>12000000</v>
      </c>
      <c r="P237" s="274">
        <v>46041</v>
      </c>
      <c r="Q237" s="285" t="s">
        <v>773</v>
      </c>
      <c r="R237" s="278" t="s">
        <v>1880</v>
      </c>
    </row>
    <row r="238" spans="1:18" ht="25.5" thickBot="1">
      <c r="A238" s="148"/>
      <c r="B238" s="38" t="s">
        <v>1581</v>
      </c>
      <c r="C238" s="39">
        <v>46036</v>
      </c>
      <c r="D238" s="42"/>
      <c r="E238" s="42"/>
      <c r="F238" s="38" t="s">
        <v>1582</v>
      </c>
      <c r="G238" s="38" t="s">
        <v>1583</v>
      </c>
      <c r="H238" s="39">
        <v>46037</v>
      </c>
      <c r="I238" s="42"/>
      <c r="J238" s="42" t="s">
        <v>1584</v>
      </c>
      <c r="K238" s="38" t="s">
        <v>82</v>
      </c>
      <c r="L238" s="41" t="s">
        <v>767</v>
      </c>
      <c r="M238" s="38">
        <v>50</v>
      </c>
      <c r="N238" s="38">
        <v>2</v>
      </c>
      <c r="O238" s="149">
        <v>3000000</v>
      </c>
      <c r="P238" s="39">
        <v>46038</v>
      </c>
      <c r="Q238"/>
    </row>
    <row r="239" spans="1:18" ht="13.5" thickBot="1">
      <c r="A239" s="148"/>
      <c r="B239" s="38">
        <v>4500086122</v>
      </c>
      <c r="C239" s="39">
        <v>46036</v>
      </c>
      <c r="D239" s="42"/>
      <c r="E239" s="42"/>
      <c r="F239" s="38" t="s">
        <v>1585</v>
      </c>
      <c r="G239" s="38" t="s">
        <v>1586</v>
      </c>
      <c r="H239" s="39">
        <v>46037</v>
      </c>
      <c r="I239" s="42"/>
      <c r="J239" s="42" t="s">
        <v>1342</v>
      </c>
      <c r="K239" s="38" t="s">
        <v>375</v>
      </c>
      <c r="L239" s="41" t="s">
        <v>115</v>
      </c>
      <c r="M239" s="38">
        <v>500</v>
      </c>
      <c r="N239" s="38">
        <v>20</v>
      </c>
      <c r="O239" s="149">
        <v>36433500</v>
      </c>
      <c r="P239" s="39">
        <v>46038</v>
      </c>
      <c r="Q239"/>
    </row>
    <row r="240" spans="1:18" ht="13.5" thickBot="1">
      <c r="A240" s="148"/>
      <c r="B240" s="38">
        <v>4500086122</v>
      </c>
      <c r="C240" s="39">
        <v>46036</v>
      </c>
      <c r="D240" s="42"/>
      <c r="E240" s="42"/>
      <c r="F240" s="38" t="s">
        <v>1585</v>
      </c>
      <c r="G240" s="38" t="s">
        <v>1586</v>
      </c>
      <c r="H240" s="39">
        <v>46037</v>
      </c>
      <c r="I240" s="42"/>
      <c r="J240" s="42" t="s">
        <v>1342</v>
      </c>
      <c r="K240" s="38" t="s">
        <v>375</v>
      </c>
      <c r="L240" s="41" t="s">
        <v>209</v>
      </c>
      <c r="M240" s="38">
        <v>100</v>
      </c>
      <c r="N240" s="38">
        <v>4</v>
      </c>
      <c r="O240" s="149">
        <v>12290100</v>
      </c>
      <c r="P240" s="39">
        <v>46038</v>
      </c>
      <c r="Q240"/>
    </row>
    <row r="241" spans="1:18" ht="23.5" thickBot="1">
      <c r="A241" s="148"/>
      <c r="B241" s="38">
        <v>4500086128</v>
      </c>
      <c r="C241" s="39">
        <v>46036</v>
      </c>
      <c r="D241" s="42"/>
      <c r="E241" s="42"/>
      <c r="F241" s="38" t="s">
        <v>1587</v>
      </c>
      <c r="G241" s="38" t="s">
        <v>1588</v>
      </c>
      <c r="H241" s="39">
        <v>46037</v>
      </c>
      <c r="I241" s="42"/>
      <c r="J241" s="42" t="s">
        <v>1342</v>
      </c>
      <c r="K241" s="38" t="s">
        <v>379</v>
      </c>
      <c r="L241" s="41" t="s">
        <v>115</v>
      </c>
      <c r="M241" s="38">
        <v>2000</v>
      </c>
      <c r="N241" s="38">
        <v>80</v>
      </c>
      <c r="O241" s="149">
        <v>145734000</v>
      </c>
      <c r="P241" s="39">
        <v>46038</v>
      </c>
      <c r="Q241"/>
    </row>
    <row r="242" spans="1:18" ht="23.5" thickBot="1">
      <c r="A242" s="148"/>
      <c r="B242" s="38">
        <v>4500086128</v>
      </c>
      <c r="C242" s="39">
        <v>46036</v>
      </c>
      <c r="D242" s="42"/>
      <c r="E242" s="42"/>
      <c r="F242" s="38" t="s">
        <v>1587</v>
      </c>
      <c r="G242" s="38" t="s">
        <v>1588</v>
      </c>
      <c r="H242" s="39">
        <v>46037</v>
      </c>
      <c r="I242" s="42"/>
      <c r="J242" s="42" t="s">
        <v>1342</v>
      </c>
      <c r="K242" s="38" t="s">
        <v>379</v>
      </c>
      <c r="L242" s="41" t="s">
        <v>209</v>
      </c>
      <c r="M242" s="38">
        <v>500</v>
      </c>
      <c r="N242" s="38">
        <v>20</v>
      </c>
      <c r="O242" s="149">
        <v>61450500</v>
      </c>
      <c r="P242" s="39">
        <v>46038</v>
      </c>
      <c r="Q242"/>
    </row>
    <row r="243" spans="1:18" ht="25.5" thickBot="1">
      <c r="A243" s="148"/>
      <c r="B243" s="38" t="s">
        <v>1589</v>
      </c>
      <c r="C243" s="39">
        <v>46037</v>
      </c>
      <c r="D243" s="42"/>
      <c r="E243" s="42"/>
      <c r="F243" s="38" t="s">
        <v>1590</v>
      </c>
      <c r="G243" s="38" t="s">
        <v>1591</v>
      </c>
      <c r="H243" s="39">
        <v>46037</v>
      </c>
      <c r="I243" s="42"/>
      <c r="J243" s="42" t="s">
        <v>471</v>
      </c>
      <c r="K243" s="38" t="s">
        <v>79</v>
      </c>
      <c r="L243" s="41" t="s">
        <v>772</v>
      </c>
      <c r="M243" s="38">
        <v>10</v>
      </c>
      <c r="N243" s="38">
        <v>0</v>
      </c>
      <c r="O243" s="149">
        <v>650000</v>
      </c>
      <c r="P243" s="39">
        <v>46041</v>
      </c>
      <c r="Q243"/>
    </row>
    <row r="244" spans="1:18" s="196" customFormat="1" ht="25.5" thickBot="1">
      <c r="A244" s="191"/>
      <c r="B244" s="193" t="s">
        <v>1589</v>
      </c>
      <c r="C244" s="195">
        <v>46037</v>
      </c>
      <c r="D244" s="192"/>
      <c r="E244" s="192"/>
      <c r="F244" s="193" t="s">
        <v>1590</v>
      </c>
      <c r="G244" s="193" t="s">
        <v>1591</v>
      </c>
      <c r="H244" s="195">
        <v>46037</v>
      </c>
      <c r="I244" s="192"/>
      <c r="J244" s="192" t="s">
        <v>471</v>
      </c>
      <c r="K244" s="193" t="s">
        <v>79</v>
      </c>
      <c r="L244" s="194" t="s">
        <v>766</v>
      </c>
      <c r="M244" s="193">
        <v>15</v>
      </c>
      <c r="N244" s="193">
        <v>1</v>
      </c>
      <c r="O244" s="198">
        <v>2550000</v>
      </c>
      <c r="P244" s="195">
        <v>46041</v>
      </c>
      <c r="R244" s="197"/>
    </row>
    <row r="245" spans="1:18" ht="13.5" thickBot="1">
      <c r="A245" s="148"/>
      <c r="B245" s="38">
        <v>64324</v>
      </c>
      <c r="C245" s="39">
        <v>46037</v>
      </c>
      <c r="D245" s="42"/>
      <c r="E245" s="42"/>
      <c r="F245" s="38" t="s">
        <v>1592</v>
      </c>
      <c r="G245" s="38" t="s">
        <v>1593</v>
      </c>
      <c r="H245" s="39">
        <v>46037</v>
      </c>
      <c r="I245" s="42"/>
      <c r="J245" s="42" t="s">
        <v>42</v>
      </c>
      <c r="K245" s="38" t="s">
        <v>78</v>
      </c>
      <c r="L245" s="41" t="s">
        <v>116</v>
      </c>
      <c r="M245" s="38">
        <v>25</v>
      </c>
      <c r="N245" s="38">
        <v>1</v>
      </c>
      <c r="O245" s="149">
        <v>525000</v>
      </c>
      <c r="P245" s="39">
        <v>46041</v>
      </c>
      <c r="Q245"/>
    </row>
    <row r="246" spans="1:18" ht="13.5" thickBot="1">
      <c r="A246" s="148"/>
      <c r="B246" s="38">
        <v>64333</v>
      </c>
      <c r="C246" s="39">
        <v>46037</v>
      </c>
      <c r="D246" s="42"/>
      <c r="E246" s="42"/>
      <c r="F246" s="38" t="s">
        <v>1594</v>
      </c>
      <c r="G246" s="38" t="s">
        <v>1595</v>
      </c>
      <c r="H246" s="39">
        <v>46037</v>
      </c>
      <c r="I246" s="42"/>
      <c r="J246" s="42" t="s">
        <v>42</v>
      </c>
      <c r="K246" s="38" t="s">
        <v>78</v>
      </c>
      <c r="L246" s="41" t="s">
        <v>788</v>
      </c>
      <c r="M246" s="38">
        <v>300</v>
      </c>
      <c r="N246" s="38">
        <v>12</v>
      </c>
      <c r="O246" s="149">
        <v>13566000</v>
      </c>
      <c r="P246" s="39">
        <v>46041</v>
      </c>
      <c r="Q246"/>
    </row>
    <row r="247" spans="1:18" ht="13.5" thickBot="1">
      <c r="A247" s="148"/>
      <c r="B247" s="38">
        <v>1334545</v>
      </c>
      <c r="C247" s="39">
        <v>46037</v>
      </c>
      <c r="D247" s="42"/>
      <c r="E247" s="42"/>
      <c r="F247" s="38" t="s">
        <v>1596</v>
      </c>
      <c r="G247" s="38" t="s">
        <v>1597</v>
      </c>
      <c r="H247" s="39">
        <v>46037</v>
      </c>
      <c r="I247" s="42"/>
      <c r="J247" s="42" t="s">
        <v>784</v>
      </c>
      <c r="K247" s="38" t="s">
        <v>142</v>
      </c>
      <c r="L247" s="41" t="s">
        <v>1223</v>
      </c>
      <c r="M247" s="38">
        <v>75</v>
      </c>
      <c r="N247" s="38">
        <v>3</v>
      </c>
      <c r="O247" s="149">
        <v>13125000</v>
      </c>
      <c r="P247" s="39">
        <v>46045</v>
      </c>
      <c r="Q247"/>
    </row>
    <row r="248" spans="1:18" ht="13.5" thickBot="1">
      <c r="A248" s="148"/>
      <c r="B248" s="38">
        <v>12373</v>
      </c>
      <c r="C248" s="39">
        <v>46037</v>
      </c>
      <c r="D248" s="42"/>
      <c r="E248" s="42"/>
      <c r="F248" s="38" t="s">
        <v>1598</v>
      </c>
      <c r="G248" s="38" t="s">
        <v>1599</v>
      </c>
      <c r="H248" s="39">
        <v>46037</v>
      </c>
      <c r="I248" s="42"/>
      <c r="J248" s="42" t="s">
        <v>219</v>
      </c>
      <c r="K248" s="38" t="s">
        <v>137</v>
      </c>
      <c r="L248" s="41" t="s">
        <v>194</v>
      </c>
      <c r="M248" s="38">
        <v>725</v>
      </c>
      <c r="N248" s="38">
        <v>29</v>
      </c>
      <c r="O248" s="38">
        <v>14920500</v>
      </c>
      <c r="P248" s="39">
        <v>46041</v>
      </c>
      <c r="Q248"/>
    </row>
    <row r="249" spans="1:18" ht="23.5" thickBot="1">
      <c r="A249" s="148"/>
      <c r="B249" s="38">
        <v>13490</v>
      </c>
      <c r="C249" s="39">
        <v>46036</v>
      </c>
      <c r="D249" s="42"/>
      <c r="E249" s="42"/>
      <c r="F249" s="38" t="s">
        <v>1600</v>
      </c>
      <c r="G249" s="38" t="s">
        <v>1601</v>
      </c>
      <c r="H249" s="39">
        <v>46037</v>
      </c>
      <c r="I249" s="42"/>
      <c r="J249" s="42" t="s">
        <v>887</v>
      </c>
      <c r="K249" s="38" t="s">
        <v>1073</v>
      </c>
      <c r="L249" s="41" t="s">
        <v>766</v>
      </c>
      <c r="M249" s="38">
        <v>20</v>
      </c>
      <c r="N249" s="38">
        <v>1</v>
      </c>
      <c r="O249" s="149">
        <v>3200000</v>
      </c>
      <c r="P249" s="39">
        <v>46041</v>
      </c>
      <c r="Q249"/>
    </row>
    <row r="250" spans="1:18" ht="13.5" thickBot="1">
      <c r="A250" s="148"/>
      <c r="B250" s="180" t="s">
        <v>1602</v>
      </c>
      <c r="C250" s="39">
        <v>46037</v>
      </c>
      <c r="D250" s="42"/>
      <c r="E250" s="42"/>
      <c r="F250" s="38" t="s">
        <v>1603</v>
      </c>
      <c r="G250" s="38" t="s">
        <v>1604</v>
      </c>
      <c r="H250" s="39">
        <v>46037</v>
      </c>
      <c r="I250" s="42"/>
      <c r="J250" s="42" t="s">
        <v>355</v>
      </c>
      <c r="K250" s="38" t="s">
        <v>86</v>
      </c>
      <c r="L250" s="41" t="s">
        <v>766</v>
      </c>
      <c r="M250" s="38">
        <v>120</v>
      </c>
      <c r="N250" s="38">
        <v>5</v>
      </c>
      <c r="O250" s="149">
        <v>26340000</v>
      </c>
      <c r="P250" s="39">
        <v>46041</v>
      </c>
      <c r="Q250"/>
    </row>
    <row r="251" spans="1:18" ht="13.5" thickBot="1">
      <c r="A251" s="148"/>
      <c r="B251" s="180" t="s">
        <v>1602</v>
      </c>
      <c r="C251" s="39">
        <v>46037</v>
      </c>
      <c r="D251" s="42"/>
      <c r="E251" s="42"/>
      <c r="F251" s="38" t="s">
        <v>1603</v>
      </c>
      <c r="G251" s="38" t="s">
        <v>1604</v>
      </c>
      <c r="H251" s="39">
        <v>46037</v>
      </c>
      <c r="I251" s="42"/>
      <c r="J251" s="42" t="s">
        <v>355</v>
      </c>
      <c r="K251" s="38" t="s">
        <v>86</v>
      </c>
      <c r="L251" s="41" t="s">
        <v>771</v>
      </c>
      <c r="M251" s="38">
        <v>100</v>
      </c>
      <c r="N251" s="38">
        <v>4</v>
      </c>
      <c r="O251" s="149">
        <v>18007700</v>
      </c>
      <c r="P251" s="39">
        <v>46041</v>
      </c>
      <c r="Q251"/>
    </row>
    <row r="252" spans="1:18" ht="13.5" thickBot="1">
      <c r="A252" s="148"/>
      <c r="B252" s="180" t="s">
        <v>1602</v>
      </c>
      <c r="C252" s="39">
        <v>46037</v>
      </c>
      <c r="D252" s="42"/>
      <c r="E252" s="42"/>
      <c r="F252" s="38" t="s">
        <v>1603</v>
      </c>
      <c r="G252" s="38" t="s">
        <v>1604</v>
      </c>
      <c r="H252" s="39">
        <v>46037</v>
      </c>
      <c r="I252" s="42"/>
      <c r="J252" s="42" t="s">
        <v>355</v>
      </c>
      <c r="K252" s="38" t="s">
        <v>86</v>
      </c>
      <c r="L252" s="41" t="s">
        <v>166</v>
      </c>
      <c r="M252" s="38">
        <v>50</v>
      </c>
      <c r="N252" s="38">
        <v>2</v>
      </c>
      <c r="O252" s="149">
        <v>3140000</v>
      </c>
      <c r="P252" s="39">
        <v>46041</v>
      </c>
      <c r="Q252"/>
    </row>
    <row r="253" spans="1:18" ht="13.5" thickBot="1">
      <c r="A253" s="148"/>
      <c r="B253" s="180" t="s">
        <v>1602</v>
      </c>
      <c r="C253" s="39">
        <v>46037</v>
      </c>
      <c r="D253" s="42"/>
      <c r="E253" s="42"/>
      <c r="F253" s="38" t="s">
        <v>1605</v>
      </c>
      <c r="G253" s="38" t="s">
        <v>1606</v>
      </c>
      <c r="H253" s="39">
        <v>46037</v>
      </c>
      <c r="I253" s="42"/>
      <c r="J253" s="42" t="s">
        <v>355</v>
      </c>
      <c r="K253" s="38" t="s">
        <v>86</v>
      </c>
      <c r="L253" s="41" t="s">
        <v>1313</v>
      </c>
      <c r="M253" s="38">
        <v>7.5</v>
      </c>
      <c r="N253" s="38">
        <v>0</v>
      </c>
      <c r="O253" s="38">
        <v>0</v>
      </c>
      <c r="P253" s="39">
        <v>46041</v>
      </c>
      <c r="Q253"/>
    </row>
    <row r="254" spans="1:18" ht="13.5" thickBot="1">
      <c r="A254" s="265" t="s">
        <v>728</v>
      </c>
      <c r="B254" s="67">
        <v>10253</v>
      </c>
      <c r="C254" s="65">
        <v>46037</v>
      </c>
      <c r="D254" s="64"/>
      <c r="E254" s="226"/>
      <c r="F254" s="265" t="s">
        <v>1607</v>
      </c>
      <c r="G254" s="265" t="s">
        <v>1608</v>
      </c>
      <c r="H254" s="266">
        <v>46037</v>
      </c>
      <c r="I254" s="226"/>
      <c r="J254" s="267" t="s">
        <v>368</v>
      </c>
      <c r="K254" s="227" t="s">
        <v>142</v>
      </c>
      <c r="L254" s="268" t="s">
        <v>766</v>
      </c>
      <c r="M254" s="265">
        <v>50</v>
      </c>
      <c r="N254" s="265">
        <v>2</v>
      </c>
      <c r="O254" s="269">
        <v>8250000</v>
      </c>
      <c r="P254" s="266">
        <v>46041</v>
      </c>
      <c r="Q254" s="270" t="s">
        <v>728</v>
      </c>
      <c r="R254" s="270" t="s">
        <v>1877</v>
      </c>
    </row>
    <row r="255" spans="1:18" ht="13.5" thickBot="1">
      <c r="A255" s="162"/>
      <c r="B255" s="38" t="s">
        <v>775</v>
      </c>
      <c r="C255" s="39">
        <v>46036</v>
      </c>
      <c r="D255" s="42"/>
      <c r="E255" s="42"/>
      <c r="F255" s="38" t="s">
        <v>1609</v>
      </c>
      <c r="G255" s="38" t="s">
        <v>1610</v>
      </c>
      <c r="H255" s="39">
        <v>46037</v>
      </c>
      <c r="I255" s="42"/>
      <c r="J255" s="42" t="s">
        <v>1611</v>
      </c>
      <c r="K255" s="38" t="s">
        <v>366</v>
      </c>
      <c r="L255" s="41" t="s">
        <v>772</v>
      </c>
      <c r="M255" s="38">
        <v>10</v>
      </c>
      <c r="N255" s="38">
        <v>0</v>
      </c>
      <c r="O255" s="149">
        <v>550000</v>
      </c>
      <c r="P255" s="39">
        <v>46038</v>
      </c>
      <c r="Q255"/>
    </row>
    <row r="256" spans="1:18" ht="35" thickBot="1">
      <c r="A256" s="162"/>
      <c r="B256" s="38" t="s">
        <v>775</v>
      </c>
      <c r="C256" s="39">
        <v>46037</v>
      </c>
      <c r="D256" s="42"/>
      <c r="E256" s="42"/>
      <c r="F256" s="38" t="s">
        <v>1612</v>
      </c>
      <c r="G256" s="38" t="s">
        <v>1613</v>
      </c>
      <c r="H256" s="39">
        <v>46037</v>
      </c>
      <c r="I256" s="42"/>
      <c r="J256" s="42" t="s">
        <v>787</v>
      </c>
      <c r="K256" s="38" t="s">
        <v>1614</v>
      </c>
      <c r="L256" s="41" t="s">
        <v>906</v>
      </c>
      <c r="M256" s="38">
        <v>30</v>
      </c>
      <c r="N256" s="38">
        <v>1</v>
      </c>
      <c r="O256" s="149">
        <v>6900000</v>
      </c>
      <c r="P256" s="39">
        <v>46038</v>
      </c>
      <c r="Q256"/>
    </row>
    <row r="257" spans="1:18" ht="35" thickBot="1">
      <c r="A257" s="162"/>
      <c r="B257" s="38" t="s">
        <v>775</v>
      </c>
      <c r="C257" s="39">
        <v>46037</v>
      </c>
      <c r="D257" s="42"/>
      <c r="E257" s="42"/>
      <c r="F257" s="38" t="s">
        <v>1612</v>
      </c>
      <c r="G257" s="38" t="s">
        <v>1613</v>
      </c>
      <c r="H257" s="39">
        <v>46037</v>
      </c>
      <c r="I257" s="42"/>
      <c r="J257" s="42" t="s">
        <v>787</v>
      </c>
      <c r="K257" s="38" t="s">
        <v>1614</v>
      </c>
      <c r="L257" s="41" t="s">
        <v>772</v>
      </c>
      <c r="M257" s="38">
        <v>3</v>
      </c>
      <c r="N257" s="38">
        <v>0</v>
      </c>
      <c r="O257" s="149">
        <v>165000</v>
      </c>
      <c r="P257" s="39">
        <v>46038</v>
      </c>
      <c r="Q257"/>
    </row>
    <row r="258" spans="1:18" ht="35" thickBot="1">
      <c r="A258" s="162"/>
      <c r="B258" s="38" t="s">
        <v>775</v>
      </c>
      <c r="C258" s="39">
        <v>46037</v>
      </c>
      <c r="D258" s="42"/>
      <c r="E258" s="42"/>
      <c r="F258" s="38" t="s">
        <v>1615</v>
      </c>
      <c r="G258" s="38" t="s">
        <v>1616</v>
      </c>
      <c r="H258" s="39">
        <v>46037</v>
      </c>
      <c r="I258" s="42"/>
      <c r="J258" s="42" t="s">
        <v>787</v>
      </c>
      <c r="K258" s="38" t="s">
        <v>1614</v>
      </c>
      <c r="L258" s="41" t="s">
        <v>1313</v>
      </c>
      <c r="M258" s="38">
        <v>2.25</v>
      </c>
      <c r="N258" s="38">
        <v>0</v>
      </c>
      <c r="O258" s="38">
        <v>0</v>
      </c>
      <c r="P258" s="39">
        <v>46038</v>
      </c>
      <c r="Q258"/>
    </row>
    <row r="259" spans="1:18" ht="13.5" thickBot="1">
      <c r="A259" s="162"/>
      <c r="B259" s="38" t="s">
        <v>775</v>
      </c>
      <c r="C259" s="39">
        <v>46037</v>
      </c>
      <c r="D259" s="42"/>
      <c r="E259" s="42"/>
      <c r="F259" s="38" t="s">
        <v>1617</v>
      </c>
      <c r="G259" s="38" t="s">
        <v>1618</v>
      </c>
      <c r="H259" s="39">
        <v>46037</v>
      </c>
      <c r="I259" s="42"/>
      <c r="J259" s="42" t="s">
        <v>183</v>
      </c>
      <c r="K259" s="38" t="s">
        <v>168</v>
      </c>
      <c r="L259" s="41" t="s">
        <v>207</v>
      </c>
      <c r="M259" s="38">
        <v>7</v>
      </c>
      <c r="N259" s="38">
        <v>0</v>
      </c>
      <c r="O259" s="149">
        <v>3605000</v>
      </c>
      <c r="P259" s="39">
        <v>46038</v>
      </c>
      <c r="Q259"/>
    </row>
    <row r="260" spans="1:18" ht="25.5" thickBot="1">
      <c r="A260" s="148"/>
      <c r="B260" s="38" t="s">
        <v>1619</v>
      </c>
      <c r="C260" s="39">
        <v>46037</v>
      </c>
      <c r="D260" s="42"/>
      <c r="E260" s="42"/>
      <c r="F260" s="38" t="s">
        <v>1620</v>
      </c>
      <c r="G260" s="38" t="s">
        <v>1621</v>
      </c>
      <c r="H260" s="39">
        <v>46037</v>
      </c>
      <c r="I260" s="42"/>
      <c r="J260" s="42" t="s">
        <v>12</v>
      </c>
      <c r="K260" s="38" t="s">
        <v>176</v>
      </c>
      <c r="L260" s="41" t="s">
        <v>207</v>
      </c>
      <c r="M260" s="38">
        <v>5</v>
      </c>
      <c r="N260" s="38">
        <v>0</v>
      </c>
      <c r="O260" s="149">
        <v>2505880</v>
      </c>
      <c r="P260" s="39">
        <v>46041</v>
      </c>
      <c r="Q260"/>
    </row>
    <row r="261" spans="1:18" ht="25.5" thickBot="1">
      <c r="A261" s="148"/>
      <c r="B261" s="38" t="s">
        <v>1619</v>
      </c>
      <c r="C261" s="39">
        <v>46037</v>
      </c>
      <c r="D261" s="42"/>
      <c r="E261" s="42"/>
      <c r="F261" s="38" t="s">
        <v>1620</v>
      </c>
      <c r="G261" s="38" t="s">
        <v>1621</v>
      </c>
      <c r="H261" s="39">
        <v>46037</v>
      </c>
      <c r="I261" s="42"/>
      <c r="J261" s="42" t="s">
        <v>12</v>
      </c>
      <c r="K261" s="38" t="s">
        <v>176</v>
      </c>
      <c r="L261" s="41" t="s">
        <v>766</v>
      </c>
      <c r="M261" s="38">
        <v>10</v>
      </c>
      <c r="N261" s="38">
        <v>0</v>
      </c>
      <c r="O261" s="149">
        <v>1600000</v>
      </c>
      <c r="P261" s="39">
        <v>46041</v>
      </c>
      <c r="Q261"/>
    </row>
    <row r="262" spans="1:18" ht="13.5" thickBot="1">
      <c r="A262" s="148"/>
      <c r="B262" s="38">
        <v>31289</v>
      </c>
      <c r="C262" s="39">
        <v>46037</v>
      </c>
      <c r="D262" s="40">
        <v>0.75277777777777777</v>
      </c>
      <c r="E262" s="42"/>
      <c r="F262" s="38" t="s">
        <v>1622</v>
      </c>
      <c r="G262" s="38" t="s">
        <v>1623</v>
      </c>
      <c r="H262" s="39">
        <v>46038</v>
      </c>
      <c r="I262" s="40">
        <v>0.45416666666666666</v>
      </c>
      <c r="J262" s="42" t="s">
        <v>148</v>
      </c>
      <c r="K262" s="38" t="s">
        <v>770</v>
      </c>
      <c r="L262" s="41" t="s">
        <v>221</v>
      </c>
      <c r="M262" s="38">
        <v>7</v>
      </c>
      <c r="N262" s="38">
        <v>0</v>
      </c>
      <c r="O262" s="149">
        <v>9800000</v>
      </c>
      <c r="P262" s="39">
        <v>46041</v>
      </c>
      <c r="Q262"/>
    </row>
    <row r="263" spans="1:18" s="206" customFormat="1" ht="23.5" thickBot="1">
      <c r="A263" s="259" t="s">
        <v>109</v>
      </c>
      <c r="B263" s="202" t="s">
        <v>1624</v>
      </c>
      <c r="C263" s="203">
        <v>46038</v>
      </c>
      <c r="D263" s="204">
        <v>0.33819444444444446</v>
      </c>
      <c r="E263" s="223"/>
      <c r="F263" s="259" t="s">
        <v>1625</v>
      </c>
      <c r="G263" s="259" t="s">
        <v>488</v>
      </c>
      <c r="H263" s="260">
        <v>46038</v>
      </c>
      <c r="I263" s="232">
        <v>0.46319444444444446</v>
      </c>
      <c r="J263" s="261" t="s">
        <v>323</v>
      </c>
      <c r="K263" s="224" t="s">
        <v>1626</v>
      </c>
      <c r="L263" s="262" t="s">
        <v>1323</v>
      </c>
      <c r="M263" s="259">
        <v>100</v>
      </c>
      <c r="N263" s="259">
        <v>100</v>
      </c>
      <c r="O263" s="263">
        <v>6020000</v>
      </c>
      <c r="P263" s="260">
        <v>46039</v>
      </c>
      <c r="Q263" s="286" t="s">
        <v>1854</v>
      </c>
      <c r="R263" s="286" t="s">
        <v>1855</v>
      </c>
    </row>
    <row r="264" spans="1:18" s="206" customFormat="1" ht="23.5" thickBot="1">
      <c r="A264" s="259" t="s">
        <v>109</v>
      </c>
      <c r="B264" s="202" t="s">
        <v>1624</v>
      </c>
      <c r="C264" s="203">
        <v>46038</v>
      </c>
      <c r="D264" s="204">
        <v>0.33819444444444446</v>
      </c>
      <c r="E264" s="223"/>
      <c r="F264" s="259" t="s">
        <v>1627</v>
      </c>
      <c r="G264" s="259" t="s">
        <v>488</v>
      </c>
      <c r="H264" s="260">
        <v>46038</v>
      </c>
      <c r="I264" s="232">
        <v>0.46319444444444446</v>
      </c>
      <c r="J264" s="261" t="s">
        <v>323</v>
      </c>
      <c r="K264" s="224" t="s">
        <v>1626</v>
      </c>
      <c r="L264" s="262" t="s">
        <v>1313</v>
      </c>
      <c r="M264" s="259">
        <v>7.5</v>
      </c>
      <c r="N264" s="259">
        <v>100</v>
      </c>
      <c r="O264" s="259">
        <v>0</v>
      </c>
      <c r="P264" s="260">
        <v>46039</v>
      </c>
      <c r="Q264" s="286" t="s">
        <v>1854</v>
      </c>
      <c r="R264" s="286" t="s">
        <v>1855</v>
      </c>
    </row>
    <row r="265" spans="1:18" ht="13.5" thickBot="1">
      <c r="A265" s="148"/>
      <c r="B265" s="38">
        <v>4500086201</v>
      </c>
      <c r="C265" s="39">
        <v>46037</v>
      </c>
      <c r="D265" s="40">
        <v>0.7729166666666667</v>
      </c>
      <c r="E265" s="42"/>
      <c r="F265" s="38" t="s">
        <v>1628</v>
      </c>
      <c r="G265" s="38" t="s">
        <v>1629</v>
      </c>
      <c r="H265" s="39">
        <v>46038</v>
      </c>
      <c r="I265" s="40">
        <v>0.52222222222222225</v>
      </c>
      <c r="J265" s="42" t="s">
        <v>762</v>
      </c>
      <c r="K265" s="38" t="s">
        <v>83</v>
      </c>
      <c r="L265" s="41" t="s">
        <v>767</v>
      </c>
      <c r="M265" s="38">
        <v>400</v>
      </c>
      <c r="N265" s="38">
        <v>16</v>
      </c>
      <c r="O265" s="149">
        <v>21168000</v>
      </c>
      <c r="P265" s="39">
        <v>46042</v>
      </c>
      <c r="Q265"/>
    </row>
    <row r="266" spans="1:18" ht="13.5" thickBot="1">
      <c r="A266" s="148"/>
      <c r="B266" s="38">
        <v>4500086201</v>
      </c>
      <c r="C266" s="39">
        <v>46037</v>
      </c>
      <c r="D266" s="40">
        <v>0.7729166666666667</v>
      </c>
      <c r="E266" s="42"/>
      <c r="F266" s="38" t="s">
        <v>1628</v>
      </c>
      <c r="G266" s="38" t="s">
        <v>1629</v>
      </c>
      <c r="H266" s="39">
        <v>46038</v>
      </c>
      <c r="I266" s="40">
        <v>0.52222222222222225</v>
      </c>
      <c r="J266" s="42" t="s">
        <v>762</v>
      </c>
      <c r="K266" s="38" t="s">
        <v>83</v>
      </c>
      <c r="L266" s="41" t="s">
        <v>339</v>
      </c>
      <c r="M266" s="38">
        <v>75</v>
      </c>
      <c r="N266" s="38">
        <v>3</v>
      </c>
      <c r="O266" s="149">
        <v>9375000</v>
      </c>
      <c r="P266" s="39">
        <v>46042</v>
      </c>
      <c r="Q266"/>
    </row>
    <row r="267" spans="1:18" ht="13.5" thickBot="1">
      <c r="A267" s="148"/>
      <c r="B267" s="38">
        <v>4500086201</v>
      </c>
      <c r="C267" s="39">
        <v>46037</v>
      </c>
      <c r="D267" s="40">
        <v>0.7729166666666667</v>
      </c>
      <c r="E267" s="42"/>
      <c r="F267" s="38" t="s">
        <v>1628</v>
      </c>
      <c r="G267" s="38" t="s">
        <v>1629</v>
      </c>
      <c r="H267" s="39">
        <v>46038</v>
      </c>
      <c r="I267" s="40">
        <v>0.52222222222222225</v>
      </c>
      <c r="J267" s="42" t="s">
        <v>762</v>
      </c>
      <c r="K267" s="38" t="s">
        <v>83</v>
      </c>
      <c r="L267" s="41" t="s">
        <v>151</v>
      </c>
      <c r="M267" s="38">
        <v>500</v>
      </c>
      <c r="N267" s="38">
        <v>20</v>
      </c>
      <c r="O267" s="149">
        <v>30850000</v>
      </c>
      <c r="P267" s="39">
        <v>46042</v>
      </c>
      <c r="Q267"/>
    </row>
    <row r="268" spans="1:18" ht="13.5" thickBot="1">
      <c r="A268" s="148"/>
      <c r="B268" s="38">
        <v>4500086201</v>
      </c>
      <c r="C268" s="39">
        <v>46037</v>
      </c>
      <c r="D268" s="40">
        <v>0.7729166666666667</v>
      </c>
      <c r="E268" s="42"/>
      <c r="F268" s="38" t="s">
        <v>1628</v>
      </c>
      <c r="G268" s="38" t="s">
        <v>1629</v>
      </c>
      <c r="H268" s="39">
        <v>46038</v>
      </c>
      <c r="I268" s="40">
        <v>0.52222222222222225</v>
      </c>
      <c r="J268" s="42" t="s">
        <v>762</v>
      </c>
      <c r="K268" s="38" t="s">
        <v>83</v>
      </c>
      <c r="L268" s="41" t="s">
        <v>1431</v>
      </c>
      <c r="M268" s="38">
        <v>400</v>
      </c>
      <c r="N268" s="38">
        <v>16</v>
      </c>
      <c r="O268" s="149">
        <v>7604000</v>
      </c>
      <c r="P268" s="39">
        <v>46042</v>
      </c>
      <c r="Q268"/>
    </row>
    <row r="269" spans="1:18" ht="13.5" thickBot="1">
      <c r="A269" s="148"/>
      <c r="B269" s="38">
        <v>4500086201</v>
      </c>
      <c r="C269" s="39">
        <v>46037</v>
      </c>
      <c r="D269" s="40">
        <v>0.7729166666666667</v>
      </c>
      <c r="E269" s="42"/>
      <c r="F269" s="38" t="s">
        <v>1628</v>
      </c>
      <c r="G269" s="38" t="s">
        <v>1629</v>
      </c>
      <c r="H269" s="39">
        <v>46038</v>
      </c>
      <c r="I269" s="40">
        <v>0.52222222222222225</v>
      </c>
      <c r="J269" s="42" t="s">
        <v>762</v>
      </c>
      <c r="K269" s="38" t="s">
        <v>83</v>
      </c>
      <c r="L269" s="41" t="s">
        <v>768</v>
      </c>
      <c r="M269" s="38">
        <v>100</v>
      </c>
      <c r="N269" s="38">
        <v>4</v>
      </c>
      <c r="O269" s="149">
        <v>12230000</v>
      </c>
      <c r="P269" s="39">
        <v>46042</v>
      </c>
      <c r="Q269"/>
    </row>
    <row r="270" spans="1:18" ht="13.5" thickBot="1">
      <c r="A270" s="148"/>
      <c r="B270" s="38">
        <v>4500086201</v>
      </c>
      <c r="C270" s="39">
        <v>46037</v>
      </c>
      <c r="D270" s="40">
        <v>0.7729166666666667</v>
      </c>
      <c r="E270" s="42"/>
      <c r="F270" s="38" t="s">
        <v>1628</v>
      </c>
      <c r="G270" s="38" t="s">
        <v>1629</v>
      </c>
      <c r="H270" s="39">
        <v>46038</v>
      </c>
      <c r="I270" s="40">
        <v>0.52222222222222225</v>
      </c>
      <c r="J270" s="42" t="s">
        <v>762</v>
      </c>
      <c r="K270" s="38" t="s">
        <v>83</v>
      </c>
      <c r="L270" s="41" t="s">
        <v>779</v>
      </c>
      <c r="M270" s="38">
        <v>800</v>
      </c>
      <c r="N270" s="38">
        <v>32</v>
      </c>
      <c r="O270" s="149">
        <v>24160000</v>
      </c>
      <c r="P270" s="39">
        <v>46042</v>
      </c>
      <c r="Q270"/>
    </row>
    <row r="271" spans="1:18" ht="13.5" thickBot="1">
      <c r="A271" s="148"/>
      <c r="B271" s="38">
        <v>4500086201</v>
      </c>
      <c r="C271" s="39">
        <v>46037</v>
      </c>
      <c r="D271" s="40">
        <v>0.7729166666666667</v>
      </c>
      <c r="E271" s="42"/>
      <c r="F271" s="38" t="s">
        <v>1628</v>
      </c>
      <c r="G271" s="38" t="s">
        <v>1629</v>
      </c>
      <c r="H271" s="39">
        <v>46038</v>
      </c>
      <c r="I271" s="40">
        <v>0.52222222222222225</v>
      </c>
      <c r="J271" s="42" t="s">
        <v>762</v>
      </c>
      <c r="K271" s="38" t="s">
        <v>83</v>
      </c>
      <c r="L271" s="41" t="s">
        <v>194</v>
      </c>
      <c r="M271" s="38">
        <v>500</v>
      </c>
      <c r="N271" s="38">
        <v>20</v>
      </c>
      <c r="O271" s="149">
        <v>8800000</v>
      </c>
      <c r="P271" s="39">
        <v>46042</v>
      </c>
      <c r="Q271"/>
    </row>
    <row r="272" spans="1:18" ht="13.5" thickBot="1">
      <c r="A272" s="148"/>
      <c r="B272" s="38">
        <v>4500086201</v>
      </c>
      <c r="C272" s="39">
        <v>46037</v>
      </c>
      <c r="D272" s="40">
        <v>0.7729166666666667</v>
      </c>
      <c r="E272" s="42"/>
      <c r="F272" s="38" t="s">
        <v>1628</v>
      </c>
      <c r="G272" s="38" t="s">
        <v>1629</v>
      </c>
      <c r="H272" s="39">
        <v>46038</v>
      </c>
      <c r="I272" s="40">
        <v>0.52222222222222225</v>
      </c>
      <c r="J272" s="42" t="s">
        <v>762</v>
      </c>
      <c r="K272" s="38" t="s">
        <v>83</v>
      </c>
      <c r="L272" s="41" t="s">
        <v>930</v>
      </c>
      <c r="M272" s="38">
        <v>200</v>
      </c>
      <c r="N272" s="38">
        <v>8</v>
      </c>
      <c r="O272" s="149">
        <v>88000000</v>
      </c>
      <c r="P272" s="39">
        <v>46042</v>
      </c>
      <c r="Q272"/>
    </row>
    <row r="273" spans="1:18" ht="13.5" thickBot="1">
      <c r="A273" s="148"/>
      <c r="B273" s="38">
        <v>4500086201</v>
      </c>
      <c r="C273" s="39">
        <v>46037</v>
      </c>
      <c r="D273" s="40">
        <v>0.7729166666666667</v>
      </c>
      <c r="E273" s="42"/>
      <c r="F273" s="38" t="s">
        <v>1630</v>
      </c>
      <c r="G273" s="38" t="s">
        <v>1631</v>
      </c>
      <c r="H273" s="39">
        <v>46038</v>
      </c>
      <c r="I273" s="40">
        <v>0.52222222222222225</v>
      </c>
      <c r="J273" s="42" t="s">
        <v>762</v>
      </c>
      <c r="K273" s="38" t="s">
        <v>83</v>
      </c>
      <c r="L273" s="41" t="s">
        <v>111</v>
      </c>
      <c r="M273" s="38">
        <v>4000</v>
      </c>
      <c r="N273" s="38">
        <v>160</v>
      </c>
      <c r="O273" s="149">
        <v>96000000</v>
      </c>
      <c r="P273" s="39">
        <v>46042</v>
      </c>
      <c r="Q273"/>
    </row>
    <row r="274" spans="1:18" ht="13.5" thickBot="1">
      <c r="A274" s="148"/>
      <c r="B274" s="149">
        <v>98680</v>
      </c>
      <c r="C274" s="39">
        <v>46038</v>
      </c>
      <c r="D274" s="40">
        <v>0.40555555555555556</v>
      </c>
      <c r="E274" s="42"/>
      <c r="F274" s="38" t="s">
        <v>1632</v>
      </c>
      <c r="G274" s="38" t="s">
        <v>1633</v>
      </c>
      <c r="H274" s="39">
        <v>46038</v>
      </c>
      <c r="I274" s="40">
        <v>0.54652777777777772</v>
      </c>
      <c r="J274" s="42" t="s">
        <v>231</v>
      </c>
      <c r="K274" s="38" t="s">
        <v>142</v>
      </c>
      <c r="L274" s="41" t="s">
        <v>207</v>
      </c>
      <c r="M274" s="38">
        <v>51.5</v>
      </c>
      <c r="N274" s="38">
        <v>103</v>
      </c>
      <c r="O274" s="149">
        <v>25492500</v>
      </c>
      <c r="P274" s="39">
        <v>46043</v>
      </c>
      <c r="Q274"/>
    </row>
    <row r="275" spans="1:18" ht="13.5" thickBot="1">
      <c r="A275" s="148"/>
      <c r="B275" s="149">
        <v>98680</v>
      </c>
      <c r="C275" s="39">
        <v>46038</v>
      </c>
      <c r="D275" s="40">
        <v>0.40555555555555556</v>
      </c>
      <c r="E275" s="42"/>
      <c r="F275" s="38" t="s">
        <v>1632</v>
      </c>
      <c r="G275" s="38" t="s">
        <v>1633</v>
      </c>
      <c r="H275" s="39">
        <v>46038</v>
      </c>
      <c r="I275" s="40">
        <v>0.54652777777777772</v>
      </c>
      <c r="J275" s="42" t="s">
        <v>231</v>
      </c>
      <c r="K275" s="38" t="s">
        <v>142</v>
      </c>
      <c r="L275" s="41" t="s">
        <v>230</v>
      </c>
      <c r="M275" s="38">
        <v>414</v>
      </c>
      <c r="N275" s="149">
        <v>1900</v>
      </c>
      <c r="O275" s="149">
        <v>40240800</v>
      </c>
      <c r="P275" s="39">
        <v>46043</v>
      </c>
      <c r="Q275"/>
    </row>
    <row r="276" spans="1:18" ht="13.5" thickBot="1">
      <c r="A276" s="253" t="s">
        <v>117</v>
      </c>
      <c r="B276" s="151">
        <v>98680</v>
      </c>
      <c r="C276" s="53">
        <v>46038</v>
      </c>
      <c r="D276" s="54">
        <v>0.40555555555555556</v>
      </c>
      <c r="E276" s="221"/>
      <c r="F276" s="253" t="s">
        <v>1632</v>
      </c>
      <c r="G276" s="253" t="s">
        <v>1634</v>
      </c>
      <c r="H276" s="255">
        <v>46038</v>
      </c>
      <c r="I276" s="225">
        <v>0.54652777777777772</v>
      </c>
      <c r="J276" s="254" t="s">
        <v>231</v>
      </c>
      <c r="K276" s="222" t="s">
        <v>142</v>
      </c>
      <c r="L276" s="256" t="s">
        <v>230</v>
      </c>
      <c r="M276" s="253">
        <v>477</v>
      </c>
      <c r="N276" s="257">
        <v>1900</v>
      </c>
      <c r="O276" s="257">
        <v>46364400</v>
      </c>
      <c r="P276" s="255">
        <v>46043</v>
      </c>
      <c r="Q276" s="271" t="s">
        <v>1859</v>
      </c>
      <c r="R276" s="271" t="s">
        <v>1867</v>
      </c>
    </row>
    <row r="277" spans="1:18" ht="13.5" thickBot="1">
      <c r="A277" s="253" t="s">
        <v>117</v>
      </c>
      <c r="B277" s="151">
        <v>98680</v>
      </c>
      <c r="C277" s="53">
        <v>46038</v>
      </c>
      <c r="D277" s="54">
        <v>0.40555555555555556</v>
      </c>
      <c r="E277" s="221"/>
      <c r="F277" s="253" t="s">
        <v>1632</v>
      </c>
      <c r="G277" s="254"/>
      <c r="H277" s="255">
        <v>46038</v>
      </c>
      <c r="I277" s="225">
        <v>0.54652777777777772</v>
      </c>
      <c r="J277" s="254" t="s">
        <v>231</v>
      </c>
      <c r="K277" s="222" t="s">
        <v>142</v>
      </c>
      <c r="L277" s="256" t="s">
        <v>230</v>
      </c>
      <c r="M277" s="253">
        <v>59</v>
      </c>
      <c r="N277" s="257">
        <v>1900</v>
      </c>
      <c r="O277" s="257">
        <v>5734800</v>
      </c>
      <c r="P277" s="255">
        <v>46043</v>
      </c>
      <c r="Q277" s="271" t="s">
        <v>1859</v>
      </c>
      <c r="R277" s="271" t="s">
        <v>1867</v>
      </c>
    </row>
    <row r="278" spans="1:18" ht="13.5" thickBot="1">
      <c r="A278" s="148"/>
      <c r="B278" s="149">
        <v>98680</v>
      </c>
      <c r="C278" s="39">
        <v>46038</v>
      </c>
      <c r="D278" s="40">
        <v>0.40555555555555556</v>
      </c>
      <c r="E278" s="42"/>
      <c r="F278" s="38" t="s">
        <v>1632</v>
      </c>
      <c r="G278" s="38" t="s">
        <v>1633</v>
      </c>
      <c r="H278" s="39">
        <v>46038</v>
      </c>
      <c r="I278" s="40">
        <v>0.54652777777777772</v>
      </c>
      <c r="J278" s="42" t="s">
        <v>231</v>
      </c>
      <c r="K278" s="38" t="s">
        <v>142</v>
      </c>
      <c r="L278" s="41" t="s">
        <v>772</v>
      </c>
      <c r="M278" s="38">
        <v>127</v>
      </c>
      <c r="N278" s="38">
        <v>5</v>
      </c>
      <c r="O278" s="149">
        <v>7620000</v>
      </c>
      <c r="P278" s="39">
        <v>46043</v>
      </c>
      <c r="Q278"/>
    </row>
    <row r="279" spans="1:18" ht="13.5" thickBot="1">
      <c r="A279" s="148"/>
      <c r="B279" s="149">
        <v>98680</v>
      </c>
      <c r="C279" s="39">
        <v>46038</v>
      </c>
      <c r="D279" s="40">
        <v>0.40555555555555556</v>
      </c>
      <c r="E279" s="42"/>
      <c r="F279" s="38" t="s">
        <v>1632</v>
      </c>
      <c r="G279" s="38" t="s">
        <v>1633</v>
      </c>
      <c r="H279" s="39">
        <v>46038</v>
      </c>
      <c r="I279" s="40">
        <v>0.54652777777777772</v>
      </c>
      <c r="J279" s="42" t="s">
        <v>231</v>
      </c>
      <c r="K279" s="38" t="s">
        <v>142</v>
      </c>
      <c r="L279" s="41" t="s">
        <v>766</v>
      </c>
      <c r="M279" s="38">
        <v>265</v>
      </c>
      <c r="N279" s="38">
        <v>11</v>
      </c>
      <c r="O279" s="149">
        <v>7620000</v>
      </c>
      <c r="P279" s="39">
        <v>46043</v>
      </c>
      <c r="Q279"/>
    </row>
    <row r="280" spans="1:18" ht="13.5" thickBot="1">
      <c r="A280" s="148"/>
      <c r="B280" s="149">
        <v>98680</v>
      </c>
      <c r="C280" s="39">
        <v>46038</v>
      </c>
      <c r="D280" s="40">
        <v>0.40555555555555556</v>
      </c>
      <c r="E280" s="42"/>
      <c r="F280" s="38" t="s">
        <v>1632</v>
      </c>
      <c r="G280" s="38" t="s">
        <v>1633</v>
      </c>
      <c r="H280" s="39">
        <v>46038</v>
      </c>
      <c r="I280" s="40">
        <v>0.54652777777777772</v>
      </c>
      <c r="J280" s="42" t="s">
        <v>231</v>
      </c>
      <c r="K280" s="38" t="s">
        <v>142</v>
      </c>
      <c r="L280" s="41" t="s">
        <v>1281</v>
      </c>
      <c r="M280" s="38">
        <v>280</v>
      </c>
      <c r="N280" s="38">
        <v>11</v>
      </c>
      <c r="O280" s="149">
        <v>10878000</v>
      </c>
      <c r="P280" s="39">
        <v>46043</v>
      </c>
      <c r="Q280"/>
    </row>
    <row r="281" spans="1:18" ht="13.5" thickBot="1">
      <c r="A281" s="148"/>
      <c r="B281" s="149">
        <v>98681</v>
      </c>
      <c r="C281" s="39">
        <v>46038</v>
      </c>
      <c r="D281" s="40">
        <v>0.40555555555555556</v>
      </c>
      <c r="E281" s="42"/>
      <c r="F281" s="38" t="s">
        <v>1635</v>
      </c>
      <c r="G281" s="38" t="s">
        <v>1636</v>
      </c>
      <c r="H281" s="39">
        <v>46038</v>
      </c>
      <c r="I281" s="40">
        <v>0.5493055555555556</v>
      </c>
      <c r="J281" s="42" t="s">
        <v>776</v>
      </c>
      <c r="K281" s="38" t="s">
        <v>142</v>
      </c>
      <c r="L281" s="41" t="s">
        <v>230</v>
      </c>
      <c r="M281" s="38">
        <v>2</v>
      </c>
      <c r="N281" s="38">
        <v>4</v>
      </c>
      <c r="O281" s="149">
        <v>97200000</v>
      </c>
      <c r="P281" s="39">
        <v>46043</v>
      </c>
      <c r="Q281"/>
    </row>
    <row r="282" spans="1:18" ht="13.5" thickBot="1">
      <c r="A282" s="253" t="s">
        <v>117</v>
      </c>
      <c r="B282" s="151">
        <v>98681</v>
      </c>
      <c r="C282" s="53">
        <v>46038</v>
      </c>
      <c r="D282" s="54">
        <v>0.40555555555555556</v>
      </c>
      <c r="E282" s="221"/>
      <c r="F282" s="253" t="s">
        <v>1635</v>
      </c>
      <c r="G282" s="253" t="s">
        <v>1637</v>
      </c>
      <c r="H282" s="255">
        <v>46038</v>
      </c>
      <c r="I282" s="225">
        <v>0.5493055555555556</v>
      </c>
      <c r="J282" s="254" t="s">
        <v>776</v>
      </c>
      <c r="K282" s="222" t="s">
        <v>142</v>
      </c>
      <c r="L282" s="256" t="s">
        <v>230</v>
      </c>
      <c r="M282" s="253">
        <v>988</v>
      </c>
      <c r="N282" s="257">
        <v>1986</v>
      </c>
      <c r="O282" s="257">
        <v>97200000</v>
      </c>
      <c r="P282" s="255">
        <v>46043</v>
      </c>
      <c r="Q282" s="271" t="s">
        <v>1859</v>
      </c>
      <c r="R282" s="271" t="s">
        <v>1867</v>
      </c>
    </row>
    <row r="283" spans="1:18" ht="13.5" thickBot="1">
      <c r="A283" s="148"/>
      <c r="B283" s="149">
        <v>98681</v>
      </c>
      <c r="C283" s="39">
        <v>46038</v>
      </c>
      <c r="D283" s="40">
        <v>0.40555555555555556</v>
      </c>
      <c r="E283" s="42"/>
      <c r="F283" s="38" t="s">
        <v>1635</v>
      </c>
      <c r="G283" s="38" t="s">
        <v>1636</v>
      </c>
      <c r="H283" s="39">
        <v>46038</v>
      </c>
      <c r="I283" s="40">
        <v>0.5493055555555556</v>
      </c>
      <c r="J283" s="42" t="s">
        <v>776</v>
      </c>
      <c r="K283" s="38" t="s">
        <v>142</v>
      </c>
      <c r="L283" s="41" t="s">
        <v>772</v>
      </c>
      <c r="M283" s="38">
        <v>45</v>
      </c>
      <c r="N283" s="38">
        <v>2</v>
      </c>
      <c r="O283" s="149">
        <v>2700000</v>
      </c>
      <c r="P283" s="39">
        <v>46043</v>
      </c>
      <c r="Q283"/>
    </row>
    <row r="284" spans="1:18" s="196" customFormat="1" ht="13.5" thickBot="1">
      <c r="A284" s="191"/>
      <c r="B284" s="198">
        <v>98681</v>
      </c>
      <c r="C284" s="195">
        <v>46038</v>
      </c>
      <c r="D284" s="208">
        <v>0.40555555555555556</v>
      </c>
      <c r="E284" s="192"/>
      <c r="F284" s="193" t="s">
        <v>1635</v>
      </c>
      <c r="G284" s="193" t="s">
        <v>1638</v>
      </c>
      <c r="H284" s="195">
        <v>46038</v>
      </c>
      <c r="I284" s="208">
        <v>0.5493055555555556</v>
      </c>
      <c r="J284" s="192" t="s">
        <v>776</v>
      </c>
      <c r="K284" s="193" t="s">
        <v>142</v>
      </c>
      <c r="L284" s="194" t="s">
        <v>766</v>
      </c>
      <c r="M284" s="193">
        <v>8</v>
      </c>
      <c r="N284" s="193">
        <v>208</v>
      </c>
      <c r="O284" s="198">
        <v>30160000</v>
      </c>
      <c r="P284" s="195">
        <v>46043</v>
      </c>
      <c r="Q284" s="211"/>
      <c r="R284" s="211"/>
    </row>
    <row r="285" spans="1:18" ht="13.5" thickBot="1">
      <c r="A285" s="148"/>
      <c r="B285" s="149">
        <v>98681</v>
      </c>
      <c r="C285" s="39">
        <v>46038</v>
      </c>
      <c r="D285" s="40">
        <v>0.40555555555555556</v>
      </c>
      <c r="E285" s="42"/>
      <c r="F285" s="38" t="s">
        <v>1635</v>
      </c>
      <c r="G285" s="38" t="s">
        <v>1636</v>
      </c>
      <c r="H285" s="39">
        <v>46038</v>
      </c>
      <c r="I285" s="40">
        <v>0.5493055555555556</v>
      </c>
      <c r="J285" s="42" t="s">
        <v>776</v>
      </c>
      <c r="K285" s="38" t="s">
        <v>142</v>
      </c>
      <c r="L285" s="41" t="s">
        <v>766</v>
      </c>
      <c r="M285" s="38">
        <v>200</v>
      </c>
      <c r="N285" s="38">
        <v>208</v>
      </c>
      <c r="O285" s="149">
        <v>30160000</v>
      </c>
      <c r="P285" s="39">
        <v>46043</v>
      </c>
      <c r="Q285"/>
    </row>
    <row r="286" spans="1:18" ht="13.5" thickBot="1">
      <c r="A286" s="148"/>
      <c r="B286" s="42"/>
      <c r="C286" s="42"/>
      <c r="D286" s="42"/>
      <c r="E286" s="42"/>
      <c r="F286" s="38" t="s">
        <v>1496</v>
      </c>
      <c r="G286" s="38" t="s">
        <v>1497</v>
      </c>
      <c r="H286" s="42"/>
      <c r="I286" s="42"/>
      <c r="J286" s="42" t="s">
        <v>1451</v>
      </c>
      <c r="K286" s="42"/>
      <c r="L286" s="41" t="s">
        <v>230</v>
      </c>
      <c r="M286" s="38">
        <v>6</v>
      </c>
      <c r="N286" s="38">
        <v>0</v>
      </c>
      <c r="O286" s="149">
        <v>690000</v>
      </c>
      <c r="P286" s="39">
        <v>46035</v>
      </c>
      <c r="Q286"/>
    </row>
    <row r="287" spans="1:18" s="196" customFormat="1" ht="13.5" thickBot="1">
      <c r="A287" s="199"/>
      <c r="B287" s="192"/>
      <c r="C287" s="192"/>
      <c r="D287" s="192"/>
      <c r="E287" s="192"/>
      <c r="F287" s="192"/>
      <c r="G287" s="192"/>
      <c r="H287" s="192"/>
      <c r="I287" s="192"/>
      <c r="J287" s="192" t="s">
        <v>1451</v>
      </c>
      <c r="K287" s="192"/>
      <c r="L287" s="194" t="s">
        <v>230</v>
      </c>
      <c r="M287" s="193">
        <v>6</v>
      </c>
      <c r="N287" s="193">
        <v>0</v>
      </c>
      <c r="O287" s="198">
        <v>690000</v>
      </c>
      <c r="P287" s="192"/>
      <c r="R287" s="197"/>
    </row>
    <row r="288" spans="1:18" ht="23.5" thickBot="1">
      <c r="A288" s="148"/>
      <c r="B288" s="38">
        <v>5504044879</v>
      </c>
      <c r="C288" s="39">
        <v>46035</v>
      </c>
      <c r="D288" s="42"/>
      <c r="E288" s="42"/>
      <c r="F288" s="38" t="s">
        <v>1639</v>
      </c>
      <c r="G288" s="38" t="s">
        <v>1640</v>
      </c>
      <c r="H288" s="39">
        <v>46038</v>
      </c>
      <c r="I288" s="40">
        <v>0.7006944444444444</v>
      </c>
      <c r="J288" s="42" t="s">
        <v>52</v>
      </c>
      <c r="K288" s="38" t="s">
        <v>1531</v>
      </c>
      <c r="L288" s="41" t="s">
        <v>161</v>
      </c>
      <c r="M288" s="38">
        <v>80</v>
      </c>
      <c r="N288" s="38">
        <v>3</v>
      </c>
      <c r="O288" s="149">
        <v>11400000</v>
      </c>
      <c r="P288" s="39">
        <v>46042</v>
      </c>
      <c r="Q288"/>
    </row>
    <row r="289" spans="1:18" ht="25.5" thickBot="1">
      <c r="A289" s="148"/>
      <c r="B289" s="42"/>
      <c r="C289" s="39">
        <v>46039</v>
      </c>
      <c r="D289" s="40">
        <v>0.41597222222222224</v>
      </c>
      <c r="E289" s="42"/>
      <c r="F289" s="38" t="s">
        <v>1641</v>
      </c>
      <c r="G289" s="38" t="s">
        <v>1642</v>
      </c>
      <c r="H289" s="39">
        <v>46041</v>
      </c>
      <c r="I289" s="40">
        <v>0.37291666666666667</v>
      </c>
      <c r="J289" s="42" t="s">
        <v>1355</v>
      </c>
      <c r="K289" s="38" t="s">
        <v>377</v>
      </c>
      <c r="L289" s="41" t="s">
        <v>1208</v>
      </c>
      <c r="M289" s="38">
        <v>600</v>
      </c>
      <c r="N289" s="38">
        <v>24</v>
      </c>
      <c r="O289" s="149">
        <v>9480000</v>
      </c>
      <c r="P289" s="39">
        <v>46041</v>
      </c>
      <c r="Q289"/>
    </row>
    <row r="290" spans="1:18" ht="13.5" thickBot="1">
      <c r="A290" s="148"/>
      <c r="B290" s="42"/>
      <c r="C290" s="39">
        <v>46041</v>
      </c>
      <c r="D290" s="40">
        <v>0.40902777777777777</v>
      </c>
      <c r="E290" s="42"/>
      <c r="F290" s="38" t="s">
        <v>1643</v>
      </c>
      <c r="G290" s="38" t="s">
        <v>1644</v>
      </c>
      <c r="H290" s="39">
        <v>46041</v>
      </c>
      <c r="I290" s="40">
        <v>0.43888888888888888</v>
      </c>
      <c r="J290" s="42" t="s">
        <v>45</v>
      </c>
      <c r="K290" s="38" t="s">
        <v>78</v>
      </c>
      <c r="L290" s="41" t="s">
        <v>161</v>
      </c>
      <c r="M290" s="38">
        <v>5</v>
      </c>
      <c r="N290" s="38">
        <v>0</v>
      </c>
      <c r="O290" s="149">
        <v>850000</v>
      </c>
      <c r="P290" s="39">
        <v>46041</v>
      </c>
      <c r="Q290"/>
    </row>
    <row r="291" spans="1:18" ht="25.5" thickBot="1">
      <c r="A291" s="148"/>
      <c r="B291" s="42"/>
      <c r="C291" s="39">
        <v>46041</v>
      </c>
      <c r="D291" s="40">
        <v>0.34930555555555554</v>
      </c>
      <c r="E291" s="42"/>
      <c r="F291" s="38" t="s">
        <v>1645</v>
      </c>
      <c r="G291" s="38" t="s">
        <v>1646</v>
      </c>
      <c r="H291" s="39">
        <v>46041</v>
      </c>
      <c r="I291" s="40">
        <v>0.44722222222222224</v>
      </c>
      <c r="J291" s="42" t="s">
        <v>1647</v>
      </c>
      <c r="K291" s="38" t="s">
        <v>78</v>
      </c>
      <c r="L291" s="41" t="s">
        <v>207</v>
      </c>
      <c r="M291" s="38">
        <v>1</v>
      </c>
      <c r="N291" s="38">
        <v>0</v>
      </c>
      <c r="O291" s="42"/>
      <c r="P291" s="39">
        <v>46041</v>
      </c>
      <c r="Q291"/>
    </row>
    <row r="292" spans="1:18" ht="25.5" thickBot="1">
      <c r="A292" s="148"/>
      <c r="B292" s="42"/>
      <c r="C292" s="39">
        <v>46038</v>
      </c>
      <c r="D292" s="40">
        <v>0.63611111111111107</v>
      </c>
      <c r="E292" s="42"/>
      <c r="F292" s="38" t="s">
        <v>1648</v>
      </c>
      <c r="G292" s="38" t="s">
        <v>1649</v>
      </c>
      <c r="H292" s="39">
        <v>46041</v>
      </c>
      <c r="I292" s="40">
        <v>0.45</v>
      </c>
      <c r="J292" s="42" t="s">
        <v>1650</v>
      </c>
      <c r="K292" s="38" t="s">
        <v>178</v>
      </c>
      <c r="L292" s="41" t="s">
        <v>207</v>
      </c>
      <c r="M292" s="38">
        <v>25</v>
      </c>
      <c r="N292" s="38">
        <v>1</v>
      </c>
      <c r="O292" s="149">
        <v>14375000</v>
      </c>
      <c r="P292" s="39">
        <v>46042</v>
      </c>
      <c r="Q292"/>
    </row>
    <row r="293" spans="1:18" ht="46.5" thickBot="1">
      <c r="A293" s="272" t="s">
        <v>773</v>
      </c>
      <c r="B293" s="152" t="s">
        <v>1651</v>
      </c>
      <c r="C293" s="153">
        <v>46038</v>
      </c>
      <c r="D293" s="154">
        <v>0.61597222222222225</v>
      </c>
      <c r="E293" s="228"/>
      <c r="F293" s="273" t="s">
        <v>1652</v>
      </c>
      <c r="G293" s="273" t="s">
        <v>1653</v>
      </c>
      <c r="H293" s="274">
        <v>46041</v>
      </c>
      <c r="I293" s="233">
        <v>0.45416666666666666</v>
      </c>
      <c r="J293" s="272" t="s">
        <v>765</v>
      </c>
      <c r="K293" s="229" t="s">
        <v>141</v>
      </c>
      <c r="L293" s="275" t="s">
        <v>779</v>
      </c>
      <c r="M293" s="273">
        <v>200</v>
      </c>
      <c r="N293" s="273">
        <v>8</v>
      </c>
      <c r="O293" s="276">
        <v>7000000</v>
      </c>
      <c r="P293" s="274">
        <v>46049</v>
      </c>
      <c r="Q293" s="285" t="s">
        <v>773</v>
      </c>
      <c r="R293" s="273" t="s">
        <v>1875</v>
      </c>
    </row>
    <row r="294" spans="1:18" ht="23.5" thickBot="1">
      <c r="A294" s="148"/>
      <c r="B294" s="38">
        <v>4500086213</v>
      </c>
      <c r="C294" s="39">
        <v>46041</v>
      </c>
      <c r="D294" s="40">
        <v>0.34166666666666667</v>
      </c>
      <c r="E294" s="42"/>
      <c r="F294" s="38" t="s">
        <v>1654</v>
      </c>
      <c r="G294" s="38" t="s">
        <v>1655</v>
      </c>
      <c r="H294" s="39">
        <v>46041</v>
      </c>
      <c r="I294" s="40">
        <v>0.46111111111111114</v>
      </c>
      <c r="J294" s="42" t="s">
        <v>1342</v>
      </c>
      <c r="K294" s="38" t="s">
        <v>379</v>
      </c>
      <c r="L294" s="41" t="s">
        <v>115</v>
      </c>
      <c r="M294" s="38">
        <v>3500</v>
      </c>
      <c r="N294" s="38">
        <v>140</v>
      </c>
      <c r="O294" s="149">
        <v>255034500</v>
      </c>
      <c r="P294" s="39">
        <v>46042</v>
      </c>
      <c r="Q294"/>
    </row>
    <row r="295" spans="1:18" ht="23.5" thickBot="1">
      <c r="A295" s="148"/>
      <c r="B295" s="38">
        <v>4500086213</v>
      </c>
      <c r="C295" s="39">
        <v>46041</v>
      </c>
      <c r="D295" s="40">
        <v>0.34166666666666667</v>
      </c>
      <c r="E295" s="42"/>
      <c r="F295" s="38" t="s">
        <v>1654</v>
      </c>
      <c r="G295" s="38" t="s">
        <v>1655</v>
      </c>
      <c r="H295" s="39">
        <v>46041</v>
      </c>
      <c r="I295" s="40">
        <v>0.46111111111111114</v>
      </c>
      <c r="J295" s="42" t="s">
        <v>1342</v>
      </c>
      <c r="K295" s="38" t="s">
        <v>379</v>
      </c>
      <c r="L295" s="41" t="s">
        <v>209</v>
      </c>
      <c r="M295" s="38">
        <v>300</v>
      </c>
      <c r="N295" s="38">
        <v>12</v>
      </c>
      <c r="O295" s="149">
        <v>36870300</v>
      </c>
      <c r="P295" s="39">
        <v>46042</v>
      </c>
      <c r="Q295"/>
    </row>
    <row r="296" spans="1:18" ht="23.5" thickBot="1">
      <c r="A296" s="148"/>
      <c r="B296" s="38" t="s">
        <v>1656</v>
      </c>
      <c r="C296" s="39">
        <v>46041</v>
      </c>
      <c r="D296" s="40">
        <v>0.31597222222222221</v>
      </c>
      <c r="E296" s="42"/>
      <c r="F296" s="38" t="s">
        <v>1657</v>
      </c>
      <c r="G296" s="38" t="s">
        <v>1658</v>
      </c>
      <c r="H296" s="39">
        <v>46041</v>
      </c>
      <c r="I296" s="40">
        <v>0.47569444444444442</v>
      </c>
      <c r="J296" s="42" t="s">
        <v>1659</v>
      </c>
      <c r="K296" s="38" t="s">
        <v>1660</v>
      </c>
      <c r="L296" s="41" t="s">
        <v>1661</v>
      </c>
      <c r="M296" s="38">
        <v>50</v>
      </c>
      <c r="N296" s="38">
        <v>2</v>
      </c>
      <c r="O296" s="149">
        <v>8200000</v>
      </c>
      <c r="P296" s="39">
        <v>46042</v>
      </c>
      <c r="Q296"/>
    </row>
    <row r="297" spans="1:18" ht="13.5" thickBot="1">
      <c r="A297" s="148"/>
      <c r="B297" s="42"/>
      <c r="C297" s="39">
        <v>46038</v>
      </c>
      <c r="D297" s="40">
        <v>0.50972222222222219</v>
      </c>
      <c r="E297" s="42"/>
      <c r="F297" s="38" t="s">
        <v>1662</v>
      </c>
      <c r="G297" s="38" t="s">
        <v>1663</v>
      </c>
      <c r="H297" s="39">
        <v>46041</v>
      </c>
      <c r="I297" s="40">
        <v>0.47847222222222224</v>
      </c>
      <c r="J297" s="42" t="s">
        <v>561</v>
      </c>
      <c r="K297" s="38" t="s">
        <v>870</v>
      </c>
      <c r="L297" s="41" t="s">
        <v>494</v>
      </c>
      <c r="M297" s="38">
        <v>500</v>
      </c>
      <c r="N297" s="38">
        <v>20</v>
      </c>
      <c r="O297" s="149">
        <v>8400000</v>
      </c>
      <c r="P297" s="39">
        <v>46042</v>
      </c>
      <c r="Q297"/>
    </row>
    <row r="298" spans="1:18" ht="25.5" thickBot="1">
      <c r="A298" s="148"/>
      <c r="B298" s="38" t="s">
        <v>775</v>
      </c>
      <c r="C298" s="39">
        <v>46038</v>
      </c>
      <c r="D298" s="40">
        <v>0.68611111111111112</v>
      </c>
      <c r="E298" s="42"/>
      <c r="F298" s="38" t="s">
        <v>1664</v>
      </c>
      <c r="G298" s="38" t="s">
        <v>1665</v>
      </c>
      <c r="H298" s="39">
        <v>46041</v>
      </c>
      <c r="I298" s="40">
        <v>0.50208333333333333</v>
      </c>
      <c r="J298" s="42" t="s">
        <v>1386</v>
      </c>
      <c r="K298" s="38" t="s">
        <v>1666</v>
      </c>
      <c r="L298" s="41" t="s">
        <v>1208</v>
      </c>
      <c r="M298" s="38">
        <v>50</v>
      </c>
      <c r="N298" s="38">
        <v>2</v>
      </c>
      <c r="O298" s="149">
        <v>790000</v>
      </c>
      <c r="P298" s="39">
        <v>46042</v>
      </c>
      <c r="Q298"/>
    </row>
    <row r="299" spans="1:18" ht="13.5" thickBot="1">
      <c r="A299" s="253" t="s">
        <v>117</v>
      </c>
      <c r="B299" s="55">
        <v>4500086255</v>
      </c>
      <c r="C299" s="53">
        <v>46041</v>
      </c>
      <c r="D299" s="54">
        <v>0.51111111111111107</v>
      </c>
      <c r="E299" s="221"/>
      <c r="F299" s="253" t="s">
        <v>1667</v>
      </c>
      <c r="G299" s="254"/>
      <c r="H299" s="255">
        <v>46041</v>
      </c>
      <c r="I299" s="225">
        <v>0.51736111111111116</v>
      </c>
      <c r="J299" s="254" t="s">
        <v>762</v>
      </c>
      <c r="K299" s="222" t="s">
        <v>375</v>
      </c>
      <c r="L299" s="256" t="s">
        <v>116</v>
      </c>
      <c r="M299" s="253">
        <v>700</v>
      </c>
      <c r="N299" s="253">
        <v>28</v>
      </c>
      <c r="O299" s="257">
        <v>18850000</v>
      </c>
      <c r="P299" s="255">
        <v>46042</v>
      </c>
      <c r="Q299" s="271" t="s">
        <v>1854</v>
      </c>
      <c r="R299" s="271" t="s">
        <v>1865</v>
      </c>
    </row>
    <row r="300" spans="1:18" ht="13.5" thickBot="1">
      <c r="A300" s="148"/>
      <c r="B300" s="38">
        <v>4500086255</v>
      </c>
      <c r="C300" s="39">
        <v>46041</v>
      </c>
      <c r="D300" s="40">
        <v>0.51111111111111107</v>
      </c>
      <c r="E300" s="42"/>
      <c r="F300" s="38" t="s">
        <v>1667</v>
      </c>
      <c r="G300" s="38" t="s">
        <v>1668</v>
      </c>
      <c r="H300" s="39">
        <v>46041</v>
      </c>
      <c r="I300" s="40">
        <v>0.51736111111111116</v>
      </c>
      <c r="J300" s="42" t="s">
        <v>762</v>
      </c>
      <c r="K300" s="38" t="s">
        <v>375</v>
      </c>
      <c r="L300" s="41" t="s">
        <v>116</v>
      </c>
      <c r="M300" s="38">
        <v>300</v>
      </c>
      <c r="N300" s="38">
        <v>12</v>
      </c>
      <c r="O300" s="149">
        <v>18850000</v>
      </c>
      <c r="P300" s="39">
        <v>46042</v>
      </c>
      <c r="Q300"/>
    </row>
    <row r="301" spans="1:18" ht="13.5" thickBot="1">
      <c r="A301" s="148"/>
      <c r="B301" s="38">
        <v>4500086255</v>
      </c>
      <c r="C301" s="39">
        <v>46041</v>
      </c>
      <c r="D301" s="40">
        <v>0.51111111111111107</v>
      </c>
      <c r="E301" s="42"/>
      <c r="F301" s="38" t="s">
        <v>1667</v>
      </c>
      <c r="G301" s="38" t="s">
        <v>1668</v>
      </c>
      <c r="H301" s="39">
        <v>46041</v>
      </c>
      <c r="I301" s="40">
        <v>0.51736111111111116</v>
      </c>
      <c r="J301" s="42" t="s">
        <v>762</v>
      </c>
      <c r="K301" s="38" t="s">
        <v>375</v>
      </c>
      <c r="L301" s="41" t="s">
        <v>679</v>
      </c>
      <c r="M301" s="38">
        <v>500</v>
      </c>
      <c r="N301" s="38">
        <v>20</v>
      </c>
      <c r="O301" s="149">
        <v>15900000</v>
      </c>
      <c r="P301" s="39">
        <v>46042</v>
      </c>
      <c r="Q301"/>
    </row>
    <row r="302" spans="1:18" ht="13.5" thickBot="1">
      <c r="A302" s="148"/>
      <c r="B302" s="38">
        <v>4500086255</v>
      </c>
      <c r="C302" s="39">
        <v>46041</v>
      </c>
      <c r="D302" s="40">
        <v>0.51111111111111107</v>
      </c>
      <c r="E302" s="42"/>
      <c r="F302" s="38" t="s">
        <v>1667</v>
      </c>
      <c r="G302" s="38" t="s">
        <v>1668</v>
      </c>
      <c r="H302" s="39">
        <v>46041</v>
      </c>
      <c r="I302" s="40">
        <v>0.51736111111111116</v>
      </c>
      <c r="J302" s="42" t="s">
        <v>762</v>
      </c>
      <c r="K302" s="38" t="s">
        <v>375</v>
      </c>
      <c r="L302" s="41" t="s">
        <v>1669</v>
      </c>
      <c r="M302" s="38">
        <v>40</v>
      </c>
      <c r="N302" s="38">
        <v>2</v>
      </c>
      <c r="O302" s="149">
        <v>1380000</v>
      </c>
      <c r="P302" s="39">
        <v>46042</v>
      </c>
      <c r="Q302"/>
    </row>
    <row r="303" spans="1:18" ht="13.5" thickBot="1">
      <c r="A303" s="148"/>
      <c r="B303" s="38">
        <v>4500086255</v>
      </c>
      <c r="C303" s="39">
        <v>46041</v>
      </c>
      <c r="D303" s="40">
        <v>0.51111111111111107</v>
      </c>
      <c r="E303" s="42"/>
      <c r="F303" s="38" t="s">
        <v>1667</v>
      </c>
      <c r="G303" s="38" t="s">
        <v>1668</v>
      </c>
      <c r="H303" s="39">
        <v>46041</v>
      </c>
      <c r="I303" s="40">
        <v>0.51736111111111116</v>
      </c>
      <c r="J303" s="42" t="s">
        <v>762</v>
      </c>
      <c r="K303" s="38" t="s">
        <v>375</v>
      </c>
      <c r="L303" s="41" t="s">
        <v>930</v>
      </c>
      <c r="M303" s="38">
        <v>200</v>
      </c>
      <c r="N303" s="38">
        <v>8</v>
      </c>
      <c r="O303" s="149">
        <v>88000000</v>
      </c>
      <c r="P303" s="39">
        <v>46042</v>
      </c>
      <c r="Q303"/>
    </row>
    <row r="304" spans="1:18" ht="13.5" thickBot="1">
      <c r="A304" s="148"/>
      <c r="B304" s="38">
        <v>4500086255</v>
      </c>
      <c r="C304" s="39">
        <v>46041</v>
      </c>
      <c r="D304" s="40">
        <v>0.51111111111111107</v>
      </c>
      <c r="E304" s="42"/>
      <c r="F304" s="38" t="s">
        <v>1667</v>
      </c>
      <c r="G304" s="38" t="s">
        <v>1668</v>
      </c>
      <c r="H304" s="39">
        <v>46041</v>
      </c>
      <c r="I304" s="40">
        <v>0.51736111111111116</v>
      </c>
      <c r="J304" s="42" t="s">
        <v>762</v>
      </c>
      <c r="K304" s="38" t="s">
        <v>375</v>
      </c>
      <c r="L304" s="41" t="s">
        <v>111</v>
      </c>
      <c r="M304" s="38">
        <v>200</v>
      </c>
      <c r="N304" s="38">
        <v>8</v>
      </c>
      <c r="O304" s="149">
        <v>4800000</v>
      </c>
      <c r="P304" s="39">
        <v>46042</v>
      </c>
      <c r="Q304"/>
    </row>
    <row r="305" spans="1:18" ht="13.5" thickBot="1">
      <c r="A305" s="148"/>
      <c r="B305" s="38">
        <v>4500086255</v>
      </c>
      <c r="C305" s="39">
        <v>46041</v>
      </c>
      <c r="D305" s="40">
        <v>0.51111111111111107</v>
      </c>
      <c r="E305" s="42"/>
      <c r="F305" s="38" t="s">
        <v>1667</v>
      </c>
      <c r="G305" s="38" t="s">
        <v>1668</v>
      </c>
      <c r="H305" s="39">
        <v>46041</v>
      </c>
      <c r="I305" s="40">
        <v>0.51736111111111116</v>
      </c>
      <c r="J305" s="42" t="s">
        <v>762</v>
      </c>
      <c r="K305" s="38" t="s">
        <v>375</v>
      </c>
      <c r="L305" s="41" t="s">
        <v>779</v>
      </c>
      <c r="M305" s="38">
        <v>200</v>
      </c>
      <c r="N305" s="38">
        <v>8</v>
      </c>
      <c r="O305" s="149">
        <v>6040000</v>
      </c>
      <c r="P305" s="39">
        <v>46042</v>
      </c>
      <c r="Q305"/>
    </row>
    <row r="306" spans="1:18" ht="13.5" thickBot="1">
      <c r="A306" s="148"/>
      <c r="B306" s="38">
        <v>4500086255</v>
      </c>
      <c r="C306" s="39">
        <v>46041</v>
      </c>
      <c r="D306" s="40">
        <v>0.51111111111111107</v>
      </c>
      <c r="E306" s="42"/>
      <c r="F306" s="38" t="s">
        <v>1667</v>
      </c>
      <c r="G306" s="38" t="s">
        <v>1668</v>
      </c>
      <c r="H306" s="39">
        <v>46041</v>
      </c>
      <c r="I306" s="40">
        <v>0.51736111111111116</v>
      </c>
      <c r="J306" s="42" t="s">
        <v>762</v>
      </c>
      <c r="K306" s="38" t="s">
        <v>375</v>
      </c>
      <c r="L306" s="41" t="s">
        <v>1191</v>
      </c>
      <c r="M306" s="38">
        <v>400</v>
      </c>
      <c r="N306" s="38">
        <v>16</v>
      </c>
      <c r="O306" s="149">
        <v>18600000</v>
      </c>
      <c r="P306" s="39">
        <v>46042</v>
      </c>
      <c r="Q306"/>
    </row>
    <row r="307" spans="1:18" ht="13.5" thickBot="1">
      <c r="A307" s="148"/>
      <c r="B307" s="38">
        <v>4500086255</v>
      </c>
      <c r="C307" s="39">
        <v>46041</v>
      </c>
      <c r="D307" s="40">
        <v>0.51111111111111107</v>
      </c>
      <c r="E307" s="42"/>
      <c r="F307" s="38" t="s">
        <v>1670</v>
      </c>
      <c r="G307" s="38" t="s">
        <v>1671</v>
      </c>
      <c r="H307" s="39">
        <v>46041</v>
      </c>
      <c r="I307" s="40">
        <v>0.51736111111111116</v>
      </c>
      <c r="J307" s="42" t="s">
        <v>762</v>
      </c>
      <c r="K307" s="38" t="s">
        <v>375</v>
      </c>
      <c r="L307" s="41" t="s">
        <v>1672</v>
      </c>
      <c r="M307" s="38">
        <v>30</v>
      </c>
      <c r="N307" s="38">
        <v>1</v>
      </c>
      <c r="O307" s="38">
        <v>0</v>
      </c>
      <c r="P307" s="39">
        <v>46042</v>
      </c>
      <c r="Q307"/>
    </row>
    <row r="308" spans="1:18" ht="13.5" thickBot="1">
      <c r="A308" s="148"/>
      <c r="B308" s="38">
        <v>4500145962</v>
      </c>
      <c r="C308" s="39">
        <v>46041</v>
      </c>
      <c r="D308" s="40">
        <v>0.51666666666666672</v>
      </c>
      <c r="E308" s="42"/>
      <c r="F308" s="38" t="s">
        <v>1673</v>
      </c>
      <c r="G308" s="38" t="s">
        <v>1674</v>
      </c>
      <c r="H308" s="39">
        <v>46041</v>
      </c>
      <c r="I308" s="40">
        <v>0.51944444444444449</v>
      </c>
      <c r="J308" s="42" t="s">
        <v>831</v>
      </c>
      <c r="K308" s="38" t="s">
        <v>782</v>
      </c>
      <c r="L308" s="41" t="s">
        <v>1191</v>
      </c>
      <c r="M308" s="38">
        <v>120</v>
      </c>
      <c r="N308" s="38">
        <v>5</v>
      </c>
      <c r="O308" s="149">
        <v>7224000</v>
      </c>
      <c r="P308" s="39">
        <v>46042</v>
      </c>
      <c r="Q308"/>
    </row>
    <row r="309" spans="1:18" ht="13.5" thickBot="1">
      <c r="A309" s="148"/>
      <c r="B309" s="38">
        <v>4500145962</v>
      </c>
      <c r="C309" s="39">
        <v>46041</v>
      </c>
      <c r="D309" s="40">
        <v>0.51666666666666672</v>
      </c>
      <c r="E309" s="42"/>
      <c r="F309" s="38" t="s">
        <v>1675</v>
      </c>
      <c r="G309" s="38" t="s">
        <v>1676</v>
      </c>
      <c r="H309" s="39">
        <v>46041</v>
      </c>
      <c r="I309" s="40">
        <v>0.52847222222222223</v>
      </c>
      <c r="J309" s="42" t="s">
        <v>831</v>
      </c>
      <c r="K309" s="38" t="s">
        <v>782</v>
      </c>
      <c r="L309" s="41" t="s">
        <v>1672</v>
      </c>
      <c r="M309" s="38">
        <v>9</v>
      </c>
      <c r="N309" s="38">
        <v>0</v>
      </c>
      <c r="O309" s="38">
        <v>0</v>
      </c>
      <c r="P309" s="39">
        <v>46042</v>
      </c>
      <c r="Q309"/>
    </row>
    <row r="310" spans="1:18" ht="23.5" thickBot="1">
      <c r="A310" s="148"/>
      <c r="B310" s="38" t="s">
        <v>1677</v>
      </c>
      <c r="C310" s="39">
        <v>46041</v>
      </c>
      <c r="D310" s="40">
        <v>0.50624999999999998</v>
      </c>
      <c r="E310" s="42"/>
      <c r="F310" s="38" t="s">
        <v>1678</v>
      </c>
      <c r="G310" s="38" t="s">
        <v>1679</v>
      </c>
      <c r="H310" s="39">
        <v>46041</v>
      </c>
      <c r="I310" s="40">
        <v>0.5708333333333333</v>
      </c>
      <c r="J310" s="42" t="s">
        <v>1472</v>
      </c>
      <c r="K310" s="38" t="s">
        <v>366</v>
      </c>
      <c r="L310" s="41" t="s">
        <v>151</v>
      </c>
      <c r="M310" s="38">
        <v>100</v>
      </c>
      <c r="N310" s="38">
        <v>4</v>
      </c>
      <c r="O310" s="149">
        <v>7000000</v>
      </c>
      <c r="P310" s="39">
        <v>46044</v>
      </c>
      <c r="Q310"/>
    </row>
    <row r="311" spans="1:18" ht="13.5" thickBot="1">
      <c r="A311" s="148"/>
      <c r="B311" s="42"/>
      <c r="C311" s="39">
        <v>46041</v>
      </c>
      <c r="D311" s="40">
        <v>0.51249999999999996</v>
      </c>
      <c r="E311" s="42"/>
      <c r="F311" s="38" t="s">
        <v>1680</v>
      </c>
      <c r="G311" s="38" t="s">
        <v>1681</v>
      </c>
      <c r="H311" s="39">
        <v>46041</v>
      </c>
      <c r="I311" s="40">
        <v>0.57430555555555551</v>
      </c>
      <c r="J311" s="42" t="s">
        <v>401</v>
      </c>
      <c r="K311" s="38" t="s">
        <v>168</v>
      </c>
      <c r="L311" s="41" t="s">
        <v>1278</v>
      </c>
      <c r="M311" s="38">
        <v>10</v>
      </c>
      <c r="N311" s="38">
        <v>0</v>
      </c>
      <c r="O311" s="149">
        <v>637500</v>
      </c>
      <c r="P311" s="39">
        <v>46042</v>
      </c>
      <c r="Q311"/>
    </row>
    <row r="312" spans="1:18" ht="13.5" thickBot="1">
      <c r="A312" s="148"/>
      <c r="B312" s="42"/>
      <c r="C312" s="39">
        <v>46041</v>
      </c>
      <c r="D312" s="40">
        <v>0.51041666666666663</v>
      </c>
      <c r="E312" s="42"/>
      <c r="F312" s="38" t="s">
        <v>1682</v>
      </c>
      <c r="G312" s="38" t="s">
        <v>1683</v>
      </c>
      <c r="H312" s="39">
        <v>46041</v>
      </c>
      <c r="I312" s="40">
        <v>0.57638888888888884</v>
      </c>
      <c r="J312" s="42" t="s">
        <v>1454</v>
      </c>
      <c r="K312" s="38" t="s">
        <v>366</v>
      </c>
      <c r="L312" s="41" t="s">
        <v>906</v>
      </c>
      <c r="M312" s="38">
        <v>30</v>
      </c>
      <c r="N312" s="38">
        <v>30</v>
      </c>
      <c r="O312" s="149">
        <v>6397500</v>
      </c>
      <c r="P312" s="39">
        <v>46041</v>
      </c>
      <c r="Q312"/>
    </row>
    <row r="313" spans="1:18" ht="13.5" thickBot="1">
      <c r="A313" s="148"/>
      <c r="B313" s="42"/>
      <c r="C313" s="39">
        <v>46041</v>
      </c>
      <c r="D313" s="40">
        <v>0.51041666666666663</v>
      </c>
      <c r="E313" s="42"/>
      <c r="F313" s="38" t="s">
        <v>1682</v>
      </c>
      <c r="G313" s="38" t="s">
        <v>1683</v>
      </c>
      <c r="H313" s="39">
        <v>46041</v>
      </c>
      <c r="I313" s="40">
        <v>0.57638888888888884</v>
      </c>
      <c r="J313" s="42" t="s">
        <v>1454</v>
      </c>
      <c r="K313" s="38" t="s">
        <v>366</v>
      </c>
      <c r="L313" s="41" t="s">
        <v>207</v>
      </c>
      <c r="M313" s="38">
        <v>7.5</v>
      </c>
      <c r="N313" s="38">
        <v>0</v>
      </c>
      <c r="O313" s="149">
        <v>3834225</v>
      </c>
      <c r="P313" s="39">
        <v>46041</v>
      </c>
      <c r="Q313"/>
    </row>
    <row r="314" spans="1:18" ht="13.5" thickBot="1">
      <c r="A314" s="148"/>
      <c r="B314" s="42"/>
      <c r="C314" s="39">
        <v>46041</v>
      </c>
      <c r="D314" s="40">
        <v>0.51041666666666663</v>
      </c>
      <c r="E314" s="42"/>
      <c r="F314" s="38" t="s">
        <v>1684</v>
      </c>
      <c r="G314" s="38" t="s">
        <v>1685</v>
      </c>
      <c r="H314" s="39">
        <v>46041</v>
      </c>
      <c r="I314" s="40">
        <v>0.57638888888888884</v>
      </c>
      <c r="J314" s="42" t="s">
        <v>1454</v>
      </c>
      <c r="K314" s="38" t="s">
        <v>366</v>
      </c>
      <c r="L314" s="41" t="s">
        <v>1313</v>
      </c>
      <c r="M314" s="38">
        <v>2.25</v>
      </c>
      <c r="N314" s="38">
        <v>0</v>
      </c>
      <c r="O314" s="38">
        <v>0</v>
      </c>
      <c r="P314" s="39">
        <v>46041</v>
      </c>
      <c r="Q314"/>
    </row>
    <row r="315" spans="1:18" ht="13.5" thickBot="1">
      <c r="A315" s="148"/>
      <c r="B315" s="38">
        <v>4503953526</v>
      </c>
      <c r="C315" s="39">
        <v>46042</v>
      </c>
      <c r="D315" s="40">
        <v>0.3298611111111111</v>
      </c>
      <c r="E315" s="42"/>
      <c r="F315" s="38" t="s">
        <v>1686</v>
      </c>
      <c r="G315" s="38" t="s">
        <v>1687</v>
      </c>
      <c r="H315" s="39">
        <v>45677</v>
      </c>
      <c r="I315" s="40">
        <v>0.35</v>
      </c>
      <c r="J315" s="42" t="s">
        <v>380</v>
      </c>
      <c r="K315" s="38" t="s">
        <v>777</v>
      </c>
      <c r="L315" s="41" t="s">
        <v>772</v>
      </c>
      <c r="M315" s="38">
        <v>120</v>
      </c>
      <c r="N315" s="38">
        <v>5</v>
      </c>
      <c r="O315" s="149">
        <v>6630000</v>
      </c>
      <c r="P315" s="39">
        <v>46042</v>
      </c>
      <c r="Q315"/>
    </row>
    <row r="316" spans="1:18" ht="13.5" thickBot="1">
      <c r="A316" s="148"/>
      <c r="B316" s="42"/>
      <c r="C316" s="39">
        <v>46042</v>
      </c>
      <c r="D316" s="40">
        <v>0.29722222222222222</v>
      </c>
      <c r="E316" s="42"/>
      <c r="F316" s="38" t="s">
        <v>1688</v>
      </c>
      <c r="G316" s="38" t="s">
        <v>1689</v>
      </c>
      <c r="H316" s="39">
        <v>45677</v>
      </c>
      <c r="I316" s="40">
        <v>0.35972222222222222</v>
      </c>
      <c r="J316" s="42" t="s">
        <v>394</v>
      </c>
      <c r="K316" s="38" t="s">
        <v>395</v>
      </c>
      <c r="L316" s="41" t="s">
        <v>143</v>
      </c>
      <c r="M316" s="38">
        <v>150</v>
      </c>
      <c r="N316" s="38">
        <v>6</v>
      </c>
      <c r="O316" s="149">
        <v>10350000</v>
      </c>
      <c r="P316" s="39">
        <v>46044</v>
      </c>
      <c r="Q316"/>
    </row>
    <row r="317" spans="1:18" ht="23.5" thickBot="1">
      <c r="A317" s="148"/>
      <c r="B317" s="38" t="s">
        <v>1690</v>
      </c>
      <c r="C317" s="39">
        <v>46042</v>
      </c>
      <c r="D317" s="40">
        <v>0.36527777777777776</v>
      </c>
      <c r="E317" s="42"/>
      <c r="F317" s="38" t="s">
        <v>1691</v>
      </c>
      <c r="G317" s="38" t="s">
        <v>1692</v>
      </c>
      <c r="H317" s="39">
        <v>45677</v>
      </c>
      <c r="I317" s="40">
        <v>0.38750000000000001</v>
      </c>
      <c r="J317" s="42" t="s">
        <v>144</v>
      </c>
      <c r="K317" s="38" t="s">
        <v>88</v>
      </c>
      <c r="L317" s="41" t="s">
        <v>783</v>
      </c>
      <c r="M317" s="38">
        <v>100</v>
      </c>
      <c r="N317" s="38">
        <v>4</v>
      </c>
      <c r="O317" s="149">
        <v>3500000</v>
      </c>
      <c r="P317" s="39">
        <v>46048</v>
      </c>
      <c r="Q317"/>
    </row>
    <row r="318" spans="1:18" ht="25.5" thickBot="1">
      <c r="A318" s="148"/>
      <c r="B318" s="42"/>
      <c r="C318" s="38" t="s">
        <v>1693</v>
      </c>
      <c r="D318" s="40">
        <v>0.68958333333333333</v>
      </c>
      <c r="E318" s="42"/>
      <c r="F318" s="38" t="s">
        <v>1694</v>
      </c>
      <c r="G318" s="38" t="s">
        <v>1695</v>
      </c>
      <c r="H318" s="39">
        <v>45677</v>
      </c>
      <c r="I318" s="40">
        <v>0.39374999999999999</v>
      </c>
      <c r="J318" s="42" t="s">
        <v>1355</v>
      </c>
      <c r="K318" s="38" t="s">
        <v>377</v>
      </c>
      <c r="L318" s="41" t="s">
        <v>1208</v>
      </c>
      <c r="M318" s="38">
        <v>300</v>
      </c>
      <c r="N318" s="38">
        <v>12</v>
      </c>
      <c r="O318" s="149">
        <v>4740000</v>
      </c>
      <c r="P318" s="39">
        <v>46042</v>
      </c>
      <c r="Q318"/>
    </row>
    <row r="319" spans="1:18" ht="23.5" thickBot="1">
      <c r="A319" s="287" t="s">
        <v>117</v>
      </c>
      <c r="B319" s="55" t="s">
        <v>1696</v>
      </c>
      <c r="C319" s="53">
        <v>45677</v>
      </c>
      <c r="D319" s="54">
        <v>0.38819444444444445</v>
      </c>
      <c r="E319" s="221"/>
      <c r="F319" s="253" t="s">
        <v>1697</v>
      </c>
      <c r="G319" s="254"/>
      <c r="H319" s="255">
        <v>45677</v>
      </c>
      <c r="I319" s="225">
        <v>0.43263888888888891</v>
      </c>
      <c r="J319" s="254" t="s">
        <v>66</v>
      </c>
      <c r="K319" s="222" t="s">
        <v>75</v>
      </c>
      <c r="L319" s="256" t="s">
        <v>136</v>
      </c>
      <c r="M319" s="253">
        <v>25</v>
      </c>
      <c r="N319" s="253">
        <v>1</v>
      </c>
      <c r="O319" s="257">
        <v>1550000</v>
      </c>
      <c r="P319" s="255">
        <v>46044</v>
      </c>
      <c r="Q319" s="271" t="s">
        <v>1854</v>
      </c>
      <c r="R319" s="271" t="s">
        <v>1865</v>
      </c>
    </row>
    <row r="320" spans="1:18" ht="23.5" thickBot="1">
      <c r="A320" s="148"/>
      <c r="B320" s="38" t="s">
        <v>1696</v>
      </c>
      <c r="C320" s="39">
        <v>45677</v>
      </c>
      <c r="D320" s="40">
        <v>0.38819444444444445</v>
      </c>
      <c r="E320" s="42"/>
      <c r="F320" s="38" t="s">
        <v>1697</v>
      </c>
      <c r="G320" s="38" t="s">
        <v>1698</v>
      </c>
      <c r="H320" s="39">
        <v>45677</v>
      </c>
      <c r="I320" s="40">
        <v>0.43263888888888891</v>
      </c>
      <c r="J320" s="42" t="s">
        <v>66</v>
      </c>
      <c r="K320" s="38" t="s">
        <v>75</v>
      </c>
      <c r="L320" s="41" t="s">
        <v>1661</v>
      </c>
      <c r="M320" s="38">
        <v>25</v>
      </c>
      <c r="N320" s="38">
        <v>1</v>
      </c>
      <c r="O320" s="149">
        <v>3875000</v>
      </c>
      <c r="P320" s="39">
        <v>46044</v>
      </c>
      <c r="Q320"/>
    </row>
    <row r="321" spans="1:17" ht="23.5" thickBot="1">
      <c r="A321" s="148"/>
      <c r="B321" s="38" t="s">
        <v>1696</v>
      </c>
      <c r="C321" s="39">
        <v>45677</v>
      </c>
      <c r="D321" s="40">
        <v>0.38819444444444445</v>
      </c>
      <c r="E321" s="42"/>
      <c r="F321" s="38" t="s">
        <v>1697</v>
      </c>
      <c r="G321" s="38" t="s">
        <v>1698</v>
      </c>
      <c r="H321" s="39">
        <v>45677</v>
      </c>
      <c r="I321" s="40">
        <v>0.43263888888888891</v>
      </c>
      <c r="J321" s="42" t="s">
        <v>66</v>
      </c>
      <c r="K321" s="38" t="s">
        <v>75</v>
      </c>
      <c r="L321" s="41" t="s">
        <v>143</v>
      </c>
      <c r="M321" s="38">
        <v>25</v>
      </c>
      <c r="N321" s="38">
        <v>1</v>
      </c>
      <c r="O321" s="149">
        <v>1725000</v>
      </c>
      <c r="P321" s="39">
        <v>46044</v>
      </c>
      <c r="Q321"/>
    </row>
    <row r="322" spans="1:17" ht="23.5" thickBot="1">
      <c r="A322" s="148"/>
      <c r="B322" s="38" t="s">
        <v>1696</v>
      </c>
      <c r="C322" s="39">
        <v>45677</v>
      </c>
      <c r="D322" s="40">
        <v>0.38819444444444445</v>
      </c>
      <c r="E322" s="42"/>
      <c r="F322" s="38" t="s">
        <v>1697</v>
      </c>
      <c r="G322" s="38" t="s">
        <v>1698</v>
      </c>
      <c r="H322" s="39">
        <v>45677</v>
      </c>
      <c r="I322" s="40">
        <v>0.43263888888888891</v>
      </c>
      <c r="J322" s="42" t="s">
        <v>66</v>
      </c>
      <c r="K322" s="38" t="s">
        <v>75</v>
      </c>
      <c r="L322" s="41" t="s">
        <v>1191</v>
      </c>
      <c r="M322" s="38">
        <v>100</v>
      </c>
      <c r="N322" s="38">
        <v>4</v>
      </c>
      <c r="O322" s="149">
        <v>5500000</v>
      </c>
      <c r="P322" s="39">
        <v>46044</v>
      </c>
      <c r="Q322"/>
    </row>
    <row r="323" spans="1:17" ht="23.5" thickBot="1">
      <c r="A323" s="148"/>
      <c r="B323" s="38" t="s">
        <v>1696</v>
      </c>
      <c r="C323" s="39">
        <v>45677</v>
      </c>
      <c r="D323" s="40">
        <v>0.38819444444444445</v>
      </c>
      <c r="E323" s="42"/>
      <c r="F323" s="38" t="s">
        <v>1697</v>
      </c>
      <c r="G323" s="38" t="s">
        <v>1698</v>
      </c>
      <c r="H323" s="39">
        <v>45677</v>
      </c>
      <c r="I323" s="40">
        <v>0.43263888888888891</v>
      </c>
      <c r="J323" s="42" t="s">
        <v>66</v>
      </c>
      <c r="K323" s="38" t="s">
        <v>75</v>
      </c>
      <c r="L323" s="41" t="s">
        <v>930</v>
      </c>
      <c r="M323" s="38">
        <v>75</v>
      </c>
      <c r="N323" s="38">
        <v>3</v>
      </c>
      <c r="O323" s="149">
        <v>4560000</v>
      </c>
      <c r="P323" s="39">
        <v>46044</v>
      </c>
      <c r="Q323"/>
    </row>
    <row r="324" spans="1:17" ht="23.5" thickBot="1">
      <c r="A324" s="148"/>
      <c r="B324" s="38" t="s">
        <v>1696</v>
      </c>
      <c r="C324" s="39">
        <v>45677</v>
      </c>
      <c r="D324" s="40">
        <v>0.38819444444444445</v>
      </c>
      <c r="E324" s="42"/>
      <c r="F324" s="38" t="s">
        <v>1699</v>
      </c>
      <c r="G324" s="38" t="s">
        <v>1700</v>
      </c>
      <c r="H324" s="39">
        <v>45677</v>
      </c>
      <c r="I324" s="40">
        <v>0.43263888888888891</v>
      </c>
      <c r="J324" s="42" t="s">
        <v>66</v>
      </c>
      <c r="K324" s="38" t="s">
        <v>75</v>
      </c>
      <c r="L324" s="41" t="s">
        <v>1313</v>
      </c>
      <c r="M324" s="38">
        <v>7.5</v>
      </c>
      <c r="N324" s="38">
        <v>0</v>
      </c>
      <c r="O324" s="38">
        <v>0</v>
      </c>
      <c r="P324" s="39">
        <v>46044</v>
      </c>
      <c r="Q324"/>
    </row>
    <row r="325" spans="1:17" ht="13.5" thickBot="1">
      <c r="A325" s="148"/>
      <c r="B325" s="38">
        <v>64467</v>
      </c>
      <c r="C325" s="39">
        <v>45677</v>
      </c>
      <c r="D325" s="40">
        <v>0.46180555555555558</v>
      </c>
      <c r="E325" s="42"/>
      <c r="F325" s="38" t="s">
        <v>1701</v>
      </c>
      <c r="G325" s="38" t="s">
        <v>1702</v>
      </c>
      <c r="H325" s="39">
        <v>45677</v>
      </c>
      <c r="I325" s="40">
        <v>0.46944444444444444</v>
      </c>
      <c r="J325" s="42" t="s">
        <v>42</v>
      </c>
      <c r="K325" s="38" t="s">
        <v>78</v>
      </c>
      <c r="L325" s="41" t="s">
        <v>1278</v>
      </c>
      <c r="M325" s="38">
        <v>6</v>
      </c>
      <c r="N325" s="38">
        <v>6</v>
      </c>
      <c r="O325" s="149">
        <v>279954</v>
      </c>
      <c r="P325" s="39">
        <v>46042</v>
      </c>
      <c r="Q325"/>
    </row>
    <row r="326" spans="1:17" ht="25.5" thickBot="1">
      <c r="A326" s="148"/>
      <c r="B326" s="38">
        <v>1337475</v>
      </c>
      <c r="C326" s="39">
        <v>45677</v>
      </c>
      <c r="D326" s="40">
        <v>0.43958333333333333</v>
      </c>
      <c r="E326" s="42"/>
      <c r="F326" s="38" t="s">
        <v>1703</v>
      </c>
      <c r="G326" s="38" t="s">
        <v>1704</v>
      </c>
      <c r="H326" s="39">
        <v>45677</v>
      </c>
      <c r="I326" s="40">
        <v>0.51388888888888884</v>
      </c>
      <c r="J326" s="42" t="s">
        <v>786</v>
      </c>
      <c r="K326" s="38" t="s">
        <v>78</v>
      </c>
      <c r="L326" s="41" t="s">
        <v>1191</v>
      </c>
      <c r="M326" s="38">
        <v>50</v>
      </c>
      <c r="N326" s="38">
        <v>2</v>
      </c>
      <c r="O326" s="149">
        <v>2325000</v>
      </c>
      <c r="P326" s="39">
        <v>46042</v>
      </c>
      <c r="Q326"/>
    </row>
    <row r="327" spans="1:17" ht="25.5" thickBot="1">
      <c r="A327" s="148"/>
      <c r="B327" s="38">
        <v>1337475</v>
      </c>
      <c r="C327" s="39">
        <v>45677</v>
      </c>
      <c r="D327" s="40">
        <v>0.43958333333333333</v>
      </c>
      <c r="E327" s="42"/>
      <c r="F327" s="38" t="s">
        <v>1705</v>
      </c>
      <c r="G327" s="38" t="s">
        <v>1706</v>
      </c>
      <c r="H327" s="39">
        <v>45677</v>
      </c>
      <c r="I327" s="40">
        <v>0.51388888888888884</v>
      </c>
      <c r="J327" s="42" t="s">
        <v>786</v>
      </c>
      <c r="K327" s="38" t="s">
        <v>78</v>
      </c>
      <c r="L327" s="41" t="s">
        <v>1313</v>
      </c>
      <c r="M327" s="38">
        <v>3.75</v>
      </c>
      <c r="N327" s="38">
        <v>0</v>
      </c>
      <c r="O327" s="38">
        <v>0</v>
      </c>
      <c r="P327" s="39">
        <v>46042</v>
      </c>
      <c r="Q327"/>
    </row>
    <row r="328" spans="1:17" ht="38" thickBot="1">
      <c r="A328" s="148"/>
      <c r="B328" s="38" t="s">
        <v>1707</v>
      </c>
      <c r="C328" s="39">
        <v>46042</v>
      </c>
      <c r="D328" s="40">
        <v>0.66666666666666663</v>
      </c>
      <c r="E328" s="42"/>
      <c r="F328" s="38" t="s">
        <v>1708</v>
      </c>
      <c r="G328" s="38" t="s">
        <v>1709</v>
      </c>
      <c r="H328" s="39">
        <v>45678</v>
      </c>
      <c r="I328" s="40">
        <v>0.3215277777777778</v>
      </c>
      <c r="J328" s="42" t="s">
        <v>763</v>
      </c>
      <c r="K328" s="38" t="s">
        <v>76</v>
      </c>
      <c r="L328" s="41" t="s">
        <v>194</v>
      </c>
      <c r="M328" s="38">
        <v>1300</v>
      </c>
      <c r="N328" s="38">
        <v>52</v>
      </c>
      <c r="O328" s="149">
        <v>23855000</v>
      </c>
      <c r="P328" s="39">
        <v>46048</v>
      </c>
      <c r="Q328"/>
    </row>
    <row r="329" spans="1:17" ht="13.5" thickBot="1">
      <c r="A329" s="148"/>
      <c r="B329" s="38" t="s">
        <v>775</v>
      </c>
      <c r="C329" s="39">
        <v>46042</v>
      </c>
      <c r="D329" s="40">
        <v>0.67569444444444449</v>
      </c>
      <c r="E329" s="42"/>
      <c r="F329" s="38" t="s">
        <v>1710</v>
      </c>
      <c r="G329" s="42"/>
      <c r="H329" s="39">
        <v>45678</v>
      </c>
      <c r="I329" s="40">
        <v>0.33680555555555558</v>
      </c>
      <c r="J329" s="42" t="s">
        <v>1711</v>
      </c>
      <c r="K329" s="38" t="s">
        <v>1712</v>
      </c>
      <c r="L329" s="41" t="s">
        <v>115</v>
      </c>
      <c r="M329" s="38">
        <v>50</v>
      </c>
      <c r="N329" s="38">
        <v>2</v>
      </c>
      <c r="O329" s="149">
        <v>5475000</v>
      </c>
      <c r="P329" s="39">
        <v>46045</v>
      </c>
      <c r="Q329"/>
    </row>
    <row r="330" spans="1:17" ht="23.5" thickBot="1">
      <c r="A330" s="148"/>
      <c r="B330" s="38" t="s">
        <v>1713</v>
      </c>
      <c r="C330" s="39">
        <v>46042</v>
      </c>
      <c r="D330" s="40">
        <v>0.68263888888888891</v>
      </c>
      <c r="E330" s="42"/>
      <c r="F330" s="38" t="s">
        <v>1714</v>
      </c>
      <c r="G330" s="38" t="s">
        <v>1715</v>
      </c>
      <c r="H330" s="39">
        <v>45678</v>
      </c>
      <c r="I330" s="40">
        <v>0.36041666666666666</v>
      </c>
      <c r="J330" s="42" t="s">
        <v>169</v>
      </c>
      <c r="K330" s="38" t="s">
        <v>331</v>
      </c>
      <c r="L330" s="41" t="s">
        <v>194</v>
      </c>
      <c r="M330" s="38">
        <v>1000</v>
      </c>
      <c r="N330" s="38">
        <v>40</v>
      </c>
      <c r="O330" s="149">
        <v>18200000</v>
      </c>
      <c r="P330" s="39">
        <v>46044</v>
      </c>
      <c r="Q330"/>
    </row>
    <row r="331" spans="1:17" ht="13.5" thickBot="1">
      <c r="A331" s="148"/>
      <c r="B331" s="38">
        <v>4500146273</v>
      </c>
      <c r="C331" s="39">
        <v>46042</v>
      </c>
      <c r="D331" s="40">
        <v>0.43263888888888891</v>
      </c>
      <c r="E331" s="42"/>
      <c r="F331" s="38" t="s">
        <v>1716</v>
      </c>
      <c r="G331" s="38" t="s">
        <v>1717</v>
      </c>
      <c r="H331" s="39">
        <v>45678</v>
      </c>
      <c r="I331" s="40">
        <v>0.50277777777777777</v>
      </c>
      <c r="J331" s="42" t="s">
        <v>6</v>
      </c>
      <c r="K331" s="38" t="s">
        <v>85</v>
      </c>
      <c r="L331" s="41" t="s">
        <v>111</v>
      </c>
      <c r="M331" s="38">
        <v>100</v>
      </c>
      <c r="N331" s="38">
        <v>4</v>
      </c>
      <c r="O331" s="149">
        <v>2550000</v>
      </c>
      <c r="P331" s="39">
        <v>46048</v>
      </c>
      <c r="Q331"/>
    </row>
    <row r="332" spans="1:17" ht="13.5" thickBot="1">
      <c r="A332" s="148"/>
      <c r="B332" s="38">
        <v>4500146273</v>
      </c>
      <c r="C332" s="39">
        <v>46042</v>
      </c>
      <c r="D332" s="40">
        <v>0.43263888888888891</v>
      </c>
      <c r="E332" s="42"/>
      <c r="F332" s="38" t="s">
        <v>1716</v>
      </c>
      <c r="G332" s="38" t="s">
        <v>1717</v>
      </c>
      <c r="H332" s="39">
        <v>45678</v>
      </c>
      <c r="I332" s="40">
        <v>0.50277777777777777</v>
      </c>
      <c r="J332" s="42" t="s">
        <v>6</v>
      </c>
      <c r="K332" s="38" t="s">
        <v>85</v>
      </c>
      <c r="L332" s="41" t="s">
        <v>766</v>
      </c>
      <c r="M332" s="38">
        <v>10</v>
      </c>
      <c r="N332" s="38">
        <v>10</v>
      </c>
      <c r="O332" s="149">
        <v>1500000</v>
      </c>
      <c r="P332" s="39">
        <v>46048</v>
      </c>
      <c r="Q332"/>
    </row>
    <row r="333" spans="1:17" ht="13.5" thickBot="1">
      <c r="A333" s="148"/>
      <c r="B333" s="38" t="s">
        <v>1718</v>
      </c>
      <c r="C333" s="39">
        <v>46043</v>
      </c>
      <c r="D333" s="40">
        <v>0.65</v>
      </c>
      <c r="E333" s="42"/>
      <c r="F333" s="38" t="s">
        <v>1719</v>
      </c>
      <c r="G333" s="42"/>
      <c r="H333" s="39">
        <v>45679</v>
      </c>
      <c r="I333" s="40">
        <v>0.375</v>
      </c>
      <c r="J333" s="42" t="s">
        <v>355</v>
      </c>
      <c r="K333" s="38" t="s">
        <v>114</v>
      </c>
      <c r="L333" s="41" t="s">
        <v>194</v>
      </c>
      <c r="M333" s="38">
        <v>350</v>
      </c>
      <c r="N333" s="38">
        <v>14</v>
      </c>
      <c r="O333" s="149">
        <v>6961000</v>
      </c>
      <c r="P333" s="39">
        <v>46045</v>
      </c>
      <c r="Q333"/>
    </row>
    <row r="334" spans="1:17" ht="13.5" thickBot="1">
      <c r="A334" s="148"/>
      <c r="B334" s="38" t="s">
        <v>1718</v>
      </c>
      <c r="C334" s="39">
        <v>46043</v>
      </c>
      <c r="D334" s="40">
        <v>0.65</v>
      </c>
      <c r="E334" s="42"/>
      <c r="F334" s="38" t="s">
        <v>1719</v>
      </c>
      <c r="G334" s="42"/>
      <c r="H334" s="39">
        <v>45679</v>
      </c>
      <c r="I334" s="40">
        <v>0.375</v>
      </c>
      <c r="J334" s="42" t="s">
        <v>355</v>
      </c>
      <c r="K334" s="38" t="s">
        <v>114</v>
      </c>
      <c r="L334" s="41" t="s">
        <v>115</v>
      </c>
      <c r="M334" s="38">
        <v>100</v>
      </c>
      <c r="N334" s="38">
        <v>4</v>
      </c>
      <c r="O334" s="149">
        <v>10250000</v>
      </c>
      <c r="P334" s="39">
        <v>46045</v>
      </c>
      <c r="Q334"/>
    </row>
    <row r="335" spans="1:17" ht="13.5" thickBot="1">
      <c r="A335" s="148"/>
      <c r="B335" s="38" t="s">
        <v>1718</v>
      </c>
      <c r="C335" s="39">
        <v>46043</v>
      </c>
      <c r="D335" s="40">
        <v>0.65</v>
      </c>
      <c r="E335" s="42"/>
      <c r="F335" s="38" t="s">
        <v>1719</v>
      </c>
      <c r="G335" s="42"/>
      <c r="H335" s="39">
        <v>45679</v>
      </c>
      <c r="I335" s="40">
        <v>0.375</v>
      </c>
      <c r="J335" s="42" t="s">
        <v>355</v>
      </c>
      <c r="K335" s="38" t="s">
        <v>114</v>
      </c>
      <c r="L335" s="41" t="s">
        <v>111</v>
      </c>
      <c r="M335" s="38">
        <v>500</v>
      </c>
      <c r="N335" s="38">
        <v>20</v>
      </c>
      <c r="O335" s="149">
        <v>12750000</v>
      </c>
      <c r="P335" s="39">
        <v>46045</v>
      </c>
      <c r="Q335"/>
    </row>
    <row r="336" spans="1:17" ht="13.5" thickBot="1">
      <c r="A336" s="148"/>
      <c r="B336" s="38" t="s">
        <v>1718</v>
      </c>
      <c r="C336" s="39">
        <v>46043</v>
      </c>
      <c r="D336" s="40">
        <v>0.65</v>
      </c>
      <c r="E336" s="42"/>
      <c r="F336" s="38" t="s">
        <v>1719</v>
      </c>
      <c r="G336" s="42"/>
      <c r="H336" s="39">
        <v>45679</v>
      </c>
      <c r="I336" s="40">
        <v>0.375</v>
      </c>
      <c r="J336" s="42" t="s">
        <v>355</v>
      </c>
      <c r="K336" s="38" t="s">
        <v>114</v>
      </c>
      <c r="L336" s="41" t="s">
        <v>1208</v>
      </c>
      <c r="M336" s="38">
        <v>1000</v>
      </c>
      <c r="N336" s="38">
        <v>40</v>
      </c>
      <c r="O336" s="149">
        <v>16200000</v>
      </c>
      <c r="P336" s="39">
        <v>46045</v>
      </c>
      <c r="Q336"/>
    </row>
    <row r="337" spans="1:18" ht="13.5" thickBot="1">
      <c r="A337" s="148"/>
      <c r="B337" s="42"/>
      <c r="C337" s="39">
        <v>46044</v>
      </c>
      <c r="D337" s="40">
        <v>0.36041666666666666</v>
      </c>
      <c r="E337" s="42"/>
      <c r="F337" s="38" t="s">
        <v>1720</v>
      </c>
      <c r="G337" s="38" t="s">
        <v>1721</v>
      </c>
      <c r="H337" s="39">
        <v>45679</v>
      </c>
      <c r="I337" s="40">
        <v>0.44097222222222221</v>
      </c>
      <c r="J337" s="42" t="s">
        <v>1722</v>
      </c>
      <c r="K337" s="38" t="s">
        <v>366</v>
      </c>
      <c r="L337" s="41" t="s">
        <v>221</v>
      </c>
      <c r="M337" s="38">
        <v>8</v>
      </c>
      <c r="N337" s="38">
        <v>8</v>
      </c>
      <c r="O337" s="149">
        <v>2000000</v>
      </c>
      <c r="P337" s="39">
        <v>46044</v>
      </c>
      <c r="Q337"/>
    </row>
    <row r="338" spans="1:18" ht="13.5" thickBot="1">
      <c r="A338" s="148"/>
      <c r="B338" s="42"/>
      <c r="C338" s="39">
        <v>46044</v>
      </c>
      <c r="D338" s="40">
        <v>0.36041666666666666</v>
      </c>
      <c r="E338" s="42"/>
      <c r="F338" s="38" t="s">
        <v>1723</v>
      </c>
      <c r="G338" s="38" t="s">
        <v>1724</v>
      </c>
      <c r="H338" s="39">
        <v>45679</v>
      </c>
      <c r="I338" s="40">
        <v>0.44097222222222221</v>
      </c>
      <c r="J338" s="42" t="s">
        <v>1722</v>
      </c>
      <c r="K338" s="38" t="s">
        <v>366</v>
      </c>
      <c r="L338" s="41" t="s">
        <v>221</v>
      </c>
      <c r="M338" s="38">
        <v>9</v>
      </c>
      <c r="N338" s="38">
        <v>9</v>
      </c>
      <c r="O338" s="149">
        <v>2250000</v>
      </c>
      <c r="P338" s="39">
        <v>46044</v>
      </c>
      <c r="Q338"/>
    </row>
    <row r="339" spans="1:18" ht="13.5" thickBot="1">
      <c r="A339" s="148"/>
      <c r="B339" s="42"/>
      <c r="C339" s="39">
        <v>46044</v>
      </c>
      <c r="D339" s="40">
        <v>0.43055555555555558</v>
      </c>
      <c r="E339" s="42"/>
      <c r="F339" s="38" t="s">
        <v>1725</v>
      </c>
      <c r="G339" s="38" t="s">
        <v>1726</v>
      </c>
      <c r="H339" s="39">
        <v>45679</v>
      </c>
      <c r="I339" s="40">
        <v>0.44097222222222221</v>
      </c>
      <c r="J339" s="42" t="s">
        <v>183</v>
      </c>
      <c r="K339" s="38" t="s">
        <v>168</v>
      </c>
      <c r="L339" s="41" t="s">
        <v>207</v>
      </c>
      <c r="M339" s="38">
        <v>20</v>
      </c>
      <c r="N339" s="38">
        <v>40</v>
      </c>
      <c r="O339" s="149">
        <v>10300000</v>
      </c>
      <c r="P339" s="39">
        <v>46044</v>
      </c>
      <c r="Q339"/>
    </row>
    <row r="340" spans="1:18" ht="23.5" thickBot="1">
      <c r="A340" s="148"/>
      <c r="B340" s="38" t="s">
        <v>1727</v>
      </c>
      <c r="C340" s="39">
        <v>46043</v>
      </c>
      <c r="D340" s="40">
        <v>0.65</v>
      </c>
      <c r="E340" s="42"/>
      <c r="F340" s="38" t="s">
        <v>1728</v>
      </c>
      <c r="G340" s="42"/>
      <c r="H340" s="39">
        <v>45679</v>
      </c>
      <c r="I340" s="40">
        <v>0.44166666666666665</v>
      </c>
      <c r="J340" s="42" t="s">
        <v>355</v>
      </c>
      <c r="K340" s="38" t="s">
        <v>86</v>
      </c>
      <c r="L340" s="41" t="s">
        <v>1729</v>
      </c>
      <c r="M340" s="38">
        <v>50</v>
      </c>
      <c r="N340" s="38">
        <v>10</v>
      </c>
      <c r="O340" s="149">
        <v>10000000</v>
      </c>
      <c r="P340" s="39">
        <v>46048</v>
      </c>
      <c r="Q340"/>
    </row>
    <row r="341" spans="1:18" ht="23.5" thickBot="1">
      <c r="A341" s="148"/>
      <c r="B341" s="38" t="s">
        <v>1727</v>
      </c>
      <c r="C341" s="39">
        <v>46043</v>
      </c>
      <c r="D341" s="40">
        <v>0.65</v>
      </c>
      <c r="E341" s="42"/>
      <c r="F341" s="38" t="s">
        <v>1728</v>
      </c>
      <c r="G341" s="42"/>
      <c r="H341" s="39">
        <v>45679</v>
      </c>
      <c r="I341" s="40">
        <v>0.44166666666666665</v>
      </c>
      <c r="J341" s="42" t="s">
        <v>355</v>
      </c>
      <c r="K341" s="38" t="s">
        <v>86</v>
      </c>
      <c r="L341" s="41" t="s">
        <v>230</v>
      </c>
      <c r="M341" s="38">
        <v>25</v>
      </c>
      <c r="N341" s="38">
        <v>50</v>
      </c>
      <c r="O341" s="149">
        <v>2625000</v>
      </c>
      <c r="P341" s="39">
        <v>46048</v>
      </c>
      <c r="Q341"/>
    </row>
    <row r="342" spans="1:18" ht="23.5" thickBot="1">
      <c r="A342" s="148"/>
      <c r="B342" s="38" t="s">
        <v>1730</v>
      </c>
      <c r="C342" s="39">
        <v>46044</v>
      </c>
      <c r="D342" s="38" t="s">
        <v>1731</v>
      </c>
      <c r="E342" s="42"/>
      <c r="F342" s="38" t="s">
        <v>1732</v>
      </c>
      <c r="G342" s="38" t="s">
        <v>1733</v>
      </c>
      <c r="H342" s="39">
        <v>45679</v>
      </c>
      <c r="I342" s="40">
        <v>0.49166666666666664</v>
      </c>
      <c r="J342" s="42" t="s">
        <v>323</v>
      </c>
      <c r="K342" s="38" t="s">
        <v>465</v>
      </c>
      <c r="L342" s="41" t="s">
        <v>679</v>
      </c>
      <c r="M342" s="38">
        <v>325</v>
      </c>
      <c r="N342" s="38">
        <v>13</v>
      </c>
      <c r="O342" s="149">
        <v>12512600</v>
      </c>
      <c r="P342" s="39">
        <v>46044</v>
      </c>
      <c r="Q342"/>
    </row>
    <row r="343" spans="1:18" ht="13.5" thickBot="1">
      <c r="A343" s="272" t="s">
        <v>773</v>
      </c>
      <c r="B343" s="155"/>
      <c r="C343" s="153">
        <v>46044</v>
      </c>
      <c r="D343" s="154">
        <v>0.34930555555555554</v>
      </c>
      <c r="E343" s="228"/>
      <c r="F343" s="273" t="s">
        <v>1734</v>
      </c>
      <c r="G343" s="273" t="s">
        <v>1735</v>
      </c>
      <c r="H343" s="274">
        <v>45679</v>
      </c>
      <c r="I343" s="233">
        <v>0.49375000000000002</v>
      </c>
      <c r="J343" s="272" t="s">
        <v>393</v>
      </c>
      <c r="K343" s="229" t="s">
        <v>856</v>
      </c>
      <c r="L343" s="275" t="s">
        <v>764</v>
      </c>
      <c r="M343" s="273">
        <v>500</v>
      </c>
      <c r="N343" s="273">
        <v>20</v>
      </c>
      <c r="O343" s="276">
        <v>118000000</v>
      </c>
      <c r="P343" s="274">
        <v>46049</v>
      </c>
      <c r="Q343" s="285" t="s">
        <v>773</v>
      </c>
      <c r="R343" s="288" t="s">
        <v>1872</v>
      </c>
    </row>
    <row r="344" spans="1:18" ht="13.5" thickBot="1">
      <c r="A344" s="148"/>
      <c r="B344" s="149">
        <v>98892</v>
      </c>
      <c r="C344" s="39">
        <v>46044</v>
      </c>
      <c r="D344" s="40">
        <v>0.39791666666666664</v>
      </c>
      <c r="E344" s="42"/>
      <c r="F344" s="38" t="s">
        <v>1736</v>
      </c>
      <c r="G344" s="38" t="s">
        <v>1737</v>
      </c>
      <c r="H344" s="39">
        <v>45679</v>
      </c>
      <c r="I344" s="40">
        <v>0.49930555555555556</v>
      </c>
      <c r="J344" s="42" t="s">
        <v>231</v>
      </c>
      <c r="K344" s="38" t="s">
        <v>142</v>
      </c>
      <c r="L344" s="41" t="s">
        <v>1208</v>
      </c>
      <c r="M344" s="38">
        <v>200</v>
      </c>
      <c r="N344" s="38">
        <v>8</v>
      </c>
      <c r="O344" s="149">
        <v>3200000</v>
      </c>
      <c r="P344" s="39">
        <v>46050</v>
      </c>
      <c r="Q344"/>
    </row>
    <row r="345" spans="1:18" ht="13.5" thickBot="1">
      <c r="A345" s="148"/>
      <c r="B345" s="38" t="s">
        <v>1738</v>
      </c>
      <c r="C345" s="39">
        <v>46044</v>
      </c>
      <c r="D345" s="40">
        <v>0.4597222222222222</v>
      </c>
      <c r="E345" s="42"/>
      <c r="F345" s="38" t="s">
        <v>1739</v>
      </c>
      <c r="G345" s="38" t="s">
        <v>1740</v>
      </c>
      <c r="H345" s="39">
        <v>45679</v>
      </c>
      <c r="I345" s="40">
        <v>0.5083333333333333</v>
      </c>
      <c r="J345" s="42" t="s">
        <v>539</v>
      </c>
      <c r="K345" s="38" t="s">
        <v>781</v>
      </c>
      <c r="L345" s="41" t="s">
        <v>1208</v>
      </c>
      <c r="M345" s="38">
        <v>75</v>
      </c>
      <c r="N345" s="38">
        <v>3</v>
      </c>
      <c r="O345" s="149">
        <v>1200000</v>
      </c>
      <c r="P345" s="39">
        <v>46044</v>
      </c>
      <c r="Q345"/>
    </row>
    <row r="346" spans="1:18" ht="13.5" thickBot="1">
      <c r="A346" s="148"/>
      <c r="B346" s="42"/>
      <c r="C346" s="39">
        <v>46044</v>
      </c>
      <c r="D346" s="40">
        <v>0.49583333333333335</v>
      </c>
      <c r="E346" s="42"/>
      <c r="F346" s="38" t="s">
        <v>1741</v>
      </c>
      <c r="G346" s="38" t="s">
        <v>1742</v>
      </c>
      <c r="H346" s="39">
        <v>45679</v>
      </c>
      <c r="I346" s="40">
        <v>0.51111111111111107</v>
      </c>
      <c r="J346" s="42" t="s">
        <v>1472</v>
      </c>
      <c r="K346" s="38" t="s">
        <v>366</v>
      </c>
      <c r="L346" s="41" t="s">
        <v>1223</v>
      </c>
      <c r="M346" s="38">
        <v>200</v>
      </c>
      <c r="N346" s="38">
        <v>8</v>
      </c>
      <c r="O346" s="149">
        <v>40000000</v>
      </c>
      <c r="P346" s="39">
        <v>46050</v>
      </c>
      <c r="Q346"/>
    </row>
    <row r="347" spans="1:18" ht="13.5" thickBot="1">
      <c r="A347" s="148"/>
      <c r="B347" s="42"/>
      <c r="C347" s="39">
        <v>46044</v>
      </c>
      <c r="D347" s="40">
        <v>0.40972222222222221</v>
      </c>
      <c r="E347" s="42"/>
      <c r="F347" s="38" t="s">
        <v>1743</v>
      </c>
      <c r="G347" s="38" t="s">
        <v>1744</v>
      </c>
      <c r="H347" s="39">
        <v>45680</v>
      </c>
      <c r="I347" s="40">
        <v>0.46944444444444444</v>
      </c>
      <c r="J347" s="42" t="s">
        <v>1256</v>
      </c>
      <c r="K347" s="38" t="s">
        <v>78</v>
      </c>
      <c r="L347" s="41" t="s">
        <v>779</v>
      </c>
      <c r="M347" s="38">
        <v>50</v>
      </c>
      <c r="N347" s="38">
        <v>2</v>
      </c>
      <c r="O347" s="149">
        <v>1750000</v>
      </c>
      <c r="P347" s="39">
        <v>46048</v>
      </c>
      <c r="Q347"/>
    </row>
    <row r="348" spans="1:18" ht="13.5" thickBot="1">
      <c r="A348" s="148"/>
      <c r="B348" s="42"/>
      <c r="C348" s="39">
        <v>46044</v>
      </c>
      <c r="D348" s="40">
        <v>0.6875</v>
      </c>
      <c r="E348" s="42"/>
      <c r="F348" s="38" t="s">
        <v>1745</v>
      </c>
      <c r="G348" s="42"/>
      <c r="H348" s="39">
        <v>45680</v>
      </c>
      <c r="I348" s="40">
        <v>0.48680555555555555</v>
      </c>
      <c r="J348" s="42" t="s">
        <v>864</v>
      </c>
      <c r="K348" s="38" t="s">
        <v>457</v>
      </c>
      <c r="L348" s="41" t="s">
        <v>136</v>
      </c>
      <c r="M348" s="38">
        <v>50</v>
      </c>
      <c r="N348" s="38">
        <v>2</v>
      </c>
      <c r="O348" s="149">
        <v>2700000</v>
      </c>
      <c r="P348" s="39">
        <v>46048</v>
      </c>
      <c r="Q348"/>
    </row>
    <row r="349" spans="1:18" ht="13.5" thickBot="1">
      <c r="A349" s="148"/>
      <c r="B349" s="42"/>
      <c r="C349" s="39">
        <v>46044</v>
      </c>
      <c r="D349" s="40">
        <v>0.6875</v>
      </c>
      <c r="E349" s="42"/>
      <c r="F349" s="38" t="s">
        <v>1745</v>
      </c>
      <c r="G349" s="42"/>
      <c r="H349" s="39">
        <v>45680</v>
      </c>
      <c r="I349" s="40">
        <v>0.48680555555555555</v>
      </c>
      <c r="J349" s="42" t="s">
        <v>864</v>
      </c>
      <c r="K349" s="38" t="s">
        <v>457</v>
      </c>
      <c r="L349" s="41" t="s">
        <v>764</v>
      </c>
      <c r="M349" s="38">
        <v>25</v>
      </c>
      <c r="N349" s="38">
        <v>1</v>
      </c>
      <c r="O349" s="149">
        <v>6000000</v>
      </c>
      <c r="P349" s="39">
        <v>46048</v>
      </c>
      <c r="Q349"/>
    </row>
    <row r="350" spans="1:18" ht="13.5" thickBot="1">
      <c r="A350" s="148"/>
      <c r="B350" s="42"/>
      <c r="C350" s="39">
        <v>46044</v>
      </c>
      <c r="D350" s="40">
        <v>0.6875</v>
      </c>
      <c r="E350" s="42"/>
      <c r="F350" s="38" t="s">
        <v>1745</v>
      </c>
      <c r="G350" s="42"/>
      <c r="H350" s="39">
        <v>45680</v>
      </c>
      <c r="I350" s="40">
        <v>0.48680555555555555</v>
      </c>
      <c r="J350" s="42" t="s">
        <v>864</v>
      </c>
      <c r="K350" s="38" t="s">
        <v>457</v>
      </c>
      <c r="L350" s="41" t="s">
        <v>120</v>
      </c>
      <c r="M350" s="38">
        <v>50</v>
      </c>
      <c r="N350" s="38">
        <v>2</v>
      </c>
      <c r="O350" s="149">
        <v>7000000</v>
      </c>
      <c r="P350" s="39">
        <v>46048</v>
      </c>
      <c r="Q350"/>
    </row>
    <row r="351" spans="1:18" ht="13.5" thickBot="1">
      <c r="A351" s="148"/>
      <c r="B351" s="42"/>
      <c r="C351" s="39">
        <v>46044</v>
      </c>
      <c r="D351" s="40">
        <v>0.6875</v>
      </c>
      <c r="E351" s="42"/>
      <c r="F351" s="38" t="s">
        <v>1745</v>
      </c>
      <c r="G351" s="42"/>
      <c r="H351" s="39">
        <v>45680</v>
      </c>
      <c r="I351" s="40">
        <v>0.48680555555555555</v>
      </c>
      <c r="J351" s="42" t="s">
        <v>864</v>
      </c>
      <c r="K351" s="38" t="s">
        <v>457</v>
      </c>
      <c r="L351" s="41" t="s">
        <v>111</v>
      </c>
      <c r="M351" s="38">
        <v>450</v>
      </c>
      <c r="N351" s="38">
        <v>18</v>
      </c>
      <c r="O351" s="149">
        <v>11475000</v>
      </c>
      <c r="P351" s="39">
        <v>46048</v>
      </c>
      <c r="Q351"/>
    </row>
    <row r="352" spans="1:18" ht="38" thickBot="1">
      <c r="A352" s="148"/>
      <c r="B352" s="38" t="s">
        <v>1746</v>
      </c>
      <c r="C352" s="39">
        <v>46044</v>
      </c>
      <c r="D352" s="40">
        <v>0.6875</v>
      </c>
      <c r="E352" s="42"/>
      <c r="F352" s="38" t="s">
        <v>1747</v>
      </c>
      <c r="G352" s="38" t="s">
        <v>1748</v>
      </c>
      <c r="H352" s="39">
        <v>45680</v>
      </c>
      <c r="I352" s="40">
        <v>0.51597222222222228</v>
      </c>
      <c r="J352" s="42" t="s">
        <v>763</v>
      </c>
      <c r="K352" s="38" t="s">
        <v>79</v>
      </c>
      <c r="L352" s="41" t="s">
        <v>111</v>
      </c>
      <c r="M352" s="38">
        <v>1000</v>
      </c>
      <c r="N352" s="38">
        <v>40</v>
      </c>
      <c r="O352" s="149">
        <v>25500000</v>
      </c>
      <c r="P352" s="39">
        <v>46048</v>
      </c>
      <c r="Q352"/>
    </row>
    <row r="353" spans="1:17" ht="38" thickBot="1">
      <c r="A353" s="148"/>
      <c r="B353" s="38" t="s">
        <v>1749</v>
      </c>
      <c r="C353" s="39">
        <v>46044</v>
      </c>
      <c r="D353" s="40">
        <v>0.66805555555555551</v>
      </c>
      <c r="E353" s="42"/>
      <c r="F353" s="38" t="s">
        <v>1750</v>
      </c>
      <c r="G353" s="38" t="s">
        <v>1751</v>
      </c>
      <c r="H353" s="39">
        <v>45680</v>
      </c>
      <c r="I353" s="40">
        <v>0.5180555555555556</v>
      </c>
      <c r="J353" s="42" t="s">
        <v>763</v>
      </c>
      <c r="K353" s="38" t="s">
        <v>141</v>
      </c>
      <c r="L353" s="41" t="s">
        <v>194</v>
      </c>
      <c r="M353" s="38">
        <v>700</v>
      </c>
      <c r="N353" s="38">
        <v>28</v>
      </c>
      <c r="O353" s="149">
        <v>12845000</v>
      </c>
      <c r="P353" s="39">
        <v>46049</v>
      </c>
      <c r="Q353"/>
    </row>
    <row r="354" spans="1:17" ht="13.5" thickBot="1">
      <c r="A354" s="148"/>
      <c r="B354" s="38" t="s">
        <v>775</v>
      </c>
      <c r="C354" s="39">
        <v>46045</v>
      </c>
      <c r="D354" s="40">
        <v>0.43194444444444446</v>
      </c>
      <c r="E354" s="42"/>
      <c r="F354" s="38" t="s">
        <v>1752</v>
      </c>
      <c r="G354" s="38" t="s">
        <v>1753</v>
      </c>
      <c r="H354" s="39">
        <v>45680</v>
      </c>
      <c r="I354" s="40">
        <v>0.52569444444444446</v>
      </c>
      <c r="J354" s="42" t="s">
        <v>45</v>
      </c>
      <c r="K354" s="38" t="s">
        <v>78</v>
      </c>
      <c r="L354" s="41" t="s">
        <v>221</v>
      </c>
      <c r="M354" s="38">
        <v>4</v>
      </c>
      <c r="N354" s="38">
        <v>4</v>
      </c>
      <c r="O354" s="149">
        <v>1040000</v>
      </c>
      <c r="P354" s="39">
        <v>46045</v>
      </c>
      <c r="Q354"/>
    </row>
    <row r="355" spans="1:17" ht="13.5" thickBot="1">
      <c r="A355" s="148"/>
      <c r="B355" s="38" t="s">
        <v>1754</v>
      </c>
      <c r="C355" s="39">
        <v>46045</v>
      </c>
      <c r="D355" s="40">
        <v>0.53472222222222221</v>
      </c>
      <c r="E355" s="42"/>
      <c r="F355" s="38" t="s">
        <v>1755</v>
      </c>
      <c r="G355" s="38" t="s">
        <v>1756</v>
      </c>
      <c r="H355" s="39">
        <v>45680</v>
      </c>
      <c r="I355" s="40">
        <v>0.54513888888888884</v>
      </c>
      <c r="J355" s="42" t="s">
        <v>152</v>
      </c>
      <c r="K355" s="38" t="s">
        <v>398</v>
      </c>
      <c r="L355" s="41" t="s">
        <v>1669</v>
      </c>
      <c r="M355" s="38">
        <v>20</v>
      </c>
      <c r="N355" s="38">
        <v>1</v>
      </c>
      <c r="O355" s="149">
        <v>770000</v>
      </c>
      <c r="P355" s="39">
        <v>46048</v>
      </c>
      <c r="Q355"/>
    </row>
    <row r="356" spans="1:17" ht="13.5" thickBot="1">
      <c r="A356" s="148"/>
      <c r="B356" s="38" t="s">
        <v>1754</v>
      </c>
      <c r="C356" s="39">
        <v>46045</v>
      </c>
      <c r="D356" s="40">
        <v>0.53472222222222221</v>
      </c>
      <c r="E356" s="42"/>
      <c r="F356" s="38" t="s">
        <v>1757</v>
      </c>
      <c r="G356" s="38" t="s">
        <v>1756</v>
      </c>
      <c r="H356" s="39">
        <v>45680</v>
      </c>
      <c r="I356" s="40">
        <v>0.63263888888888886</v>
      </c>
      <c r="J356" s="42" t="s">
        <v>152</v>
      </c>
      <c r="K356" s="38" t="s">
        <v>398</v>
      </c>
      <c r="L356" s="41" t="s">
        <v>1669</v>
      </c>
      <c r="M356" s="38">
        <v>20</v>
      </c>
      <c r="N356" s="38">
        <v>1</v>
      </c>
      <c r="O356" s="149">
        <v>770000</v>
      </c>
      <c r="P356" s="39">
        <v>46048</v>
      </c>
      <c r="Q356"/>
    </row>
    <row r="357" spans="1:17" ht="35" thickBot="1">
      <c r="A357" s="148"/>
      <c r="B357" s="42"/>
      <c r="C357" s="39">
        <v>46045</v>
      </c>
      <c r="D357" s="40">
        <v>0.57638888888888884</v>
      </c>
      <c r="E357" s="38" t="s">
        <v>1758</v>
      </c>
      <c r="F357" s="38" t="s">
        <v>1759</v>
      </c>
      <c r="G357" s="42"/>
      <c r="H357" s="39">
        <v>45680</v>
      </c>
      <c r="I357" s="40">
        <v>0.61805555555555558</v>
      </c>
      <c r="J357" s="42" t="s">
        <v>163</v>
      </c>
      <c r="K357" s="38" t="s">
        <v>80</v>
      </c>
      <c r="L357" s="41" t="s">
        <v>1191</v>
      </c>
      <c r="M357" s="38">
        <v>240</v>
      </c>
      <c r="N357" s="38">
        <v>10</v>
      </c>
      <c r="O357" s="149">
        <v>14448800</v>
      </c>
      <c r="P357" s="39">
        <v>46045</v>
      </c>
      <c r="Q357"/>
    </row>
    <row r="358" spans="1:17" ht="35" thickBot="1">
      <c r="A358" s="148"/>
      <c r="B358" s="42"/>
      <c r="C358" s="39">
        <v>46045</v>
      </c>
      <c r="D358" s="40">
        <v>0.57638888888888884</v>
      </c>
      <c r="E358" s="38" t="s">
        <v>1758</v>
      </c>
      <c r="F358" s="38" t="s">
        <v>1759</v>
      </c>
      <c r="G358" s="42"/>
      <c r="H358" s="39">
        <v>45680</v>
      </c>
      <c r="I358" s="40">
        <v>0.61805555555555558</v>
      </c>
      <c r="J358" s="42" t="s">
        <v>163</v>
      </c>
      <c r="K358" s="38" t="s">
        <v>80</v>
      </c>
      <c r="L358" s="41" t="s">
        <v>1208</v>
      </c>
      <c r="M358" s="38">
        <v>250</v>
      </c>
      <c r="N358" s="38">
        <v>10</v>
      </c>
      <c r="O358" s="149">
        <v>4000000</v>
      </c>
      <c r="P358" s="39">
        <v>46045</v>
      </c>
      <c r="Q358"/>
    </row>
    <row r="359" spans="1:17" ht="35" thickBot="1">
      <c r="A359" s="148"/>
      <c r="B359" s="42"/>
      <c r="C359" s="39">
        <v>46045</v>
      </c>
      <c r="D359" s="40">
        <v>0.57638888888888884</v>
      </c>
      <c r="E359" s="38" t="s">
        <v>1758</v>
      </c>
      <c r="F359" s="38" t="s">
        <v>1759</v>
      </c>
      <c r="G359" s="42"/>
      <c r="H359" s="39">
        <v>45680</v>
      </c>
      <c r="I359" s="40">
        <v>0.61805555555555558</v>
      </c>
      <c r="J359" s="42" t="s">
        <v>163</v>
      </c>
      <c r="K359" s="38" t="s">
        <v>80</v>
      </c>
      <c r="L359" s="41" t="s">
        <v>230</v>
      </c>
      <c r="M359" s="38">
        <v>1</v>
      </c>
      <c r="N359" s="38">
        <v>0</v>
      </c>
      <c r="O359" s="149">
        <v>102000</v>
      </c>
      <c r="P359" s="39">
        <v>46045</v>
      </c>
      <c r="Q359"/>
    </row>
    <row r="360" spans="1:17" ht="35" thickBot="1">
      <c r="A360" s="148"/>
      <c r="B360" s="42"/>
      <c r="C360" s="39">
        <v>46045</v>
      </c>
      <c r="D360" s="40">
        <v>0.57638888888888884</v>
      </c>
      <c r="E360" s="38" t="s">
        <v>1758</v>
      </c>
      <c r="F360" s="38" t="s">
        <v>1759</v>
      </c>
      <c r="G360" s="42"/>
      <c r="H360" s="39">
        <v>45680</v>
      </c>
      <c r="I360" s="40">
        <v>0.61805555555555558</v>
      </c>
      <c r="J360" s="42" t="s">
        <v>163</v>
      </c>
      <c r="K360" s="38" t="s">
        <v>80</v>
      </c>
      <c r="L360" s="41" t="s">
        <v>221</v>
      </c>
      <c r="M360" s="38">
        <v>20</v>
      </c>
      <c r="N360" s="38">
        <v>1</v>
      </c>
      <c r="O360" s="149">
        <v>5800000</v>
      </c>
      <c r="P360" s="39">
        <v>46045</v>
      </c>
      <c r="Q360"/>
    </row>
    <row r="361" spans="1:17" ht="35" thickBot="1">
      <c r="A361" s="148"/>
      <c r="B361" s="42"/>
      <c r="C361" s="39">
        <v>46045</v>
      </c>
      <c r="D361" s="40">
        <v>0.57638888888888884</v>
      </c>
      <c r="E361" s="38" t="s">
        <v>1758</v>
      </c>
      <c r="F361" s="38" t="s">
        <v>1759</v>
      </c>
      <c r="G361" s="42"/>
      <c r="H361" s="39">
        <v>45680</v>
      </c>
      <c r="I361" s="40">
        <v>0.61805555555555558</v>
      </c>
      <c r="J361" s="42" t="s">
        <v>163</v>
      </c>
      <c r="K361" s="38" t="s">
        <v>80</v>
      </c>
      <c r="L361" s="41" t="s">
        <v>1323</v>
      </c>
      <c r="M361" s="38">
        <v>200</v>
      </c>
      <c r="N361" s="38">
        <v>8</v>
      </c>
      <c r="O361" s="149">
        <v>12040000</v>
      </c>
      <c r="P361" s="39">
        <v>46045</v>
      </c>
      <c r="Q361"/>
    </row>
    <row r="362" spans="1:17" ht="35" thickBot="1">
      <c r="A362" s="148"/>
      <c r="B362" s="42"/>
      <c r="C362" s="39">
        <v>46045</v>
      </c>
      <c r="D362" s="40">
        <v>0.57638888888888884</v>
      </c>
      <c r="E362" s="38" t="s">
        <v>1758</v>
      </c>
      <c r="F362" s="38" t="s">
        <v>1759</v>
      </c>
      <c r="G362" s="42"/>
      <c r="H362" s="39">
        <v>45680</v>
      </c>
      <c r="I362" s="40">
        <v>0.61805555555555558</v>
      </c>
      <c r="J362" s="42" t="s">
        <v>163</v>
      </c>
      <c r="K362" s="38" t="s">
        <v>80</v>
      </c>
      <c r="L362" s="41" t="s">
        <v>151</v>
      </c>
      <c r="M362" s="38">
        <v>50</v>
      </c>
      <c r="N362" s="38">
        <v>2</v>
      </c>
      <c r="O362" s="149">
        <v>3500000</v>
      </c>
      <c r="P362" s="39">
        <v>46045</v>
      </c>
      <c r="Q362"/>
    </row>
    <row r="363" spans="1:17" ht="35" thickBot="1">
      <c r="A363" s="148"/>
      <c r="B363" s="42"/>
      <c r="C363" s="39">
        <v>46045</v>
      </c>
      <c r="D363" s="40">
        <v>0.57638888888888884</v>
      </c>
      <c r="E363" s="38" t="s">
        <v>1758</v>
      </c>
      <c r="F363" s="38" t="s">
        <v>1759</v>
      </c>
      <c r="G363" s="42"/>
      <c r="H363" s="39">
        <v>45680</v>
      </c>
      <c r="I363" s="40">
        <v>0.61805555555555558</v>
      </c>
      <c r="J363" s="42" t="s">
        <v>163</v>
      </c>
      <c r="K363" s="38" t="s">
        <v>80</v>
      </c>
      <c r="L363" s="41" t="s">
        <v>779</v>
      </c>
      <c r="M363" s="38">
        <v>25</v>
      </c>
      <c r="N363" s="38">
        <v>1</v>
      </c>
      <c r="O363" s="149">
        <v>980000</v>
      </c>
      <c r="P363" s="39">
        <v>46045</v>
      </c>
      <c r="Q363"/>
    </row>
    <row r="364" spans="1:17" ht="35" thickBot="1">
      <c r="A364" s="148"/>
      <c r="B364" s="42"/>
      <c r="C364" s="39">
        <v>46045</v>
      </c>
      <c r="D364" s="40">
        <v>0.57638888888888884</v>
      </c>
      <c r="E364" s="38" t="s">
        <v>1758</v>
      </c>
      <c r="F364" s="38" t="s">
        <v>1759</v>
      </c>
      <c r="G364" s="42"/>
      <c r="H364" s="39">
        <v>45680</v>
      </c>
      <c r="I364" s="40">
        <v>0.61805555555555558</v>
      </c>
      <c r="J364" s="42" t="s">
        <v>163</v>
      </c>
      <c r="K364" s="38" t="s">
        <v>80</v>
      </c>
      <c r="L364" s="41" t="s">
        <v>1223</v>
      </c>
      <c r="M364" s="38">
        <v>100</v>
      </c>
      <c r="N364" s="38">
        <v>4</v>
      </c>
      <c r="O364" s="149">
        <v>21000000</v>
      </c>
      <c r="P364" s="39">
        <v>46045</v>
      </c>
      <c r="Q364"/>
    </row>
    <row r="365" spans="1:17" ht="35" thickBot="1">
      <c r="A365" s="148"/>
      <c r="B365" s="42"/>
      <c r="C365" s="39">
        <v>46045</v>
      </c>
      <c r="D365" s="40">
        <v>0.57638888888888884</v>
      </c>
      <c r="E365" s="38" t="s">
        <v>1758</v>
      </c>
      <c r="F365" s="38" t="s">
        <v>1759</v>
      </c>
      <c r="G365" s="42"/>
      <c r="H365" s="39">
        <v>45680</v>
      </c>
      <c r="I365" s="40">
        <v>0.61805555555555558</v>
      </c>
      <c r="J365" s="42" t="s">
        <v>163</v>
      </c>
      <c r="K365" s="38" t="s">
        <v>80</v>
      </c>
      <c r="L365" s="41" t="s">
        <v>766</v>
      </c>
      <c r="M365" s="38">
        <v>15</v>
      </c>
      <c r="N365" s="38">
        <v>1</v>
      </c>
      <c r="O365" s="149">
        <v>2250000</v>
      </c>
      <c r="P365" s="39">
        <v>46045</v>
      </c>
      <c r="Q365"/>
    </row>
    <row r="366" spans="1:17" ht="13.5" thickBot="1">
      <c r="A366" s="148"/>
      <c r="B366" s="38">
        <v>4500086382</v>
      </c>
      <c r="C366" s="39">
        <v>46046</v>
      </c>
      <c r="D366" s="40">
        <v>0.41180555555555554</v>
      </c>
      <c r="E366" s="42"/>
      <c r="F366" s="38" t="s">
        <v>1760</v>
      </c>
      <c r="G366" s="38" t="s">
        <v>1761</v>
      </c>
      <c r="H366" s="39">
        <v>45683</v>
      </c>
      <c r="I366" s="40">
        <v>0.46250000000000002</v>
      </c>
      <c r="J366" s="42" t="s">
        <v>762</v>
      </c>
      <c r="K366" s="38" t="s">
        <v>83</v>
      </c>
      <c r="L366" s="41" t="s">
        <v>112</v>
      </c>
      <c r="M366" s="38">
        <v>1200</v>
      </c>
      <c r="N366" s="38">
        <v>48</v>
      </c>
      <c r="O366" s="149">
        <v>55800000</v>
      </c>
      <c r="P366" s="39">
        <v>46049</v>
      </c>
      <c r="Q366"/>
    </row>
    <row r="367" spans="1:17" ht="13.5" thickBot="1">
      <c r="A367" s="148"/>
      <c r="B367" s="38">
        <v>4500086382</v>
      </c>
      <c r="C367" s="39">
        <v>46046</v>
      </c>
      <c r="D367" s="40">
        <v>0.41180555555555554</v>
      </c>
      <c r="E367" s="42"/>
      <c r="F367" s="38" t="s">
        <v>1760</v>
      </c>
      <c r="G367" s="38" t="s">
        <v>1761</v>
      </c>
      <c r="H367" s="39">
        <v>45683</v>
      </c>
      <c r="I367" s="40">
        <v>0.46250000000000002</v>
      </c>
      <c r="J367" s="42" t="s">
        <v>762</v>
      </c>
      <c r="K367" s="38" t="s">
        <v>83</v>
      </c>
      <c r="L367" s="41" t="s">
        <v>1431</v>
      </c>
      <c r="M367" s="38">
        <v>1000</v>
      </c>
      <c r="N367" s="38">
        <v>40</v>
      </c>
      <c r="O367" s="149">
        <v>19010000</v>
      </c>
      <c r="P367" s="39">
        <v>46049</v>
      </c>
      <c r="Q367"/>
    </row>
    <row r="368" spans="1:17" ht="13.5" thickBot="1">
      <c r="A368" s="148"/>
      <c r="B368" s="38">
        <v>4500086382</v>
      </c>
      <c r="C368" s="39">
        <v>46046</v>
      </c>
      <c r="D368" s="40">
        <v>0.41180555555555554</v>
      </c>
      <c r="E368" s="42"/>
      <c r="F368" s="38" t="s">
        <v>1760</v>
      </c>
      <c r="G368" s="38" t="s">
        <v>1761</v>
      </c>
      <c r="H368" s="39">
        <v>45683</v>
      </c>
      <c r="I368" s="40">
        <v>0.46250000000000002</v>
      </c>
      <c r="J368" s="42" t="s">
        <v>762</v>
      </c>
      <c r="K368" s="38" t="s">
        <v>83</v>
      </c>
      <c r="L368" s="41" t="s">
        <v>679</v>
      </c>
      <c r="M368" s="38">
        <v>4000</v>
      </c>
      <c r="N368" s="38">
        <v>160</v>
      </c>
      <c r="O368" s="149">
        <v>127200000</v>
      </c>
      <c r="P368" s="39">
        <v>46049</v>
      </c>
      <c r="Q368"/>
    </row>
    <row r="369" spans="1:18" ht="13.5" thickBot="1">
      <c r="A369" s="148"/>
      <c r="B369" s="38">
        <v>4500086382</v>
      </c>
      <c r="C369" s="39">
        <v>46046</v>
      </c>
      <c r="D369" s="40">
        <v>0.41180555555555554</v>
      </c>
      <c r="E369" s="42"/>
      <c r="F369" s="38" t="s">
        <v>1760</v>
      </c>
      <c r="G369" s="38" t="s">
        <v>1761</v>
      </c>
      <c r="H369" s="39">
        <v>45683</v>
      </c>
      <c r="I369" s="40">
        <v>0.46250000000000002</v>
      </c>
      <c r="J369" s="42" t="s">
        <v>762</v>
      </c>
      <c r="K369" s="38" t="s">
        <v>83</v>
      </c>
      <c r="L369" s="41" t="s">
        <v>339</v>
      </c>
      <c r="M369" s="38">
        <v>300</v>
      </c>
      <c r="N369" s="38">
        <v>12</v>
      </c>
      <c r="O369" s="149">
        <v>37500000</v>
      </c>
      <c r="P369" s="39">
        <v>46049</v>
      </c>
      <c r="Q369"/>
    </row>
    <row r="370" spans="1:18" ht="13.5" thickBot="1">
      <c r="A370" s="148"/>
      <c r="B370" s="38">
        <v>4500086382</v>
      </c>
      <c r="C370" s="39">
        <v>46046</v>
      </c>
      <c r="D370" s="40">
        <v>0.41180555555555554</v>
      </c>
      <c r="E370" s="42"/>
      <c r="F370" s="38" t="s">
        <v>1760</v>
      </c>
      <c r="G370" s="38" t="s">
        <v>1761</v>
      </c>
      <c r="H370" s="39">
        <v>45683</v>
      </c>
      <c r="I370" s="40">
        <v>0.46250000000000002</v>
      </c>
      <c r="J370" s="42" t="s">
        <v>762</v>
      </c>
      <c r="K370" s="38" t="s">
        <v>83</v>
      </c>
      <c r="L370" s="41" t="s">
        <v>151</v>
      </c>
      <c r="M370" s="38">
        <v>500</v>
      </c>
      <c r="N370" s="38">
        <v>20</v>
      </c>
      <c r="O370" s="149">
        <v>30850000</v>
      </c>
      <c r="P370" s="39">
        <v>46049</v>
      </c>
      <c r="Q370"/>
    </row>
    <row r="371" spans="1:18" s="196" customFormat="1" ht="13.5" thickBot="1">
      <c r="A371" s="212"/>
      <c r="B371" s="193">
        <v>4500086382</v>
      </c>
      <c r="C371" s="195">
        <v>46046</v>
      </c>
      <c r="D371" s="208">
        <v>0.41180555555555554</v>
      </c>
      <c r="E371" s="192"/>
      <c r="F371" s="193" t="s">
        <v>1762</v>
      </c>
      <c r="G371" s="192"/>
      <c r="H371" s="195">
        <v>46052</v>
      </c>
      <c r="I371" s="208">
        <v>0.53680555555555554</v>
      </c>
      <c r="J371" s="192" t="s">
        <v>762</v>
      </c>
      <c r="K371" s="193" t="s">
        <v>83</v>
      </c>
      <c r="L371" s="194" t="s">
        <v>766</v>
      </c>
      <c r="M371" s="193">
        <v>12</v>
      </c>
      <c r="N371" s="193">
        <v>12</v>
      </c>
      <c r="O371" s="198">
        <v>1626000</v>
      </c>
      <c r="P371" s="195">
        <v>46049</v>
      </c>
      <c r="Q371" s="211"/>
      <c r="R371" s="211"/>
    </row>
    <row r="372" spans="1:18" ht="13.5" thickBot="1">
      <c r="A372" s="272" t="s">
        <v>773</v>
      </c>
      <c r="B372" s="152">
        <v>4500086382</v>
      </c>
      <c r="C372" s="153">
        <v>46046</v>
      </c>
      <c r="D372" s="154">
        <v>0.41180555555555554</v>
      </c>
      <c r="E372" s="228"/>
      <c r="F372" s="273" t="s">
        <v>1760</v>
      </c>
      <c r="G372" s="273" t="s">
        <v>1761</v>
      </c>
      <c r="H372" s="274">
        <v>45683</v>
      </c>
      <c r="I372" s="233">
        <v>0.46250000000000002</v>
      </c>
      <c r="J372" s="272" t="s">
        <v>762</v>
      </c>
      <c r="K372" s="229" t="s">
        <v>83</v>
      </c>
      <c r="L372" s="275" t="s">
        <v>766</v>
      </c>
      <c r="M372" s="273">
        <v>12</v>
      </c>
      <c r="N372" s="273">
        <v>12</v>
      </c>
      <c r="O372" s="276">
        <f>+N372*150000</f>
        <v>1800000</v>
      </c>
      <c r="P372" s="274">
        <v>46049</v>
      </c>
      <c r="Q372" s="285" t="s">
        <v>773</v>
      </c>
      <c r="R372" s="289" t="s">
        <v>1874</v>
      </c>
    </row>
    <row r="373" spans="1:18" ht="13.5" thickBot="1">
      <c r="A373" s="148"/>
      <c r="B373" s="38">
        <v>4500086382</v>
      </c>
      <c r="C373" s="39">
        <v>46046</v>
      </c>
      <c r="D373" s="40">
        <v>0.41180555555555554</v>
      </c>
      <c r="E373" s="42"/>
      <c r="F373" s="38" t="s">
        <v>1760</v>
      </c>
      <c r="G373" s="38" t="s">
        <v>1761</v>
      </c>
      <c r="H373" s="39">
        <v>45683</v>
      </c>
      <c r="I373" s="40">
        <v>0.46250000000000002</v>
      </c>
      <c r="J373" s="42" t="s">
        <v>762</v>
      </c>
      <c r="K373" s="38" t="s">
        <v>83</v>
      </c>
      <c r="L373" s="41" t="s">
        <v>930</v>
      </c>
      <c r="M373" s="38">
        <v>250</v>
      </c>
      <c r="N373" s="38">
        <v>10</v>
      </c>
      <c r="O373" s="149">
        <v>110000000</v>
      </c>
      <c r="P373" s="39">
        <v>46049</v>
      </c>
      <c r="Q373"/>
    </row>
    <row r="374" spans="1:18" ht="13.5" thickBot="1">
      <c r="A374" s="287" t="s">
        <v>1863</v>
      </c>
      <c r="B374" s="55">
        <v>4500086382</v>
      </c>
      <c r="C374" s="53">
        <v>46046</v>
      </c>
      <c r="D374" s="54">
        <v>0.41180555555555554</v>
      </c>
      <c r="E374" s="221"/>
      <c r="F374" s="253" t="s">
        <v>1760</v>
      </c>
      <c r="G374" s="254"/>
      <c r="H374" s="255">
        <v>45683</v>
      </c>
      <c r="I374" s="225">
        <v>0.46250000000000002</v>
      </c>
      <c r="J374" s="254" t="s">
        <v>762</v>
      </c>
      <c r="K374" s="222" t="s">
        <v>83</v>
      </c>
      <c r="L374" s="256" t="s">
        <v>1669</v>
      </c>
      <c r="M374" s="253">
        <v>40</v>
      </c>
      <c r="N374" s="253">
        <v>2</v>
      </c>
      <c r="O374" s="257">
        <v>1380000</v>
      </c>
      <c r="P374" s="255">
        <v>46049</v>
      </c>
      <c r="Q374" s="271" t="s">
        <v>1868</v>
      </c>
      <c r="R374" s="271" t="s">
        <v>1878</v>
      </c>
    </row>
    <row r="375" spans="1:18" ht="13.5" thickBot="1">
      <c r="A375" s="148"/>
      <c r="B375" s="38">
        <v>4500086382</v>
      </c>
      <c r="C375" s="39">
        <v>46046</v>
      </c>
      <c r="D375" s="40">
        <v>0.41180555555555554</v>
      </c>
      <c r="E375" s="42"/>
      <c r="F375" s="38" t="s">
        <v>1760</v>
      </c>
      <c r="G375" s="38" t="s">
        <v>1761</v>
      </c>
      <c r="H375" s="39">
        <v>45683</v>
      </c>
      <c r="I375" s="40">
        <v>0.46250000000000002</v>
      </c>
      <c r="J375" s="42" t="s">
        <v>762</v>
      </c>
      <c r="K375" s="38" t="s">
        <v>83</v>
      </c>
      <c r="L375" s="41" t="s">
        <v>1669</v>
      </c>
      <c r="M375" s="38">
        <v>60</v>
      </c>
      <c r="N375" s="38">
        <v>2</v>
      </c>
      <c r="O375" s="149">
        <v>2070000</v>
      </c>
      <c r="P375" s="39">
        <v>46049</v>
      </c>
      <c r="Q375"/>
    </row>
    <row r="376" spans="1:18" ht="13.5" thickBot="1">
      <c r="A376" s="148"/>
      <c r="B376" s="38">
        <v>4500086382</v>
      </c>
      <c r="C376" s="39">
        <v>46046</v>
      </c>
      <c r="D376" s="40">
        <v>0.41180555555555554</v>
      </c>
      <c r="E376" s="42"/>
      <c r="F376" s="38" t="s">
        <v>1763</v>
      </c>
      <c r="G376" s="38" t="s">
        <v>1764</v>
      </c>
      <c r="H376" s="39">
        <v>45683</v>
      </c>
      <c r="I376" s="40">
        <v>0.46250000000000002</v>
      </c>
      <c r="J376" s="42" t="s">
        <v>762</v>
      </c>
      <c r="K376" s="38" t="s">
        <v>83</v>
      </c>
      <c r="L376" s="41" t="s">
        <v>1313</v>
      </c>
      <c r="M376" s="38">
        <v>120</v>
      </c>
      <c r="N376" s="38">
        <v>12</v>
      </c>
      <c r="O376" s="38">
        <v>0</v>
      </c>
      <c r="P376" s="39">
        <v>46049</v>
      </c>
      <c r="Q376"/>
    </row>
    <row r="377" spans="1:18" ht="13.5" thickBot="1">
      <c r="A377" s="148"/>
      <c r="B377" s="42"/>
      <c r="C377" s="39">
        <v>46045</v>
      </c>
      <c r="D377" s="181">
        <v>0.67569444444444449</v>
      </c>
      <c r="E377" s="42"/>
      <c r="F377" s="38" t="s">
        <v>1765</v>
      </c>
      <c r="G377" s="38" t="s">
        <v>1766</v>
      </c>
      <c r="H377" s="39">
        <v>46048</v>
      </c>
      <c r="I377" s="40">
        <v>0.36458333333333331</v>
      </c>
      <c r="J377" s="42" t="s">
        <v>1256</v>
      </c>
      <c r="K377" s="38" t="s">
        <v>78</v>
      </c>
      <c r="L377" s="41" t="s">
        <v>111</v>
      </c>
      <c r="M377" s="38">
        <v>50</v>
      </c>
      <c r="N377" s="38">
        <v>2</v>
      </c>
      <c r="O377" s="149">
        <v>1275000</v>
      </c>
      <c r="P377" s="39">
        <v>46050</v>
      </c>
      <c r="Q377"/>
    </row>
    <row r="378" spans="1:18" ht="23.5" customHeight="1" thickBot="1">
      <c r="A378" s="247" t="s">
        <v>109</v>
      </c>
      <c r="B378" s="58">
        <v>1339546</v>
      </c>
      <c r="C378" s="59">
        <v>46044</v>
      </c>
      <c r="D378" s="60">
        <v>0.63611111111111107</v>
      </c>
      <c r="E378" s="219"/>
      <c r="F378" s="249"/>
      <c r="G378" s="249"/>
      <c r="H378" s="249"/>
      <c r="I378" s="219"/>
      <c r="J378" s="249" t="s">
        <v>784</v>
      </c>
      <c r="K378" s="220" t="s">
        <v>78</v>
      </c>
      <c r="L378" s="250" t="s">
        <v>1767</v>
      </c>
      <c r="M378" s="247">
        <v>150</v>
      </c>
      <c r="N378" s="247">
        <v>6</v>
      </c>
      <c r="O378" s="249"/>
      <c r="P378" s="248">
        <v>46051</v>
      </c>
      <c r="Q378" s="252" t="s">
        <v>1859</v>
      </c>
      <c r="R378" s="252" t="s">
        <v>1858</v>
      </c>
    </row>
    <row r="379" spans="1:18" ht="13.5" thickBot="1">
      <c r="A379" s="148"/>
      <c r="B379" s="38" t="s">
        <v>1768</v>
      </c>
      <c r="C379" s="39">
        <v>46048</v>
      </c>
      <c r="D379" s="40">
        <v>0.40138888888888891</v>
      </c>
      <c r="E379" s="42"/>
      <c r="F379" s="38" t="s">
        <v>1769</v>
      </c>
      <c r="G379" s="38" t="s">
        <v>1770</v>
      </c>
      <c r="H379" s="39">
        <v>46048</v>
      </c>
      <c r="I379" s="40">
        <v>0.46944444444444444</v>
      </c>
      <c r="J379" s="42" t="s">
        <v>160</v>
      </c>
      <c r="K379" s="38" t="s">
        <v>170</v>
      </c>
      <c r="L379" s="41" t="s">
        <v>207</v>
      </c>
      <c r="M379" s="38">
        <v>2</v>
      </c>
      <c r="N379" s="38">
        <v>0</v>
      </c>
      <c r="O379" s="149">
        <v>1027728</v>
      </c>
      <c r="P379" s="39">
        <v>46050</v>
      </c>
      <c r="Q379"/>
    </row>
    <row r="380" spans="1:18" ht="13.5" thickBot="1">
      <c r="A380" s="148"/>
      <c r="B380" s="38" t="s">
        <v>1768</v>
      </c>
      <c r="C380" s="39">
        <v>46048</v>
      </c>
      <c r="D380" s="40">
        <v>0.40138888888888891</v>
      </c>
      <c r="E380" s="42"/>
      <c r="F380" s="38" t="s">
        <v>1769</v>
      </c>
      <c r="G380" s="38" t="s">
        <v>1770</v>
      </c>
      <c r="H380" s="39">
        <v>46048</v>
      </c>
      <c r="I380" s="40">
        <v>0.46944444444444444</v>
      </c>
      <c r="J380" s="42" t="s">
        <v>160</v>
      </c>
      <c r="K380" s="38" t="s">
        <v>170</v>
      </c>
      <c r="L380" s="41" t="s">
        <v>1278</v>
      </c>
      <c r="M380" s="38">
        <v>5</v>
      </c>
      <c r="N380" s="38">
        <v>0</v>
      </c>
      <c r="O380" s="149">
        <v>233295</v>
      </c>
      <c r="P380" s="39">
        <v>46042</v>
      </c>
      <c r="Q380"/>
    </row>
    <row r="381" spans="1:18" ht="13.5" thickBot="1">
      <c r="A381" s="148"/>
      <c r="B381" s="38">
        <v>4500086382</v>
      </c>
      <c r="C381" s="39">
        <v>46046</v>
      </c>
      <c r="D381" s="40">
        <v>0.41180555555555554</v>
      </c>
      <c r="E381" s="42"/>
      <c r="F381" s="38" t="s">
        <v>1771</v>
      </c>
      <c r="G381" s="42"/>
      <c r="H381" s="39">
        <v>45683</v>
      </c>
      <c r="I381" s="40">
        <v>0.46250000000000002</v>
      </c>
      <c r="J381" s="42" t="s">
        <v>762</v>
      </c>
      <c r="K381" s="38" t="s">
        <v>83</v>
      </c>
      <c r="L381" s="41" t="s">
        <v>111</v>
      </c>
      <c r="M381" s="38">
        <v>4000</v>
      </c>
      <c r="N381" s="38">
        <v>160</v>
      </c>
      <c r="O381" s="149">
        <v>96000000</v>
      </c>
      <c r="P381" s="39">
        <v>46049</v>
      </c>
      <c r="Q381"/>
    </row>
    <row r="382" spans="1:18" ht="25.5" thickBot="1">
      <c r="A382" s="148"/>
      <c r="B382" s="38">
        <v>1341087</v>
      </c>
      <c r="C382" s="39">
        <v>46048</v>
      </c>
      <c r="D382" s="40">
        <v>0.32291666666666669</v>
      </c>
      <c r="E382" s="42"/>
      <c r="F382" s="38" t="s">
        <v>1772</v>
      </c>
      <c r="G382" s="38" t="s">
        <v>1773</v>
      </c>
      <c r="H382" s="39">
        <v>46048</v>
      </c>
      <c r="I382" s="40">
        <v>0.48680555555555555</v>
      </c>
      <c r="J382" s="42" t="s">
        <v>786</v>
      </c>
      <c r="K382" s="38" t="s">
        <v>343</v>
      </c>
      <c r="L382" s="41" t="s">
        <v>906</v>
      </c>
      <c r="M382" s="38">
        <v>6</v>
      </c>
      <c r="N382" s="38">
        <v>6</v>
      </c>
      <c r="O382" s="149">
        <v>1386000</v>
      </c>
      <c r="P382" s="39">
        <v>46049</v>
      </c>
      <c r="Q382"/>
    </row>
    <row r="383" spans="1:18" ht="25.5" thickBot="1">
      <c r="A383" s="148"/>
      <c r="B383" s="38">
        <v>1341087</v>
      </c>
      <c r="C383" s="39">
        <v>46048</v>
      </c>
      <c r="D383" s="40">
        <v>0.32291666666666669</v>
      </c>
      <c r="E383" s="42"/>
      <c r="F383" s="38" t="s">
        <v>1774</v>
      </c>
      <c r="G383" s="38" t="s">
        <v>1775</v>
      </c>
      <c r="H383" s="39">
        <v>46048</v>
      </c>
      <c r="I383" s="40">
        <v>0.48680555555555555</v>
      </c>
      <c r="J383" s="42" t="s">
        <v>786</v>
      </c>
      <c r="K383" s="38" t="s">
        <v>343</v>
      </c>
      <c r="L383" s="41" t="s">
        <v>1313</v>
      </c>
      <c r="M383" s="38">
        <v>0.45</v>
      </c>
      <c r="N383" s="38">
        <v>6</v>
      </c>
      <c r="O383" s="38">
        <v>0</v>
      </c>
      <c r="P383" s="39">
        <v>46049</v>
      </c>
      <c r="Q383"/>
    </row>
    <row r="384" spans="1:18" ht="38" thickBot="1">
      <c r="A384" s="148"/>
      <c r="B384" s="38" t="s">
        <v>1776</v>
      </c>
      <c r="C384" s="39">
        <v>46048</v>
      </c>
      <c r="D384" s="40">
        <v>0.64375000000000004</v>
      </c>
      <c r="E384" s="42"/>
      <c r="F384" s="38" t="s">
        <v>1777</v>
      </c>
      <c r="G384" s="38" t="s">
        <v>1778</v>
      </c>
      <c r="H384" s="39">
        <v>46048</v>
      </c>
      <c r="I384" s="40">
        <v>0.7055555555555556</v>
      </c>
      <c r="J384" s="42" t="s">
        <v>32</v>
      </c>
      <c r="K384" s="38" t="s">
        <v>150</v>
      </c>
      <c r="L384" s="41" t="s">
        <v>112</v>
      </c>
      <c r="M384" s="38">
        <v>200</v>
      </c>
      <c r="N384" s="38">
        <v>8</v>
      </c>
      <c r="O384" s="149">
        <v>10600000</v>
      </c>
      <c r="P384" s="39">
        <v>46051</v>
      </c>
      <c r="Q384"/>
    </row>
    <row r="385" spans="1:18" ht="38" thickBot="1">
      <c r="A385" s="148"/>
      <c r="B385" s="38" t="s">
        <v>1776</v>
      </c>
      <c r="C385" s="39">
        <v>46048</v>
      </c>
      <c r="D385" s="40">
        <v>0.64375000000000004</v>
      </c>
      <c r="E385" s="42"/>
      <c r="F385" s="38" t="s">
        <v>1777</v>
      </c>
      <c r="G385" s="38" t="s">
        <v>1778</v>
      </c>
      <c r="H385" s="39">
        <v>46048</v>
      </c>
      <c r="I385" s="40">
        <v>0.7055555555555556</v>
      </c>
      <c r="J385" s="42" t="s">
        <v>32</v>
      </c>
      <c r="K385" s="38" t="s">
        <v>150</v>
      </c>
      <c r="L385" s="41" t="s">
        <v>111</v>
      </c>
      <c r="M385" s="38">
        <v>100</v>
      </c>
      <c r="N385" s="38">
        <v>4</v>
      </c>
      <c r="O385" s="149">
        <v>2550000</v>
      </c>
      <c r="P385" s="39">
        <v>46051</v>
      </c>
      <c r="Q385"/>
    </row>
    <row r="386" spans="1:18" ht="38" thickBot="1">
      <c r="A386" s="148"/>
      <c r="B386" s="38" t="s">
        <v>1776</v>
      </c>
      <c r="C386" s="39">
        <v>46048</v>
      </c>
      <c r="D386" s="40">
        <v>0.64375000000000004</v>
      </c>
      <c r="E386" s="42"/>
      <c r="F386" s="38" t="s">
        <v>1779</v>
      </c>
      <c r="G386" s="38" t="s">
        <v>1780</v>
      </c>
      <c r="H386" s="39">
        <v>46048</v>
      </c>
      <c r="I386" s="40">
        <v>0.7055555555555556</v>
      </c>
      <c r="J386" s="42" t="s">
        <v>32</v>
      </c>
      <c r="K386" s="38" t="s">
        <v>150</v>
      </c>
      <c r="L386" s="41" t="s">
        <v>1313</v>
      </c>
      <c r="M386" s="38">
        <v>15</v>
      </c>
      <c r="N386" s="38">
        <v>1</v>
      </c>
      <c r="O386" s="38">
        <v>0</v>
      </c>
      <c r="P386" s="39">
        <v>46051</v>
      </c>
      <c r="Q386"/>
    </row>
    <row r="387" spans="1:18" ht="13.5" thickBot="1">
      <c r="A387" s="148"/>
      <c r="B387" s="38">
        <v>1342052</v>
      </c>
      <c r="C387" s="38" t="s">
        <v>1781</v>
      </c>
      <c r="D387" s="40">
        <v>0.29166666666666669</v>
      </c>
      <c r="E387" s="42"/>
      <c r="F387" s="38" t="s">
        <v>1782</v>
      </c>
      <c r="G387" s="38" t="s">
        <v>1783</v>
      </c>
      <c r="H387" s="39">
        <v>46049</v>
      </c>
      <c r="I387" s="40">
        <v>0.30555555555555558</v>
      </c>
      <c r="J387" s="42" t="s">
        <v>30</v>
      </c>
      <c r="K387" s="38" t="s">
        <v>80</v>
      </c>
      <c r="L387" s="41" t="s">
        <v>1223</v>
      </c>
      <c r="M387" s="38">
        <v>25</v>
      </c>
      <c r="N387" s="38">
        <v>1</v>
      </c>
      <c r="O387" s="149">
        <v>4375000</v>
      </c>
      <c r="P387" s="39">
        <v>46050</v>
      </c>
      <c r="Q387"/>
    </row>
    <row r="388" spans="1:18" ht="25.5" thickBot="1">
      <c r="A388" s="148"/>
      <c r="B388" s="38">
        <v>1598</v>
      </c>
      <c r="C388" s="38" t="s">
        <v>1781</v>
      </c>
      <c r="D388" s="40">
        <v>0.71111111111111114</v>
      </c>
      <c r="E388" s="42"/>
      <c r="F388" s="38" t="s">
        <v>1784</v>
      </c>
      <c r="G388" s="38" t="s">
        <v>1785</v>
      </c>
      <c r="H388" s="39">
        <v>46049</v>
      </c>
      <c r="I388" s="40">
        <v>0.30972222222222223</v>
      </c>
      <c r="J388" s="42" t="s">
        <v>1487</v>
      </c>
      <c r="K388" s="38" t="s">
        <v>142</v>
      </c>
      <c r="L388" s="41" t="s">
        <v>226</v>
      </c>
      <c r="M388" s="38">
        <v>300</v>
      </c>
      <c r="N388" s="38">
        <v>12</v>
      </c>
      <c r="O388" s="149">
        <v>16830000</v>
      </c>
      <c r="P388" s="39">
        <v>46051</v>
      </c>
      <c r="Q388"/>
    </row>
    <row r="389" spans="1:18" ht="13.5" thickBot="1">
      <c r="A389" s="148"/>
      <c r="B389" s="38">
        <v>4500086451</v>
      </c>
      <c r="C389" s="38" t="s">
        <v>1781</v>
      </c>
      <c r="D389" s="40">
        <v>0.36666666666666664</v>
      </c>
      <c r="E389" s="42"/>
      <c r="F389" s="38" t="s">
        <v>1786</v>
      </c>
      <c r="G389" s="38" t="s">
        <v>1787</v>
      </c>
      <c r="H389" s="39">
        <v>46049</v>
      </c>
      <c r="I389" s="40">
        <v>0.45624999999999999</v>
      </c>
      <c r="J389" s="42" t="s">
        <v>1342</v>
      </c>
      <c r="K389" s="38" t="s">
        <v>1788</v>
      </c>
      <c r="L389" s="41" t="s">
        <v>115</v>
      </c>
      <c r="M389" s="38">
        <v>500</v>
      </c>
      <c r="N389" s="38">
        <v>20</v>
      </c>
      <c r="O389" s="149">
        <v>36433500</v>
      </c>
      <c r="P389" s="39">
        <v>46050</v>
      </c>
      <c r="Q389"/>
    </row>
    <row r="390" spans="1:18" ht="13.5" thickBot="1">
      <c r="A390" s="148"/>
      <c r="B390" s="38">
        <v>1342053</v>
      </c>
      <c r="C390" s="39">
        <v>46049</v>
      </c>
      <c r="D390" s="40">
        <v>0.29166666666666669</v>
      </c>
      <c r="E390" s="42"/>
      <c r="F390" s="38" t="s">
        <v>1789</v>
      </c>
      <c r="G390" s="38" t="s">
        <v>1790</v>
      </c>
      <c r="H390" s="39">
        <v>46049</v>
      </c>
      <c r="I390" s="40">
        <v>0.30763888888888891</v>
      </c>
      <c r="J390" s="42" t="s">
        <v>30</v>
      </c>
      <c r="K390" s="38" t="s">
        <v>80</v>
      </c>
      <c r="L390" s="41" t="s">
        <v>212</v>
      </c>
      <c r="M390" s="38">
        <v>200</v>
      </c>
      <c r="N390" s="38">
        <v>8</v>
      </c>
      <c r="O390" s="149">
        <v>4346000</v>
      </c>
      <c r="P390" s="39">
        <v>46050</v>
      </c>
      <c r="Q390"/>
    </row>
    <row r="391" spans="1:18" ht="13.5" thickBot="1">
      <c r="A391" s="148"/>
      <c r="B391" s="38" t="s">
        <v>1791</v>
      </c>
      <c r="C391" s="39">
        <v>46049</v>
      </c>
      <c r="D391" s="40">
        <v>0.5625</v>
      </c>
      <c r="E391" s="42"/>
      <c r="F391" s="38" t="s">
        <v>1792</v>
      </c>
      <c r="G391" s="38" t="s">
        <v>1793</v>
      </c>
      <c r="H391" s="39">
        <v>46049</v>
      </c>
      <c r="I391" s="40">
        <v>0.59027777777777779</v>
      </c>
      <c r="J391" s="42" t="s">
        <v>173</v>
      </c>
      <c r="K391" s="38" t="s">
        <v>80</v>
      </c>
      <c r="L391" s="41" t="s">
        <v>112</v>
      </c>
      <c r="M391" s="38">
        <v>50</v>
      </c>
      <c r="N391" s="38">
        <v>2</v>
      </c>
      <c r="O391" s="149">
        <v>3014000</v>
      </c>
      <c r="P391" s="39">
        <v>46050</v>
      </c>
      <c r="Q391"/>
    </row>
    <row r="392" spans="1:18" ht="13.5" thickBot="1">
      <c r="A392" s="148"/>
      <c r="B392" s="38" t="s">
        <v>1791</v>
      </c>
      <c r="C392" s="39">
        <v>46049</v>
      </c>
      <c r="D392" s="40">
        <v>0.5625</v>
      </c>
      <c r="E392" s="42"/>
      <c r="F392" s="38" t="s">
        <v>1794</v>
      </c>
      <c r="G392" s="38" t="s">
        <v>1795</v>
      </c>
      <c r="H392" s="39">
        <v>46049</v>
      </c>
      <c r="I392" s="40">
        <v>0.59027777777777779</v>
      </c>
      <c r="J392" s="42" t="s">
        <v>173</v>
      </c>
      <c r="K392" s="38" t="s">
        <v>80</v>
      </c>
      <c r="L392" s="41" t="s">
        <v>1313</v>
      </c>
      <c r="M392" s="38">
        <v>3.75</v>
      </c>
      <c r="N392" s="38">
        <v>0</v>
      </c>
      <c r="O392" s="38">
        <v>0</v>
      </c>
      <c r="P392" s="39">
        <v>46050</v>
      </c>
      <c r="Q392"/>
    </row>
    <row r="393" spans="1:18" ht="13.5" thickBot="1">
      <c r="A393" s="148"/>
      <c r="B393" s="42"/>
      <c r="C393" s="39">
        <v>46049</v>
      </c>
      <c r="D393" s="40">
        <v>0.55069444444444449</v>
      </c>
      <c r="E393" s="42"/>
      <c r="F393" s="38" t="s">
        <v>1796</v>
      </c>
      <c r="G393" s="38" t="s">
        <v>1797</v>
      </c>
      <c r="H393" s="39">
        <v>46049</v>
      </c>
      <c r="I393" s="40">
        <v>0.59513888888888888</v>
      </c>
      <c r="J393" s="42" t="s">
        <v>45</v>
      </c>
      <c r="K393" s="38" t="s">
        <v>78</v>
      </c>
      <c r="L393" s="41" t="s">
        <v>207</v>
      </c>
      <c r="M393" s="38">
        <v>3</v>
      </c>
      <c r="N393" s="38">
        <v>6</v>
      </c>
      <c r="O393" s="149">
        <v>1575000</v>
      </c>
      <c r="P393" s="39">
        <v>46049</v>
      </c>
      <c r="Q393"/>
    </row>
    <row r="394" spans="1:18" ht="23.5" thickBot="1">
      <c r="A394" s="148"/>
      <c r="B394" s="38" t="s">
        <v>1727</v>
      </c>
      <c r="C394" s="39">
        <v>46047</v>
      </c>
      <c r="D394" s="40">
        <v>0.4375</v>
      </c>
      <c r="E394" s="42"/>
      <c r="F394" s="38" t="s">
        <v>1728</v>
      </c>
      <c r="G394" s="38" t="s">
        <v>1798</v>
      </c>
      <c r="H394" s="39">
        <v>46047</v>
      </c>
      <c r="I394" s="40">
        <v>0.5</v>
      </c>
      <c r="J394" s="42" t="s">
        <v>355</v>
      </c>
      <c r="K394" s="38" t="s">
        <v>86</v>
      </c>
      <c r="L394" s="41" t="s">
        <v>1223</v>
      </c>
      <c r="M394" s="38">
        <v>50</v>
      </c>
      <c r="N394" s="38">
        <v>2</v>
      </c>
      <c r="O394" s="42"/>
      <c r="P394" s="39">
        <v>46049</v>
      </c>
      <c r="Q394"/>
    </row>
    <row r="395" spans="1:18" ht="23.5" thickBot="1">
      <c r="A395" s="148"/>
      <c r="B395" s="38" t="s">
        <v>1727</v>
      </c>
      <c r="C395" s="39">
        <v>46047</v>
      </c>
      <c r="D395" s="40">
        <v>0.4375</v>
      </c>
      <c r="E395" s="42"/>
      <c r="F395" s="38" t="s">
        <v>1728</v>
      </c>
      <c r="G395" s="38" t="s">
        <v>1799</v>
      </c>
      <c r="H395" s="39">
        <v>46047</v>
      </c>
      <c r="I395" s="40">
        <v>0.5</v>
      </c>
      <c r="J395" s="42" t="s">
        <v>355</v>
      </c>
      <c r="K395" s="38" t="s">
        <v>86</v>
      </c>
      <c r="L395" s="41" t="s">
        <v>230</v>
      </c>
      <c r="M395" s="38">
        <v>25</v>
      </c>
      <c r="N395" s="38">
        <v>1</v>
      </c>
      <c r="O395" s="149">
        <v>2625000</v>
      </c>
      <c r="P395" s="39">
        <v>46049</v>
      </c>
      <c r="Q395"/>
    </row>
    <row r="396" spans="1:18" ht="23.5" thickBot="1">
      <c r="A396" s="287" t="s">
        <v>1863</v>
      </c>
      <c r="B396" s="55" t="s">
        <v>1800</v>
      </c>
      <c r="C396" s="53">
        <v>46353</v>
      </c>
      <c r="D396" s="54">
        <v>0.49722222222222223</v>
      </c>
      <c r="E396" s="221"/>
      <c r="F396" s="253" t="s">
        <v>1801</v>
      </c>
      <c r="G396" s="253" t="s">
        <v>1802</v>
      </c>
      <c r="H396" s="255">
        <v>46050</v>
      </c>
      <c r="I396" s="225">
        <v>0.30208333333333331</v>
      </c>
      <c r="J396" s="254" t="s">
        <v>66</v>
      </c>
      <c r="K396" s="222" t="s">
        <v>75</v>
      </c>
      <c r="L396" s="256" t="s">
        <v>1669</v>
      </c>
      <c r="M396" s="253">
        <v>40</v>
      </c>
      <c r="N396" s="253">
        <v>2</v>
      </c>
      <c r="O396" s="257">
        <v>1680000</v>
      </c>
      <c r="P396" s="255">
        <v>46051</v>
      </c>
      <c r="Q396" s="271" t="s">
        <v>1868</v>
      </c>
      <c r="R396" s="271" t="s">
        <v>1878</v>
      </c>
    </row>
    <row r="397" spans="1:18" ht="23.5" thickBot="1">
      <c r="A397" s="148"/>
      <c r="B397" s="38" t="s">
        <v>1800</v>
      </c>
      <c r="C397" s="39">
        <v>46353</v>
      </c>
      <c r="D397" s="40">
        <v>0.49722222222222223</v>
      </c>
      <c r="E397" s="42"/>
      <c r="F397" s="38" t="s">
        <v>1801</v>
      </c>
      <c r="G397" s="38" t="s">
        <v>1803</v>
      </c>
      <c r="H397" s="39">
        <v>46050</v>
      </c>
      <c r="I397" s="40">
        <v>0.30208333333333331</v>
      </c>
      <c r="J397" s="42" t="s">
        <v>66</v>
      </c>
      <c r="K397" s="38" t="s">
        <v>75</v>
      </c>
      <c r="L397" s="41" t="s">
        <v>143</v>
      </c>
      <c r="M397" s="38">
        <v>25</v>
      </c>
      <c r="N397" s="38">
        <v>1</v>
      </c>
      <c r="O397" s="149">
        <v>1725000</v>
      </c>
      <c r="P397" s="39">
        <v>46051</v>
      </c>
      <c r="Q397"/>
    </row>
    <row r="398" spans="1:18" ht="23.5" thickBot="1">
      <c r="A398" s="287" t="s">
        <v>117</v>
      </c>
      <c r="B398" s="55" t="s">
        <v>1800</v>
      </c>
      <c r="C398" s="53">
        <v>46353</v>
      </c>
      <c r="D398" s="54">
        <v>0.49722222222222223</v>
      </c>
      <c r="E398" s="221"/>
      <c r="F398" s="253" t="s">
        <v>1801</v>
      </c>
      <c r="G398" s="254"/>
      <c r="H398" s="255">
        <v>46050</v>
      </c>
      <c r="I398" s="225">
        <v>0.30208333333333331</v>
      </c>
      <c r="J398" s="254" t="s">
        <v>66</v>
      </c>
      <c r="K398" s="222" t="s">
        <v>75</v>
      </c>
      <c r="L398" s="256" t="s">
        <v>136</v>
      </c>
      <c r="M398" s="253">
        <v>50</v>
      </c>
      <c r="N398" s="253">
        <v>2</v>
      </c>
      <c r="O398" s="257">
        <v>3100000</v>
      </c>
      <c r="P398" s="255">
        <v>46051</v>
      </c>
      <c r="Q398" s="271" t="s">
        <v>1854</v>
      </c>
      <c r="R398" s="271" t="s">
        <v>1865</v>
      </c>
    </row>
    <row r="399" spans="1:18" ht="25.5" thickBot="1">
      <c r="A399" s="148"/>
      <c r="B399" s="38" t="s">
        <v>1804</v>
      </c>
      <c r="C399" s="42"/>
      <c r="D399" s="42"/>
      <c r="E399" s="42"/>
      <c r="F399" s="38" t="s">
        <v>1805</v>
      </c>
      <c r="G399" s="38" t="s">
        <v>1806</v>
      </c>
      <c r="H399" s="42"/>
      <c r="I399" s="42"/>
      <c r="J399" s="42" t="s">
        <v>1807</v>
      </c>
      <c r="K399" s="38" t="s">
        <v>397</v>
      </c>
      <c r="L399" s="41" t="s">
        <v>194</v>
      </c>
      <c r="M399" s="38">
        <v>25000</v>
      </c>
      <c r="N399" s="149">
        <v>1000</v>
      </c>
      <c r="O399" s="38" t="s">
        <v>1808</v>
      </c>
      <c r="P399" s="39">
        <v>46050</v>
      </c>
      <c r="Q399"/>
    </row>
    <row r="400" spans="1:18" ht="13.5" thickBot="1">
      <c r="A400" s="148"/>
      <c r="B400" s="42"/>
      <c r="C400" s="42"/>
      <c r="D400" s="42"/>
      <c r="E400" s="42"/>
      <c r="F400" s="38" t="s">
        <v>1809</v>
      </c>
      <c r="G400" s="38" t="s">
        <v>1810</v>
      </c>
      <c r="H400" s="42"/>
      <c r="I400" s="42"/>
      <c r="J400" s="42" t="s">
        <v>1811</v>
      </c>
      <c r="K400" s="38" t="s">
        <v>397</v>
      </c>
      <c r="L400" s="41" t="s">
        <v>1812</v>
      </c>
      <c r="M400" s="38">
        <v>13000</v>
      </c>
      <c r="N400" s="38">
        <v>520</v>
      </c>
      <c r="O400" s="38" t="s">
        <v>1813</v>
      </c>
      <c r="P400" s="39">
        <v>46050</v>
      </c>
      <c r="Q400"/>
    </row>
    <row r="401" spans="1:18" ht="13.5" thickBot="1">
      <c r="A401" s="265" t="s">
        <v>728</v>
      </c>
      <c r="B401" s="64"/>
      <c r="C401" s="64"/>
      <c r="D401" s="64"/>
      <c r="E401" s="226"/>
      <c r="F401" s="265" t="s">
        <v>1814</v>
      </c>
      <c r="G401" s="265" t="s">
        <v>1815</v>
      </c>
      <c r="H401" s="266">
        <v>46050</v>
      </c>
      <c r="I401" s="234">
        <v>0.36805555555555558</v>
      </c>
      <c r="J401" s="267" t="s">
        <v>791</v>
      </c>
      <c r="K401" s="227" t="s">
        <v>83</v>
      </c>
      <c r="L401" s="268" t="s">
        <v>906</v>
      </c>
      <c r="M401" s="265">
        <v>20</v>
      </c>
      <c r="N401" s="265">
        <v>20</v>
      </c>
      <c r="O401" s="269">
        <v>4500000</v>
      </c>
      <c r="P401" s="266">
        <v>46051</v>
      </c>
      <c r="Q401" s="270" t="s">
        <v>728</v>
      </c>
      <c r="R401" s="270" t="s">
        <v>1877</v>
      </c>
    </row>
    <row r="402" spans="1:18" ht="13.5" thickBot="1">
      <c r="A402" s="265" t="s">
        <v>728</v>
      </c>
      <c r="B402" s="64"/>
      <c r="C402" s="64"/>
      <c r="D402" s="64"/>
      <c r="E402" s="226"/>
      <c r="F402" s="265" t="s">
        <v>1816</v>
      </c>
      <c r="G402" s="265" t="s">
        <v>1817</v>
      </c>
      <c r="H402" s="266">
        <v>46050</v>
      </c>
      <c r="I402" s="234">
        <v>0.36805555555555558</v>
      </c>
      <c r="J402" s="267" t="s">
        <v>791</v>
      </c>
      <c r="K402" s="227" t="s">
        <v>83</v>
      </c>
      <c r="L402" s="268" t="s">
        <v>1313</v>
      </c>
      <c r="M402" s="269">
        <v>2475</v>
      </c>
      <c r="N402" s="265">
        <v>33</v>
      </c>
      <c r="O402" s="267"/>
      <c r="P402" s="266">
        <v>46051</v>
      </c>
      <c r="Q402" s="270" t="s">
        <v>728</v>
      </c>
      <c r="R402" s="270" t="s">
        <v>1877</v>
      </c>
    </row>
    <row r="403" spans="1:18" ht="38" thickBot="1">
      <c r="A403" s="148"/>
      <c r="B403" s="38" t="s">
        <v>1818</v>
      </c>
      <c r="C403" s="39">
        <v>46050</v>
      </c>
      <c r="D403" s="40">
        <v>0.39791666666666664</v>
      </c>
      <c r="E403" s="42"/>
      <c r="F403" s="38" t="s">
        <v>1819</v>
      </c>
      <c r="G403" s="38" t="s">
        <v>1820</v>
      </c>
      <c r="H403" s="39">
        <v>46050</v>
      </c>
      <c r="I403" s="40">
        <v>0.44305555555555554</v>
      </c>
      <c r="J403" s="42" t="s">
        <v>763</v>
      </c>
      <c r="K403" s="38" t="s">
        <v>76</v>
      </c>
      <c r="L403" s="41" t="s">
        <v>111</v>
      </c>
      <c r="M403" s="38">
        <v>300</v>
      </c>
      <c r="N403" s="38">
        <v>12</v>
      </c>
      <c r="O403" s="149">
        <v>7650000</v>
      </c>
      <c r="P403" s="39">
        <v>46051</v>
      </c>
      <c r="Q403"/>
    </row>
    <row r="404" spans="1:18" ht="38" thickBot="1">
      <c r="A404" s="148"/>
      <c r="B404" s="38" t="s">
        <v>1818</v>
      </c>
      <c r="C404" s="39">
        <v>46050</v>
      </c>
      <c r="D404" s="40">
        <v>0.39791666666666664</v>
      </c>
      <c r="E404" s="42"/>
      <c r="F404" s="38" t="s">
        <v>1819</v>
      </c>
      <c r="G404" s="38" t="s">
        <v>1820</v>
      </c>
      <c r="H404" s="39">
        <v>46050</v>
      </c>
      <c r="I404" s="40">
        <v>0.44305555555555554</v>
      </c>
      <c r="J404" s="42" t="s">
        <v>763</v>
      </c>
      <c r="K404" s="38" t="s">
        <v>76</v>
      </c>
      <c r="L404" s="41" t="s">
        <v>194</v>
      </c>
      <c r="M404" s="38">
        <v>2500</v>
      </c>
      <c r="N404" s="38">
        <v>100</v>
      </c>
      <c r="O404" s="149">
        <v>45875000</v>
      </c>
      <c r="P404" s="39">
        <v>46051</v>
      </c>
      <c r="Q404"/>
    </row>
    <row r="405" spans="1:18" ht="23.5" thickBot="1">
      <c r="A405" s="148"/>
      <c r="B405" s="38" t="s">
        <v>1821</v>
      </c>
      <c r="C405" s="39">
        <v>46050</v>
      </c>
      <c r="D405" s="40">
        <v>0.52083333333333337</v>
      </c>
      <c r="E405" s="42"/>
      <c r="F405" s="38" t="s">
        <v>1822</v>
      </c>
      <c r="G405" s="38" t="s">
        <v>1823</v>
      </c>
      <c r="H405" s="39">
        <v>46050</v>
      </c>
      <c r="I405" s="40">
        <v>0.6118055555555556</v>
      </c>
      <c r="J405" s="42" t="s">
        <v>762</v>
      </c>
      <c r="K405" s="38" t="s">
        <v>83</v>
      </c>
      <c r="L405" s="41" t="s">
        <v>143</v>
      </c>
      <c r="M405" s="38">
        <v>800</v>
      </c>
      <c r="N405" s="38">
        <v>32</v>
      </c>
      <c r="O405" s="149">
        <v>42336000</v>
      </c>
      <c r="P405" s="39">
        <v>46050</v>
      </c>
      <c r="Q405"/>
    </row>
    <row r="406" spans="1:18" ht="23.5" thickBot="1">
      <c r="A406" s="148"/>
      <c r="B406" s="38" t="s">
        <v>1821</v>
      </c>
      <c r="C406" s="39">
        <v>46050</v>
      </c>
      <c r="D406" s="40">
        <v>0.52083333333333337</v>
      </c>
      <c r="E406" s="42"/>
      <c r="F406" s="38" t="s">
        <v>1822</v>
      </c>
      <c r="G406" s="38" t="s">
        <v>1823</v>
      </c>
      <c r="H406" s="39">
        <v>46050</v>
      </c>
      <c r="I406" s="40">
        <v>0.6118055555555556</v>
      </c>
      <c r="J406" s="42" t="s">
        <v>762</v>
      </c>
      <c r="K406" s="38" t="s">
        <v>83</v>
      </c>
      <c r="L406" s="41" t="s">
        <v>116</v>
      </c>
      <c r="M406" s="38">
        <v>3000</v>
      </c>
      <c r="N406" s="38">
        <v>120</v>
      </c>
      <c r="O406" s="149">
        <v>56550000</v>
      </c>
      <c r="P406" s="39">
        <v>46050</v>
      </c>
      <c r="Q406"/>
    </row>
    <row r="407" spans="1:18" ht="23.5" thickBot="1">
      <c r="A407" s="148"/>
      <c r="B407" s="38" t="s">
        <v>1821</v>
      </c>
      <c r="C407" s="39">
        <v>46050</v>
      </c>
      <c r="D407" s="40">
        <v>0.52083333333333337</v>
      </c>
      <c r="E407" s="42"/>
      <c r="F407" s="38" t="s">
        <v>1822</v>
      </c>
      <c r="G407" s="38" t="s">
        <v>1823</v>
      </c>
      <c r="H407" s="39">
        <v>46050</v>
      </c>
      <c r="I407" s="40">
        <v>0.6118055555555556</v>
      </c>
      <c r="J407" s="42" t="s">
        <v>762</v>
      </c>
      <c r="K407" s="38" t="s">
        <v>83</v>
      </c>
      <c r="L407" s="41" t="s">
        <v>779</v>
      </c>
      <c r="M407" s="38">
        <v>1000</v>
      </c>
      <c r="N407" s="38">
        <v>40</v>
      </c>
      <c r="O407" s="149">
        <v>30200000</v>
      </c>
      <c r="P407" s="39">
        <v>46050</v>
      </c>
      <c r="Q407"/>
    </row>
    <row r="408" spans="1:18" ht="23.5" thickBot="1">
      <c r="A408" s="148"/>
      <c r="B408" s="38" t="s">
        <v>1821</v>
      </c>
      <c r="C408" s="39">
        <v>46050</v>
      </c>
      <c r="D408" s="40">
        <v>0.52083333333333337</v>
      </c>
      <c r="E408" s="42"/>
      <c r="F408" s="38" t="s">
        <v>1824</v>
      </c>
      <c r="G408" s="38" t="s">
        <v>1825</v>
      </c>
      <c r="H408" s="39">
        <v>46050</v>
      </c>
      <c r="I408" s="40">
        <v>0.6118055555555556</v>
      </c>
      <c r="J408" s="42" t="s">
        <v>1342</v>
      </c>
      <c r="K408" s="38" t="s">
        <v>83</v>
      </c>
      <c r="L408" s="41" t="s">
        <v>209</v>
      </c>
      <c r="M408" s="38">
        <v>1000</v>
      </c>
      <c r="N408" s="38">
        <v>40</v>
      </c>
      <c r="O408" s="149">
        <v>122901000</v>
      </c>
      <c r="P408" s="39">
        <v>46050</v>
      </c>
      <c r="Q408"/>
    </row>
    <row r="409" spans="1:18" ht="13.5" thickBot="1">
      <c r="A409" s="148"/>
      <c r="B409" s="42"/>
      <c r="C409" s="39">
        <v>46049</v>
      </c>
      <c r="D409" s="40">
        <v>0.62986111111111109</v>
      </c>
      <c r="E409" s="42"/>
      <c r="F409" s="38" t="s">
        <v>1826</v>
      </c>
      <c r="G409" s="38" t="s">
        <v>1827</v>
      </c>
      <c r="H409" s="39">
        <v>46050</v>
      </c>
      <c r="I409" s="40">
        <v>0.65555555555555556</v>
      </c>
      <c r="J409" s="42" t="s">
        <v>45</v>
      </c>
      <c r="K409" s="38" t="s">
        <v>78</v>
      </c>
      <c r="L409" s="41" t="s">
        <v>207</v>
      </c>
      <c r="M409" s="38">
        <v>3</v>
      </c>
      <c r="N409" s="38">
        <v>6</v>
      </c>
      <c r="O409" s="149">
        <v>1575000</v>
      </c>
      <c r="P409" s="39">
        <v>46050</v>
      </c>
      <c r="Q409"/>
    </row>
    <row r="410" spans="1:18" ht="23.5" thickBot="1">
      <c r="A410" s="148"/>
      <c r="B410" s="38" t="s">
        <v>1828</v>
      </c>
      <c r="C410" s="39">
        <v>45686</v>
      </c>
      <c r="D410" s="40">
        <v>0.40555555555555556</v>
      </c>
      <c r="E410" s="42"/>
      <c r="F410" s="38" t="s">
        <v>1829</v>
      </c>
      <c r="G410" s="42"/>
      <c r="H410" s="39">
        <v>46050</v>
      </c>
      <c r="I410" s="40">
        <v>0.41875000000000001</v>
      </c>
      <c r="J410" s="174" t="s">
        <v>1830</v>
      </c>
      <c r="K410" s="38" t="s">
        <v>1831</v>
      </c>
      <c r="L410" s="41" t="s">
        <v>221</v>
      </c>
      <c r="M410" s="38">
        <v>25</v>
      </c>
      <c r="N410" s="38">
        <v>1</v>
      </c>
      <c r="O410" s="149">
        <v>7000000</v>
      </c>
      <c r="P410" s="39">
        <v>46051</v>
      </c>
      <c r="Q410"/>
    </row>
    <row r="411" spans="1:18" ht="23.5" thickBot="1">
      <c r="A411" s="148"/>
      <c r="B411" s="38" t="s">
        <v>1832</v>
      </c>
      <c r="C411" s="39">
        <v>45686</v>
      </c>
      <c r="D411" s="40">
        <v>0.40555555555555556</v>
      </c>
      <c r="E411" s="42"/>
      <c r="F411" s="38" t="s">
        <v>1833</v>
      </c>
      <c r="G411" s="42"/>
      <c r="H411" s="39">
        <v>46050</v>
      </c>
      <c r="I411" s="40">
        <v>0.41875000000000001</v>
      </c>
      <c r="J411" s="174" t="s">
        <v>1830</v>
      </c>
      <c r="K411" s="38" t="s">
        <v>1831</v>
      </c>
      <c r="L411" s="41" t="s">
        <v>221</v>
      </c>
      <c r="M411" s="38">
        <v>130</v>
      </c>
      <c r="N411" s="38">
        <v>5</v>
      </c>
      <c r="O411" s="149">
        <v>36400000</v>
      </c>
      <c r="P411" s="39">
        <v>46051</v>
      </c>
      <c r="Q411"/>
    </row>
    <row r="412" spans="1:18" ht="25.5" thickBot="1">
      <c r="A412" s="148"/>
      <c r="B412" s="38">
        <v>1343537</v>
      </c>
      <c r="C412" s="39">
        <v>45686</v>
      </c>
      <c r="D412" s="40">
        <v>0.57291666666666663</v>
      </c>
      <c r="E412" s="42"/>
      <c r="F412" s="38" t="s">
        <v>1834</v>
      </c>
      <c r="G412" s="38" t="s">
        <v>1835</v>
      </c>
      <c r="H412" s="39">
        <v>46050</v>
      </c>
      <c r="I412" s="40">
        <v>0.44305555555555554</v>
      </c>
      <c r="J412" s="42" t="s">
        <v>786</v>
      </c>
      <c r="K412" s="38" t="s">
        <v>78</v>
      </c>
      <c r="L412" s="41" t="s">
        <v>112</v>
      </c>
      <c r="M412" s="38">
        <v>50</v>
      </c>
      <c r="N412" s="38">
        <v>2</v>
      </c>
      <c r="O412" s="149">
        <v>2625000</v>
      </c>
      <c r="P412" s="39">
        <v>46051</v>
      </c>
      <c r="Q412"/>
    </row>
    <row r="413" spans="1:18" ht="25.5" thickBot="1">
      <c r="A413" s="148"/>
      <c r="B413" s="38">
        <v>1343537</v>
      </c>
      <c r="C413" s="39">
        <v>45686</v>
      </c>
      <c r="D413" s="40">
        <v>0.57291666666666663</v>
      </c>
      <c r="E413" s="42"/>
      <c r="F413" s="38" t="s">
        <v>1836</v>
      </c>
      <c r="G413" s="38" t="s">
        <v>1837</v>
      </c>
      <c r="H413" s="39">
        <v>46050</v>
      </c>
      <c r="I413" s="40">
        <v>0.44305555555555554</v>
      </c>
      <c r="J413" s="42" t="s">
        <v>786</v>
      </c>
      <c r="K413" s="38" t="s">
        <v>78</v>
      </c>
      <c r="L413" s="41" t="s">
        <v>1313</v>
      </c>
      <c r="M413" s="38">
        <v>3.75</v>
      </c>
      <c r="N413" s="38">
        <v>50</v>
      </c>
      <c r="O413" s="38">
        <v>0</v>
      </c>
      <c r="P413" s="39">
        <v>46051</v>
      </c>
      <c r="Q413"/>
    </row>
    <row r="414" spans="1:18" ht="13.5" thickBot="1">
      <c r="A414" s="287" t="s">
        <v>117</v>
      </c>
      <c r="B414" s="55">
        <v>4500086527</v>
      </c>
      <c r="C414" s="53">
        <v>45686</v>
      </c>
      <c r="D414" s="54">
        <v>0.43263888888888891</v>
      </c>
      <c r="E414" s="221"/>
      <c r="F414" s="253" t="s">
        <v>1838</v>
      </c>
      <c r="G414" s="254"/>
      <c r="H414" s="255">
        <v>46051</v>
      </c>
      <c r="I414" s="225">
        <v>0.5180555555555556</v>
      </c>
      <c r="J414" s="254" t="s">
        <v>762</v>
      </c>
      <c r="K414" s="222" t="s">
        <v>83</v>
      </c>
      <c r="L414" s="256" t="s">
        <v>136</v>
      </c>
      <c r="M414" s="253">
        <v>2000</v>
      </c>
      <c r="N414" s="253">
        <v>80</v>
      </c>
      <c r="O414" s="257">
        <v>99800000</v>
      </c>
      <c r="P414" s="255">
        <v>46052</v>
      </c>
      <c r="Q414" s="271" t="s">
        <v>1854</v>
      </c>
      <c r="R414" s="271" t="s">
        <v>1865</v>
      </c>
    </row>
    <row r="415" spans="1:18" ht="13.5" thickBot="1">
      <c r="A415" s="287" t="s">
        <v>117</v>
      </c>
      <c r="B415" s="55">
        <v>4500086528</v>
      </c>
      <c r="C415" s="53">
        <v>45686</v>
      </c>
      <c r="D415" s="54">
        <v>0.43263888888888891</v>
      </c>
      <c r="E415" s="221"/>
      <c r="F415" s="253" t="s">
        <v>1839</v>
      </c>
      <c r="G415" s="254"/>
      <c r="H415" s="255">
        <v>46051</v>
      </c>
      <c r="I415" s="225">
        <v>0.5180555555555556</v>
      </c>
      <c r="J415" s="254" t="s">
        <v>762</v>
      </c>
      <c r="K415" s="222" t="s">
        <v>375</v>
      </c>
      <c r="L415" s="256" t="s">
        <v>136</v>
      </c>
      <c r="M415" s="253">
        <v>1000</v>
      </c>
      <c r="N415" s="253">
        <v>40</v>
      </c>
      <c r="O415" s="257">
        <v>49900000</v>
      </c>
      <c r="P415" s="255">
        <v>46052</v>
      </c>
      <c r="Q415" s="271" t="s">
        <v>1854</v>
      </c>
      <c r="R415" s="271" t="s">
        <v>1865</v>
      </c>
    </row>
    <row r="416" spans="1:18" ht="23.5" thickBot="1">
      <c r="A416" s="148"/>
      <c r="B416" s="38" t="s">
        <v>1840</v>
      </c>
      <c r="C416" s="39">
        <v>46050</v>
      </c>
      <c r="D416" s="40">
        <v>0.35833333333333334</v>
      </c>
      <c r="E416" s="42"/>
      <c r="F416" s="38" t="s">
        <v>1841</v>
      </c>
      <c r="G416" s="38" t="s">
        <v>1842</v>
      </c>
      <c r="H416" s="39">
        <v>45685</v>
      </c>
      <c r="I416" s="40">
        <v>0.48402777777777778</v>
      </c>
      <c r="J416" s="42" t="s">
        <v>169</v>
      </c>
      <c r="K416" s="38" t="s">
        <v>147</v>
      </c>
      <c r="L416" s="41" t="s">
        <v>111</v>
      </c>
      <c r="M416" s="38">
        <v>500</v>
      </c>
      <c r="N416" s="38">
        <v>20</v>
      </c>
      <c r="O416" s="149">
        <v>12750000</v>
      </c>
      <c r="P416" s="39">
        <v>46052</v>
      </c>
      <c r="Q416"/>
    </row>
    <row r="417" spans="1:18" ht="23.5" thickBot="1">
      <c r="A417" s="148"/>
      <c r="B417" s="38" t="s">
        <v>1840</v>
      </c>
      <c r="C417" s="39">
        <v>46050</v>
      </c>
      <c r="D417" s="40">
        <v>0.35833333333333334</v>
      </c>
      <c r="E417" s="42"/>
      <c r="F417" s="38" t="s">
        <v>1841</v>
      </c>
      <c r="G417" s="38" t="s">
        <v>1842</v>
      </c>
      <c r="H417" s="39">
        <v>45685</v>
      </c>
      <c r="I417" s="40">
        <v>0.48402777777777778</v>
      </c>
      <c r="J417" s="42" t="s">
        <v>169</v>
      </c>
      <c r="K417" s="38" t="s">
        <v>147</v>
      </c>
      <c r="L417" s="41" t="s">
        <v>212</v>
      </c>
      <c r="M417" s="38">
        <v>200</v>
      </c>
      <c r="N417" s="38">
        <v>8</v>
      </c>
      <c r="O417" s="149">
        <v>5100000</v>
      </c>
      <c r="P417" s="39">
        <v>46052</v>
      </c>
      <c r="Q417"/>
    </row>
    <row r="418" spans="1:18" ht="13.5" thickBot="1">
      <c r="A418" s="148"/>
      <c r="B418" s="38">
        <v>49293</v>
      </c>
      <c r="C418" s="39">
        <v>46050</v>
      </c>
      <c r="D418" s="40">
        <v>0.62361111111111112</v>
      </c>
      <c r="E418" s="42"/>
      <c r="F418" s="38" t="s">
        <v>1843</v>
      </c>
      <c r="G418" s="38" t="s">
        <v>1844</v>
      </c>
      <c r="H418" s="39">
        <v>45685</v>
      </c>
      <c r="I418" s="40">
        <v>0.65277777777777779</v>
      </c>
      <c r="J418" s="42" t="s">
        <v>880</v>
      </c>
      <c r="K418" s="38" t="s">
        <v>1845</v>
      </c>
      <c r="L418" s="41" t="s">
        <v>1281</v>
      </c>
      <c r="M418" s="38">
        <v>40</v>
      </c>
      <c r="N418" s="38">
        <v>2</v>
      </c>
      <c r="O418" s="149">
        <v>1540000</v>
      </c>
      <c r="P418" s="39">
        <v>46050</v>
      </c>
      <c r="Q418"/>
    </row>
    <row r="419" spans="1:18" ht="13.5" thickBot="1">
      <c r="A419" s="148"/>
      <c r="B419" s="42"/>
      <c r="C419" s="39">
        <v>46050</v>
      </c>
      <c r="D419" s="40">
        <v>0.3527777777777778</v>
      </c>
      <c r="E419" s="42"/>
      <c r="F419" s="38" t="s">
        <v>1846</v>
      </c>
      <c r="G419" s="182" t="s">
        <v>1847</v>
      </c>
      <c r="H419" s="39">
        <v>46050</v>
      </c>
      <c r="I419" s="40">
        <v>0.48125000000000001</v>
      </c>
      <c r="J419" s="42" t="s">
        <v>1454</v>
      </c>
      <c r="K419" s="38" t="s">
        <v>366</v>
      </c>
      <c r="L419" s="41" t="s">
        <v>207</v>
      </c>
      <c r="M419" s="38">
        <v>7.5</v>
      </c>
      <c r="N419" s="38">
        <v>0</v>
      </c>
      <c r="O419" s="149">
        <v>3834225</v>
      </c>
      <c r="P419" s="39">
        <v>46050</v>
      </c>
      <c r="Q419"/>
    </row>
    <row r="420" spans="1:18" ht="13.5" thickBot="1">
      <c r="A420" s="148"/>
      <c r="B420" s="42"/>
      <c r="C420" s="39">
        <v>46050</v>
      </c>
      <c r="D420" s="40">
        <v>0.3527777777777778</v>
      </c>
      <c r="E420" s="42"/>
      <c r="F420" s="38" t="s">
        <v>1846</v>
      </c>
      <c r="G420" s="38" t="s">
        <v>1847</v>
      </c>
      <c r="H420" s="39">
        <v>46050</v>
      </c>
      <c r="I420" s="40">
        <v>0.48125000000000001</v>
      </c>
      <c r="J420" s="42" t="s">
        <v>1454</v>
      </c>
      <c r="K420" s="38" t="s">
        <v>366</v>
      </c>
      <c r="L420" s="41" t="s">
        <v>230</v>
      </c>
      <c r="M420" s="38">
        <v>2.5</v>
      </c>
      <c r="N420" s="38">
        <v>0</v>
      </c>
      <c r="O420" s="149">
        <v>267500</v>
      </c>
      <c r="P420" s="39">
        <v>46050</v>
      </c>
      <c r="Q420"/>
    </row>
    <row r="421" spans="1:18" s="213" customFormat="1" ht="50.5" customHeight="1" thickBot="1">
      <c r="A421" s="290" t="s">
        <v>374</v>
      </c>
      <c r="B421" s="157"/>
      <c r="C421" s="170">
        <v>46050</v>
      </c>
      <c r="D421" s="171">
        <v>0.3527777777777778</v>
      </c>
      <c r="E421" s="216"/>
      <c r="F421" s="238" t="s">
        <v>1848</v>
      </c>
      <c r="G421" s="239"/>
      <c r="H421" s="240">
        <v>46050</v>
      </c>
      <c r="I421" s="217">
        <v>0.48125000000000001</v>
      </c>
      <c r="J421" s="239" t="s">
        <v>1454</v>
      </c>
      <c r="K421" s="218" t="s">
        <v>366</v>
      </c>
      <c r="L421" s="241" t="s">
        <v>230</v>
      </c>
      <c r="M421" s="238">
        <v>2.5</v>
      </c>
      <c r="N421" s="238">
        <v>0</v>
      </c>
      <c r="O421" s="242">
        <v>267500</v>
      </c>
      <c r="P421" s="240">
        <v>46055</v>
      </c>
      <c r="Q421" s="243" t="s">
        <v>1884</v>
      </c>
      <c r="R421" s="246" t="s">
        <v>1883</v>
      </c>
    </row>
  </sheetData>
  <autoFilter ref="A1:S421" xr:uid="{CB720E87-E30D-4A30-BE9D-4D3E780EBDFF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359"/>
  <sheetViews>
    <sheetView topLeftCell="A339" workbookViewId="0">
      <selection activeCell="A5" sqref="A5:A358"/>
    </sheetView>
  </sheetViews>
  <sheetFormatPr baseColWidth="10" defaultRowHeight="13"/>
  <cols>
    <col min="1" max="1" width="17" bestFit="1" customWidth="1"/>
    <col min="2" max="2" width="21.5" bestFit="1" customWidth="1"/>
    <col min="3" max="122" width="6" bestFit="1" customWidth="1"/>
    <col min="123" max="125" width="12.3984375" bestFit="1" customWidth="1"/>
    <col min="126" max="126" width="9.59765625" bestFit="1" customWidth="1"/>
    <col min="127" max="127" width="11.09765625" bestFit="1" customWidth="1"/>
    <col min="128" max="128" width="16.8984375" bestFit="1" customWidth="1"/>
    <col min="129" max="130" width="14.59765625" bestFit="1" customWidth="1"/>
    <col min="131" max="132" width="9" bestFit="1" customWidth="1"/>
    <col min="133" max="133" width="10.3984375" bestFit="1" customWidth="1"/>
    <col min="134" max="135" width="10.69921875" bestFit="1" customWidth="1"/>
    <col min="136" max="136" width="12.296875" bestFit="1" customWidth="1"/>
    <col min="137" max="137" width="7.296875" bestFit="1" customWidth="1"/>
    <col min="138" max="138" width="15.296875" bestFit="1" customWidth="1"/>
    <col min="139" max="140" width="10.09765625" bestFit="1" customWidth="1"/>
    <col min="141" max="142" width="11.8984375" bestFit="1" customWidth="1"/>
    <col min="143" max="143" width="9.59765625" bestFit="1" customWidth="1"/>
    <col min="144" max="144" width="9.69921875" bestFit="1" customWidth="1"/>
    <col min="145" max="145" width="9.59765625" bestFit="1" customWidth="1"/>
    <col min="146" max="146" width="11.09765625" bestFit="1" customWidth="1"/>
  </cols>
  <sheetData>
    <row r="3" spans="1:2">
      <c r="A3" s="74" t="s">
        <v>0</v>
      </c>
      <c r="B3" t="s">
        <v>373</v>
      </c>
    </row>
    <row r="4" spans="1:2">
      <c r="A4" s="37" t="s">
        <v>299</v>
      </c>
    </row>
    <row r="5" spans="1:2">
      <c r="A5" s="37" t="s">
        <v>794</v>
      </c>
      <c r="B5">
        <v>1</v>
      </c>
    </row>
    <row r="6" spans="1:2">
      <c r="A6" s="37" t="s">
        <v>796</v>
      </c>
      <c r="B6">
        <v>1</v>
      </c>
    </row>
    <row r="7" spans="1:2">
      <c r="A7" s="37" t="s">
        <v>797</v>
      </c>
      <c r="B7">
        <v>1</v>
      </c>
    </row>
    <row r="8" spans="1:2">
      <c r="A8" s="37" t="s">
        <v>798</v>
      </c>
      <c r="B8">
        <v>1</v>
      </c>
    </row>
    <row r="9" spans="1:2">
      <c r="A9" s="37" t="s">
        <v>799</v>
      </c>
      <c r="B9">
        <v>1</v>
      </c>
    </row>
    <row r="10" spans="1:2">
      <c r="A10" s="37" t="s">
        <v>800</v>
      </c>
      <c r="B10">
        <v>2</v>
      </c>
    </row>
    <row r="11" spans="1:2">
      <c r="A11" s="37" t="s">
        <v>802</v>
      </c>
      <c r="B11">
        <v>1</v>
      </c>
    </row>
    <row r="12" spans="1:2">
      <c r="A12" s="37" t="s">
        <v>803</v>
      </c>
      <c r="B12">
        <v>1</v>
      </c>
    </row>
    <row r="13" spans="1:2">
      <c r="A13" s="37" t="s">
        <v>804</v>
      </c>
      <c r="B13">
        <v>1</v>
      </c>
    </row>
    <row r="14" spans="1:2">
      <c r="A14" s="37" t="s">
        <v>805</v>
      </c>
      <c r="B14">
        <v>1</v>
      </c>
    </row>
    <row r="15" spans="1:2">
      <c r="A15" s="37" t="s">
        <v>806</v>
      </c>
      <c r="B15">
        <v>4</v>
      </c>
    </row>
    <row r="16" spans="1:2">
      <c r="A16" s="37" t="s">
        <v>808</v>
      </c>
      <c r="B16">
        <v>6</v>
      </c>
    </row>
    <row r="17" spans="1:2">
      <c r="A17" s="37" t="s">
        <v>809</v>
      </c>
      <c r="B17">
        <v>1</v>
      </c>
    </row>
    <row r="18" spans="1:2">
      <c r="A18" s="37" t="s">
        <v>811</v>
      </c>
      <c r="B18">
        <v>2</v>
      </c>
    </row>
    <row r="19" spans="1:2">
      <c r="A19" s="37" t="s">
        <v>812</v>
      </c>
      <c r="B19">
        <v>1</v>
      </c>
    </row>
    <row r="20" spans="1:2">
      <c r="A20" s="37" t="s">
        <v>813</v>
      </c>
      <c r="B20">
        <v>1</v>
      </c>
    </row>
    <row r="21" spans="1:2">
      <c r="A21" s="37" t="s">
        <v>815</v>
      </c>
      <c r="B21">
        <v>1</v>
      </c>
    </row>
    <row r="22" spans="1:2">
      <c r="A22" s="37" t="s">
        <v>816</v>
      </c>
      <c r="B22">
        <v>1</v>
      </c>
    </row>
    <row r="23" spans="1:2">
      <c r="A23" s="37" t="s">
        <v>817</v>
      </c>
      <c r="B23">
        <v>1</v>
      </c>
    </row>
    <row r="24" spans="1:2">
      <c r="A24" s="37" t="s">
        <v>818</v>
      </c>
      <c r="B24">
        <v>1</v>
      </c>
    </row>
    <row r="25" spans="1:2">
      <c r="A25" s="37" t="s">
        <v>819</v>
      </c>
      <c r="B25">
        <v>1</v>
      </c>
    </row>
    <row r="26" spans="1:2">
      <c r="A26" s="37" t="s">
        <v>820</v>
      </c>
      <c r="B26">
        <v>1</v>
      </c>
    </row>
    <row r="27" spans="1:2">
      <c r="A27" s="37" t="s">
        <v>821</v>
      </c>
      <c r="B27">
        <v>3</v>
      </c>
    </row>
    <row r="28" spans="1:2">
      <c r="A28" s="37" t="s">
        <v>822</v>
      </c>
      <c r="B28">
        <v>1</v>
      </c>
    </row>
    <row r="29" spans="1:2">
      <c r="A29" s="37" t="s">
        <v>823</v>
      </c>
      <c r="B29">
        <v>1</v>
      </c>
    </row>
    <row r="30" spans="1:2">
      <c r="A30" s="37" t="s">
        <v>824</v>
      </c>
      <c r="B30">
        <v>1</v>
      </c>
    </row>
    <row r="31" spans="1:2">
      <c r="A31" s="37" t="s">
        <v>825</v>
      </c>
      <c r="B31">
        <v>1</v>
      </c>
    </row>
    <row r="32" spans="1:2">
      <c r="A32" s="37" t="s">
        <v>826</v>
      </c>
      <c r="B32">
        <v>1</v>
      </c>
    </row>
    <row r="33" spans="1:2">
      <c r="A33" s="37" t="s">
        <v>827</v>
      </c>
      <c r="B33">
        <v>1</v>
      </c>
    </row>
    <row r="34" spans="1:2">
      <c r="A34" s="37" t="s">
        <v>828</v>
      </c>
      <c r="B34">
        <v>1</v>
      </c>
    </row>
    <row r="35" spans="1:2">
      <c r="A35" s="37" t="s">
        <v>829</v>
      </c>
      <c r="B35">
        <v>1</v>
      </c>
    </row>
    <row r="36" spans="1:2">
      <c r="A36" s="37" t="s">
        <v>830</v>
      </c>
      <c r="B36">
        <v>1</v>
      </c>
    </row>
    <row r="37" spans="1:2">
      <c r="A37" s="37" t="s">
        <v>832</v>
      </c>
      <c r="B37">
        <v>1</v>
      </c>
    </row>
    <row r="38" spans="1:2">
      <c r="A38" s="37" t="s">
        <v>833</v>
      </c>
      <c r="B38">
        <v>1</v>
      </c>
    </row>
    <row r="39" spans="1:2">
      <c r="A39" s="37" t="s">
        <v>834</v>
      </c>
      <c r="B39">
        <v>1</v>
      </c>
    </row>
    <row r="40" spans="1:2">
      <c r="A40" s="37" t="s">
        <v>835</v>
      </c>
      <c r="B40">
        <v>2</v>
      </c>
    </row>
    <row r="41" spans="1:2">
      <c r="A41" s="37" t="s">
        <v>836</v>
      </c>
      <c r="B41">
        <v>1</v>
      </c>
    </row>
    <row r="42" spans="1:2">
      <c r="A42" s="37" t="s">
        <v>837</v>
      </c>
      <c r="B42">
        <v>2</v>
      </c>
    </row>
    <row r="43" spans="1:2">
      <c r="A43" s="37" t="s">
        <v>838</v>
      </c>
      <c r="B43">
        <v>1</v>
      </c>
    </row>
    <row r="44" spans="1:2">
      <c r="A44" s="37" t="s">
        <v>839</v>
      </c>
      <c r="B44">
        <v>1</v>
      </c>
    </row>
    <row r="45" spans="1:2">
      <c r="A45" s="37" t="s">
        <v>841</v>
      </c>
      <c r="B45">
        <v>1</v>
      </c>
    </row>
    <row r="46" spans="1:2">
      <c r="A46" s="37" t="s">
        <v>842</v>
      </c>
      <c r="B46">
        <v>1</v>
      </c>
    </row>
    <row r="47" spans="1:2">
      <c r="A47" s="37" t="s">
        <v>844</v>
      </c>
      <c r="B47">
        <v>1</v>
      </c>
    </row>
    <row r="48" spans="1:2">
      <c r="A48" s="37" t="s">
        <v>845</v>
      </c>
      <c r="B48">
        <v>1</v>
      </c>
    </row>
    <row r="49" spans="1:2">
      <c r="A49" s="37" t="s">
        <v>846</v>
      </c>
      <c r="B49">
        <v>1</v>
      </c>
    </row>
    <row r="50" spans="1:2">
      <c r="A50" s="37" t="s">
        <v>847</v>
      </c>
      <c r="B50">
        <v>1</v>
      </c>
    </row>
    <row r="51" spans="1:2">
      <c r="A51" s="37" t="s">
        <v>848</v>
      </c>
      <c r="B51">
        <v>1</v>
      </c>
    </row>
    <row r="52" spans="1:2">
      <c r="A52" s="37" t="s">
        <v>849</v>
      </c>
      <c r="B52">
        <v>1</v>
      </c>
    </row>
    <row r="53" spans="1:2">
      <c r="A53" s="37" t="s">
        <v>850</v>
      </c>
      <c r="B53">
        <v>1</v>
      </c>
    </row>
    <row r="54" spans="1:2">
      <c r="A54" s="37" t="s">
        <v>851</v>
      </c>
      <c r="B54">
        <v>1</v>
      </c>
    </row>
    <row r="55" spans="1:2">
      <c r="A55" s="37" t="s">
        <v>852</v>
      </c>
      <c r="B55">
        <v>1</v>
      </c>
    </row>
    <row r="56" spans="1:2">
      <c r="A56" s="37" t="s">
        <v>853</v>
      </c>
      <c r="B56">
        <v>2</v>
      </c>
    </row>
    <row r="57" spans="1:2">
      <c r="A57" s="37" t="s">
        <v>855</v>
      </c>
      <c r="B57">
        <v>2</v>
      </c>
    </row>
    <row r="58" spans="1:2">
      <c r="A58" s="37" t="s">
        <v>857</v>
      </c>
      <c r="B58">
        <v>5</v>
      </c>
    </row>
    <row r="59" spans="1:2">
      <c r="A59" s="37" t="s">
        <v>858</v>
      </c>
      <c r="B59">
        <v>1</v>
      </c>
    </row>
    <row r="60" spans="1:2">
      <c r="A60" s="37" t="s">
        <v>859</v>
      </c>
      <c r="B60">
        <v>1</v>
      </c>
    </row>
    <row r="61" spans="1:2">
      <c r="A61" s="37" t="s">
        <v>860</v>
      </c>
      <c r="B61">
        <v>1</v>
      </c>
    </row>
    <row r="62" spans="1:2">
      <c r="A62" s="37" t="s">
        <v>861</v>
      </c>
      <c r="B62">
        <v>1</v>
      </c>
    </row>
    <row r="63" spans="1:2">
      <c r="A63" s="37" t="s">
        <v>862</v>
      </c>
      <c r="B63">
        <v>1</v>
      </c>
    </row>
    <row r="64" spans="1:2">
      <c r="A64" s="37" t="s">
        <v>863</v>
      </c>
      <c r="B64">
        <v>1</v>
      </c>
    </row>
    <row r="65" spans="1:2">
      <c r="A65" s="37" t="s">
        <v>865</v>
      </c>
      <c r="B65">
        <v>1</v>
      </c>
    </row>
    <row r="66" spans="1:2">
      <c r="A66" s="37" t="s">
        <v>866</v>
      </c>
      <c r="B66">
        <v>2</v>
      </c>
    </row>
    <row r="67" spans="1:2">
      <c r="A67" s="37" t="s">
        <v>868</v>
      </c>
      <c r="B67">
        <v>6</v>
      </c>
    </row>
    <row r="68" spans="1:2">
      <c r="A68" s="37" t="s">
        <v>869</v>
      </c>
      <c r="B68">
        <v>1</v>
      </c>
    </row>
    <row r="69" spans="1:2">
      <c r="A69" s="37" t="s">
        <v>871</v>
      </c>
      <c r="B69">
        <v>1</v>
      </c>
    </row>
    <row r="70" spans="1:2">
      <c r="A70" s="37" t="s">
        <v>872</v>
      </c>
      <c r="B70">
        <v>1</v>
      </c>
    </row>
    <row r="71" spans="1:2">
      <c r="A71" s="37" t="s">
        <v>873</v>
      </c>
      <c r="B71">
        <v>1</v>
      </c>
    </row>
    <row r="72" spans="1:2">
      <c r="A72" s="37" t="s">
        <v>874</v>
      </c>
      <c r="B72">
        <v>1</v>
      </c>
    </row>
    <row r="73" spans="1:2">
      <c r="A73" s="37" t="s">
        <v>875</v>
      </c>
      <c r="B73">
        <v>2</v>
      </c>
    </row>
    <row r="74" spans="1:2">
      <c r="A74" s="37" t="s">
        <v>876</v>
      </c>
      <c r="B74">
        <v>5</v>
      </c>
    </row>
    <row r="75" spans="1:2">
      <c r="A75" s="37" t="s">
        <v>877</v>
      </c>
      <c r="B75">
        <v>1</v>
      </c>
    </row>
    <row r="76" spans="1:2">
      <c r="A76" s="37" t="s">
        <v>878</v>
      </c>
      <c r="B76">
        <v>1</v>
      </c>
    </row>
    <row r="77" spans="1:2">
      <c r="A77" s="37" t="s">
        <v>879</v>
      </c>
      <c r="B77">
        <v>1</v>
      </c>
    </row>
    <row r="78" spans="1:2">
      <c r="A78" s="37" t="s">
        <v>881</v>
      </c>
      <c r="B78">
        <v>1</v>
      </c>
    </row>
    <row r="79" spans="1:2">
      <c r="A79" s="37" t="s">
        <v>882</v>
      </c>
      <c r="B79">
        <v>1</v>
      </c>
    </row>
    <row r="80" spans="1:2">
      <c r="A80" s="37" t="s">
        <v>883</v>
      </c>
      <c r="B80">
        <v>1</v>
      </c>
    </row>
    <row r="81" spans="1:2">
      <c r="A81" s="37" t="s">
        <v>885</v>
      </c>
      <c r="B81">
        <v>1</v>
      </c>
    </row>
    <row r="82" spans="1:2">
      <c r="A82" s="37" t="s">
        <v>886</v>
      </c>
      <c r="B82">
        <v>1</v>
      </c>
    </row>
    <row r="83" spans="1:2">
      <c r="A83" s="37" t="s">
        <v>888</v>
      </c>
      <c r="B83">
        <v>2</v>
      </c>
    </row>
    <row r="84" spans="1:2">
      <c r="A84" s="37" t="s">
        <v>889</v>
      </c>
      <c r="B84">
        <v>1</v>
      </c>
    </row>
    <row r="85" spans="1:2">
      <c r="A85" s="37" t="s">
        <v>890</v>
      </c>
      <c r="B85">
        <v>1</v>
      </c>
    </row>
    <row r="86" spans="1:2">
      <c r="A86" s="37" t="s">
        <v>891</v>
      </c>
      <c r="B86">
        <v>2</v>
      </c>
    </row>
    <row r="87" spans="1:2">
      <c r="A87" s="37" t="s">
        <v>892</v>
      </c>
      <c r="B87">
        <v>1</v>
      </c>
    </row>
    <row r="88" spans="1:2">
      <c r="A88" s="37" t="s">
        <v>894</v>
      </c>
      <c r="B88">
        <v>2</v>
      </c>
    </row>
    <row r="89" spans="1:2">
      <c r="A89" s="37" t="s">
        <v>895</v>
      </c>
      <c r="B89">
        <v>3</v>
      </c>
    </row>
    <row r="90" spans="1:2">
      <c r="A90" s="37" t="s">
        <v>896</v>
      </c>
      <c r="B90">
        <v>6</v>
      </c>
    </row>
    <row r="91" spans="1:2">
      <c r="A91" s="37" t="s">
        <v>897</v>
      </c>
      <c r="B91">
        <v>1</v>
      </c>
    </row>
    <row r="92" spans="1:2">
      <c r="A92" s="37" t="s">
        <v>898</v>
      </c>
      <c r="B92">
        <v>1</v>
      </c>
    </row>
    <row r="93" spans="1:2">
      <c r="A93" s="37" t="s">
        <v>899</v>
      </c>
      <c r="B93">
        <v>1</v>
      </c>
    </row>
    <row r="94" spans="1:2">
      <c r="A94" s="37" t="s">
        <v>900</v>
      </c>
      <c r="B94">
        <v>2</v>
      </c>
    </row>
    <row r="95" spans="1:2">
      <c r="A95" s="37" t="s">
        <v>901</v>
      </c>
      <c r="B95">
        <v>1</v>
      </c>
    </row>
    <row r="96" spans="1:2">
      <c r="A96" s="37" t="s">
        <v>903</v>
      </c>
      <c r="B96">
        <v>1</v>
      </c>
    </row>
    <row r="97" spans="1:2">
      <c r="A97" s="37" t="s">
        <v>904</v>
      </c>
      <c r="B97">
        <v>1</v>
      </c>
    </row>
    <row r="98" spans="1:2">
      <c r="A98" s="37" t="s">
        <v>905</v>
      </c>
      <c r="B98">
        <v>1</v>
      </c>
    </row>
    <row r="99" spans="1:2">
      <c r="A99" s="37" t="s">
        <v>907</v>
      </c>
      <c r="B99">
        <v>1</v>
      </c>
    </row>
    <row r="100" spans="1:2">
      <c r="A100" s="37" t="s">
        <v>908</v>
      </c>
      <c r="B100">
        <v>1</v>
      </c>
    </row>
    <row r="101" spans="1:2">
      <c r="A101" s="37" t="s">
        <v>909</v>
      </c>
      <c r="B101">
        <v>1</v>
      </c>
    </row>
    <row r="102" spans="1:2">
      <c r="A102" s="37" t="s">
        <v>910</v>
      </c>
      <c r="B102">
        <v>8</v>
      </c>
    </row>
    <row r="103" spans="1:2">
      <c r="A103" s="37" t="s">
        <v>911</v>
      </c>
      <c r="B103">
        <v>1</v>
      </c>
    </row>
    <row r="104" spans="1:2">
      <c r="A104" s="37" t="s">
        <v>912</v>
      </c>
      <c r="B104">
        <v>1</v>
      </c>
    </row>
    <row r="105" spans="1:2">
      <c r="A105" s="37" t="s">
        <v>913</v>
      </c>
      <c r="B105">
        <v>1</v>
      </c>
    </row>
    <row r="106" spans="1:2">
      <c r="A106" s="37" t="s">
        <v>914</v>
      </c>
      <c r="B106">
        <v>1</v>
      </c>
    </row>
    <row r="107" spans="1:2">
      <c r="A107" s="37" t="s">
        <v>915</v>
      </c>
      <c r="B107">
        <v>1</v>
      </c>
    </row>
    <row r="108" spans="1:2">
      <c r="A108" s="37" t="s">
        <v>917</v>
      </c>
      <c r="B108">
        <v>1</v>
      </c>
    </row>
    <row r="109" spans="1:2">
      <c r="A109" s="37" t="s">
        <v>918</v>
      </c>
      <c r="B109">
        <v>1</v>
      </c>
    </row>
    <row r="110" spans="1:2">
      <c r="A110" s="37" t="s">
        <v>919</v>
      </c>
      <c r="B110">
        <v>1</v>
      </c>
    </row>
    <row r="111" spans="1:2">
      <c r="A111" s="37" t="s">
        <v>920</v>
      </c>
      <c r="B111">
        <v>1</v>
      </c>
    </row>
    <row r="112" spans="1:2">
      <c r="A112" s="37" t="s">
        <v>921</v>
      </c>
      <c r="B112">
        <v>2</v>
      </c>
    </row>
    <row r="113" spans="1:2">
      <c r="A113" s="37" t="s">
        <v>922</v>
      </c>
      <c r="B113">
        <v>1</v>
      </c>
    </row>
    <row r="114" spans="1:2">
      <c r="A114" s="37" t="s">
        <v>923</v>
      </c>
      <c r="B114">
        <v>1</v>
      </c>
    </row>
    <row r="115" spans="1:2">
      <c r="A115" s="37" t="s">
        <v>924</v>
      </c>
      <c r="B115">
        <v>1</v>
      </c>
    </row>
    <row r="116" spans="1:2">
      <c r="A116" s="37" t="s">
        <v>925</v>
      </c>
      <c r="B116">
        <v>1</v>
      </c>
    </row>
    <row r="117" spans="1:2">
      <c r="A117" s="37" t="s">
        <v>926</v>
      </c>
      <c r="B117">
        <v>1</v>
      </c>
    </row>
    <row r="118" spans="1:2">
      <c r="A118" s="37" t="s">
        <v>927</v>
      </c>
      <c r="B118">
        <v>1</v>
      </c>
    </row>
    <row r="119" spans="1:2">
      <c r="A119" s="37" t="s">
        <v>928</v>
      </c>
      <c r="B119">
        <v>6</v>
      </c>
    </row>
    <row r="120" spans="1:2">
      <c r="A120" s="37" t="s">
        <v>931</v>
      </c>
      <c r="B120">
        <v>1</v>
      </c>
    </row>
    <row r="121" spans="1:2">
      <c r="A121" s="37" t="s">
        <v>932</v>
      </c>
      <c r="B121">
        <v>1</v>
      </c>
    </row>
    <row r="122" spans="1:2">
      <c r="A122" s="37" t="s">
        <v>933</v>
      </c>
      <c r="B122">
        <v>2</v>
      </c>
    </row>
    <row r="123" spans="1:2">
      <c r="A123" s="37" t="s">
        <v>934</v>
      </c>
      <c r="B123">
        <v>1</v>
      </c>
    </row>
    <row r="124" spans="1:2">
      <c r="A124" s="37" t="s">
        <v>935</v>
      </c>
      <c r="B124">
        <v>5</v>
      </c>
    </row>
    <row r="125" spans="1:2">
      <c r="A125" s="37" t="s">
        <v>937</v>
      </c>
      <c r="B125">
        <v>2</v>
      </c>
    </row>
    <row r="126" spans="1:2">
      <c r="A126" s="37" t="s">
        <v>938</v>
      </c>
      <c r="B126">
        <v>1</v>
      </c>
    </row>
    <row r="127" spans="1:2">
      <c r="A127" s="37" t="s">
        <v>939</v>
      </c>
      <c r="B127">
        <v>2</v>
      </c>
    </row>
    <row r="128" spans="1:2">
      <c r="A128" s="37" t="s">
        <v>940</v>
      </c>
      <c r="B128">
        <v>1</v>
      </c>
    </row>
    <row r="129" spans="1:2">
      <c r="A129" s="37" t="s">
        <v>941</v>
      </c>
      <c r="B129">
        <v>2</v>
      </c>
    </row>
    <row r="130" spans="1:2">
      <c r="A130" s="37" t="s">
        <v>942</v>
      </c>
      <c r="B130">
        <v>1</v>
      </c>
    </row>
    <row r="131" spans="1:2">
      <c r="A131" s="37" t="s">
        <v>944</v>
      </c>
      <c r="B131">
        <v>1</v>
      </c>
    </row>
    <row r="132" spans="1:2">
      <c r="A132" s="37" t="s">
        <v>945</v>
      </c>
      <c r="B132">
        <v>2</v>
      </c>
    </row>
    <row r="133" spans="1:2">
      <c r="A133" s="37" t="s">
        <v>946</v>
      </c>
      <c r="B133">
        <v>1</v>
      </c>
    </row>
    <row r="134" spans="1:2">
      <c r="A134" s="37" t="s">
        <v>947</v>
      </c>
      <c r="B134">
        <v>1</v>
      </c>
    </row>
    <row r="135" spans="1:2">
      <c r="A135" s="37" t="s">
        <v>948</v>
      </c>
      <c r="B135">
        <v>1</v>
      </c>
    </row>
    <row r="136" spans="1:2">
      <c r="A136" s="37" t="s">
        <v>949</v>
      </c>
      <c r="B136">
        <v>1</v>
      </c>
    </row>
    <row r="137" spans="1:2">
      <c r="A137" s="37" t="s">
        <v>950</v>
      </c>
      <c r="B137">
        <v>1</v>
      </c>
    </row>
    <row r="138" spans="1:2">
      <c r="A138" s="37" t="s">
        <v>951</v>
      </c>
      <c r="B138">
        <v>6</v>
      </c>
    </row>
    <row r="139" spans="1:2">
      <c r="A139" s="37" t="s">
        <v>952</v>
      </c>
      <c r="B139">
        <v>2</v>
      </c>
    </row>
    <row r="140" spans="1:2">
      <c r="A140" s="37" t="s">
        <v>953</v>
      </c>
      <c r="B140">
        <v>1</v>
      </c>
    </row>
    <row r="141" spans="1:2">
      <c r="A141" s="37" t="s">
        <v>955</v>
      </c>
      <c r="B141">
        <v>2</v>
      </c>
    </row>
    <row r="142" spans="1:2">
      <c r="A142" s="37" t="s">
        <v>956</v>
      </c>
      <c r="B142">
        <v>1</v>
      </c>
    </row>
    <row r="143" spans="1:2">
      <c r="A143" s="37" t="s">
        <v>957</v>
      </c>
      <c r="B143">
        <v>1</v>
      </c>
    </row>
    <row r="144" spans="1:2">
      <c r="A144" s="37" t="s">
        <v>958</v>
      </c>
      <c r="B144">
        <v>1</v>
      </c>
    </row>
    <row r="145" spans="1:2">
      <c r="A145" s="37" t="s">
        <v>959</v>
      </c>
      <c r="B145">
        <v>1</v>
      </c>
    </row>
    <row r="146" spans="1:2">
      <c r="A146" s="37" t="s">
        <v>960</v>
      </c>
      <c r="B146">
        <v>1</v>
      </c>
    </row>
    <row r="147" spans="1:2">
      <c r="A147" s="37" t="s">
        <v>961</v>
      </c>
      <c r="B147">
        <v>2</v>
      </c>
    </row>
    <row r="148" spans="1:2">
      <c r="A148" s="37" t="s">
        <v>963</v>
      </c>
      <c r="B148">
        <v>1</v>
      </c>
    </row>
    <row r="149" spans="1:2">
      <c r="A149" s="37" t="s">
        <v>964</v>
      </c>
      <c r="B149">
        <v>1</v>
      </c>
    </row>
    <row r="150" spans="1:2">
      <c r="A150" s="37" t="s">
        <v>965</v>
      </c>
      <c r="B150">
        <v>2</v>
      </c>
    </row>
    <row r="151" spans="1:2">
      <c r="A151" s="37" t="s">
        <v>966</v>
      </c>
      <c r="B151">
        <v>1</v>
      </c>
    </row>
    <row r="152" spans="1:2">
      <c r="A152" s="37" t="s">
        <v>967</v>
      </c>
      <c r="B152">
        <v>3</v>
      </c>
    </row>
    <row r="153" spans="1:2">
      <c r="A153" s="37" t="s">
        <v>968</v>
      </c>
      <c r="B153">
        <v>1</v>
      </c>
    </row>
    <row r="154" spans="1:2">
      <c r="A154" s="37" t="s">
        <v>969</v>
      </c>
      <c r="B154">
        <v>1</v>
      </c>
    </row>
    <row r="155" spans="1:2">
      <c r="A155" s="37" t="s">
        <v>970</v>
      </c>
      <c r="B155">
        <v>1</v>
      </c>
    </row>
    <row r="156" spans="1:2">
      <c r="A156" s="37" t="s">
        <v>971</v>
      </c>
      <c r="B156">
        <v>2</v>
      </c>
    </row>
    <row r="157" spans="1:2">
      <c r="A157" s="37" t="s">
        <v>972</v>
      </c>
      <c r="B157">
        <v>2</v>
      </c>
    </row>
    <row r="158" spans="1:2">
      <c r="A158" s="37" t="s">
        <v>974</v>
      </c>
      <c r="B158">
        <v>1</v>
      </c>
    </row>
    <row r="159" spans="1:2">
      <c r="A159" s="37" t="s">
        <v>975</v>
      </c>
      <c r="B159">
        <v>1</v>
      </c>
    </row>
    <row r="160" spans="1:2">
      <c r="A160" s="37" t="s">
        <v>976</v>
      </c>
      <c r="B160">
        <v>1</v>
      </c>
    </row>
    <row r="161" spans="1:2">
      <c r="A161" s="37" t="s">
        <v>977</v>
      </c>
      <c r="B161">
        <v>1</v>
      </c>
    </row>
    <row r="162" spans="1:2">
      <c r="A162" s="37" t="s">
        <v>978</v>
      </c>
      <c r="B162">
        <v>2</v>
      </c>
    </row>
    <row r="163" spans="1:2">
      <c r="A163" s="37" t="s">
        <v>979</v>
      </c>
      <c r="B163">
        <v>6</v>
      </c>
    </row>
    <row r="164" spans="1:2">
      <c r="A164" s="37" t="s">
        <v>981</v>
      </c>
      <c r="B164">
        <v>1</v>
      </c>
    </row>
    <row r="165" spans="1:2">
      <c r="A165" s="37" t="s">
        <v>982</v>
      </c>
      <c r="B165">
        <v>1</v>
      </c>
    </row>
    <row r="166" spans="1:2">
      <c r="A166" s="37" t="s">
        <v>983</v>
      </c>
      <c r="B166">
        <v>4</v>
      </c>
    </row>
    <row r="167" spans="1:2">
      <c r="A167" s="37" t="s">
        <v>984</v>
      </c>
      <c r="B167">
        <v>1</v>
      </c>
    </row>
    <row r="168" spans="1:2">
      <c r="A168" s="37" t="s">
        <v>985</v>
      </c>
      <c r="B168">
        <v>3</v>
      </c>
    </row>
    <row r="169" spans="1:2">
      <c r="A169" s="37" t="s">
        <v>986</v>
      </c>
      <c r="B169">
        <v>7</v>
      </c>
    </row>
    <row r="170" spans="1:2">
      <c r="A170" s="37" t="s">
        <v>987</v>
      </c>
      <c r="B170">
        <v>1</v>
      </c>
    </row>
    <row r="171" spans="1:2">
      <c r="A171" s="37" t="s">
        <v>988</v>
      </c>
      <c r="B171">
        <v>1</v>
      </c>
    </row>
    <row r="172" spans="1:2">
      <c r="A172" s="37" t="s">
        <v>989</v>
      </c>
      <c r="B172">
        <v>1</v>
      </c>
    </row>
    <row r="173" spans="1:2">
      <c r="A173" s="37" t="s">
        <v>990</v>
      </c>
      <c r="B173">
        <v>1</v>
      </c>
    </row>
    <row r="174" spans="1:2">
      <c r="A174" s="37" t="s">
        <v>991</v>
      </c>
      <c r="B174">
        <v>1</v>
      </c>
    </row>
    <row r="175" spans="1:2">
      <c r="A175" s="37" t="s">
        <v>992</v>
      </c>
      <c r="B175">
        <v>1</v>
      </c>
    </row>
    <row r="176" spans="1:2">
      <c r="A176" s="37" t="s">
        <v>993</v>
      </c>
      <c r="B176">
        <v>2</v>
      </c>
    </row>
    <row r="177" spans="1:2">
      <c r="A177" s="37" t="s">
        <v>994</v>
      </c>
      <c r="B177">
        <v>1</v>
      </c>
    </row>
    <row r="178" spans="1:2">
      <c r="A178" s="37" t="s">
        <v>995</v>
      </c>
      <c r="B178">
        <v>1</v>
      </c>
    </row>
    <row r="179" spans="1:2">
      <c r="A179" s="37" t="s">
        <v>997</v>
      </c>
      <c r="B179">
        <v>6</v>
      </c>
    </row>
    <row r="180" spans="1:2">
      <c r="A180" s="37" t="s">
        <v>998</v>
      </c>
      <c r="B180">
        <v>16</v>
      </c>
    </row>
    <row r="181" spans="1:2">
      <c r="A181" s="37" t="s">
        <v>999</v>
      </c>
      <c r="B181">
        <v>1</v>
      </c>
    </row>
    <row r="182" spans="1:2">
      <c r="A182" s="37" t="s">
        <v>1000</v>
      </c>
      <c r="B182">
        <v>1</v>
      </c>
    </row>
    <row r="183" spans="1:2">
      <c r="A183" s="37" t="s">
        <v>1001</v>
      </c>
      <c r="B183">
        <v>1</v>
      </c>
    </row>
    <row r="184" spans="1:2">
      <c r="A184" s="37" t="s">
        <v>1002</v>
      </c>
      <c r="B184">
        <v>1</v>
      </c>
    </row>
    <row r="185" spans="1:2">
      <c r="A185" s="37" t="s">
        <v>1003</v>
      </c>
      <c r="B185">
        <v>1</v>
      </c>
    </row>
    <row r="186" spans="1:2">
      <c r="A186" s="37" t="s">
        <v>1004</v>
      </c>
      <c r="B186">
        <v>1</v>
      </c>
    </row>
    <row r="187" spans="1:2">
      <c r="A187" s="37" t="s">
        <v>1005</v>
      </c>
      <c r="B187">
        <v>1</v>
      </c>
    </row>
    <row r="188" spans="1:2">
      <c r="A188" s="37" t="s">
        <v>1006</v>
      </c>
    </row>
    <row r="189" spans="1:2">
      <c r="A189" s="37" t="s">
        <v>1008</v>
      </c>
      <c r="B189">
        <v>1</v>
      </c>
    </row>
    <row r="190" spans="1:2">
      <c r="A190" s="37" t="s">
        <v>1009</v>
      </c>
      <c r="B190">
        <v>1</v>
      </c>
    </row>
    <row r="191" spans="1:2">
      <c r="A191" s="37" t="s">
        <v>1010</v>
      </c>
      <c r="B191">
        <v>1</v>
      </c>
    </row>
    <row r="192" spans="1:2">
      <c r="A192" s="37" t="s">
        <v>1011</v>
      </c>
      <c r="B192">
        <v>3</v>
      </c>
    </row>
    <row r="193" spans="1:2">
      <c r="A193" s="37" t="s">
        <v>1013</v>
      </c>
      <c r="B193">
        <v>1</v>
      </c>
    </row>
    <row r="194" spans="1:2">
      <c r="A194" s="37" t="s">
        <v>1015</v>
      </c>
      <c r="B194">
        <v>3</v>
      </c>
    </row>
    <row r="195" spans="1:2">
      <c r="A195" s="37" t="s">
        <v>1016</v>
      </c>
      <c r="B195">
        <v>1</v>
      </c>
    </row>
    <row r="196" spans="1:2">
      <c r="A196" s="37" t="s">
        <v>1017</v>
      </c>
      <c r="B196">
        <v>1</v>
      </c>
    </row>
    <row r="197" spans="1:2">
      <c r="A197" s="37" t="s">
        <v>1018</v>
      </c>
      <c r="B197">
        <v>2</v>
      </c>
    </row>
    <row r="198" spans="1:2">
      <c r="A198" s="37" t="s">
        <v>1019</v>
      </c>
      <c r="B198">
        <v>1</v>
      </c>
    </row>
    <row r="199" spans="1:2">
      <c r="A199" s="37" t="s">
        <v>1020</v>
      </c>
      <c r="B199">
        <v>1</v>
      </c>
    </row>
    <row r="200" spans="1:2">
      <c r="A200" s="37" t="s">
        <v>1021</v>
      </c>
      <c r="B200">
        <v>1</v>
      </c>
    </row>
    <row r="201" spans="1:2">
      <c r="A201" s="37" t="s">
        <v>1022</v>
      </c>
      <c r="B201">
        <v>1</v>
      </c>
    </row>
    <row r="202" spans="1:2">
      <c r="A202" s="37" t="s">
        <v>1023</v>
      </c>
      <c r="B202">
        <v>1</v>
      </c>
    </row>
    <row r="203" spans="1:2">
      <c r="A203" s="37" t="s">
        <v>1024</v>
      </c>
      <c r="B203">
        <v>6</v>
      </c>
    </row>
    <row r="204" spans="1:2">
      <c r="A204" s="37" t="s">
        <v>1025</v>
      </c>
      <c r="B204">
        <v>2</v>
      </c>
    </row>
    <row r="205" spans="1:2">
      <c r="A205" s="37" t="s">
        <v>1026</v>
      </c>
      <c r="B205">
        <v>2</v>
      </c>
    </row>
    <row r="206" spans="1:2">
      <c r="A206" s="37" t="s">
        <v>1028</v>
      </c>
      <c r="B206">
        <v>1</v>
      </c>
    </row>
    <row r="207" spans="1:2">
      <c r="A207" s="37" t="s">
        <v>1029</v>
      </c>
      <c r="B207">
        <v>1</v>
      </c>
    </row>
    <row r="208" spans="1:2">
      <c r="A208" s="37" t="s">
        <v>1030</v>
      </c>
      <c r="B208">
        <v>1</v>
      </c>
    </row>
    <row r="209" spans="1:2">
      <c r="A209" s="37" t="s">
        <v>1031</v>
      </c>
      <c r="B209">
        <v>10</v>
      </c>
    </row>
    <row r="210" spans="1:2">
      <c r="A210" s="37" t="s">
        <v>1032</v>
      </c>
      <c r="B210">
        <v>1</v>
      </c>
    </row>
    <row r="211" spans="1:2">
      <c r="A211" s="37" t="s">
        <v>1033</v>
      </c>
      <c r="B211">
        <v>7</v>
      </c>
    </row>
    <row r="212" spans="1:2">
      <c r="A212" s="37" t="s">
        <v>1034</v>
      </c>
      <c r="B212">
        <v>1</v>
      </c>
    </row>
    <row r="213" spans="1:2">
      <c r="A213" s="37" t="s">
        <v>1035</v>
      </c>
      <c r="B213">
        <v>1</v>
      </c>
    </row>
    <row r="214" spans="1:2">
      <c r="A214" s="37" t="s">
        <v>1036</v>
      </c>
      <c r="B214">
        <v>1</v>
      </c>
    </row>
    <row r="215" spans="1:2">
      <c r="A215" s="37" t="s">
        <v>1037</v>
      </c>
      <c r="B215">
        <v>2</v>
      </c>
    </row>
    <row r="216" spans="1:2">
      <c r="A216" s="37" t="s">
        <v>1039</v>
      </c>
      <c r="B216">
        <v>2</v>
      </c>
    </row>
    <row r="217" spans="1:2">
      <c r="A217" s="37" t="s">
        <v>1040</v>
      </c>
      <c r="B217">
        <v>2</v>
      </c>
    </row>
    <row r="218" spans="1:2">
      <c r="A218" s="37" t="s">
        <v>1041</v>
      </c>
      <c r="B218">
        <v>1</v>
      </c>
    </row>
    <row r="219" spans="1:2">
      <c r="A219" s="37" t="s">
        <v>1042</v>
      </c>
      <c r="B219">
        <v>1</v>
      </c>
    </row>
    <row r="220" spans="1:2">
      <c r="A220" s="37" t="s">
        <v>1043</v>
      </c>
      <c r="B220">
        <v>4</v>
      </c>
    </row>
    <row r="221" spans="1:2">
      <c r="A221" s="37" t="s">
        <v>1044</v>
      </c>
      <c r="B221">
        <v>1</v>
      </c>
    </row>
    <row r="222" spans="1:2">
      <c r="A222" s="37" t="s">
        <v>1045</v>
      </c>
      <c r="B222">
        <v>2</v>
      </c>
    </row>
    <row r="223" spans="1:2">
      <c r="A223" s="37" t="s">
        <v>1046</v>
      </c>
      <c r="B223">
        <v>1</v>
      </c>
    </row>
    <row r="224" spans="1:2">
      <c r="A224" s="37" t="s">
        <v>1047</v>
      </c>
      <c r="B224">
        <v>2</v>
      </c>
    </row>
    <row r="225" spans="1:2">
      <c r="A225" s="37" t="s">
        <v>1048</v>
      </c>
      <c r="B225">
        <v>2</v>
      </c>
    </row>
    <row r="226" spans="1:2">
      <c r="A226" s="37" t="s">
        <v>1049</v>
      </c>
      <c r="B226">
        <v>1</v>
      </c>
    </row>
    <row r="227" spans="1:2">
      <c r="A227" s="37" t="s">
        <v>1050</v>
      </c>
      <c r="B227">
        <v>1</v>
      </c>
    </row>
    <row r="228" spans="1:2">
      <c r="A228" s="37" t="s">
        <v>1051</v>
      </c>
      <c r="B228">
        <v>1</v>
      </c>
    </row>
    <row r="229" spans="1:2">
      <c r="A229" s="37" t="s">
        <v>1052</v>
      </c>
      <c r="B229">
        <v>1</v>
      </c>
    </row>
    <row r="230" spans="1:2">
      <c r="A230" s="37" t="s">
        <v>1053</v>
      </c>
      <c r="B230">
        <v>3</v>
      </c>
    </row>
    <row r="231" spans="1:2">
      <c r="A231" s="37" t="s">
        <v>1054</v>
      </c>
      <c r="B231">
        <v>1</v>
      </c>
    </row>
    <row r="232" spans="1:2">
      <c r="A232" s="37" t="s">
        <v>1055</v>
      </c>
      <c r="B232">
        <v>2</v>
      </c>
    </row>
    <row r="233" spans="1:2">
      <c r="A233" s="37" t="s">
        <v>1056</v>
      </c>
      <c r="B233">
        <v>2</v>
      </c>
    </row>
    <row r="234" spans="1:2">
      <c r="A234" s="37" t="s">
        <v>1057</v>
      </c>
      <c r="B234">
        <v>9</v>
      </c>
    </row>
    <row r="235" spans="1:2">
      <c r="A235" s="37" t="s">
        <v>1059</v>
      </c>
      <c r="B235">
        <v>1</v>
      </c>
    </row>
    <row r="236" spans="1:2">
      <c r="A236" s="37" t="s">
        <v>1060</v>
      </c>
      <c r="B236">
        <v>1</v>
      </c>
    </row>
    <row r="237" spans="1:2">
      <c r="A237" s="37" t="s">
        <v>1061</v>
      </c>
      <c r="B237">
        <v>2</v>
      </c>
    </row>
    <row r="238" spans="1:2">
      <c r="A238" s="37" t="s">
        <v>1062</v>
      </c>
      <c r="B238">
        <v>1</v>
      </c>
    </row>
    <row r="239" spans="1:2">
      <c r="A239" s="37" t="s">
        <v>1063</v>
      </c>
      <c r="B239">
        <v>1</v>
      </c>
    </row>
    <row r="240" spans="1:2">
      <c r="A240" s="37" t="s">
        <v>1064</v>
      </c>
      <c r="B240">
        <v>3</v>
      </c>
    </row>
    <row r="241" spans="1:2">
      <c r="A241" s="37" t="s">
        <v>1065</v>
      </c>
      <c r="B241">
        <v>1</v>
      </c>
    </row>
    <row r="242" spans="1:2">
      <c r="A242" s="37" t="s">
        <v>1066</v>
      </c>
      <c r="B242">
        <v>1</v>
      </c>
    </row>
    <row r="243" spans="1:2">
      <c r="A243" s="37" t="s">
        <v>1067</v>
      </c>
      <c r="B243">
        <v>1</v>
      </c>
    </row>
    <row r="244" spans="1:2">
      <c r="A244" s="37" t="s">
        <v>1068</v>
      </c>
      <c r="B244">
        <v>1</v>
      </c>
    </row>
    <row r="245" spans="1:2">
      <c r="A245" s="37" t="s">
        <v>1071</v>
      </c>
      <c r="B245">
        <v>1</v>
      </c>
    </row>
    <row r="246" spans="1:2">
      <c r="A246" s="37" t="s">
        <v>1072</v>
      </c>
      <c r="B246">
        <v>1</v>
      </c>
    </row>
    <row r="247" spans="1:2">
      <c r="A247" s="37" t="s">
        <v>1074</v>
      </c>
      <c r="B247">
        <v>3</v>
      </c>
    </row>
    <row r="248" spans="1:2">
      <c r="A248" s="37" t="s">
        <v>1076</v>
      </c>
      <c r="B248">
        <v>1</v>
      </c>
    </row>
    <row r="249" spans="1:2">
      <c r="A249" s="37" t="s">
        <v>1077</v>
      </c>
      <c r="B249">
        <v>1</v>
      </c>
    </row>
    <row r="250" spans="1:2">
      <c r="A250" s="37" t="s">
        <v>1079</v>
      </c>
      <c r="B250">
        <v>1</v>
      </c>
    </row>
    <row r="251" spans="1:2">
      <c r="A251" s="37" t="s">
        <v>1081</v>
      </c>
      <c r="B251">
        <v>2</v>
      </c>
    </row>
    <row r="252" spans="1:2">
      <c r="A252" s="37" t="s">
        <v>1082</v>
      </c>
      <c r="B252">
        <v>1</v>
      </c>
    </row>
    <row r="253" spans="1:2">
      <c r="A253" s="37" t="s">
        <v>1083</v>
      </c>
      <c r="B253">
        <v>1</v>
      </c>
    </row>
    <row r="254" spans="1:2">
      <c r="A254" s="37" t="s">
        <v>1084</v>
      </c>
      <c r="B254">
        <v>6</v>
      </c>
    </row>
    <row r="255" spans="1:2">
      <c r="A255" s="37" t="s">
        <v>1086</v>
      </c>
      <c r="B255">
        <v>1</v>
      </c>
    </row>
    <row r="256" spans="1:2">
      <c r="A256" s="37" t="s">
        <v>1087</v>
      </c>
      <c r="B256">
        <v>1</v>
      </c>
    </row>
    <row r="257" spans="1:2">
      <c r="A257" s="37" t="s">
        <v>1088</v>
      </c>
      <c r="B257">
        <v>1</v>
      </c>
    </row>
    <row r="258" spans="1:2">
      <c r="A258" s="37" t="s">
        <v>1089</v>
      </c>
      <c r="B258">
        <v>1</v>
      </c>
    </row>
    <row r="259" spans="1:2">
      <c r="A259" s="37" t="s">
        <v>1090</v>
      </c>
      <c r="B259">
        <v>3</v>
      </c>
    </row>
    <row r="260" spans="1:2">
      <c r="A260" s="37" t="s">
        <v>1091</v>
      </c>
      <c r="B260">
        <v>1</v>
      </c>
    </row>
    <row r="261" spans="1:2">
      <c r="A261" s="37" t="s">
        <v>1092</v>
      </c>
      <c r="B261">
        <v>1</v>
      </c>
    </row>
    <row r="262" spans="1:2">
      <c r="A262" s="37" t="s">
        <v>1093</v>
      </c>
      <c r="B262">
        <v>1</v>
      </c>
    </row>
    <row r="263" spans="1:2">
      <c r="A263" s="37" t="s">
        <v>1094</v>
      </c>
      <c r="B263">
        <v>6</v>
      </c>
    </row>
    <row r="264" spans="1:2">
      <c r="A264" s="37" t="s">
        <v>1095</v>
      </c>
      <c r="B264">
        <v>1</v>
      </c>
    </row>
    <row r="265" spans="1:2">
      <c r="A265" s="37" t="s">
        <v>1096</v>
      </c>
      <c r="B265">
        <v>1</v>
      </c>
    </row>
    <row r="266" spans="1:2">
      <c r="A266" s="37" t="s">
        <v>1097</v>
      </c>
      <c r="B266">
        <v>3</v>
      </c>
    </row>
    <row r="267" spans="1:2">
      <c r="A267" s="37" t="s">
        <v>1098</v>
      </c>
      <c r="B267">
        <v>4</v>
      </c>
    </row>
    <row r="268" spans="1:2">
      <c r="A268" s="37" t="s">
        <v>1099</v>
      </c>
      <c r="B268">
        <v>1</v>
      </c>
    </row>
    <row r="269" spans="1:2">
      <c r="A269" s="37" t="s">
        <v>1100</v>
      </c>
      <c r="B269">
        <v>1</v>
      </c>
    </row>
    <row r="270" spans="1:2">
      <c r="A270" s="37" t="s">
        <v>1101</v>
      </c>
      <c r="B270">
        <v>1</v>
      </c>
    </row>
    <row r="271" spans="1:2">
      <c r="A271" s="37" t="s">
        <v>1102</v>
      </c>
      <c r="B271">
        <v>1</v>
      </c>
    </row>
    <row r="272" spans="1:2">
      <c r="A272" s="37" t="s">
        <v>1104</v>
      </c>
      <c r="B272">
        <v>3</v>
      </c>
    </row>
    <row r="273" spans="1:2">
      <c r="A273" s="37" t="s">
        <v>1105</v>
      </c>
      <c r="B273">
        <v>5</v>
      </c>
    </row>
    <row r="274" spans="1:2">
      <c r="A274" s="37" t="s">
        <v>1107</v>
      </c>
      <c r="B274">
        <v>1</v>
      </c>
    </row>
    <row r="275" spans="1:2">
      <c r="A275" s="37" t="s">
        <v>1108</v>
      </c>
      <c r="B275">
        <v>1</v>
      </c>
    </row>
    <row r="276" spans="1:2">
      <c r="A276" s="37" t="s">
        <v>1109</v>
      </c>
      <c r="B276">
        <v>1</v>
      </c>
    </row>
    <row r="277" spans="1:2">
      <c r="A277" s="37" t="s">
        <v>1110</v>
      </c>
      <c r="B277">
        <v>1</v>
      </c>
    </row>
    <row r="278" spans="1:2">
      <c r="A278" s="37" t="s">
        <v>1111</v>
      </c>
      <c r="B278">
        <v>1</v>
      </c>
    </row>
    <row r="279" spans="1:2">
      <c r="A279" s="37" t="s">
        <v>1112</v>
      </c>
      <c r="B279">
        <v>2</v>
      </c>
    </row>
    <row r="280" spans="1:2">
      <c r="A280" s="37" t="s">
        <v>1113</v>
      </c>
      <c r="B280">
        <v>1</v>
      </c>
    </row>
    <row r="281" spans="1:2">
      <c r="A281" s="37" t="s">
        <v>1114</v>
      </c>
      <c r="B281">
        <v>8</v>
      </c>
    </row>
    <row r="282" spans="1:2">
      <c r="A282" s="37" t="s">
        <v>1116</v>
      </c>
      <c r="B282">
        <v>1</v>
      </c>
    </row>
    <row r="283" spans="1:2">
      <c r="A283" s="37" t="s">
        <v>1117</v>
      </c>
      <c r="B283">
        <v>1</v>
      </c>
    </row>
    <row r="284" spans="1:2">
      <c r="A284" s="37" t="s">
        <v>1118</v>
      </c>
      <c r="B284">
        <v>1</v>
      </c>
    </row>
    <row r="285" spans="1:2">
      <c r="A285" s="37" t="s">
        <v>1120</v>
      </c>
      <c r="B285">
        <v>1</v>
      </c>
    </row>
    <row r="286" spans="1:2">
      <c r="A286" s="37" t="s">
        <v>1121</v>
      </c>
      <c r="B286">
        <v>2</v>
      </c>
    </row>
    <row r="287" spans="1:2">
      <c r="A287" s="37" t="s">
        <v>1122</v>
      </c>
      <c r="B287">
        <v>1</v>
      </c>
    </row>
    <row r="288" spans="1:2">
      <c r="A288" s="37" t="s">
        <v>1123</v>
      </c>
      <c r="B288">
        <v>3</v>
      </c>
    </row>
    <row r="289" spans="1:2">
      <c r="A289" s="37" t="s">
        <v>1124</v>
      </c>
      <c r="B289">
        <v>2</v>
      </c>
    </row>
    <row r="290" spans="1:2">
      <c r="A290" s="37" t="s">
        <v>1125</v>
      </c>
      <c r="B290">
        <v>1</v>
      </c>
    </row>
    <row r="291" spans="1:2">
      <c r="A291" s="37" t="s">
        <v>1126</v>
      </c>
      <c r="B291">
        <v>1</v>
      </c>
    </row>
    <row r="292" spans="1:2">
      <c r="A292" s="37" t="s">
        <v>1127</v>
      </c>
      <c r="B292">
        <v>1</v>
      </c>
    </row>
    <row r="293" spans="1:2">
      <c r="A293" s="37" t="s">
        <v>1128</v>
      </c>
      <c r="B293">
        <v>1</v>
      </c>
    </row>
    <row r="294" spans="1:2">
      <c r="A294" s="37" t="s">
        <v>1129</v>
      </c>
      <c r="B294">
        <v>1</v>
      </c>
    </row>
    <row r="295" spans="1:2">
      <c r="A295" s="37" t="s">
        <v>1130</v>
      </c>
      <c r="B295">
        <v>1</v>
      </c>
    </row>
    <row r="296" spans="1:2">
      <c r="A296" s="37" t="s">
        <v>1132</v>
      </c>
      <c r="B296">
        <v>1</v>
      </c>
    </row>
    <row r="297" spans="1:2">
      <c r="A297" s="37" t="s">
        <v>1133</v>
      </c>
      <c r="B297">
        <v>1</v>
      </c>
    </row>
    <row r="298" spans="1:2">
      <c r="A298" s="37" t="s">
        <v>1135</v>
      </c>
      <c r="B298">
        <v>1</v>
      </c>
    </row>
    <row r="299" spans="1:2">
      <c r="A299" s="37" t="s">
        <v>1136</v>
      </c>
      <c r="B299">
        <v>1</v>
      </c>
    </row>
    <row r="300" spans="1:2">
      <c r="A300" s="37" t="s">
        <v>1138</v>
      </c>
      <c r="B300">
        <v>2</v>
      </c>
    </row>
    <row r="301" spans="1:2">
      <c r="A301" s="37" t="s">
        <v>1139</v>
      </c>
      <c r="B301">
        <v>1</v>
      </c>
    </row>
    <row r="302" spans="1:2">
      <c r="A302" s="37" t="s">
        <v>1140</v>
      </c>
      <c r="B302">
        <v>1</v>
      </c>
    </row>
    <row r="303" spans="1:2">
      <c r="A303" s="37" t="s">
        <v>1142</v>
      </c>
      <c r="B303">
        <v>1</v>
      </c>
    </row>
    <row r="304" spans="1:2">
      <c r="A304" s="37" t="s">
        <v>1143</v>
      </c>
      <c r="B304">
        <v>3</v>
      </c>
    </row>
    <row r="305" spans="1:2">
      <c r="A305" s="37" t="s">
        <v>1144</v>
      </c>
      <c r="B305">
        <v>1</v>
      </c>
    </row>
    <row r="306" spans="1:2">
      <c r="A306" s="37" t="s">
        <v>1145</v>
      </c>
      <c r="B306">
        <v>1</v>
      </c>
    </row>
    <row r="307" spans="1:2">
      <c r="A307" s="37" t="s">
        <v>1146</v>
      </c>
      <c r="B307">
        <v>1</v>
      </c>
    </row>
    <row r="308" spans="1:2">
      <c r="A308" s="37" t="s">
        <v>1147</v>
      </c>
      <c r="B308">
        <v>2</v>
      </c>
    </row>
    <row r="309" spans="1:2">
      <c r="A309" s="37" t="s">
        <v>1148</v>
      </c>
      <c r="B309">
        <v>1</v>
      </c>
    </row>
    <row r="310" spans="1:2">
      <c r="A310" s="37" t="s">
        <v>1149</v>
      </c>
      <c r="B310">
        <v>1</v>
      </c>
    </row>
    <row r="311" spans="1:2">
      <c r="A311" s="37" t="s">
        <v>1150</v>
      </c>
      <c r="B311">
        <v>2</v>
      </c>
    </row>
    <row r="312" spans="1:2">
      <c r="A312" s="37" t="s">
        <v>1151</v>
      </c>
      <c r="B312">
        <v>1</v>
      </c>
    </row>
    <row r="313" spans="1:2">
      <c r="A313" s="37" t="s">
        <v>1152</v>
      </c>
      <c r="B313">
        <v>2</v>
      </c>
    </row>
    <row r="314" spans="1:2">
      <c r="A314" s="37" t="s">
        <v>1153</v>
      </c>
      <c r="B314">
        <v>4</v>
      </c>
    </row>
    <row r="315" spans="1:2">
      <c r="A315" s="37" t="s">
        <v>1155</v>
      </c>
      <c r="B315">
        <v>1</v>
      </c>
    </row>
    <row r="316" spans="1:2">
      <c r="A316" s="37" t="s">
        <v>1156</v>
      </c>
      <c r="B316">
        <v>1</v>
      </c>
    </row>
    <row r="317" spans="1:2">
      <c r="A317" s="37" t="s">
        <v>1157</v>
      </c>
      <c r="B317">
        <v>10</v>
      </c>
    </row>
    <row r="318" spans="1:2">
      <c r="A318" s="37" t="s">
        <v>1158</v>
      </c>
      <c r="B318">
        <v>1</v>
      </c>
    </row>
    <row r="319" spans="1:2">
      <c r="A319" s="37" t="s">
        <v>1159</v>
      </c>
      <c r="B319">
        <v>2</v>
      </c>
    </row>
    <row r="320" spans="1:2">
      <c r="A320" s="37" t="s">
        <v>1160</v>
      </c>
      <c r="B320">
        <v>1</v>
      </c>
    </row>
    <row r="321" spans="1:2">
      <c r="A321" s="37" t="s">
        <v>1161</v>
      </c>
      <c r="B321">
        <v>1</v>
      </c>
    </row>
    <row r="322" spans="1:2">
      <c r="A322" s="37" t="s">
        <v>1162</v>
      </c>
      <c r="B322">
        <v>1</v>
      </c>
    </row>
    <row r="323" spans="1:2">
      <c r="A323" s="37" t="s">
        <v>1163</v>
      </c>
      <c r="B323">
        <v>1</v>
      </c>
    </row>
    <row r="324" spans="1:2">
      <c r="A324" s="37" t="s">
        <v>1164</v>
      </c>
      <c r="B324">
        <v>1</v>
      </c>
    </row>
    <row r="325" spans="1:2">
      <c r="A325" s="37" t="s">
        <v>1165</v>
      </c>
      <c r="B325">
        <v>1</v>
      </c>
    </row>
    <row r="326" spans="1:2">
      <c r="A326" s="37" t="s">
        <v>1166</v>
      </c>
      <c r="B326">
        <v>1</v>
      </c>
    </row>
    <row r="327" spans="1:2">
      <c r="A327" s="37" t="s">
        <v>1167</v>
      </c>
      <c r="B327">
        <v>6</v>
      </c>
    </row>
    <row r="328" spans="1:2">
      <c r="A328" s="37" t="s">
        <v>1168</v>
      </c>
      <c r="B328">
        <v>1</v>
      </c>
    </row>
    <row r="329" spans="1:2">
      <c r="A329" s="37" t="s">
        <v>1169</v>
      </c>
      <c r="B329">
        <v>2</v>
      </c>
    </row>
    <row r="330" spans="1:2">
      <c r="A330" s="37" t="s">
        <v>1170</v>
      </c>
      <c r="B330">
        <v>1</v>
      </c>
    </row>
    <row r="331" spans="1:2">
      <c r="A331" s="37" t="s">
        <v>1172</v>
      </c>
      <c r="B331">
        <v>1</v>
      </c>
    </row>
    <row r="332" spans="1:2">
      <c r="A332" s="37" t="s">
        <v>1173</v>
      </c>
      <c r="B332">
        <v>1</v>
      </c>
    </row>
    <row r="333" spans="1:2">
      <c r="A333" s="37" t="s">
        <v>1174</v>
      </c>
      <c r="B333">
        <v>2</v>
      </c>
    </row>
    <row r="334" spans="1:2">
      <c r="A334" s="37" t="s">
        <v>1175</v>
      </c>
      <c r="B334">
        <v>1</v>
      </c>
    </row>
    <row r="335" spans="1:2">
      <c r="A335" s="37" t="s">
        <v>1178</v>
      </c>
      <c r="B335">
        <v>1</v>
      </c>
    </row>
    <row r="336" spans="1:2">
      <c r="A336" s="37" t="s">
        <v>1180</v>
      </c>
      <c r="B336">
        <v>2</v>
      </c>
    </row>
    <row r="337" spans="1:2">
      <c r="A337" s="37" t="s">
        <v>1181</v>
      </c>
      <c r="B337">
        <v>2</v>
      </c>
    </row>
    <row r="338" spans="1:2">
      <c r="A338" s="37" t="s">
        <v>1182</v>
      </c>
      <c r="B338">
        <v>1</v>
      </c>
    </row>
    <row r="339" spans="1:2">
      <c r="A339" s="37" t="s">
        <v>1183</v>
      </c>
      <c r="B339">
        <v>2</v>
      </c>
    </row>
    <row r="340" spans="1:2">
      <c r="A340" s="37" t="s">
        <v>1184</v>
      </c>
      <c r="B340">
        <v>2</v>
      </c>
    </row>
    <row r="341" spans="1:2">
      <c r="A341" s="37" t="s">
        <v>1185</v>
      </c>
      <c r="B341">
        <v>1</v>
      </c>
    </row>
    <row r="342" spans="1:2">
      <c r="A342" s="37" t="s">
        <v>1186</v>
      </c>
      <c r="B342">
        <v>1</v>
      </c>
    </row>
    <row r="343" spans="1:2">
      <c r="A343" s="37" t="s">
        <v>1187</v>
      </c>
      <c r="B343">
        <v>1</v>
      </c>
    </row>
    <row r="344" spans="1:2">
      <c r="A344" s="37" t="s">
        <v>1188</v>
      </c>
      <c r="B344">
        <v>8</v>
      </c>
    </row>
    <row r="345" spans="1:2">
      <c r="A345" s="37" t="s">
        <v>1189</v>
      </c>
      <c r="B345">
        <v>1</v>
      </c>
    </row>
    <row r="346" spans="1:2">
      <c r="A346" s="37" t="s">
        <v>1190</v>
      </c>
      <c r="B346">
        <v>1</v>
      </c>
    </row>
    <row r="347" spans="1:2">
      <c r="A347" s="37" t="s">
        <v>1192</v>
      </c>
      <c r="B347">
        <v>4</v>
      </c>
    </row>
    <row r="348" spans="1:2">
      <c r="A348" s="37" t="s">
        <v>1193</v>
      </c>
      <c r="B348">
        <v>1</v>
      </c>
    </row>
    <row r="349" spans="1:2">
      <c r="A349" s="37" t="s">
        <v>1194</v>
      </c>
      <c r="B349">
        <v>1</v>
      </c>
    </row>
    <row r="350" spans="1:2">
      <c r="A350" s="37" t="s">
        <v>1195</v>
      </c>
      <c r="B350">
        <v>1</v>
      </c>
    </row>
    <row r="351" spans="1:2">
      <c r="A351" s="37" t="s">
        <v>1196</v>
      </c>
      <c r="B351">
        <v>1</v>
      </c>
    </row>
    <row r="352" spans="1:2">
      <c r="A352" s="37" t="s">
        <v>1197</v>
      </c>
      <c r="B352">
        <v>2</v>
      </c>
    </row>
    <row r="353" spans="1:2">
      <c r="A353" s="37" t="s">
        <v>1198</v>
      </c>
      <c r="B353">
        <v>1</v>
      </c>
    </row>
    <row r="354" spans="1:2">
      <c r="A354" s="37" t="s">
        <v>1199</v>
      </c>
      <c r="B354">
        <v>2</v>
      </c>
    </row>
    <row r="355" spans="1:2">
      <c r="A355" s="37" t="s">
        <v>1200</v>
      </c>
      <c r="B355">
        <v>1</v>
      </c>
    </row>
    <row r="356" spans="1:2">
      <c r="A356" s="37" t="s">
        <v>1201</v>
      </c>
      <c r="B356">
        <v>1</v>
      </c>
    </row>
    <row r="357" spans="1:2">
      <c r="A357" s="37" t="s">
        <v>1202</v>
      </c>
    </row>
    <row r="358" spans="1:2">
      <c r="A358" s="37" t="s">
        <v>1204</v>
      </c>
    </row>
    <row r="359" spans="1:2">
      <c r="A359" s="37" t="s">
        <v>67</v>
      </c>
      <c r="B359">
        <v>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6ACA-BD9F-4084-B4A2-8F4583ABE878}">
  <dimension ref="A1:E2098"/>
  <sheetViews>
    <sheetView topLeftCell="A55" zoomScale="85" zoomScaleNormal="85" workbookViewId="0">
      <selection activeCell="A70" sqref="A70"/>
    </sheetView>
  </sheetViews>
  <sheetFormatPr baseColWidth="10" defaultRowHeight="13"/>
  <cols>
    <col min="1" max="1" width="57.8984375" bestFit="1" customWidth="1"/>
    <col min="2" max="2" width="20.69921875" style="141" bestFit="1" customWidth="1"/>
    <col min="3" max="4" width="17.69921875" bestFit="1" customWidth="1"/>
    <col min="5" max="5" width="15.09765625" hidden="1" customWidth="1"/>
    <col min="6" max="8" width="13.59765625" bestFit="1" customWidth="1"/>
    <col min="9" max="10" width="11.59765625" bestFit="1" customWidth="1"/>
    <col min="11" max="12" width="12.59765625" bestFit="1" customWidth="1"/>
    <col min="13" max="13" width="6.796875" bestFit="1" customWidth="1"/>
    <col min="14" max="14" width="11.59765625" bestFit="1" customWidth="1"/>
    <col min="15" max="16" width="13.59765625" bestFit="1" customWidth="1"/>
    <col min="17" max="22" width="11.59765625" bestFit="1" customWidth="1"/>
    <col min="23" max="23" width="12.59765625" bestFit="1" customWidth="1"/>
    <col min="24" max="24" width="11.59765625" bestFit="1" customWidth="1"/>
    <col min="25" max="25" width="12.59765625" bestFit="1" customWidth="1"/>
    <col min="26" max="26" width="11.59765625" bestFit="1" customWidth="1"/>
    <col min="27" max="28" width="12.59765625" bestFit="1" customWidth="1"/>
    <col min="29" max="30" width="11.59765625" bestFit="1" customWidth="1"/>
    <col min="31" max="33" width="12.59765625" bestFit="1" customWidth="1"/>
    <col min="34" max="34" width="11.59765625" bestFit="1" customWidth="1"/>
    <col min="35" max="35" width="13.59765625" bestFit="1" customWidth="1"/>
    <col min="36" max="36" width="12.59765625" bestFit="1" customWidth="1"/>
    <col min="37" max="41" width="11.59765625" bestFit="1" customWidth="1"/>
    <col min="42" max="43" width="13.59765625" bestFit="1" customWidth="1"/>
    <col min="44" max="44" width="12.59765625" bestFit="1" customWidth="1"/>
    <col min="45" max="46" width="11.59765625" bestFit="1" customWidth="1"/>
    <col min="47" max="47" width="6.796875" bestFit="1" customWidth="1"/>
    <col min="48" max="48" width="12.59765625" bestFit="1" customWidth="1"/>
    <col min="49" max="49" width="11.59765625" bestFit="1" customWidth="1"/>
    <col min="50" max="53" width="12.59765625" bestFit="1" customWidth="1"/>
    <col min="54" max="55" width="11.59765625" bestFit="1" customWidth="1"/>
    <col min="56" max="56" width="13.59765625" bestFit="1" customWidth="1"/>
    <col min="57" max="57" width="12.59765625" bestFit="1" customWidth="1"/>
    <col min="58" max="59" width="11.59765625" bestFit="1" customWidth="1"/>
    <col min="60" max="63" width="12.59765625" bestFit="1" customWidth="1"/>
    <col min="64" max="64" width="11.59765625" bestFit="1" customWidth="1"/>
    <col min="65" max="65" width="10.09765625" bestFit="1" customWidth="1"/>
    <col min="66" max="67" width="11.59765625" bestFit="1" customWidth="1"/>
    <col min="68" max="68" width="12.59765625" bestFit="1" customWidth="1"/>
    <col min="69" max="69" width="11.59765625" bestFit="1" customWidth="1"/>
    <col min="70" max="70" width="12.59765625" bestFit="1" customWidth="1"/>
    <col min="71" max="72" width="11.59765625" bestFit="1" customWidth="1"/>
    <col min="73" max="73" width="12.59765625" bestFit="1" customWidth="1"/>
    <col min="74" max="76" width="11.59765625" bestFit="1" customWidth="1"/>
    <col min="77" max="77" width="12.59765625" bestFit="1" customWidth="1"/>
    <col min="78" max="78" width="6.796875" bestFit="1" customWidth="1"/>
    <col min="79" max="79" width="11.59765625" bestFit="1" customWidth="1"/>
    <col min="80" max="80" width="10.09765625" bestFit="1" customWidth="1"/>
    <col min="81" max="82" width="12.59765625" bestFit="1" customWidth="1"/>
    <col min="83" max="84" width="11.59765625" bestFit="1" customWidth="1"/>
    <col min="85" max="86" width="12.59765625" bestFit="1" customWidth="1"/>
    <col min="87" max="87" width="6.796875" bestFit="1" customWidth="1"/>
    <col min="88" max="88" width="11.59765625" bestFit="1" customWidth="1"/>
    <col min="89" max="90" width="12.59765625" bestFit="1" customWidth="1"/>
    <col min="91" max="91" width="13.59765625" bestFit="1" customWidth="1"/>
    <col min="92" max="92" width="12.59765625" bestFit="1" customWidth="1"/>
    <col min="93" max="93" width="13.59765625" bestFit="1" customWidth="1"/>
    <col min="94" max="96" width="12.59765625" bestFit="1" customWidth="1"/>
    <col min="97" max="97" width="13.59765625" bestFit="1" customWidth="1"/>
    <col min="98" max="98" width="10.09765625" bestFit="1" customWidth="1"/>
    <col min="99" max="100" width="11.59765625" bestFit="1" customWidth="1"/>
    <col min="101" max="101" width="12.59765625" bestFit="1" customWidth="1"/>
    <col min="102" max="102" width="11.59765625" bestFit="1" customWidth="1"/>
    <col min="103" max="103" width="12.59765625" bestFit="1" customWidth="1"/>
    <col min="104" max="105" width="11.59765625" bestFit="1" customWidth="1"/>
    <col min="106" max="106" width="12.59765625" bestFit="1" customWidth="1"/>
    <col min="107" max="108" width="11.59765625" bestFit="1" customWidth="1"/>
    <col min="109" max="109" width="12.59765625" bestFit="1" customWidth="1"/>
    <col min="110" max="110" width="11.59765625" bestFit="1" customWidth="1"/>
    <col min="111" max="111" width="12.59765625" bestFit="1" customWidth="1"/>
    <col min="112" max="112" width="10.09765625" bestFit="1" customWidth="1"/>
    <col min="113" max="113" width="12.59765625" bestFit="1" customWidth="1"/>
    <col min="114" max="114" width="13.59765625" bestFit="1" customWidth="1"/>
    <col min="115" max="118" width="12.59765625" bestFit="1" customWidth="1"/>
    <col min="119" max="119" width="13.59765625" bestFit="1" customWidth="1"/>
    <col min="120" max="122" width="12.59765625" bestFit="1" customWidth="1"/>
    <col min="123" max="126" width="11.59765625" bestFit="1" customWidth="1"/>
    <col min="127" max="127" width="12.59765625" bestFit="1" customWidth="1"/>
    <col min="128" max="128" width="11.59765625" bestFit="1" customWidth="1"/>
    <col min="129" max="129" width="10.09765625" bestFit="1" customWidth="1"/>
    <col min="130" max="130" width="11.59765625" bestFit="1" customWidth="1"/>
    <col min="131" max="131" width="13.59765625" bestFit="1" customWidth="1"/>
    <col min="132" max="132" width="12.59765625" bestFit="1" customWidth="1"/>
    <col min="133" max="133" width="6.796875" bestFit="1" customWidth="1"/>
    <col min="134" max="136" width="12.59765625" bestFit="1" customWidth="1"/>
    <col min="137" max="137" width="11.59765625" bestFit="1" customWidth="1"/>
    <col min="138" max="138" width="10.09765625" bestFit="1" customWidth="1"/>
    <col min="139" max="139" width="11.59765625" bestFit="1" customWidth="1"/>
    <col min="140" max="140" width="12.59765625" bestFit="1" customWidth="1"/>
    <col min="141" max="143" width="11.59765625" bestFit="1" customWidth="1"/>
    <col min="144" max="144" width="12.59765625" bestFit="1" customWidth="1"/>
    <col min="145" max="145" width="11.59765625" bestFit="1" customWidth="1"/>
    <col min="146" max="147" width="12.59765625" bestFit="1" customWidth="1"/>
    <col min="148" max="149" width="11.59765625" bestFit="1" customWidth="1"/>
    <col min="150" max="152" width="12.59765625" bestFit="1" customWidth="1"/>
    <col min="153" max="153" width="11.59765625" bestFit="1" customWidth="1"/>
    <col min="154" max="154" width="9.09765625" bestFit="1" customWidth="1"/>
    <col min="155" max="156" width="11.59765625" bestFit="1" customWidth="1"/>
    <col min="157" max="159" width="12.59765625" bestFit="1" customWidth="1"/>
    <col min="160" max="160" width="11.59765625" bestFit="1" customWidth="1"/>
    <col min="161" max="161" width="12.59765625" bestFit="1" customWidth="1"/>
    <col min="162" max="162" width="10.09765625" bestFit="1" customWidth="1"/>
    <col min="163" max="165" width="12.59765625" bestFit="1" customWidth="1"/>
    <col min="166" max="166" width="6.796875" bestFit="1" customWidth="1"/>
    <col min="167" max="167" width="13.59765625" bestFit="1" customWidth="1"/>
    <col min="168" max="168" width="10.09765625" bestFit="1" customWidth="1"/>
    <col min="169" max="169" width="11.59765625" bestFit="1" customWidth="1"/>
    <col min="170" max="172" width="12.59765625" bestFit="1" customWidth="1"/>
    <col min="173" max="175" width="11.59765625" bestFit="1" customWidth="1"/>
    <col min="176" max="176" width="13.59765625" bestFit="1" customWidth="1"/>
    <col min="177" max="179" width="11.59765625" bestFit="1" customWidth="1"/>
    <col min="180" max="180" width="13.59765625" bestFit="1" customWidth="1"/>
    <col min="181" max="182" width="11.59765625" bestFit="1" customWidth="1"/>
    <col min="183" max="184" width="12.59765625" bestFit="1" customWidth="1"/>
    <col min="185" max="186" width="11.59765625" bestFit="1" customWidth="1"/>
    <col min="187" max="188" width="12.59765625" bestFit="1" customWidth="1"/>
    <col min="189" max="189" width="11.59765625" bestFit="1" customWidth="1"/>
    <col min="190" max="192" width="12.59765625" bestFit="1" customWidth="1"/>
    <col min="193" max="193" width="11.59765625" bestFit="1" customWidth="1"/>
    <col min="194" max="194" width="12.59765625" bestFit="1" customWidth="1"/>
    <col min="195" max="199" width="11.59765625" bestFit="1" customWidth="1"/>
    <col min="200" max="200" width="13.59765625" bestFit="1" customWidth="1"/>
    <col min="201" max="202" width="12.59765625" bestFit="1" customWidth="1"/>
    <col min="203" max="203" width="13.59765625" bestFit="1" customWidth="1"/>
    <col min="204" max="204" width="12.59765625" bestFit="1" customWidth="1"/>
    <col min="205" max="206" width="11.59765625" bestFit="1" customWidth="1"/>
    <col min="207" max="207" width="13.59765625" bestFit="1" customWidth="1"/>
    <col min="208" max="210" width="12.59765625" bestFit="1" customWidth="1"/>
    <col min="211" max="211" width="10.09765625" bestFit="1" customWidth="1"/>
    <col min="212" max="214" width="11.59765625" bestFit="1" customWidth="1"/>
    <col min="215" max="215" width="12.59765625" bestFit="1" customWidth="1"/>
    <col min="216" max="216" width="11.59765625" bestFit="1" customWidth="1"/>
    <col min="217" max="218" width="12.59765625" bestFit="1" customWidth="1"/>
    <col min="219" max="220" width="11.59765625" bestFit="1" customWidth="1"/>
    <col min="221" max="221" width="12.59765625" bestFit="1" customWidth="1"/>
    <col min="222" max="222" width="11.59765625" bestFit="1" customWidth="1"/>
    <col min="223" max="223" width="12.59765625" bestFit="1" customWidth="1"/>
    <col min="224" max="224" width="11.59765625" bestFit="1" customWidth="1"/>
    <col min="225" max="226" width="12.59765625" bestFit="1" customWidth="1"/>
    <col min="227" max="227" width="6.796875" bestFit="1" customWidth="1"/>
    <col min="228" max="228" width="10.09765625" bestFit="1" customWidth="1"/>
    <col min="229" max="230" width="11.59765625" bestFit="1" customWidth="1"/>
    <col min="231" max="231" width="12.59765625" bestFit="1" customWidth="1"/>
    <col min="232" max="232" width="11.59765625" bestFit="1" customWidth="1"/>
    <col min="233" max="233" width="12.59765625" bestFit="1" customWidth="1"/>
    <col min="234" max="234" width="11.59765625" bestFit="1" customWidth="1"/>
    <col min="235" max="235" width="6.796875" bestFit="1" customWidth="1"/>
    <col min="236" max="236" width="12.59765625" bestFit="1" customWidth="1"/>
    <col min="237" max="239" width="11.59765625" bestFit="1" customWidth="1"/>
    <col min="240" max="240" width="13.59765625" bestFit="1" customWidth="1"/>
    <col min="241" max="241" width="11.59765625" bestFit="1" customWidth="1"/>
    <col min="242" max="242" width="10.09765625" bestFit="1" customWidth="1"/>
    <col min="243" max="244" width="11.59765625" bestFit="1" customWidth="1"/>
    <col min="245" max="245" width="6.796875" bestFit="1" customWidth="1"/>
    <col min="246" max="246" width="9.09765625" bestFit="1" customWidth="1"/>
    <col min="247" max="247" width="11.59765625" bestFit="1" customWidth="1"/>
    <col min="248" max="248" width="12.59765625" bestFit="1" customWidth="1"/>
    <col min="249" max="251" width="11.59765625" bestFit="1" customWidth="1"/>
    <col min="252" max="252" width="12.59765625" bestFit="1" customWidth="1"/>
    <col min="253" max="253" width="13.59765625" bestFit="1" customWidth="1"/>
    <col min="254" max="254" width="12.59765625" bestFit="1" customWidth="1"/>
    <col min="255" max="255" width="10.09765625" bestFit="1" customWidth="1"/>
    <col min="256" max="256" width="12.59765625" bestFit="1" customWidth="1"/>
    <col min="257" max="257" width="11.59765625" bestFit="1" customWidth="1"/>
    <col min="258" max="258" width="12.59765625" bestFit="1" customWidth="1"/>
    <col min="259" max="260" width="11.59765625" bestFit="1" customWidth="1"/>
    <col min="261" max="262" width="13.59765625" bestFit="1" customWidth="1"/>
    <col min="263" max="263" width="11.59765625" bestFit="1" customWidth="1"/>
    <col min="264" max="265" width="12.59765625" bestFit="1" customWidth="1"/>
    <col min="266" max="267" width="13.59765625" bestFit="1" customWidth="1"/>
    <col min="268" max="268" width="10.09765625" bestFit="1" customWidth="1"/>
    <col min="269" max="271" width="12.59765625" bestFit="1" customWidth="1"/>
    <col min="272" max="273" width="11.59765625" bestFit="1" customWidth="1"/>
    <col min="274" max="274" width="10.09765625" bestFit="1" customWidth="1"/>
    <col min="275" max="275" width="12.59765625" bestFit="1" customWidth="1"/>
    <col min="276" max="276" width="11.59765625" bestFit="1" customWidth="1"/>
    <col min="277" max="277" width="6.796875" bestFit="1" customWidth="1"/>
    <col min="278" max="278" width="11.59765625" bestFit="1" customWidth="1"/>
    <col min="279" max="281" width="12.59765625" bestFit="1" customWidth="1"/>
    <col min="282" max="282" width="10.09765625" bestFit="1" customWidth="1"/>
    <col min="283" max="285" width="11.59765625" bestFit="1" customWidth="1"/>
    <col min="286" max="286" width="13.59765625" bestFit="1" customWidth="1"/>
    <col min="287" max="287" width="11.59765625" bestFit="1" customWidth="1"/>
    <col min="288" max="288" width="13.59765625" bestFit="1" customWidth="1"/>
    <col min="289" max="290" width="12.59765625" bestFit="1" customWidth="1"/>
    <col min="291" max="291" width="10.09765625" bestFit="1" customWidth="1"/>
    <col min="292" max="294" width="12.59765625" bestFit="1" customWidth="1"/>
    <col min="295" max="298" width="11.59765625" bestFit="1" customWidth="1"/>
    <col min="299" max="299" width="12.59765625" bestFit="1" customWidth="1"/>
    <col min="300" max="300" width="13.59765625" bestFit="1" customWidth="1"/>
    <col min="301" max="301" width="11.59765625" bestFit="1" customWidth="1"/>
    <col min="302" max="302" width="12.59765625" bestFit="1" customWidth="1"/>
    <col min="303" max="303" width="10.09765625" bestFit="1" customWidth="1"/>
    <col min="304" max="304" width="13.59765625" bestFit="1" customWidth="1"/>
    <col min="305" max="306" width="12.59765625" bestFit="1" customWidth="1"/>
    <col min="307" max="307" width="13.59765625" bestFit="1" customWidth="1"/>
    <col min="308" max="309" width="12.59765625" bestFit="1" customWidth="1"/>
    <col min="310" max="310" width="11.59765625" bestFit="1" customWidth="1"/>
    <col min="311" max="311" width="16.19921875" bestFit="1" customWidth="1"/>
    <col min="312" max="317" width="12.59765625" bestFit="1" customWidth="1"/>
    <col min="318" max="319" width="11.59765625" bestFit="1" customWidth="1"/>
    <col min="320" max="321" width="12.59765625" bestFit="1" customWidth="1"/>
    <col min="322" max="322" width="10.296875" bestFit="1" customWidth="1"/>
    <col min="323" max="323" width="11.59765625" bestFit="1" customWidth="1"/>
    <col min="324" max="329" width="12.59765625" bestFit="1" customWidth="1"/>
    <col min="330" max="330" width="10.296875" bestFit="1" customWidth="1"/>
    <col min="331" max="331" width="11.59765625" bestFit="1" customWidth="1"/>
    <col min="332" max="333" width="13.59765625" bestFit="1" customWidth="1"/>
    <col min="334" max="334" width="10.296875" bestFit="1" customWidth="1"/>
    <col min="335" max="337" width="11.59765625" bestFit="1" customWidth="1"/>
    <col min="338" max="343" width="12.59765625" bestFit="1" customWidth="1"/>
    <col min="344" max="349" width="11.59765625" bestFit="1" customWidth="1"/>
    <col min="350" max="351" width="13.59765625" bestFit="1" customWidth="1"/>
    <col min="352" max="357" width="11.59765625" bestFit="1" customWidth="1"/>
    <col min="358" max="359" width="13.59765625" bestFit="1" customWidth="1"/>
    <col min="360" max="363" width="11.59765625" bestFit="1" customWidth="1"/>
    <col min="364" max="367" width="12.59765625" bestFit="1" customWidth="1"/>
    <col min="368" max="371" width="11.59765625" bestFit="1" customWidth="1"/>
    <col min="372" max="375" width="12.59765625" bestFit="1" customWidth="1"/>
    <col min="376" max="377" width="11.59765625" bestFit="1" customWidth="1"/>
    <col min="378" max="383" width="12.59765625" bestFit="1" customWidth="1"/>
    <col min="384" max="385" width="11.59765625" bestFit="1" customWidth="1"/>
    <col min="386" max="387" width="12.59765625" bestFit="1" customWidth="1"/>
    <col min="388" max="397" width="11.59765625" bestFit="1" customWidth="1"/>
    <col min="398" max="399" width="13.59765625" bestFit="1" customWidth="1"/>
    <col min="400" max="403" width="12.59765625" bestFit="1" customWidth="1"/>
    <col min="404" max="405" width="13.59765625" bestFit="1" customWidth="1"/>
    <col min="406" max="407" width="12.59765625" bestFit="1" customWidth="1"/>
    <col min="408" max="411" width="11.59765625" bestFit="1" customWidth="1"/>
    <col min="412" max="413" width="13.59765625" bestFit="1" customWidth="1"/>
    <col min="414" max="419" width="12.59765625" bestFit="1" customWidth="1"/>
    <col min="420" max="420" width="10.296875" bestFit="1" customWidth="1"/>
    <col min="421" max="427" width="11.59765625" bestFit="1" customWidth="1"/>
    <col min="428" max="429" width="12.59765625" bestFit="1" customWidth="1"/>
    <col min="430" max="431" width="11.59765625" bestFit="1" customWidth="1"/>
    <col min="432" max="435" width="12.59765625" bestFit="1" customWidth="1"/>
    <col min="436" max="439" width="11.59765625" bestFit="1" customWidth="1"/>
    <col min="440" max="441" width="12.59765625" bestFit="1" customWidth="1"/>
    <col min="442" max="443" width="11.59765625" bestFit="1" customWidth="1"/>
    <col min="444" max="445" width="12.59765625" bestFit="1" customWidth="1"/>
    <col min="446" max="447" width="11.59765625" bestFit="1" customWidth="1"/>
    <col min="448" max="451" width="12.59765625" bestFit="1" customWidth="1"/>
    <col min="452" max="452" width="10.296875" bestFit="1" customWidth="1"/>
    <col min="453" max="453" width="11.59765625" bestFit="1" customWidth="1"/>
    <col min="454" max="454" width="10.296875" bestFit="1" customWidth="1"/>
    <col min="455" max="459" width="11.59765625" bestFit="1" customWidth="1"/>
    <col min="460" max="461" width="12.59765625" bestFit="1" customWidth="1"/>
    <col min="462" max="463" width="11.59765625" bestFit="1" customWidth="1"/>
    <col min="464" max="465" width="12.59765625" bestFit="1" customWidth="1"/>
    <col min="466" max="467" width="11.59765625" bestFit="1" customWidth="1"/>
    <col min="468" max="468" width="10.296875" bestFit="1" customWidth="1"/>
    <col min="469" max="469" width="11.59765625" bestFit="1" customWidth="1"/>
    <col min="470" max="471" width="12.59765625" bestFit="1" customWidth="1"/>
    <col min="472" max="477" width="11.59765625" bestFit="1" customWidth="1"/>
    <col min="478" max="479" width="13.59765625" bestFit="1" customWidth="1"/>
    <col min="480" max="481" width="11.59765625" bestFit="1" customWidth="1"/>
    <col min="482" max="482" width="10.296875" bestFit="1" customWidth="1"/>
    <col min="483" max="487" width="11.59765625" bestFit="1" customWidth="1"/>
    <col min="488" max="488" width="10.296875" bestFit="1" customWidth="1"/>
    <col min="489" max="489" width="11.59765625" bestFit="1" customWidth="1"/>
    <col min="490" max="490" width="10.296875" bestFit="1" customWidth="1"/>
    <col min="491" max="493" width="11.59765625" bestFit="1" customWidth="1"/>
    <col min="494" max="495" width="12.59765625" bestFit="1" customWidth="1"/>
    <col min="496" max="501" width="11.59765625" bestFit="1" customWidth="1"/>
    <col min="502" max="503" width="12.59765625" bestFit="1" customWidth="1"/>
    <col min="504" max="505" width="13.59765625" bestFit="1" customWidth="1"/>
    <col min="506" max="507" width="12.59765625" bestFit="1" customWidth="1"/>
    <col min="508" max="508" width="10.296875" bestFit="1" customWidth="1"/>
    <col min="509" max="509" width="11.59765625" bestFit="1" customWidth="1"/>
    <col min="510" max="511" width="12.59765625" bestFit="1" customWidth="1"/>
    <col min="512" max="513" width="11.59765625" bestFit="1" customWidth="1"/>
    <col min="514" max="515" width="12.59765625" bestFit="1" customWidth="1"/>
    <col min="516" max="519" width="11.59765625" bestFit="1" customWidth="1"/>
    <col min="520" max="523" width="13.59765625" bestFit="1" customWidth="1"/>
    <col min="524" max="525" width="11.59765625" bestFit="1" customWidth="1"/>
    <col min="526" max="529" width="12.59765625" bestFit="1" customWidth="1"/>
    <col min="530" max="533" width="13.59765625" bestFit="1" customWidth="1"/>
    <col min="534" max="534" width="10.296875" bestFit="1" customWidth="1"/>
    <col min="535" max="535" width="11.59765625" bestFit="1" customWidth="1"/>
    <col min="536" max="541" width="12.59765625" bestFit="1" customWidth="1"/>
    <col min="542" max="545" width="11.59765625" bestFit="1" customWidth="1"/>
    <col min="546" max="546" width="10.296875" bestFit="1" customWidth="1"/>
    <col min="547" max="547" width="11.59765625" bestFit="1" customWidth="1"/>
    <col min="548" max="549" width="12.59765625" bestFit="1" customWidth="1"/>
    <col min="550" max="551" width="11.59765625" bestFit="1" customWidth="1"/>
    <col min="552" max="552" width="10.296875" bestFit="1" customWidth="1"/>
    <col min="553" max="555" width="11.59765625" bestFit="1" customWidth="1"/>
    <col min="556" max="561" width="12.59765625" bestFit="1" customWidth="1"/>
    <col min="562" max="562" width="10.296875" bestFit="1" customWidth="1"/>
    <col min="563" max="569" width="11.59765625" bestFit="1" customWidth="1"/>
    <col min="570" max="571" width="13.59765625" bestFit="1" customWidth="1"/>
    <col min="572" max="573" width="11.59765625" bestFit="1" customWidth="1"/>
    <col min="574" max="575" width="13.59765625" bestFit="1" customWidth="1"/>
    <col min="576" max="579" width="12.59765625" bestFit="1" customWidth="1"/>
    <col min="580" max="580" width="10.296875" bestFit="1" customWidth="1"/>
    <col min="581" max="581" width="11.59765625" bestFit="1" customWidth="1"/>
    <col min="582" max="587" width="12.59765625" bestFit="1" customWidth="1"/>
    <col min="588" max="595" width="11.59765625" bestFit="1" customWidth="1"/>
    <col min="596" max="597" width="12.59765625" bestFit="1" customWidth="1"/>
    <col min="598" max="599" width="13.59765625" bestFit="1" customWidth="1"/>
    <col min="600" max="601" width="11.59765625" bestFit="1" customWidth="1"/>
    <col min="602" max="603" width="12.59765625" bestFit="1" customWidth="1"/>
    <col min="604" max="604" width="10.296875" bestFit="1" customWidth="1"/>
    <col min="605" max="605" width="11.59765625" bestFit="1" customWidth="1"/>
    <col min="606" max="607" width="13.59765625" bestFit="1" customWidth="1"/>
    <col min="608" max="611" width="12.59765625" bestFit="1" customWidth="1"/>
    <col min="612" max="613" width="13.59765625" bestFit="1" customWidth="1"/>
    <col min="614" max="617" width="12.59765625" bestFit="1" customWidth="1"/>
    <col min="618" max="619" width="11.59765625" bestFit="1" customWidth="1"/>
    <col min="620" max="620" width="16.19921875" bestFit="1" customWidth="1"/>
  </cols>
  <sheetData>
    <row r="1" spans="1:3">
      <c r="B1"/>
    </row>
    <row r="3" spans="1:3">
      <c r="A3" s="74" t="s">
        <v>0</v>
      </c>
      <c r="B3" t="s">
        <v>1852</v>
      </c>
      <c r="C3" t="s">
        <v>753</v>
      </c>
    </row>
    <row r="4" spans="1:3">
      <c r="A4" s="37" t="s">
        <v>109</v>
      </c>
      <c r="B4" s="121">
        <v>11711</v>
      </c>
      <c r="C4" s="121">
        <v>251681500</v>
      </c>
    </row>
    <row r="5" spans="1:3">
      <c r="A5" s="119" t="s">
        <v>751</v>
      </c>
      <c r="B5" s="121">
        <v>75</v>
      </c>
      <c r="C5" s="121">
        <v>0</v>
      </c>
    </row>
    <row r="6" spans="1:3">
      <c r="A6" s="120" t="s">
        <v>804</v>
      </c>
      <c r="B6" s="121">
        <v>75</v>
      </c>
      <c r="C6" s="121">
        <v>0</v>
      </c>
    </row>
    <row r="7" spans="1:3">
      <c r="A7" s="201" t="s">
        <v>113</v>
      </c>
      <c r="B7" s="121">
        <v>75</v>
      </c>
      <c r="C7" s="121">
        <v>0</v>
      </c>
    </row>
    <row r="8" spans="1:3">
      <c r="A8" s="119" t="s">
        <v>114</v>
      </c>
      <c r="B8" s="121">
        <v>200</v>
      </c>
      <c r="C8" s="121">
        <v>0</v>
      </c>
    </row>
    <row r="9" spans="1:3">
      <c r="A9" s="120" t="s">
        <v>952</v>
      </c>
      <c r="B9" s="121">
        <v>200</v>
      </c>
      <c r="C9" s="121">
        <v>0</v>
      </c>
    </row>
    <row r="10" spans="1:3">
      <c r="A10" s="201" t="s">
        <v>929</v>
      </c>
      <c r="B10" s="121">
        <v>100</v>
      </c>
      <c r="C10" s="121">
        <v>0</v>
      </c>
    </row>
    <row r="11" spans="1:3">
      <c r="A11" s="201" t="s">
        <v>779</v>
      </c>
      <c r="B11" s="121">
        <v>100</v>
      </c>
      <c r="C11" s="121">
        <v>0</v>
      </c>
    </row>
    <row r="12" spans="1:3">
      <c r="A12" s="119" t="s">
        <v>146</v>
      </c>
      <c r="B12" s="121">
        <v>450</v>
      </c>
      <c r="C12" s="121">
        <v>78080000</v>
      </c>
    </row>
    <row r="13" spans="1:3">
      <c r="A13" s="120" t="s">
        <v>812</v>
      </c>
      <c r="B13" s="121">
        <v>450</v>
      </c>
      <c r="C13" s="121">
        <v>78080000</v>
      </c>
    </row>
    <row r="14" spans="1:3">
      <c r="A14" s="201" t="s">
        <v>778</v>
      </c>
      <c r="B14" s="121">
        <v>450</v>
      </c>
      <c r="C14" s="121">
        <v>78080000</v>
      </c>
    </row>
    <row r="15" spans="1:3">
      <c r="A15" s="119" t="s">
        <v>762</v>
      </c>
      <c r="B15" s="121">
        <v>10175</v>
      </c>
      <c r="C15" s="121">
        <v>123105500</v>
      </c>
    </row>
    <row r="16" spans="1:3">
      <c r="A16" s="120" t="s">
        <v>928</v>
      </c>
      <c r="B16" s="121">
        <v>200</v>
      </c>
      <c r="C16" s="121">
        <v>0</v>
      </c>
    </row>
    <row r="17" spans="1:3">
      <c r="A17" s="201" t="s">
        <v>112</v>
      </c>
      <c r="B17" s="121">
        <v>200</v>
      </c>
      <c r="C17" s="121">
        <v>0</v>
      </c>
    </row>
    <row r="18" spans="1:3">
      <c r="A18" s="120" t="s">
        <v>1031</v>
      </c>
      <c r="B18" s="121">
        <v>4975</v>
      </c>
      <c r="C18" s="121">
        <v>62605500</v>
      </c>
    </row>
    <row r="19" spans="1:3">
      <c r="A19" s="201" t="s">
        <v>494</v>
      </c>
      <c r="B19" s="121">
        <v>4975</v>
      </c>
      <c r="C19" s="121">
        <v>62605500</v>
      </c>
    </row>
    <row r="20" spans="1:3">
      <c r="A20" s="120" t="s">
        <v>1033</v>
      </c>
      <c r="B20" s="121">
        <v>5000</v>
      </c>
      <c r="C20" s="121">
        <v>60500000</v>
      </c>
    </row>
    <row r="21" spans="1:3">
      <c r="A21" s="201" t="s">
        <v>494</v>
      </c>
      <c r="B21" s="121">
        <v>5000</v>
      </c>
      <c r="C21" s="121">
        <v>60500000</v>
      </c>
    </row>
    <row r="22" spans="1:3">
      <c r="A22" s="119" t="s">
        <v>784</v>
      </c>
      <c r="B22" s="121">
        <v>75</v>
      </c>
      <c r="C22" s="121">
        <v>0</v>
      </c>
    </row>
    <row r="23" spans="1:3">
      <c r="A23" s="120" t="s">
        <v>945</v>
      </c>
      <c r="B23" s="121">
        <v>75</v>
      </c>
      <c r="C23" s="121">
        <v>0</v>
      </c>
    </row>
    <row r="24" spans="1:3">
      <c r="A24" s="201" t="s">
        <v>778</v>
      </c>
      <c r="B24" s="121">
        <v>75</v>
      </c>
      <c r="C24" s="121">
        <v>0</v>
      </c>
    </row>
    <row r="25" spans="1:3">
      <c r="A25" s="119" t="s">
        <v>64</v>
      </c>
      <c r="B25" s="121">
        <v>225</v>
      </c>
      <c r="C25" s="121">
        <v>40500000</v>
      </c>
    </row>
    <row r="26" spans="1:3">
      <c r="A26" s="120" t="s">
        <v>817</v>
      </c>
      <c r="B26" s="121">
        <v>225</v>
      </c>
      <c r="C26" s="121">
        <v>40500000</v>
      </c>
    </row>
    <row r="27" spans="1:3">
      <c r="A27" s="201" t="s">
        <v>778</v>
      </c>
      <c r="B27" s="121">
        <v>225</v>
      </c>
      <c r="C27" s="121">
        <v>40500000</v>
      </c>
    </row>
    <row r="28" spans="1:3">
      <c r="A28" s="119" t="s">
        <v>902</v>
      </c>
      <c r="B28" s="121">
        <v>500</v>
      </c>
      <c r="C28" s="121">
        <v>9996000</v>
      </c>
    </row>
    <row r="29" spans="1:3">
      <c r="A29" s="120" t="s">
        <v>1052</v>
      </c>
      <c r="B29" s="121">
        <v>500</v>
      </c>
      <c r="C29" s="121">
        <v>9996000</v>
      </c>
    </row>
    <row r="30" spans="1:3">
      <c r="A30" s="201" t="s">
        <v>494</v>
      </c>
      <c r="B30" s="121">
        <v>500</v>
      </c>
      <c r="C30" s="121">
        <v>9996000</v>
      </c>
    </row>
    <row r="31" spans="1:3">
      <c r="A31" s="119" t="s">
        <v>160</v>
      </c>
      <c r="B31" s="121">
        <v>11</v>
      </c>
      <c r="C31" s="121">
        <v>0</v>
      </c>
    </row>
    <row r="32" spans="1:3">
      <c r="A32" s="120" t="s">
        <v>1000</v>
      </c>
      <c r="B32" s="121">
        <v>11</v>
      </c>
      <c r="C32" s="121">
        <v>0</v>
      </c>
    </row>
    <row r="33" spans="1:3">
      <c r="A33" s="201" t="s">
        <v>230</v>
      </c>
      <c r="B33" s="121">
        <v>11</v>
      </c>
      <c r="C33" s="121">
        <v>0</v>
      </c>
    </row>
    <row r="34" spans="1:3">
      <c r="A34" s="37" t="s">
        <v>728</v>
      </c>
      <c r="B34" s="121">
        <v>2878</v>
      </c>
      <c r="C34" s="121">
        <v>205509600</v>
      </c>
    </row>
    <row r="35" spans="1:3">
      <c r="A35" s="119" t="s">
        <v>6</v>
      </c>
      <c r="B35" s="121">
        <v>1450</v>
      </c>
      <c r="C35" s="121">
        <v>29855000</v>
      </c>
    </row>
    <row r="36" spans="1:3">
      <c r="A36" s="120" t="s">
        <v>935</v>
      </c>
      <c r="B36" s="121">
        <v>1450</v>
      </c>
      <c r="C36" s="121">
        <v>29855000</v>
      </c>
    </row>
    <row r="37" spans="1:3">
      <c r="A37" s="201" t="s">
        <v>795</v>
      </c>
      <c r="B37" s="121">
        <v>1200</v>
      </c>
      <c r="C37" s="121">
        <v>18840000</v>
      </c>
    </row>
    <row r="38" spans="1:3">
      <c r="A38" s="201" t="s">
        <v>111</v>
      </c>
      <c r="B38" s="121">
        <v>150</v>
      </c>
      <c r="C38" s="121">
        <v>3825000</v>
      </c>
    </row>
    <row r="39" spans="1:3">
      <c r="A39" s="201" t="s">
        <v>151</v>
      </c>
      <c r="B39" s="121">
        <v>100</v>
      </c>
      <c r="C39" s="121">
        <v>7190000</v>
      </c>
    </row>
    <row r="40" spans="1:3">
      <c r="A40" s="119" t="s">
        <v>791</v>
      </c>
      <c r="B40" s="121">
        <v>75</v>
      </c>
      <c r="C40" s="121">
        <v>4200000</v>
      </c>
    </row>
    <row r="41" spans="1:3">
      <c r="A41" s="120" t="s">
        <v>903</v>
      </c>
      <c r="B41" s="121">
        <v>75</v>
      </c>
      <c r="C41" s="121">
        <v>4200000</v>
      </c>
    </row>
    <row r="42" spans="1:3">
      <c r="A42" s="201" t="s">
        <v>158</v>
      </c>
      <c r="B42" s="121">
        <v>75</v>
      </c>
      <c r="C42" s="121">
        <v>4200000</v>
      </c>
    </row>
    <row r="43" spans="1:3">
      <c r="A43" s="119" t="s">
        <v>383</v>
      </c>
      <c r="B43" s="121">
        <v>750</v>
      </c>
      <c r="C43" s="121">
        <v>45750000</v>
      </c>
    </row>
    <row r="44" spans="1:3">
      <c r="A44" s="120" t="s">
        <v>1097</v>
      </c>
      <c r="B44" s="121">
        <v>750</v>
      </c>
      <c r="C44" s="121">
        <v>45750000</v>
      </c>
    </row>
    <row r="45" spans="1:3">
      <c r="A45" s="201" t="s">
        <v>795</v>
      </c>
      <c r="B45" s="121">
        <v>200</v>
      </c>
      <c r="C45" s="121">
        <v>3680000</v>
      </c>
    </row>
    <row r="46" spans="1:3">
      <c r="A46" s="201" t="s">
        <v>171</v>
      </c>
      <c r="B46" s="121">
        <v>350</v>
      </c>
      <c r="C46" s="121">
        <v>18900000</v>
      </c>
    </row>
    <row r="47" spans="1:3">
      <c r="A47" s="201" t="s">
        <v>767</v>
      </c>
      <c r="B47" s="121">
        <v>200</v>
      </c>
      <c r="C47" s="121">
        <v>23170000</v>
      </c>
    </row>
    <row r="48" spans="1:3">
      <c r="A48" s="119" t="s">
        <v>831</v>
      </c>
      <c r="B48" s="121">
        <v>94</v>
      </c>
      <c r="C48" s="121">
        <v>6646600</v>
      </c>
    </row>
    <row r="49" spans="1:3">
      <c r="A49" s="120" t="s">
        <v>871</v>
      </c>
      <c r="B49" s="121">
        <v>11</v>
      </c>
      <c r="C49" s="121">
        <v>1650000</v>
      </c>
    </row>
    <row r="50" spans="1:3">
      <c r="A50" s="201" t="s">
        <v>766</v>
      </c>
      <c r="B50" s="121">
        <v>11</v>
      </c>
      <c r="C50" s="121">
        <v>1650000</v>
      </c>
    </row>
    <row r="51" spans="1:3">
      <c r="A51" s="120" t="s">
        <v>1165</v>
      </c>
      <c r="B51" s="121">
        <v>83</v>
      </c>
      <c r="C51" s="121">
        <v>4996600</v>
      </c>
    </row>
    <row r="52" spans="1:3">
      <c r="A52" s="201" t="s">
        <v>188</v>
      </c>
      <c r="B52" s="121">
        <v>83</v>
      </c>
      <c r="C52" s="121">
        <v>4996600</v>
      </c>
    </row>
    <row r="53" spans="1:3">
      <c r="A53" s="119" t="s">
        <v>393</v>
      </c>
      <c r="B53" s="121">
        <v>509</v>
      </c>
      <c r="C53" s="121">
        <v>119058000</v>
      </c>
    </row>
    <row r="54" spans="1:3">
      <c r="A54" s="120" t="s">
        <v>855</v>
      </c>
      <c r="B54" s="121">
        <v>509</v>
      </c>
      <c r="C54" s="121">
        <v>119058000</v>
      </c>
    </row>
    <row r="55" spans="1:3">
      <c r="A55" s="201" t="s">
        <v>764</v>
      </c>
      <c r="B55" s="121">
        <v>500</v>
      </c>
      <c r="C55" s="121">
        <v>118500000</v>
      </c>
    </row>
    <row r="56" spans="1:3">
      <c r="A56" s="201" t="s">
        <v>188</v>
      </c>
      <c r="B56" s="121">
        <v>9</v>
      </c>
      <c r="C56" s="121">
        <v>558000</v>
      </c>
    </row>
    <row r="57" spans="1:3">
      <c r="A57" s="37" t="s">
        <v>117</v>
      </c>
      <c r="B57" s="121">
        <v>29284</v>
      </c>
      <c r="C57" s="121">
        <v>1386135200</v>
      </c>
    </row>
    <row r="58" spans="1:3">
      <c r="A58" s="119" t="s">
        <v>6</v>
      </c>
      <c r="B58" s="121">
        <v>50</v>
      </c>
      <c r="C58" s="121">
        <v>10750000</v>
      </c>
    </row>
    <row r="59" spans="1:3">
      <c r="A59" s="120" t="s">
        <v>935</v>
      </c>
      <c r="B59" s="121">
        <v>50</v>
      </c>
      <c r="C59" s="121">
        <v>10750000</v>
      </c>
    </row>
    <row r="60" spans="1:3">
      <c r="A60" s="201" t="s">
        <v>778</v>
      </c>
      <c r="B60" s="121">
        <v>50</v>
      </c>
      <c r="C60" s="121">
        <v>10750000</v>
      </c>
    </row>
    <row r="61" spans="1:3">
      <c r="A61" s="119" t="s">
        <v>378</v>
      </c>
      <c r="B61" s="121">
        <v>500</v>
      </c>
      <c r="C61" s="121">
        <v>107000000</v>
      </c>
    </row>
    <row r="62" spans="1:3">
      <c r="A62" s="120" t="s">
        <v>938</v>
      </c>
      <c r="B62" s="121">
        <v>500</v>
      </c>
      <c r="C62" s="121">
        <v>107000000</v>
      </c>
    </row>
    <row r="63" spans="1:3">
      <c r="A63" s="201" t="s">
        <v>778</v>
      </c>
      <c r="B63" s="121">
        <v>500</v>
      </c>
      <c r="C63" s="121">
        <v>107000000</v>
      </c>
    </row>
    <row r="64" spans="1:3">
      <c r="A64" s="119" t="s">
        <v>219</v>
      </c>
      <c r="B64" s="121">
        <v>50</v>
      </c>
      <c r="C64" s="121">
        <v>10500000</v>
      </c>
    </row>
    <row r="65" spans="1:4">
      <c r="A65" s="120" t="s">
        <v>1047</v>
      </c>
      <c r="B65" s="121">
        <v>50</v>
      </c>
      <c r="C65" s="121">
        <v>10500000</v>
      </c>
    </row>
    <row r="66" spans="1:4">
      <c r="A66" s="201" t="s">
        <v>778</v>
      </c>
      <c r="B66" s="121">
        <v>50</v>
      </c>
      <c r="C66" s="121">
        <v>10500000</v>
      </c>
    </row>
    <row r="67" spans="1:4">
      <c r="A67" s="119" t="s">
        <v>376</v>
      </c>
      <c r="B67" s="121">
        <v>150</v>
      </c>
      <c r="C67" s="121">
        <v>15300000</v>
      </c>
    </row>
    <row r="68" spans="1:4">
      <c r="A68" s="120" t="s">
        <v>979</v>
      </c>
      <c r="B68" s="121">
        <v>100</v>
      </c>
      <c r="C68" s="121">
        <v>5300000</v>
      </c>
    </row>
    <row r="69" spans="1:4">
      <c r="A69" s="201" t="s">
        <v>980</v>
      </c>
      <c r="B69" s="121">
        <v>100</v>
      </c>
      <c r="C69" s="121">
        <v>5300000</v>
      </c>
    </row>
    <row r="70" spans="1:4">
      <c r="A70" s="120" t="s">
        <v>981</v>
      </c>
      <c r="B70" s="121">
        <v>50</v>
      </c>
      <c r="C70" s="121">
        <v>10000000</v>
      </c>
    </row>
    <row r="71" spans="1:4">
      <c r="A71" s="201" t="s">
        <v>789</v>
      </c>
      <c r="B71" s="121">
        <v>50</v>
      </c>
      <c r="C71" s="121">
        <v>10000000</v>
      </c>
    </row>
    <row r="72" spans="1:4">
      <c r="A72" s="119" t="s">
        <v>45</v>
      </c>
      <c r="B72" s="121">
        <v>4</v>
      </c>
      <c r="C72" s="121">
        <v>843200</v>
      </c>
    </row>
    <row r="73" spans="1:4">
      <c r="A73" s="120" t="s">
        <v>1143</v>
      </c>
      <c r="B73" s="121">
        <v>4</v>
      </c>
      <c r="C73" s="121">
        <v>843200</v>
      </c>
    </row>
    <row r="74" spans="1:4" s="163" customFormat="1">
      <c r="A74" s="201" t="s">
        <v>1027</v>
      </c>
      <c r="B74" s="121">
        <v>4</v>
      </c>
      <c r="C74" s="121">
        <v>843200</v>
      </c>
      <c r="D74"/>
    </row>
    <row r="75" spans="1:4">
      <c r="A75" s="119" t="s">
        <v>52</v>
      </c>
      <c r="B75" s="121">
        <v>16500</v>
      </c>
      <c r="C75" s="121">
        <v>631750000</v>
      </c>
    </row>
    <row r="76" spans="1:4">
      <c r="A76" s="120" t="s">
        <v>878</v>
      </c>
      <c r="B76" s="121">
        <v>1000</v>
      </c>
      <c r="C76" s="121">
        <v>70000000</v>
      </c>
    </row>
    <row r="77" spans="1:4">
      <c r="A77" s="201" t="s">
        <v>136</v>
      </c>
      <c r="B77" s="121">
        <v>1000</v>
      </c>
      <c r="C77" s="121">
        <v>70000000</v>
      </c>
    </row>
    <row r="78" spans="1:4">
      <c r="A78" s="120" t="s">
        <v>894</v>
      </c>
      <c r="B78" s="121">
        <v>15000</v>
      </c>
      <c r="C78" s="121">
        <v>525000000</v>
      </c>
    </row>
    <row r="79" spans="1:4">
      <c r="A79" s="201" t="s">
        <v>679</v>
      </c>
      <c r="B79" s="121">
        <v>15000</v>
      </c>
      <c r="C79" s="121">
        <v>525000000</v>
      </c>
    </row>
    <row r="80" spans="1:4">
      <c r="A80" s="120" t="s">
        <v>1006</v>
      </c>
      <c r="B80" s="121">
        <v>500</v>
      </c>
      <c r="C80" s="121">
        <v>36750000</v>
      </c>
    </row>
    <row r="81" spans="1:3">
      <c r="A81" s="201" t="s">
        <v>136</v>
      </c>
      <c r="B81" s="121">
        <v>500</v>
      </c>
      <c r="C81" s="121">
        <v>36750000</v>
      </c>
    </row>
    <row r="82" spans="1:3">
      <c r="A82" s="119" t="s">
        <v>394</v>
      </c>
      <c r="B82" s="121">
        <v>30</v>
      </c>
      <c r="C82" s="121">
        <v>1620000</v>
      </c>
    </row>
    <row r="83" spans="1:3">
      <c r="A83" s="120" t="s">
        <v>1184</v>
      </c>
      <c r="B83" s="121">
        <v>30</v>
      </c>
      <c r="C83" s="121">
        <v>1620000</v>
      </c>
    </row>
    <row r="84" spans="1:3">
      <c r="A84" s="201" t="s">
        <v>1085</v>
      </c>
      <c r="B84" s="121">
        <v>30</v>
      </c>
      <c r="C84" s="121">
        <v>1620000</v>
      </c>
    </row>
    <row r="85" spans="1:3">
      <c r="A85" s="119" t="s">
        <v>762</v>
      </c>
      <c r="B85" s="121">
        <v>11310</v>
      </c>
      <c r="C85" s="121">
        <v>530072000</v>
      </c>
    </row>
    <row r="86" spans="1:3">
      <c r="A86" s="120" t="s">
        <v>928</v>
      </c>
      <c r="B86" s="121">
        <v>50</v>
      </c>
      <c r="C86" s="121">
        <v>22000000</v>
      </c>
    </row>
    <row r="87" spans="1:3">
      <c r="A87" s="201" t="s">
        <v>930</v>
      </c>
      <c r="B87" s="121">
        <v>50</v>
      </c>
      <c r="C87" s="121">
        <v>22000000</v>
      </c>
    </row>
    <row r="88" spans="1:3">
      <c r="A88" s="120" t="s">
        <v>998</v>
      </c>
      <c r="B88" s="121">
        <v>1575</v>
      </c>
      <c r="C88" s="121">
        <v>273582500</v>
      </c>
    </row>
    <row r="89" spans="1:3">
      <c r="A89" s="201" t="s">
        <v>930</v>
      </c>
      <c r="B89" s="121">
        <v>500</v>
      </c>
      <c r="C89" s="121">
        <v>220000000</v>
      </c>
    </row>
    <row r="90" spans="1:3">
      <c r="A90" s="201" t="s">
        <v>136</v>
      </c>
      <c r="B90" s="121">
        <v>1075</v>
      </c>
      <c r="C90" s="121">
        <v>53582500</v>
      </c>
    </row>
    <row r="91" spans="1:3">
      <c r="A91" s="120" t="s">
        <v>1031</v>
      </c>
      <c r="B91" s="121">
        <v>2725</v>
      </c>
      <c r="C91" s="121">
        <v>32972500</v>
      </c>
    </row>
    <row r="92" spans="1:3">
      <c r="A92" s="201" t="s">
        <v>494</v>
      </c>
      <c r="B92" s="121">
        <v>2725</v>
      </c>
      <c r="C92" s="121">
        <v>32972500</v>
      </c>
    </row>
    <row r="93" spans="1:3">
      <c r="A93" s="120" t="s">
        <v>1057</v>
      </c>
      <c r="B93" s="121">
        <v>1200</v>
      </c>
      <c r="C93" s="121">
        <v>55800000</v>
      </c>
    </row>
    <row r="94" spans="1:3" hidden="1">
      <c r="A94" s="201" t="s">
        <v>112</v>
      </c>
      <c r="B94" s="121">
        <v>1200</v>
      </c>
      <c r="C94" s="121">
        <v>55800000</v>
      </c>
    </row>
    <row r="95" spans="1:3" hidden="1">
      <c r="A95" s="120" t="s">
        <v>1084</v>
      </c>
      <c r="B95" s="121">
        <v>85</v>
      </c>
      <c r="C95" s="121">
        <v>3952500</v>
      </c>
    </row>
    <row r="96" spans="1:3" hidden="1">
      <c r="A96" s="201" t="s">
        <v>112</v>
      </c>
      <c r="B96" s="121">
        <v>85</v>
      </c>
      <c r="C96" s="121">
        <v>3952500</v>
      </c>
    </row>
    <row r="97" spans="1:3" hidden="1">
      <c r="A97" s="120" t="s">
        <v>1112</v>
      </c>
      <c r="B97" s="121">
        <v>100</v>
      </c>
      <c r="C97" s="121">
        <v>1885000</v>
      </c>
    </row>
    <row r="98" spans="1:3" hidden="1">
      <c r="A98" s="201" t="s">
        <v>116</v>
      </c>
      <c r="B98" s="121">
        <v>100</v>
      </c>
      <c r="C98" s="121">
        <v>1885000</v>
      </c>
    </row>
    <row r="99" spans="1:3" hidden="1">
      <c r="A99" s="120" t="s">
        <v>1114</v>
      </c>
      <c r="B99" s="121">
        <v>2300</v>
      </c>
      <c r="C99" s="121">
        <v>73140000</v>
      </c>
    </row>
    <row r="100" spans="1:3" hidden="1">
      <c r="A100" s="201" t="s">
        <v>679</v>
      </c>
      <c r="B100" s="121">
        <v>2300</v>
      </c>
      <c r="C100" s="121">
        <v>73140000</v>
      </c>
    </row>
    <row r="101" spans="1:3" hidden="1">
      <c r="A101" s="120" t="s">
        <v>1157</v>
      </c>
      <c r="B101" s="121">
        <v>1000</v>
      </c>
      <c r="C101" s="121">
        <v>18850000</v>
      </c>
    </row>
    <row r="102" spans="1:3" hidden="1">
      <c r="A102" s="201" t="s">
        <v>116</v>
      </c>
      <c r="B102" s="121">
        <v>1000</v>
      </c>
      <c r="C102" s="121">
        <v>18850000</v>
      </c>
    </row>
    <row r="103" spans="1:3" hidden="1">
      <c r="A103" s="120" t="s">
        <v>1167</v>
      </c>
      <c r="B103" s="121">
        <v>1175</v>
      </c>
      <c r="C103" s="121">
        <v>25334100</v>
      </c>
    </row>
    <row r="104" spans="1:3" hidden="1">
      <c r="A104" s="201" t="s">
        <v>158</v>
      </c>
      <c r="B104" s="121">
        <v>175</v>
      </c>
      <c r="C104" s="121">
        <v>6484100</v>
      </c>
    </row>
    <row r="105" spans="1:3" hidden="1">
      <c r="A105" s="201" t="s">
        <v>840</v>
      </c>
      <c r="B105" s="121">
        <v>1000</v>
      </c>
      <c r="C105" s="121">
        <v>18850000</v>
      </c>
    </row>
    <row r="106" spans="1:3" hidden="1">
      <c r="A106" s="120" t="s">
        <v>1187</v>
      </c>
      <c r="B106" s="121">
        <v>1000</v>
      </c>
      <c r="C106" s="121">
        <v>18850000</v>
      </c>
    </row>
    <row r="107" spans="1:3" hidden="1">
      <c r="A107" s="201" t="s">
        <v>116</v>
      </c>
      <c r="B107" s="121">
        <v>1000</v>
      </c>
      <c r="C107" s="121">
        <v>18850000</v>
      </c>
    </row>
    <row r="108" spans="1:3" hidden="1">
      <c r="A108" s="120" t="s">
        <v>1192</v>
      </c>
      <c r="B108" s="121">
        <v>100</v>
      </c>
      <c r="C108" s="121">
        <v>3705400</v>
      </c>
    </row>
    <row r="109" spans="1:3" hidden="1">
      <c r="A109" s="201" t="s">
        <v>158</v>
      </c>
      <c r="B109" s="121">
        <v>100</v>
      </c>
      <c r="C109" s="121">
        <v>3705400</v>
      </c>
    </row>
    <row r="110" spans="1:3" hidden="1">
      <c r="A110" s="119" t="s">
        <v>784</v>
      </c>
      <c r="B110" s="121">
        <v>225</v>
      </c>
      <c r="C110" s="121">
        <v>24725000</v>
      </c>
    </row>
    <row r="111" spans="1:3" hidden="1">
      <c r="A111" s="120" t="s">
        <v>978</v>
      </c>
      <c r="B111" s="121">
        <v>75</v>
      </c>
      <c r="C111" s="121">
        <v>13125000</v>
      </c>
    </row>
    <row r="112" spans="1:3" hidden="1">
      <c r="A112" s="201" t="s">
        <v>778</v>
      </c>
      <c r="B112" s="121">
        <v>75</v>
      </c>
      <c r="C112" s="121">
        <v>13125000</v>
      </c>
    </row>
    <row r="113" spans="1:3" hidden="1">
      <c r="A113" s="120" t="s">
        <v>1030</v>
      </c>
      <c r="B113" s="121">
        <v>50</v>
      </c>
      <c r="C113" s="121">
        <v>8750000</v>
      </c>
    </row>
    <row r="114" spans="1:3" hidden="1">
      <c r="A114" s="201" t="s">
        <v>778</v>
      </c>
      <c r="B114" s="121">
        <v>50</v>
      </c>
      <c r="C114" s="121">
        <v>8750000</v>
      </c>
    </row>
    <row r="115" spans="1:3" hidden="1">
      <c r="A115" s="120" t="s">
        <v>1181</v>
      </c>
      <c r="B115" s="121">
        <v>100</v>
      </c>
      <c r="C115" s="121">
        <v>2850000</v>
      </c>
    </row>
    <row r="116" spans="1:3" hidden="1">
      <c r="A116" s="201" t="s">
        <v>783</v>
      </c>
      <c r="B116" s="121">
        <v>100</v>
      </c>
      <c r="C116" s="121">
        <v>2850000</v>
      </c>
    </row>
    <row r="117" spans="1:3" hidden="1">
      <c r="A117" s="119" t="s">
        <v>64</v>
      </c>
      <c r="B117" s="121">
        <v>175</v>
      </c>
      <c r="C117" s="121">
        <v>31500000</v>
      </c>
    </row>
    <row r="118" spans="1:3" hidden="1">
      <c r="A118" s="120" t="s">
        <v>875</v>
      </c>
      <c r="B118" s="121">
        <v>175</v>
      </c>
      <c r="C118" s="121">
        <v>31500000</v>
      </c>
    </row>
    <row r="119" spans="1:3" hidden="1">
      <c r="A119" s="201" t="s">
        <v>778</v>
      </c>
      <c r="B119" s="121">
        <v>175</v>
      </c>
      <c r="C119" s="121">
        <v>31500000</v>
      </c>
    </row>
    <row r="120" spans="1:3" hidden="1">
      <c r="A120" s="119" t="s">
        <v>780</v>
      </c>
      <c r="B120" s="121">
        <v>15</v>
      </c>
      <c r="C120" s="121">
        <v>3075000</v>
      </c>
    </row>
    <row r="121" spans="1:3" hidden="1">
      <c r="A121" s="120" t="s">
        <v>983</v>
      </c>
      <c r="B121" s="121">
        <v>15</v>
      </c>
      <c r="C121" s="121">
        <v>3075000</v>
      </c>
    </row>
    <row r="122" spans="1:3" hidden="1">
      <c r="A122" s="201" t="s">
        <v>789</v>
      </c>
      <c r="B122" s="121">
        <v>15</v>
      </c>
      <c r="C122" s="121">
        <v>3075000</v>
      </c>
    </row>
    <row r="123" spans="1:3" hidden="1">
      <c r="A123" s="119" t="s">
        <v>32</v>
      </c>
      <c r="B123" s="121">
        <v>100</v>
      </c>
      <c r="C123" s="121">
        <v>19000000</v>
      </c>
    </row>
    <row r="124" spans="1:3" hidden="1">
      <c r="A124" s="120" t="s">
        <v>808</v>
      </c>
      <c r="B124" s="121">
        <v>100</v>
      </c>
      <c r="C124" s="121">
        <v>19000000</v>
      </c>
    </row>
    <row r="125" spans="1:3" hidden="1">
      <c r="A125" s="201" t="s">
        <v>778</v>
      </c>
      <c r="B125" s="121">
        <v>100</v>
      </c>
      <c r="C125" s="121">
        <v>19000000</v>
      </c>
    </row>
    <row r="126" spans="1:3" hidden="1">
      <c r="A126" s="119" t="s">
        <v>393</v>
      </c>
      <c r="B126" s="121">
        <v>175</v>
      </c>
      <c r="C126" s="121"/>
    </row>
    <row r="127" spans="1:3" hidden="1">
      <c r="A127" s="120" t="s">
        <v>299</v>
      </c>
      <c r="B127" s="121">
        <v>175</v>
      </c>
      <c r="C127" s="121"/>
    </row>
    <row r="128" spans="1:3" hidden="1">
      <c r="A128" s="201" t="s">
        <v>116</v>
      </c>
      <c r="B128" s="121">
        <v>175</v>
      </c>
      <c r="C128" s="121"/>
    </row>
    <row r="129" spans="1:3" hidden="1">
      <c r="A129" s="37" t="s">
        <v>773</v>
      </c>
      <c r="B129" s="121">
        <v>3990</v>
      </c>
      <c r="C129" s="121">
        <v>140190000</v>
      </c>
    </row>
    <row r="130" spans="1:3" hidden="1">
      <c r="A130" s="119" t="s">
        <v>319</v>
      </c>
      <c r="B130" s="121">
        <v>3000</v>
      </c>
      <c r="C130" s="121">
        <v>76500000</v>
      </c>
    </row>
    <row r="131" spans="1:3" hidden="1">
      <c r="A131" s="120" t="s">
        <v>845</v>
      </c>
      <c r="B131" s="121">
        <v>3000</v>
      </c>
      <c r="C131" s="121">
        <v>76500000</v>
      </c>
    </row>
    <row r="132" spans="1:3" hidden="1">
      <c r="A132" s="201" t="s">
        <v>111</v>
      </c>
      <c r="B132" s="121">
        <v>3000</v>
      </c>
      <c r="C132" s="121">
        <v>76500000</v>
      </c>
    </row>
    <row r="133" spans="1:3" hidden="1">
      <c r="A133" s="119" t="s">
        <v>371</v>
      </c>
      <c r="B133" s="121">
        <v>90</v>
      </c>
      <c r="C133" s="121">
        <v>45090000</v>
      </c>
    </row>
    <row r="134" spans="1:3" hidden="1">
      <c r="A134" s="120" t="s">
        <v>1120</v>
      </c>
      <c r="B134" s="121">
        <v>90</v>
      </c>
      <c r="C134" s="121">
        <v>45090000</v>
      </c>
    </row>
    <row r="135" spans="1:3" hidden="1">
      <c r="A135" s="201" t="s">
        <v>207</v>
      </c>
      <c r="B135" s="121">
        <v>90</v>
      </c>
      <c r="C135" s="121">
        <v>45090000</v>
      </c>
    </row>
    <row r="136" spans="1:3" hidden="1">
      <c r="A136" s="119" t="s">
        <v>169</v>
      </c>
      <c r="B136" s="121">
        <v>400</v>
      </c>
      <c r="C136" s="121">
        <v>10200000</v>
      </c>
    </row>
    <row r="137" spans="1:3" hidden="1">
      <c r="A137" s="120" t="s">
        <v>1124</v>
      </c>
      <c r="B137" s="121">
        <v>400</v>
      </c>
      <c r="C137" s="121">
        <v>10200000</v>
      </c>
    </row>
    <row r="138" spans="1:3" hidden="1">
      <c r="A138" s="201" t="s">
        <v>111</v>
      </c>
      <c r="B138" s="121">
        <v>400</v>
      </c>
      <c r="C138" s="121">
        <v>10200000</v>
      </c>
    </row>
    <row r="139" spans="1:3" hidden="1">
      <c r="A139" s="119" t="s">
        <v>902</v>
      </c>
      <c r="B139" s="121">
        <v>500</v>
      </c>
      <c r="C139" s="121">
        <v>8400000</v>
      </c>
    </row>
    <row r="140" spans="1:3" hidden="1">
      <c r="A140" s="120" t="s">
        <v>901</v>
      </c>
      <c r="B140" s="121">
        <v>500</v>
      </c>
      <c r="C140" s="121">
        <v>8400000</v>
      </c>
    </row>
    <row r="141" spans="1:3" hidden="1">
      <c r="A141" s="201" t="s">
        <v>494</v>
      </c>
      <c r="B141" s="121">
        <v>500</v>
      </c>
      <c r="C141" s="121">
        <v>8400000</v>
      </c>
    </row>
    <row r="142" spans="1:3" hidden="1">
      <c r="A142" s="37" t="s">
        <v>299</v>
      </c>
      <c r="B142" s="121">
        <v>427481.76500000001</v>
      </c>
      <c r="C142" s="121">
        <v>12789553537</v>
      </c>
    </row>
    <row r="143" spans="1:3" hidden="1">
      <c r="A143" s="119" t="s">
        <v>6</v>
      </c>
      <c r="B143" s="121">
        <v>800</v>
      </c>
      <c r="C143" s="121">
        <v>28765000</v>
      </c>
    </row>
    <row r="144" spans="1:3" hidden="1">
      <c r="A144" s="120" t="s">
        <v>935</v>
      </c>
      <c r="B144" s="121">
        <v>75</v>
      </c>
      <c r="C144" s="121">
        <v>4515000</v>
      </c>
    </row>
    <row r="145" spans="1:3" hidden="1">
      <c r="A145" s="201" t="s">
        <v>188</v>
      </c>
      <c r="B145" s="121">
        <v>75</v>
      </c>
      <c r="C145" s="121">
        <v>4515000</v>
      </c>
    </row>
    <row r="146" spans="1:3" hidden="1">
      <c r="A146" s="120" t="s">
        <v>1064</v>
      </c>
      <c r="B146" s="121">
        <v>625</v>
      </c>
      <c r="C146" s="121">
        <v>11750000</v>
      </c>
    </row>
    <row r="147" spans="1:3" hidden="1">
      <c r="A147" s="201" t="s">
        <v>795</v>
      </c>
      <c r="B147" s="121">
        <v>500</v>
      </c>
      <c r="C147" s="121">
        <v>7850000</v>
      </c>
    </row>
    <row r="148" spans="1:3" hidden="1">
      <c r="A148" s="201" t="s">
        <v>111</v>
      </c>
      <c r="B148" s="121">
        <v>50</v>
      </c>
      <c r="C148" s="121">
        <v>1275000</v>
      </c>
    </row>
    <row r="149" spans="1:3" hidden="1">
      <c r="A149" s="201" t="s">
        <v>779</v>
      </c>
      <c r="B149" s="121">
        <v>75</v>
      </c>
      <c r="C149" s="121">
        <v>2625000</v>
      </c>
    </row>
    <row r="150" spans="1:3" hidden="1">
      <c r="A150" s="120" t="s">
        <v>1163</v>
      </c>
      <c r="B150" s="121">
        <v>100</v>
      </c>
      <c r="C150" s="121">
        <v>12500000</v>
      </c>
    </row>
    <row r="151" spans="1:3" hidden="1">
      <c r="A151" s="201" t="s">
        <v>778</v>
      </c>
      <c r="B151" s="121">
        <v>100</v>
      </c>
      <c r="C151" s="121">
        <v>12500000</v>
      </c>
    </row>
    <row r="152" spans="1:3" hidden="1">
      <c r="A152" s="119" t="s">
        <v>323</v>
      </c>
      <c r="B152" s="121">
        <v>3322.355</v>
      </c>
      <c r="C152" s="121">
        <v>103561315</v>
      </c>
    </row>
    <row r="153" spans="1:3" hidden="1">
      <c r="A153" s="120" t="s">
        <v>841</v>
      </c>
      <c r="B153" s="121">
        <v>6</v>
      </c>
      <c r="C153" s="121">
        <v>361200</v>
      </c>
    </row>
    <row r="154" spans="1:3" hidden="1">
      <c r="A154" s="201" t="s">
        <v>188</v>
      </c>
      <c r="B154" s="121">
        <v>6</v>
      </c>
      <c r="C154" s="121">
        <v>361200</v>
      </c>
    </row>
    <row r="155" spans="1:3" hidden="1">
      <c r="A155" s="120" t="s">
        <v>842</v>
      </c>
      <c r="B155" s="121">
        <v>1.23</v>
      </c>
      <c r="C155" s="121">
        <v>0</v>
      </c>
    </row>
    <row r="156" spans="1:3" hidden="1">
      <c r="A156" s="201" t="s">
        <v>843</v>
      </c>
      <c r="B156" s="121">
        <v>1.23</v>
      </c>
      <c r="C156" s="121">
        <v>0</v>
      </c>
    </row>
    <row r="157" spans="1:3" hidden="1">
      <c r="A157" s="120" t="s">
        <v>844</v>
      </c>
      <c r="B157" s="121">
        <v>12</v>
      </c>
      <c r="C157" s="121">
        <v>722400</v>
      </c>
    </row>
    <row r="158" spans="1:3" hidden="1">
      <c r="A158" s="201" t="s">
        <v>188</v>
      </c>
      <c r="B158" s="121">
        <v>12</v>
      </c>
      <c r="C158" s="121">
        <v>722400</v>
      </c>
    </row>
    <row r="159" spans="1:3" hidden="1">
      <c r="A159" s="120" t="s">
        <v>913</v>
      </c>
      <c r="B159" s="121">
        <v>10</v>
      </c>
      <c r="C159" s="121">
        <v>602000</v>
      </c>
    </row>
    <row r="160" spans="1:3" hidden="1">
      <c r="A160" s="201" t="s">
        <v>188</v>
      </c>
      <c r="B160" s="121">
        <v>10</v>
      </c>
      <c r="C160" s="121">
        <v>602000</v>
      </c>
    </row>
    <row r="161" spans="1:3" hidden="1">
      <c r="A161" s="120" t="s">
        <v>914</v>
      </c>
      <c r="B161" s="121">
        <v>0.75</v>
      </c>
      <c r="C161" s="121">
        <v>0</v>
      </c>
    </row>
    <row r="162" spans="1:3" hidden="1">
      <c r="A162" s="201" t="s">
        <v>843</v>
      </c>
      <c r="B162" s="121">
        <v>0.75</v>
      </c>
      <c r="C162" s="121">
        <v>0</v>
      </c>
    </row>
    <row r="163" spans="1:3" hidden="1">
      <c r="A163" s="120" t="s">
        <v>918</v>
      </c>
      <c r="B163" s="121">
        <v>75</v>
      </c>
      <c r="C163" s="121">
        <v>2887500</v>
      </c>
    </row>
    <row r="164" spans="1:3" hidden="1">
      <c r="A164" s="201" t="s">
        <v>679</v>
      </c>
      <c r="B164" s="121">
        <v>75</v>
      </c>
      <c r="C164" s="121">
        <v>2887500</v>
      </c>
    </row>
    <row r="165" spans="1:3" hidden="1">
      <c r="A165" s="120" t="s">
        <v>961</v>
      </c>
      <c r="B165" s="121">
        <v>305</v>
      </c>
      <c r="C165" s="121">
        <v>11956000</v>
      </c>
    </row>
    <row r="166" spans="1:3" hidden="1">
      <c r="A166" s="201" t="s">
        <v>188</v>
      </c>
      <c r="B166" s="121">
        <v>5</v>
      </c>
      <c r="C166" s="121">
        <v>301000</v>
      </c>
    </row>
    <row r="167" spans="1:3" hidden="1">
      <c r="A167" s="201" t="s">
        <v>962</v>
      </c>
      <c r="B167" s="121">
        <v>300</v>
      </c>
      <c r="C167" s="121">
        <v>11655000</v>
      </c>
    </row>
    <row r="168" spans="1:3" hidden="1">
      <c r="A168" s="120" t="s">
        <v>963</v>
      </c>
      <c r="B168" s="121">
        <v>0.375</v>
      </c>
      <c r="C168" s="121">
        <v>0</v>
      </c>
    </row>
    <row r="169" spans="1:3" hidden="1">
      <c r="A169" s="201" t="s">
        <v>843</v>
      </c>
      <c r="B169" s="121">
        <v>0.375</v>
      </c>
      <c r="C169" s="121">
        <v>0</v>
      </c>
    </row>
    <row r="170" spans="1:3" hidden="1">
      <c r="A170" s="120" t="s">
        <v>964</v>
      </c>
      <c r="B170" s="121">
        <v>300</v>
      </c>
      <c r="C170" s="121">
        <v>11655000</v>
      </c>
    </row>
    <row r="171" spans="1:3" hidden="1">
      <c r="A171" s="201" t="s">
        <v>962</v>
      </c>
      <c r="B171" s="121">
        <v>300</v>
      </c>
      <c r="C171" s="121">
        <v>11655000</v>
      </c>
    </row>
    <row r="172" spans="1:3" hidden="1">
      <c r="A172" s="120" t="s">
        <v>1001</v>
      </c>
      <c r="B172" s="121">
        <v>75</v>
      </c>
      <c r="C172" s="121">
        <v>2887500</v>
      </c>
    </row>
    <row r="173" spans="1:3" hidden="1">
      <c r="A173" s="201" t="s">
        <v>679</v>
      </c>
      <c r="B173" s="121">
        <v>75</v>
      </c>
      <c r="C173" s="121">
        <v>2887500</v>
      </c>
    </row>
    <row r="174" spans="1:3" hidden="1">
      <c r="A174" s="120" t="s">
        <v>1082</v>
      </c>
      <c r="B174" s="121">
        <v>75</v>
      </c>
      <c r="C174" s="121">
        <v>3031875</v>
      </c>
    </row>
    <row r="175" spans="1:3" hidden="1">
      <c r="A175" s="201" t="s">
        <v>679</v>
      </c>
      <c r="B175" s="121">
        <v>75</v>
      </c>
      <c r="C175" s="121">
        <v>3031875</v>
      </c>
    </row>
    <row r="176" spans="1:3" hidden="1">
      <c r="A176" s="120" t="s">
        <v>1127</v>
      </c>
      <c r="B176" s="121">
        <v>2000</v>
      </c>
      <c r="C176" s="121">
        <v>32000000</v>
      </c>
    </row>
    <row r="177" spans="1:3" hidden="1">
      <c r="A177" s="201" t="s">
        <v>795</v>
      </c>
      <c r="B177" s="121">
        <v>2000</v>
      </c>
      <c r="C177" s="121">
        <v>32000000</v>
      </c>
    </row>
    <row r="178" spans="1:3" hidden="1">
      <c r="A178" s="120" t="s">
        <v>1129</v>
      </c>
      <c r="B178" s="121">
        <v>16</v>
      </c>
      <c r="C178" s="121">
        <v>7935840</v>
      </c>
    </row>
    <row r="179" spans="1:3" hidden="1">
      <c r="A179" s="201" t="s">
        <v>207</v>
      </c>
      <c r="B179" s="121">
        <v>16</v>
      </c>
      <c r="C179" s="121">
        <v>7935840</v>
      </c>
    </row>
    <row r="180" spans="1:3" hidden="1">
      <c r="A180" s="120" t="s">
        <v>1142</v>
      </c>
      <c r="B180" s="121">
        <v>400</v>
      </c>
      <c r="C180" s="121">
        <v>15400000</v>
      </c>
    </row>
    <row r="181" spans="1:3" hidden="1">
      <c r="A181" s="201" t="s">
        <v>679</v>
      </c>
      <c r="B181" s="121">
        <v>400</v>
      </c>
      <c r="C181" s="121">
        <v>15400000</v>
      </c>
    </row>
    <row r="182" spans="1:3" hidden="1">
      <c r="A182" s="120" t="s">
        <v>1146</v>
      </c>
      <c r="B182" s="121">
        <v>46</v>
      </c>
      <c r="C182" s="121">
        <v>14122000</v>
      </c>
    </row>
    <row r="183" spans="1:3" hidden="1">
      <c r="A183" s="201" t="s">
        <v>221</v>
      </c>
      <c r="B183" s="121">
        <v>46</v>
      </c>
      <c r="C183" s="121">
        <v>14122000</v>
      </c>
    </row>
    <row r="184" spans="1:3" hidden="1">
      <c r="A184" s="119" t="s">
        <v>152</v>
      </c>
      <c r="B184" s="121">
        <v>1900</v>
      </c>
      <c r="C184" s="121">
        <v>61188000</v>
      </c>
    </row>
    <row r="185" spans="1:3" hidden="1">
      <c r="A185" s="120" t="s">
        <v>876</v>
      </c>
      <c r="B185" s="121">
        <v>1700</v>
      </c>
      <c r="C185" s="121">
        <v>57948000</v>
      </c>
    </row>
    <row r="186" spans="1:3" hidden="1">
      <c r="A186" s="201" t="s">
        <v>766</v>
      </c>
      <c r="B186" s="121">
        <v>100</v>
      </c>
      <c r="C186" s="121">
        <v>14138000</v>
      </c>
    </row>
    <row r="187" spans="1:3" hidden="1">
      <c r="A187" s="201" t="s">
        <v>795</v>
      </c>
      <c r="B187" s="121">
        <v>500</v>
      </c>
      <c r="C187" s="121">
        <v>8100000</v>
      </c>
    </row>
    <row r="188" spans="1:3" hidden="1">
      <c r="A188" s="201" t="s">
        <v>111</v>
      </c>
      <c r="B188" s="121">
        <v>700</v>
      </c>
      <c r="C188" s="121">
        <v>17850000</v>
      </c>
    </row>
    <row r="189" spans="1:3" hidden="1">
      <c r="A189" s="201" t="s">
        <v>153</v>
      </c>
      <c r="B189" s="121">
        <v>100</v>
      </c>
      <c r="C189" s="121">
        <v>6220000</v>
      </c>
    </row>
    <row r="190" spans="1:3" hidden="1">
      <c r="A190" s="201" t="s">
        <v>679</v>
      </c>
      <c r="B190" s="121">
        <v>300</v>
      </c>
      <c r="C190" s="121">
        <v>11640000</v>
      </c>
    </row>
    <row r="191" spans="1:3" hidden="1">
      <c r="A191" s="120" t="s">
        <v>1049</v>
      </c>
      <c r="B191" s="121">
        <v>200</v>
      </c>
      <c r="C191" s="121">
        <v>3240000</v>
      </c>
    </row>
    <row r="192" spans="1:3" hidden="1">
      <c r="A192" s="201" t="s">
        <v>795</v>
      </c>
      <c r="B192" s="121">
        <v>200</v>
      </c>
      <c r="C192" s="121">
        <v>3240000</v>
      </c>
    </row>
    <row r="193" spans="1:3" hidden="1">
      <c r="A193" s="119" t="s">
        <v>144</v>
      </c>
      <c r="B193" s="121">
        <v>810</v>
      </c>
      <c r="C193" s="121">
        <v>37097500</v>
      </c>
    </row>
    <row r="194" spans="1:3" hidden="1">
      <c r="A194" s="120" t="s">
        <v>921</v>
      </c>
      <c r="B194" s="121">
        <v>210</v>
      </c>
      <c r="C194" s="121">
        <v>8055000</v>
      </c>
    </row>
    <row r="195" spans="1:3" hidden="1">
      <c r="A195" s="201" t="s">
        <v>788</v>
      </c>
      <c r="B195" s="121">
        <v>160</v>
      </c>
      <c r="C195" s="121">
        <v>7040000</v>
      </c>
    </row>
    <row r="196" spans="1:3" hidden="1">
      <c r="A196" s="201" t="s">
        <v>795</v>
      </c>
      <c r="B196" s="121">
        <v>50</v>
      </c>
      <c r="C196" s="121">
        <v>1015000</v>
      </c>
    </row>
    <row r="197" spans="1:3" hidden="1">
      <c r="A197" s="120" t="s">
        <v>1017</v>
      </c>
      <c r="B197" s="121">
        <v>100</v>
      </c>
      <c r="C197" s="121">
        <v>3675000</v>
      </c>
    </row>
    <row r="198" spans="1:3" hidden="1">
      <c r="A198" s="201" t="s">
        <v>783</v>
      </c>
      <c r="B198" s="121">
        <v>100</v>
      </c>
      <c r="C198" s="121">
        <v>3675000</v>
      </c>
    </row>
    <row r="199" spans="1:3" hidden="1">
      <c r="A199" s="120" t="s">
        <v>1090</v>
      </c>
      <c r="B199" s="121">
        <v>450</v>
      </c>
      <c r="C199" s="121">
        <v>17715000</v>
      </c>
    </row>
    <row r="200" spans="1:3" hidden="1">
      <c r="A200" s="201" t="s">
        <v>783</v>
      </c>
      <c r="B200" s="121">
        <v>100</v>
      </c>
      <c r="C200" s="121">
        <v>3500000</v>
      </c>
    </row>
    <row r="201" spans="1:3" hidden="1">
      <c r="A201" s="201" t="s">
        <v>788</v>
      </c>
      <c r="B201" s="121">
        <v>300</v>
      </c>
      <c r="C201" s="121">
        <v>13200000</v>
      </c>
    </row>
    <row r="202" spans="1:3" hidden="1">
      <c r="A202" s="201" t="s">
        <v>795</v>
      </c>
      <c r="B202" s="121">
        <v>50</v>
      </c>
      <c r="C202" s="121">
        <v>1015000</v>
      </c>
    </row>
    <row r="203" spans="1:3" hidden="1">
      <c r="A203" s="120" t="s">
        <v>1199</v>
      </c>
      <c r="B203" s="121">
        <v>50</v>
      </c>
      <c r="C203" s="121">
        <v>7652500</v>
      </c>
    </row>
    <row r="204" spans="1:3" hidden="1">
      <c r="A204" s="201" t="s">
        <v>209</v>
      </c>
      <c r="B204" s="121">
        <v>25</v>
      </c>
      <c r="C204" s="121">
        <v>4737500</v>
      </c>
    </row>
    <row r="205" spans="1:3" hidden="1">
      <c r="A205" s="201" t="s">
        <v>767</v>
      </c>
      <c r="B205" s="121">
        <v>25</v>
      </c>
      <c r="C205" s="121">
        <v>2915000</v>
      </c>
    </row>
    <row r="206" spans="1:3" hidden="1">
      <c r="A206" s="119" t="s">
        <v>12</v>
      </c>
      <c r="B206" s="121">
        <v>40</v>
      </c>
      <c r="C206" s="121">
        <v>13223440</v>
      </c>
    </row>
    <row r="207" spans="1:3" hidden="1">
      <c r="A207" s="120" t="s">
        <v>891</v>
      </c>
      <c r="B207" s="121">
        <v>15</v>
      </c>
      <c r="C207" s="121">
        <v>4105800</v>
      </c>
    </row>
    <row r="208" spans="1:3" hidden="1">
      <c r="A208" s="201" t="s">
        <v>766</v>
      </c>
      <c r="B208" s="121">
        <v>10</v>
      </c>
      <c r="C208" s="121">
        <v>1600000</v>
      </c>
    </row>
    <row r="209" spans="1:3" hidden="1">
      <c r="A209" s="201" t="s">
        <v>207</v>
      </c>
      <c r="B209" s="121">
        <v>5</v>
      </c>
      <c r="C209" s="121">
        <v>2505800</v>
      </c>
    </row>
    <row r="210" spans="1:3" hidden="1">
      <c r="A210" s="120" t="s">
        <v>1147</v>
      </c>
      <c r="B210" s="121">
        <v>25</v>
      </c>
      <c r="C210" s="121">
        <v>9117640</v>
      </c>
    </row>
    <row r="211" spans="1:3" hidden="1">
      <c r="A211" s="201" t="s">
        <v>766</v>
      </c>
      <c r="B211" s="121">
        <v>10</v>
      </c>
      <c r="C211" s="121">
        <v>1600000</v>
      </c>
    </row>
    <row r="212" spans="1:3" hidden="1">
      <c r="A212" s="201" t="s">
        <v>207</v>
      </c>
      <c r="B212" s="121">
        <v>15</v>
      </c>
      <c r="C212" s="121">
        <v>7517640</v>
      </c>
    </row>
    <row r="213" spans="1:3" hidden="1">
      <c r="A213" s="119" t="s">
        <v>355</v>
      </c>
      <c r="B213" s="121">
        <v>5400</v>
      </c>
      <c r="C213" s="121">
        <v>274863850</v>
      </c>
    </row>
    <row r="214" spans="1:3" hidden="1">
      <c r="A214" s="120" t="s">
        <v>896</v>
      </c>
      <c r="B214" s="121">
        <v>1700</v>
      </c>
      <c r="C214" s="121">
        <v>101119000</v>
      </c>
    </row>
    <row r="215" spans="1:3" hidden="1">
      <c r="A215" s="201" t="s">
        <v>764</v>
      </c>
      <c r="B215" s="121">
        <v>150</v>
      </c>
      <c r="C215" s="121">
        <v>35250000</v>
      </c>
    </row>
    <row r="216" spans="1:3" hidden="1">
      <c r="A216" s="201" t="s">
        <v>795</v>
      </c>
      <c r="B216" s="121">
        <v>1000</v>
      </c>
      <c r="C216" s="121">
        <v>16200000</v>
      </c>
    </row>
    <row r="217" spans="1:3" hidden="1">
      <c r="A217" s="201" t="s">
        <v>209</v>
      </c>
      <c r="B217" s="121">
        <v>150</v>
      </c>
      <c r="C217" s="121">
        <v>24630000</v>
      </c>
    </row>
    <row r="218" spans="1:3" hidden="1">
      <c r="A218" s="201" t="s">
        <v>194</v>
      </c>
      <c r="B218" s="121">
        <v>100</v>
      </c>
      <c r="C218" s="121">
        <v>1989000</v>
      </c>
    </row>
    <row r="219" spans="1:3" hidden="1">
      <c r="A219" s="201" t="s">
        <v>111</v>
      </c>
      <c r="B219" s="121">
        <v>100</v>
      </c>
      <c r="C219" s="121">
        <v>2550000</v>
      </c>
    </row>
    <row r="220" spans="1:3" hidden="1">
      <c r="A220" s="201" t="s">
        <v>115</v>
      </c>
      <c r="B220" s="121">
        <v>200</v>
      </c>
      <c r="C220" s="121">
        <v>20500000</v>
      </c>
    </row>
    <row r="221" spans="1:3" hidden="1">
      <c r="A221" s="120" t="s">
        <v>997</v>
      </c>
      <c r="B221" s="121">
        <v>1200</v>
      </c>
      <c r="C221" s="121">
        <v>71770000</v>
      </c>
    </row>
    <row r="222" spans="1:3" hidden="1">
      <c r="A222" s="201" t="s">
        <v>764</v>
      </c>
      <c r="B222" s="121">
        <v>100</v>
      </c>
      <c r="C222" s="121">
        <v>23500000</v>
      </c>
    </row>
    <row r="223" spans="1:3" hidden="1">
      <c r="A223" s="201" t="s">
        <v>788</v>
      </c>
      <c r="B223" s="121">
        <v>200</v>
      </c>
      <c r="C223" s="121">
        <v>8400000</v>
      </c>
    </row>
    <row r="224" spans="1:3" hidden="1">
      <c r="A224" s="201" t="s">
        <v>795</v>
      </c>
      <c r="B224" s="121">
        <v>500</v>
      </c>
      <c r="C224" s="121">
        <v>8100000</v>
      </c>
    </row>
    <row r="225" spans="1:3" hidden="1">
      <c r="A225" s="201" t="s">
        <v>209</v>
      </c>
      <c r="B225" s="121">
        <v>100</v>
      </c>
      <c r="C225" s="121">
        <v>16420000</v>
      </c>
    </row>
    <row r="226" spans="1:3" hidden="1">
      <c r="A226" s="201" t="s">
        <v>111</v>
      </c>
      <c r="B226" s="121">
        <v>200</v>
      </c>
      <c r="C226" s="121">
        <v>5100000</v>
      </c>
    </row>
    <row r="227" spans="1:3" hidden="1">
      <c r="A227" s="201" t="s">
        <v>115</v>
      </c>
      <c r="B227" s="121">
        <v>100</v>
      </c>
      <c r="C227" s="121">
        <v>10250000</v>
      </c>
    </row>
    <row r="228" spans="1:3" hidden="1">
      <c r="A228" s="120" t="s">
        <v>1045</v>
      </c>
      <c r="B228" s="121">
        <v>100</v>
      </c>
      <c r="C228" s="121">
        <v>12143850</v>
      </c>
    </row>
    <row r="229" spans="1:3" hidden="1">
      <c r="A229" s="201" t="s">
        <v>771</v>
      </c>
      <c r="B229" s="121">
        <v>50</v>
      </c>
      <c r="C229" s="121">
        <v>9003850</v>
      </c>
    </row>
    <row r="230" spans="1:3" hidden="1">
      <c r="A230" s="201" t="s">
        <v>814</v>
      </c>
      <c r="B230" s="121">
        <v>50</v>
      </c>
      <c r="C230" s="121">
        <v>3140000</v>
      </c>
    </row>
    <row r="231" spans="1:3" hidden="1">
      <c r="A231" s="120" t="s">
        <v>1094</v>
      </c>
      <c r="B231" s="121">
        <v>2400</v>
      </c>
      <c r="C231" s="121">
        <v>89831000</v>
      </c>
    </row>
    <row r="232" spans="1:3" hidden="1">
      <c r="A232" s="201" t="s">
        <v>788</v>
      </c>
      <c r="B232" s="121">
        <v>100</v>
      </c>
      <c r="C232" s="121">
        <v>4200000</v>
      </c>
    </row>
    <row r="233" spans="1:3" hidden="1">
      <c r="A233" s="201" t="s">
        <v>795</v>
      </c>
      <c r="B233" s="121">
        <v>1000</v>
      </c>
      <c r="C233" s="121">
        <v>16200000</v>
      </c>
    </row>
    <row r="234" spans="1:3" hidden="1">
      <c r="A234" s="201" t="s">
        <v>209</v>
      </c>
      <c r="B234" s="121">
        <v>250</v>
      </c>
      <c r="C234" s="121">
        <v>41050000</v>
      </c>
    </row>
    <row r="235" spans="1:3" hidden="1">
      <c r="A235" s="201" t="s">
        <v>194</v>
      </c>
      <c r="B235" s="121">
        <v>400</v>
      </c>
      <c r="C235" s="121">
        <v>7956000</v>
      </c>
    </row>
    <row r="236" spans="1:3" hidden="1">
      <c r="A236" s="201" t="s">
        <v>111</v>
      </c>
      <c r="B236" s="121">
        <v>600</v>
      </c>
      <c r="C236" s="121">
        <v>15300000</v>
      </c>
    </row>
    <row r="237" spans="1:3" hidden="1">
      <c r="A237" s="201" t="s">
        <v>115</v>
      </c>
      <c r="B237" s="121">
        <v>50</v>
      </c>
      <c r="C237" s="121">
        <v>5125000</v>
      </c>
    </row>
    <row r="238" spans="1:3" hidden="1">
      <c r="A238" s="119" t="s">
        <v>368</v>
      </c>
      <c r="B238" s="121">
        <v>325</v>
      </c>
      <c r="C238" s="121">
        <v>8890000</v>
      </c>
    </row>
    <row r="239" spans="1:3" hidden="1">
      <c r="A239" s="120" t="s">
        <v>993</v>
      </c>
      <c r="B239" s="121">
        <v>325</v>
      </c>
      <c r="C239" s="121">
        <v>8890000</v>
      </c>
    </row>
    <row r="240" spans="1:3" hidden="1">
      <c r="A240" s="201" t="s">
        <v>766</v>
      </c>
      <c r="B240" s="121">
        <v>25</v>
      </c>
      <c r="C240" s="121">
        <v>4000000</v>
      </c>
    </row>
    <row r="241" spans="1:3" hidden="1">
      <c r="A241" s="201" t="s">
        <v>795</v>
      </c>
      <c r="B241" s="121">
        <v>300</v>
      </c>
      <c r="C241" s="121">
        <v>4890000</v>
      </c>
    </row>
    <row r="242" spans="1:3" hidden="1">
      <c r="A242" s="119" t="s">
        <v>173</v>
      </c>
      <c r="B242" s="121">
        <v>92.265000000000001</v>
      </c>
      <c r="C242" s="121">
        <v>13622950</v>
      </c>
    </row>
    <row r="243" spans="1:3" hidden="1">
      <c r="A243" s="120" t="s">
        <v>925</v>
      </c>
      <c r="B243" s="121">
        <v>30</v>
      </c>
      <c r="C243" s="121">
        <v>7050000</v>
      </c>
    </row>
    <row r="244" spans="1:3" hidden="1">
      <c r="A244" s="201" t="s">
        <v>221</v>
      </c>
      <c r="B244" s="121">
        <v>30</v>
      </c>
      <c r="C244" s="121">
        <v>7050000</v>
      </c>
    </row>
    <row r="245" spans="1:3" hidden="1">
      <c r="A245" s="120" t="s">
        <v>953</v>
      </c>
      <c r="B245" s="121">
        <v>2.2650000000000001</v>
      </c>
      <c r="C245" s="121">
        <v>0</v>
      </c>
    </row>
    <row r="246" spans="1:3" hidden="1">
      <c r="A246" s="201" t="s">
        <v>954</v>
      </c>
      <c r="B246" s="121">
        <v>2.2650000000000001</v>
      </c>
      <c r="C246" s="121">
        <v>0</v>
      </c>
    </row>
    <row r="247" spans="1:3" hidden="1">
      <c r="A247" s="120" t="s">
        <v>955</v>
      </c>
      <c r="B247" s="121">
        <v>60</v>
      </c>
      <c r="C247" s="121">
        <v>6572950</v>
      </c>
    </row>
    <row r="248" spans="1:3" hidden="1">
      <c r="A248" s="201" t="s">
        <v>188</v>
      </c>
      <c r="B248" s="121">
        <v>35</v>
      </c>
      <c r="C248" s="121">
        <v>2128700</v>
      </c>
    </row>
    <row r="249" spans="1:3" hidden="1">
      <c r="A249" s="201" t="s">
        <v>209</v>
      </c>
      <c r="B249" s="121">
        <v>25</v>
      </c>
      <c r="C249" s="121">
        <v>4444250</v>
      </c>
    </row>
    <row r="250" spans="1:3" hidden="1">
      <c r="A250" s="119" t="s">
        <v>319</v>
      </c>
      <c r="B250" s="121">
        <v>3000</v>
      </c>
      <c r="C250" s="121">
        <v>76500000</v>
      </c>
    </row>
    <row r="251" spans="1:3" hidden="1">
      <c r="A251" s="120" t="s">
        <v>846</v>
      </c>
      <c r="B251" s="121">
        <v>3000</v>
      </c>
      <c r="C251" s="121">
        <v>76500000</v>
      </c>
    </row>
    <row r="252" spans="1:3" hidden="1">
      <c r="A252" s="201" t="s">
        <v>111</v>
      </c>
      <c r="B252" s="121">
        <v>3000</v>
      </c>
      <c r="C252" s="121">
        <v>76500000</v>
      </c>
    </row>
    <row r="253" spans="1:3" hidden="1">
      <c r="A253" s="119" t="s">
        <v>378</v>
      </c>
      <c r="B253" s="121">
        <v>1500</v>
      </c>
      <c r="C253" s="121">
        <v>44900000</v>
      </c>
    </row>
    <row r="254" spans="1:3" hidden="1">
      <c r="A254" s="120" t="s">
        <v>937</v>
      </c>
      <c r="B254" s="121">
        <v>1500</v>
      </c>
      <c r="C254" s="121">
        <v>44900000</v>
      </c>
    </row>
    <row r="255" spans="1:3" hidden="1">
      <c r="A255" s="201" t="s">
        <v>111</v>
      </c>
      <c r="B255" s="121">
        <v>1000</v>
      </c>
      <c r="C255" s="121">
        <v>25500000</v>
      </c>
    </row>
    <row r="256" spans="1:3" hidden="1">
      <c r="A256" s="201" t="s">
        <v>679</v>
      </c>
      <c r="B256" s="121">
        <v>500</v>
      </c>
      <c r="C256" s="121">
        <v>19400000</v>
      </c>
    </row>
    <row r="257" spans="1:3" hidden="1">
      <c r="A257" s="119" t="s">
        <v>18</v>
      </c>
      <c r="B257" s="121">
        <v>2000</v>
      </c>
      <c r="C257" s="121">
        <v>52275000</v>
      </c>
    </row>
    <row r="258" spans="1:3" hidden="1">
      <c r="A258" s="120" t="s">
        <v>917</v>
      </c>
      <c r="B258" s="121">
        <v>1000</v>
      </c>
      <c r="C258" s="121">
        <v>25500000</v>
      </c>
    </row>
    <row r="259" spans="1:3" hidden="1">
      <c r="A259" s="201" t="s">
        <v>111</v>
      </c>
      <c r="B259" s="121">
        <v>1000</v>
      </c>
      <c r="C259" s="121">
        <v>25500000</v>
      </c>
    </row>
    <row r="260" spans="1:3" hidden="1">
      <c r="A260" s="120" t="s">
        <v>1195</v>
      </c>
      <c r="B260" s="121">
        <v>1000</v>
      </c>
      <c r="C260" s="121">
        <v>26775000</v>
      </c>
    </row>
    <row r="261" spans="1:3" hidden="1">
      <c r="A261" s="201" t="s">
        <v>111</v>
      </c>
      <c r="B261" s="121">
        <v>1000</v>
      </c>
      <c r="C261" s="121">
        <v>26775000</v>
      </c>
    </row>
    <row r="262" spans="1:3" hidden="1">
      <c r="A262" s="119" t="s">
        <v>148</v>
      </c>
      <c r="B262" s="121">
        <v>256</v>
      </c>
      <c r="C262" s="121">
        <v>71680000</v>
      </c>
    </row>
    <row r="263" spans="1:3" hidden="1">
      <c r="A263" s="120" t="s">
        <v>1065</v>
      </c>
      <c r="B263" s="121">
        <v>18</v>
      </c>
      <c r="C263" s="121">
        <v>5040000</v>
      </c>
    </row>
    <row r="264" spans="1:3" hidden="1">
      <c r="A264" s="201" t="s">
        <v>221</v>
      </c>
      <c r="B264" s="121">
        <v>18</v>
      </c>
      <c r="C264" s="121">
        <v>5040000</v>
      </c>
    </row>
    <row r="265" spans="1:3" hidden="1">
      <c r="A265" s="120" t="s">
        <v>1066</v>
      </c>
      <c r="B265" s="121">
        <v>86</v>
      </c>
      <c r="C265" s="121">
        <v>24080000</v>
      </c>
    </row>
    <row r="266" spans="1:3" hidden="1">
      <c r="A266" s="201" t="s">
        <v>221</v>
      </c>
      <c r="B266" s="121">
        <v>86</v>
      </c>
      <c r="C266" s="121">
        <v>24080000</v>
      </c>
    </row>
    <row r="267" spans="1:3" hidden="1">
      <c r="A267" s="120" t="s">
        <v>1099</v>
      </c>
      <c r="B267" s="121">
        <v>116</v>
      </c>
      <c r="C267" s="121">
        <v>32480000</v>
      </c>
    </row>
    <row r="268" spans="1:3" hidden="1">
      <c r="A268" s="201" t="s">
        <v>221</v>
      </c>
      <c r="B268" s="121">
        <v>116</v>
      </c>
      <c r="C268" s="121">
        <v>32480000</v>
      </c>
    </row>
    <row r="269" spans="1:3" hidden="1">
      <c r="A269" s="120" t="s">
        <v>1172</v>
      </c>
      <c r="B269" s="121">
        <v>23</v>
      </c>
      <c r="C269" s="121">
        <v>6440000</v>
      </c>
    </row>
    <row r="270" spans="1:3" hidden="1">
      <c r="A270" s="201" t="s">
        <v>221</v>
      </c>
      <c r="B270" s="121">
        <v>23</v>
      </c>
      <c r="C270" s="121">
        <v>6440000</v>
      </c>
    </row>
    <row r="271" spans="1:3" hidden="1">
      <c r="A271" s="120" t="s">
        <v>1173</v>
      </c>
      <c r="B271" s="121">
        <v>13</v>
      </c>
      <c r="C271" s="121">
        <v>3640000</v>
      </c>
    </row>
    <row r="272" spans="1:3" hidden="1">
      <c r="A272" s="201" t="s">
        <v>221</v>
      </c>
      <c r="B272" s="121">
        <v>13</v>
      </c>
      <c r="C272" s="121">
        <v>3640000</v>
      </c>
    </row>
    <row r="273" spans="1:3" hidden="1">
      <c r="A273" s="119" t="s">
        <v>391</v>
      </c>
      <c r="B273" s="121">
        <v>560</v>
      </c>
      <c r="C273" s="121">
        <v>31080000</v>
      </c>
    </row>
    <row r="274" spans="1:3" hidden="1">
      <c r="A274" s="120" t="s">
        <v>819</v>
      </c>
      <c r="B274" s="121">
        <v>300</v>
      </c>
      <c r="C274" s="121">
        <v>16650000</v>
      </c>
    </row>
    <row r="275" spans="1:3" hidden="1">
      <c r="A275" s="201" t="s">
        <v>772</v>
      </c>
      <c r="B275" s="121">
        <v>300</v>
      </c>
      <c r="C275" s="121">
        <v>16650000</v>
      </c>
    </row>
    <row r="276" spans="1:3" hidden="1">
      <c r="A276" s="120" t="s">
        <v>1008</v>
      </c>
      <c r="B276" s="121">
        <v>260</v>
      </c>
      <c r="C276" s="121">
        <v>14430000</v>
      </c>
    </row>
    <row r="277" spans="1:3" hidden="1">
      <c r="A277" s="201" t="s">
        <v>772</v>
      </c>
      <c r="B277" s="121">
        <v>260</v>
      </c>
      <c r="C277" s="121">
        <v>14430000</v>
      </c>
    </row>
    <row r="278" spans="1:3" hidden="1">
      <c r="A278" s="119" t="s">
        <v>174</v>
      </c>
      <c r="B278" s="121">
        <v>17000</v>
      </c>
      <c r="C278" s="121">
        <v>268000000</v>
      </c>
    </row>
    <row r="279" spans="1:3" hidden="1">
      <c r="A279" s="120" t="s">
        <v>832</v>
      </c>
      <c r="B279" s="121">
        <v>4000</v>
      </c>
      <c r="C279" s="121">
        <v>62000000</v>
      </c>
    </row>
    <row r="280" spans="1:3" hidden="1">
      <c r="A280" s="201" t="s">
        <v>795</v>
      </c>
      <c r="B280" s="121">
        <v>4000</v>
      </c>
      <c r="C280" s="121">
        <v>62000000</v>
      </c>
    </row>
    <row r="281" spans="1:3" hidden="1">
      <c r="A281" s="120" t="s">
        <v>931</v>
      </c>
      <c r="B281" s="121">
        <v>3000</v>
      </c>
      <c r="C281" s="121">
        <v>46500000</v>
      </c>
    </row>
    <row r="282" spans="1:3" hidden="1">
      <c r="A282" s="201" t="s">
        <v>795</v>
      </c>
      <c r="B282" s="121">
        <v>3000</v>
      </c>
      <c r="C282" s="121">
        <v>46500000</v>
      </c>
    </row>
    <row r="283" spans="1:3" hidden="1">
      <c r="A283" s="120" t="s">
        <v>950</v>
      </c>
      <c r="B283" s="121">
        <v>2000</v>
      </c>
      <c r="C283" s="121">
        <v>35500000</v>
      </c>
    </row>
    <row r="284" spans="1:3" hidden="1">
      <c r="A284" s="201" t="s">
        <v>194</v>
      </c>
      <c r="B284" s="121">
        <v>2000</v>
      </c>
      <c r="C284" s="121">
        <v>35500000</v>
      </c>
    </row>
    <row r="285" spans="1:3" hidden="1">
      <c r="A285" s="120" t="s">
        <v>1021</v>
      </c>
      <c r="B285" s="121">
        <v>8000</v>
      </c>
      <c r="C285" s="121">
        <v>124000000</v>
      </c>
    </row>
    <row r="286" spans="1:3" hidden="1">
      <c r="A286" s="201" t="s">
        <v>795</v>
      </c>
      <c r="B286" s="121">
        <v>8000</v>
      </c>
      <c r="C286" s="121">
        <v>124000000</v>
      </c>
    </row>
    <row r="287" spans="1:3" hidden="1">
      <c r="A287" s="119" t="s">
        <v>219</v>
      </c>
      <c r="B287" s="121">
        <v>1206</v>
      </c>
      <c r="C287" s="121">
        <v>25084295</v>
      </c>
    </row>
    <row r="288" spans="1:3" hidden="1">
      <c r="A288" s="120" t="s">
        <v>1029</v>
      </c>
      <c r="B288" s="121">
        <v>5</v>
      </c>
      <c r="C288" s="121">
        <v>233295</v>
      </c>
    </row>
    <row r="289" spans="1:3" hidden="1">
      <c r="A289" s="201" t="s">
        <v>593</v>
      </c>
      <c r="B289" s="121">
        <v>5</v>
      </c>
      <c r="C289" s="121">
        <v>233295</v>
      </c>
    </row>
    <row r="290" spans="1:3" hidden="1">
      <c r="A290" s="120" t="s">
        <v>1047</v>
      </c>
      <c r="B290" s="121">
        <v>1200</v>
      </c>
      <c r="C290" s="121">
        <v>24696000</v>
      </c>
    </row>
    <row r="291" spans="1:3" hidden="1">
      <c r="A291" s="201" t="s">
        <v>194</v>
      </c>
      <c r="B291" s="121">
        <v>1200</v>
      </c>
      <c r="C291" s="121">
        <v>24696000</v>
      </c>
    </row>
    <row r="292" spans="1:3" hidden="1">
      <c r="A292" s="120" t="s">
        <v>1198</v>
      </c>
      <c r="B292" s="121">
        <v>1</v>
      </c>
      <c r="C292" s="121">
        <v>155000</v>
      </c>
    </row>
    <row r="293" spans="1:3" hidden="1">
      <c r="A293" s="201" t="s">
        <v>766</v>
      </c>
      <c r="B293" s="121">
        <v>1</v>
      </c>
      <c r="C293" s="121">
        <v>155000</v>
      </c>
    </row>
    <row r="294" spans="1:3" hidden="1">
      <c r="A294" s="119" t="s">
        <v>376</v>
      </c>
      <c r="B294" s="121">
        <v>3630</v>
      </c>
      <c r="C294" s="121">
        <v>122284000</v>
      </c>
    </row>
    <row r="295" spans="1:3" hidden="1">
      <c r="A295" s="120" t="s">
        <v>979</v>
      </c>
      <c r="B295" s="121">
        <v>2285</v>
      </c>
      <c r="C295" s="121">
        <v>87340000</v>
      </c>
    </row>
    <row r="296" spans="1:3" hidden="1">
      <c r="A296" s="201" t="s">
        <v>980</v>
      </c>
      <c r="B296" s="121">
        <v>500</v>
      </c>
      <c r="C296" s="121">
        <v>26500000</v>
      </c>
    </row>
    <row r="297" spans="1:3" hidden="1">
      <c r="A297" s="201" t="s">
        <v>111</v>
      </c>
      <c r="B297" s="121">
        <v>1500</v>
      </c>
      <c r="C297" s="121">
        <v>3840000</v>
      </c>
    </row>
    <row r="298" spans="1:3" hidden="1">
      <c r="A298" s="201" t="s">
        <v>789</v>
      </c>
      <c r="B298" s="121">
        <v>260</v>
      </c>
      <c r="C298" s="121">
        <v>52000000</v>
      </c>
    </row>
    <row r="299" spans="1:3" hidden="1">
      <c r="A299" s="201" t="s">
        <v>778</v>
      </c>
      <c r="B299" s="121">
        <v>25</v>
      </c>
      <c r="C299" s="121">
        <v>5000000</v>
      </c>
    </row>
    <row r="300" spans="1:3" hidden="1">
      <c r="A300" s="120" t="s">
        <v>982</v>
      </c>
      <c r="B300" s="121">
        <v>45</v>
      </c>
      <c r="C300" s="121">
        <v>0</v>
      </c>
    </row>
    <row r="301" spans="1:3" hidden="1">
      <c r="A301" s="201" t="s">
        <v>843</v>
      </c>
      <c r="B301" s="121">
        <v>45</v>
      </c>
      <c r="C301" s="121">
        <v>0</v>
      </c>
    </row>
    <row r="302" spans="1:3" hidden="1">
      <c r="A302" s="120" t="s">
        <v>1185</v>
      </c>
      <c r="B302" s="121">
        <v>1300</v>
      </c>
      <c r="C302" s="121">
        <v>34944000</v>
      </c>
    </row>
    <row r="303" spans="1:3" hidden="1">
      <c r="A303" s="201" t="s">
        <v>111</v>
      </c>
      <c r="B303" s="121">
        <v>1300</v>
      </c>
      <c r="C303" s="121">
        <v>34944000</v>
      </c>
    </row>
    <row r="304" spans="1:3" hidden="1">
      <c r="A304" s="119" t="s">
        <v>751</v>
      </c>
      <c r="B304" s="121">
        <v>3875</v>
      </c>
      <c r="C304" s="121">
        <v>205368500</v>
      </c>
    </row>
    <row r="305" spans="1:3" hidden="1">
      <c r="A305" s="120" t="s">
        <v>818</v>
      </c>
      <c r="B305" s="121">
        <v>175</v>
      </c>
      <c r="C305" s="121">
        <v>23150000</v>
      </c>
    </row>
    <row r="306" spans="1:3" hidden="1">
      <c r="A306" s="201" t="s">
        <v>768</v>
      </c>
      <c r="B306" s="121">
        <v>175</v>
      </c>
      <c r="C306" s="121">
        <v>23150000</v>
      </c>
    </row>
    <row r="307" spans="1:3" hidden="1">
      <c r="A307" s="120" t="s">
        <v>820</v>
      </c>
      <c r="B307" s="121">
        <v>100</v>
      </c>
      <c r="C307" s="121">
        <v>5292000</v>
      </c>
    </row>
    <row r="308" spans="1:3" hidden="1">
      <c r="A308" s="201" t="s">
        <v>767</v>
      </c>
      <c r="B308" s="121">
        <v>100</v>
      </c>
      <c r="C308" s="121">
        <v>5292000</v>
      </c>
    </row>
    <row r="309" spans="1:3" hidden="1">
      <c r="A309" s="120" t="s">
        <v>836</v>
      </c>
      <c r="B309" s="121">
        <v>200</v>
      </c>
      <c r="C309" s="121">
        <v>26460000</v>
      </c>
    </row>
    <row r="310" spans="1:3" hidden="1">
      <c r="A310" s="201" t="s">
        <v>768</v>
      </c>
      <c r="B310" s="121">
        <v>200</v>
      </c>
      <c r="C310" s="121">
        <v>26460000</v>
      </c>
    </row>
    <row r="311" spans="1:3" hidden="1">
      <c r="A311" s="120" t="s">
        <v>862</v>
      </c>
      <c r="B311" s="121">
        <v>1000</v>
      </c>
      <c r="C311" s="121">
        <v>34500000</v>
      </c>
    </row>
    <row r="312" spans="1:3" hidden="1">
      <c r="A312" s="201" t="s">
        <v>788</v>
      </c>
      <c r="B312" s="121">
        <v>1000</v>
      </c>
      <c r="C312" s="121">
        <v>34500000</v>
      </c>
    </row>
    <row r="313" spans="1:3" hidden="1">
      <c r="A313" s="120" t="s">
        <v>908</v>
      </c>
      <c r="B313" s="121">
        <v>75</v>
      </c>
      <c r="C313" s="121">
        <v>3969000</v>
      </c>
    </row>
    <row r="314" spans="1:3" hidden="1">
      <c r="A314" s="201" t="s">
        <v>767</v>
      </c>
      <c r="B314" s="121">
        <v>75</v>
      </c>
      <c r="C314" s="121">
        <v>3969000</v>
      </c>
    </row>
    <row r="315" spans="1:3" hidden="1">
      <c r="A315" s="120" t="s">
        <v>969</v>
      </c>
      <c r="B315" s="121">
        <v>2000</v>
      </c>
      <c r="C315" s="121">
        <v>69000000</v>
      </c>
    </row>
    <row r="316" spans="1:3" hidden="1">
      <c r="A316" s="201" t="s">
        <v>788</v>
      </c>
      <c r="B316" s="121">
        <v>2000</v>
      </c>
      <c r="C316" s="121">
        <v>69000000</v>
      </c>
    </row>
    <row r="317" spans="1:3" hidden="1">
      <c r="A317" s="120" t="s">
        <v>990</v>
      </c>
      <c r="B317" s="121">
        <v>125</v>
      </c>
      <c r="C317" s="121">
        <v>16537500</v>
      </c>
    </row>
    <row r="318" spans="1:3" hidden="1">
      <c r="A318" s="201" t="s">
        <v>768</v>
      </c>
      <c r="B318" s="121">
        <v>125</v>
      </c>
      <c r="C318" s="121">
        <v>16537500</v>
      </c>
    </row>
    <row r="319" spans="1:3" hidden="1">
      <c r="A319" s="120" t="s">
        <v>1042</v>
      </c>
      <c r="B319" s="121">
        <v>200</v>
      </c>
      <c r="C319" s="121">
        <v>26460000</v>
      </c>
    </row>
    <row r="320" spans="1:3" hidden="1">
      <c r="A320" s="201" t="s">
        <v>768</v>
      </c>
      <c r="B320" s="121">
        <v>200</v>
      </c>
      <c r="C320" s="121">
        <v>26460000</v>
      </c>
    </row>
    <row r="321" spans="1:3" hidden="1">
      <c r="A321" s="119" t="s">
        <v>372</v>
      </c>
      <c r="B321" s="121">
        <v>124</v>
      </c>
      <c r="C321" s="121">
        <v>17540000</v>
      </c>
    </row>
    <row r="322" spans="1:3" hidden="1">
      <c r="A322" s="120" t="s">
        <v>834</v>
      </c>
      <c r="B322" s="121">
        <v>100</v>
      </c>
      <c r="C322" s="121">
        <v>5600000</v>
      </c>
    </row>
    <row r="323" spans="1:3" hidden="1">
      <c r="A323" s="201" t="s">
        <v>188</v>
      </c>
      <c r="B323" s="121">
        <v>100</v>
      </c>
      <c r="C323" s="121">
        <v>5600000</v>
      </c>
    </row>
    <row r="324" spans="1:3" hidden="1">
      <c r="A324" s="120" t="s">
        <v>861</v>
      </c>
      <c r="B324" s="121">
        <v>24</v>
      </c>
      <c r="C324" s="121">
        <v>11940000</v>
      </c>
    </row>
    <row r="325" spans="1:3" hidden="1">
      <c r="A325" s="201" t="s">
        <v>207</v>
      </c>
      <c r="B325" s="121">
        <v>24</v>
      </c>
      <c r="C325" s="121">
        <v>11940000</v>
      </c>
    </row>
    <row r="326" spans="1:3" hidden="1">
      <c r="A326" s="119" t="s">
        <v>371</v>
      </c>
      <c r="B326" s="121">
        <v>150</v>
      </c>
      <c r="C326" s="121">
        <v>31590000</v>
      </c>
    </row>
    <row r="327" spans="1:3" hidden="1">
      <c r="A327" s="120" t="s">
        <v>898</v>
      </c>
      <c r="B327" s="121">
        <v>30</v>
      </c>
      <c r="C327" s="121">
        <v>3150000</v>
      </c>
    </row>
    <row r="328" spans="1:3" hidden="1">
      <c r="A328" s="201" t="s">
        <v>792</v>
      </c>
      <c r="B328" s="121">
        <v>30</v>
      </c>
      <c r="C328" s="121">
        <v>3150000</v>
      </c>
    </row>
    <row r="329" spans="1:3" hidden="1">
      <c r="A329" s="120" t="s">
        <v>1063</v>
      </c>
      <c r="B329" s="121">
        <v>40</v>
      </c>
      <c r="C329" s="121">
        <v>20040000</v>
      </c>
    </row>
    <row r="330" spans="1:3" hidden="1">
      <c r="A330" s="201" t="s">
        <v>207</v>
      </c>
      <c r="B330" s="121">
        <v>40</v>
      </c>
      <c r="C330" s="121">
        <v>20040000</v>
      </c>
    </row>
    <row r="331" spans="1:3" hidden="1">
      <c r="A331" s="120" t="s">
        <v>1096</v>
      </c>
      <c r="B331" s="121">
        <v>50</v>
      </c>
      <c r="C331" s="121">
        <v>5250000</v>
      </c>
    </row>
    <row r="332" spans="1:3" hidden="1">
      <c r="A332" s="201" t="s">
        <v>792</v>
      </c>
      <c r="B332" s="121">
        <v>50</v>
      </c>
      <c r="C332" s="121">
        <v>5250000</v>
      </c>
    </row>
    <row r="333" spans="1:3" hidden="1">
      <c r="A333" s="120" t="s">
        <v>1110</v>
      </c>
      <c r="B333" s="121">
        <v>30</v>
      </c>
      <c r="C333" s="121">
        <v>3150000</v>
      </c>
    </row>
    <row r="334" spans="1:3" hidden="1">
      <c r="A334" s="201" t="s">
        <v>792</v>
      </c>
      <c r="B334" s="121">
        <v>30</v>
      </c>
      <c r="C334" s="121">
        <v>3150000</v>
      </c>
    </row>
    <row r="335" spans="1:3" hidden="1">
      <c r="A335" s="119" t="s">
        <v>169</v>
      </c>
      <c r="B335" s="121">
        <v>7800</v>
      </c>
      <c r="C335" s="121">
        <v>183710000</v>
      </c>
    </row>
    <row r="336" spans="1:3" hidden="1">
      <c r="A336" s="120" t="s">
        <v>860</v>
      </c>
      <c r="B336" s="121">
        <v>500</v>
      </c>
      <c r="C336" s="121">
        <v>12750000</v>
      </c>
    </row>
    <row r="337" spans="1:3" hidden="1">
      <c r="A337" s="201" t="s">
        <v>212</v>
      </c>
      <c r="B337" s="121">
        <v>500</v>
      </c>
      <c r="C337" s="121">
        <v>12750000</v>
      </c>
    </row>
    <row r="338" spans="1:3" hidden="1">
      <c r="A338" s="120" t="s">
        <v>941</v>
      </c>
      <c r="B338" s="121">
        <v>3600</v>
      </c>
      <c r="C338" s="121">
        <v>91800000</v>
      </c>
    </row>
    <row r="339" spans="1:3" hidden="1">
      <c r="A339" s="201" t="s">
        <v>212</v>
      </c>
      <c r="B339" s="121">
        <v>600</v>
      </c>
      <c r="C339" s="121">
        <v>15300000</v>
      </c>
    </row>
    <row r="340" spans="1:3" hidden="1">
      <c r="A340" s="201" t="s">
        <v>111</v>
      </c>
      <c r="B340" s="121">
        <v>3000</v>
      </c>
      <c r="C340" s="121">
        <v>76500000</v>
      </c>
    </row>
    <row r="341" spans="1:3" hidden="1">
      <c r="A341" s="120" t="s">
        <v>956</v>
      </c>
      <c r="B341" s="121">
        <v>200</v>
      </c>
      <c r="C341" s="121">
        <v>3640000</v>
      </c>
    </row>
    <row r="342" spans="1:3" hidden="1">
      <c r="A342" s="201" t="s">
        <v>194</v>
      </c>
      <c r="B342" s="121">
        <v>200</v>
      </c>
      <c r="C342" s="121">
        <v>3640000</v>
      </c>
    </row>
    <row r="343" spans="1:3" hidden="1">
      <c r="A343" s="120" t="s">
        <v>970</v>
      </c>
      <c r="B343" s="121">
        <v>2500</v>
      </c>
      <c r="C343" s="121">
        <v>45500000</v>
      </c>
    </row>
    <row r="344" spans="1:3" hidden="1">
      <c r="A344" s="201" t="s">
        <v>194</v>
      </c>
      <c r="B344" s="121">
        <v>2500</v>
      </c>
      <c r="C344" s="121">
        <v>45500000</v>
      </c>
    </row>
    <row r="345" spans="1:3" hidden="1">
      <c r="A345" s="120" t="s">
        <v>1022</v>
      </c>
      <c r="B345" s="121">
        <v>200</v>
      </c>
      <c r="C345" s="121">
        <v>14000000</v>
      </c>
    </row>
    <row r="346" spans="1:3" hidden="1">
      <c r="A346" s="201" t="s">
        <v>151</v>
      </c>
      <c r="B346" s="121">
        <v>200</v>
      </c>
      <c r="C346" s="121">
        <v>14000000</v>
      </c>
    </row>
    <row r="347" spans="1:3" hidden="1">
      <c r="A347" s="120" t="s">
        <v>1056</v>
      </c>
      <c r="B347" s="121">
        <v>400</v>
      </c>
      <c r="C347" s="121">
        <v>8740000</v>
      </c>
    </row>
    <row r="348" spans="1:3" hidden="1">
      <c r="A348" s="201" t="s">
        <v>194</v>
      </c>
      <c r="B348" s="121">
        <v>200</v>
      </c>
      <c r="C348" s="121">
        <v>3640000</v>
      </c>
    </row>
    <row r="349" spans="1:3" hidden="1">
      <c r="A349" s="201" t="s">
        <v>111</v>
      </c>
      <c r="B349" s="121">
        <v>200</v>
      </c>
      <c r="C349" s="121">
        <v>5100000</v>
      </c>
    </row>
    <row r="350" spans="1:3" hidden="1">
      <c r="A350" s="120" t="s">
        <v>1124</v>
      </c>
      <c r="B350" s="121">
        <v>400</v>
      </c>
      <c r="C350" s="121">
        <v>7280000</v>
      </c>
    </row>
    <row r="351" spans="1:3" hidden="1">
      <c r="A351" s="201" t="s">
        <v>194</v>
      </c>
      <c r="B351" s="121">
        <v>400</v>
      </c>
      <c r="C351" s="121">
        <v>7280000</v>
      </c>
    </row>
    <row r="352" spans="1:3" hidden="1">
      <c r="A352" s="119" t="s">
        <v>45</v>
      </c>
      <c r="B352" s="121">
        <v>21</v>
      </c>
      <c r="C352" s="121">
        <v>2683300</v>
      </c>
    </row>
    <row r="353" spans="1:3" hidden="1">
      <c r="A353" s="120" t="s">
        <v>1107</v>
      </c>
      <c r="B353" s="121">
        <v>5</v>
      </c>
      <c r="C353" s="121">
        <v>850000</v>
      </c>
    </row>
    <row r="354" spans="1:3" hidden="1">
      <c r="A354" s="201" t="s">
        <v>161</v>
      </c>
      <c r="B354" s="121">
        <v>5</v>
      </c>
      <c r="C354" s="121">
        <v>850000</v>
      </c>
    </row>
    <row r="355" spans="1:3" hidden="1">
      <c r="A355" s="120" t="s">
        <v>1143</v>
      </c>
      <c r="B355" s="121">
        <v>16</v>
      </c>
      <c r="C355" s="121">
        <v>1833300</v>
      </c>
    </row>
    <row r="356" spans="1:3" hidden="1">
      <c r="A356" s="201" t="s">
        <v>188</v>
      </c>
      <c r="B356" s="121">
        <v>10</v>
      </c>
      <c r="C356" s="121">
        <v>568500</v>
      </c>
    </row>
    <row r="357" spans="1:3" hidden="1">
      <c r="A357" s="201" t="s">
        <v>1027</v>
      </c>
      <c r="B357" s="121">
        <v>6</v>
      </c>
      <c r="C357" s="121">
        <v>1264800</v>
      </c>
    </row>
    <row r="358" spans="1:3" hidden="1">
      <c r="A358" s="119" t="s">
        <v>154</v>
      </c>
      <c r="B358" s="121">
        <v>2025</v>
      </c>
      <c r="C358" s="121">
        <v>33725000</v>
      </c>
    </row>
    <row r="359" spans="1:3" hidden="1">
      <c r="A359" s="120" t="s">
        <v>835</v>
      </c>
      <c r="B359" s="121">
        <v>2025</v>
      </c>
      <c r="C359" s="121">
        <v>33725000</v>
      </c>
    </row>
    <row r="360" spans="1:3" hidden="1">
      <c r="A360" s="201" t="s">
        <v>795</v>
      </c>
      <c r="B360" s="121">
        <v>2000</v>
      </c>
      <c r="C360" s="121">
        <v>32000000</v>
      </c>
    </row>
    <row r="361" spans="1:3" hidden="1">
      <c r="A361" s="201" t="s">
        <v>767</v>
      </c>
      <c r="B361" s="121">
        <v>25</v>
      </c>
      <c r="C361" s="121">
        <v>1725000</v>
      </c>
    </row>
    <row r="362" spans="1:3" hidden="1">
      <c r="A362" s="119" t="s">
        <v>369</v>
      </c>
      <c r="B362" s="121">
        <v>208</v>
      </c>
      <c r="C362" s="121">
        <v>11544000</v>
      </c>
    </row>
    <row r="363" spans="1:3" hidden="1">
      <c r="A363" s="120" t="s">
        <v>919</v>
      </c>
      <c r="B363" s="121">
        <v>48</v>
      </c>
      <c r="C363" s="121">
        <v>2664000</v>
      </c>
    </row>
    <row r="364" spans="1:3" hidden="1">
      <c r="A364" s="201" t="s">
        <v>772</v>
      </c>
      <c r="B364" s="121">
        <v>48</v>
      </c>
      <c r="C364" s="121">
        <v>2664000</v>
      </c>
    </row>
    <row r="365" spans="1:3" hidden="1">
      <c r="A365" s="120" t="s">
        <v>1111</v>
      </c>
      <c r="B365" s="121">
        <v>160</v>
      </c>
      <c r="C365" s="121">
        <v>8880000</v>
      </c>
    </row>
    <row r="366" spans="1:3" hidden="1">
      <c r="A366" s="201" t="s">
        <v>772</v>
      </c>
      <c r="B366" s="121">
        <v>160</v>
      </c>
      <c r="C366" s="121">
        <v>8880000</v>
      </c>
    </row>
    <row r="367" spans="1:3" hidden="1">
      <c r="A367" s="119" t="s">
        <v>52</v>
      </c>
      <c r="B367" s="121">
        <v>7870</v>
      </c>
      <c r="C367" s="121">
        <v>314075000</v>
      </c>
    </row>
    <row r="368" spans="1:3" hidden="1">
      <c r="A368" s="120" t="s">
        <v>813</v>
      </c>
      <c r="B368" s="121">
        <v>50</v>
      </c>
      <c r="C368" s="121">
        <v>3375000</v>
      </c>
    </row>
    <row r="369" spans="1:3" hidden="1">
      <c r="A369" s="201" t="s">
        <v>814</v>
      </c>
      <c r="B369" s="121">
        <v>50</v>
      </c>
      <c r="C369" s="121">
        <v>3375000</v>
      </c>
    </row>
    <row r="370" spans="1:3" hidden="1">
      <c r="A370" s="120" t="s">
        <v>815</v>
      </c>
      <c r="B370" s="121">
        <v>100</v>
      </c>
      <c r="C370" s="121">
        <v>5550000</v>
      </c>
    </row>
    <row r="371" spans="1:3" hidden="1">
      <c r="A371" s="201" t="s">
        <v>772</v>
      </c>
      <c r="B371" s="121">
        <v>100</v>
      </c>
      <c r="C371" s="121">
        <v>5550000</v>
      </c>
    </row>
    <row r="372" spans="1:3" hidden="1">
      <c r="A372" s="120" t="s">
        <v>821</v>
      </c>
      <c r="B372" s="121">
        <v>270</v>
      </c>
      <c r="C372" s="121">
        <v>30025000</v>
      </c>
    </row>
    <row r="373" spans="1:3" hidden="1">
      <c r="A373" s="201" t="s">
        <v>792</v>
      </c>
      <c r="B373" s="121">
        <v>100</v>
      </c>
      <c r="C373" s="121">
        <v>10600000</v>
      </c>
    </row>
    <row r="374" spans="1:3" hidden="1">
      <c r="A374" s="201" t="s">
        <v>357</v>
      </c>
      <c r="B374" s="121">
        <v>50</v>
      </c>
      <c r="C374" s="121">
        <v>2325000</v>
      </c>
    </row>
    <row r="375" spans="1:3" hidden="1">
      <c r="A375" s="201" t="s">
        <v>769</v>
      </c>
      <c r="B375" s="121">
        <v>120</v>
      </c>
      <c r="C375" s="121">
        <v>17100000</v>
      </c>
    </row>
    <row r="376" spans="1:3" hidden="1">
      <c r="A376" s="120" t="s">
        <v>822</v>
      </c>
      <c r="B376" s="121">
        <v>100</v>
      </c>
      <c r="C376" s="121">
        <v>0</v>
      </c>
    </row>
    <row r="377" spans="1:3" hidden="1">
      <c r="A377" s="201" t="s">
        <v>792</v>
      </c>
      <c r="B377" s="121">
        <v>100</v>
      </c>
      <c r="C377" s="121">
        <v>0</v>
      </c>
    </row>
    <row r="378" spans="1:3" hidden="1">
      <c r="A378" s="120" t="s">
        <v>824</v>
      </c>
      <c r="B378" s="121">
        <v>200</v>
      </c>
      <c r="C378" s="121">
        <v>21200000</v>
      </c>
    </row>
    <row r="379" spans="1:3" hidden="1">
      <c r="A379" s="201" t="s">
        <v>792</v>
      </c>
      <c r="B379" s="121">
        <v>200</v>
      </c>
      <c r="C379" s="121">
        <v>21200000</v>
      </c>
    </row>
    <row r="380" spans="1:3" hidden="1">
      <c r="A380" s="120" t="s">
        <v>909</v>
      </c>
      <c r="B380" s="121">
        <v>50</v>
      </c>
      <c r="C380" s="121">
        <v>2775000</v>
      </c>
    </row>
    <row r="381" spans="1:3" hidden="1">
      <c r="A381" s="201" t="s">
        <v>772</v>
      </c>
      <c r="B381" s="121">
        <v>50</v>
      </c>
      <c r="C381" s="121">
        <v>2775000</v>
      </c>
    </row>
    <row r="382" spans="1:3" hidden="1">
      <c r="A382" s="120" t="s">
        <v>912</v>
      </c>
      <c r="B382" s="121">
        <v>50</v>
      </c>
      <c r="C382" s="121">
        <v>3375000</v>
      </c>
    </row>
    <row r="383" spans="1:3" hidden="1">
      <c r="A383" s="201" t="s">
        <v>814</v>
      </c>
      <c r="B383" s="121">
        <v>50</v>
      </c>
      <c r="C383" s="121">
        <v>3375000</v>
      </c>
    </row>
    <row r="384" spans="1:3" hidden="1">
      <c r="A384" s="120" t="s">
        <v>968</v>
      </c>
      <c r="B384" s="121">
        <v>50</v>
      </c>
      <c r="C384" s="121">
        <v>2775000</v>
      </c>
    </row>
    <row r="385" spans="1:3" hidden="1">
      <c r="A385" s="201" t="s">
        <v>772</v>
      </c>
      <c r="B385" s="121">
        <v>50</v>
      </c>
      <c r="C385" s="121">
        <v>2775000</v>
      </c>
    </row>
    <row r="386" spans="1:3" hidden="1">
      <c r="A386" s="120" t="s">
        <v>1071</v>
      </c>
      <c r="B386" s="121">
        <v>7000</v>
      </c>
      <c r="C386" s="121">
        <v>245000000</v>
      </c>
    </row>
    <row r="387" spans="1:3" hidden="1">
      <c r="A387" s="201" t="s">
        <v>679</v>
      </c>
      <c r="B387" s="121">
        <v>7000</v>
      </c>
      <c r="C387" s="121">
        <v>245000000</v>
      </c>
    </row>
    <row r="388" spans="1:3" hidden="1">
      <c r="A388" s="119" t="s">
        <v>146</v>
      </c>
      <c r="B388" s="121">
        <v>6075</v>
      </c>
      <c r="C388" s="121">
        <v>185432500</v>
      </c>
    </row>
    <row r="389" spans="1:3" hidden="1">
      <c r="A389" s="120" t="s">
        <v>811</v>
      </c>
      <c r="B389" s="121">
        <v>700</v>
      </c>
      <c r="C389" s="121">
        <v>80570000</v>
      </c>
    </row>
    <row r="390" spans="1:3" hidden="1">
      <c r="A390" s="201" t="s">
        <v>679</v>
      </c>
      <c r="B390" s="121">
        <v>350</v>
      </c>
      <c r="C390" s="121">
        <v>12250000</v>
      </c>
    </row>
    <row r="391" spans="1:3" hidden="1">
      <c r="A391" s="201" t="s">
        <v>778</v>
      </c>
      <c r="B391" s="121">
        <v>350</v>
      </c>
      <c r="C391" s="121">
        <v>68320000</v>
      </c>
    </row>
    <row r="392" spans="1:3" hidden="1">
      <c r="A392" s="120" t="s">
        <v>857</v>
      </c>
      <c r="B392" s="121">
        <v>5375</v>
      </c>
      <c r="C392" s="121">
        <v>104862500</v>
      </c>
    </row>
    <row r="393" spans="1:3" hidden="1">
      <c r="A393" s="201" t="s">
        <v>795</v>
      </c>
      <c r="B393" s="121">
        <v>4000</v>
      </c>
      <c r="C393" s="121">
        <v>62000000</v>
      </c>
    </row>
    <row r="394" spans="1:3" hidden="1">
      <c r="A394" s="201" t="s">
        <v>111</v>
      </c>
      <c r="B394" s="121">
        <v>500</v>
      </c>
      <c r="C394" s="121">
        <v>16750000</v>
      </c>
    </row>
    <row r="395" spans="1:3" hidden="1">
      <c r="A395" s="201" t="s">
        <v>679</v>
      </c>
      <c r="B395" s="121">
        <v>400</v>
      </c>
      <c r="C395" s="121">
        <v>14000000</v>
      </c>
    </row>
    <row r="396" spans="1:3" hidden="1">
      <c r="A396" s="201" t="s">
        <v>779</v>
      </c>
      <c r="B396" s="121">
        <v>475</v>
      </c>
      <c r="C396" s="121">
        <v>12112500</v>
      </c>
    </row>
    <row r="397" spans="1:3" hidden="1">
      <c r="A397" s="119" t="s">
        <v>734</v>
      </c>
      <c r="B397" s="121">
        <v>35.5</v>
      </c>
      <c r="C397" s="121">
        <v>3299908</v>
      </c>
    </row>
    <row r="398" spans="1:3" hidden="1">
      <c r="A398" s="120" t="s">
        <v>877</v>
      </c>
      <c r="B398" s="121">
        <v>23.5</v>
      </c>
      <c r="C398" s="121">
        <v>2740000</v>
      </c>
    </row>
    <row r="399" spans="1:3" hidden="1">
      <c r="A399" s="201" t="s">
        <v>230</v>
      </c>
      <c r="B399" s="121">
        <v>23.5</v>
      </c>
      <c r="C399" s="121">
        <v>2740000</v>
      </c>
    </row>
    <row r="400" spans="1:3" hidden="1">
      <c r="A400" s="120" t="s">
        <v>1128</v>
      </c>
      <c r="B400" s="121">
        <v>12</v>
      </c>
      <c r="C400" s="121">
        <v>559908</v>
      </c>
    </row>
    <row r="401" spans="1:3" hidden="1">
      <c r="A401" s="201" t="s">
        <v>593</v>
      </c>
      <c r="B401" s="121">
        <v>12</v>
      </c>
      <c r="C401" s="121">
        <v>559908</v>
      </c>
    </row>
    <row r="402" spans="1:3" hidden="1">
      <c r="A402" s="119" t="s">
        <v>195</v>
      </c>
      <c r="B402" s="121">
        <v>400</v>
      </c>
      <c r="C402" s="121">
        <v>8080000</v>
      </c>
    </row>
    <row r="403" spans="1:3" hidden="1">
      <c r="A403" s="120" t="s">
        <v>849</v>
      </c>
      <c r="B403" s="121">
        <v>400</v>
      </c>
      <c r="C403" s="121">
        <v>8080000</v>
      </c>
    </row>
    <row r="404" spans="1:3" hidden="1">
      <c r="A404" s="201" t="s">
        <v>795</v>
      </c>
      <c r="B404" s="121">
        <v>400</v>
      </c>
      <c r="C404" s="121">
        <v>8080000</v>
      </c>
    </row>
    <row r="405" spans="1:3" hidden="1">
      <c r="A405" s="119" t="s">
        <v>394</v>
      </c>
      <c r="B405" s="121">
        <v>283</v>
      </c>
      <c r="C405" s="121">
        <v>23085000</v>
      </c>
    </row>
    <row r="406" spans="1:3" hidden="1">
      <c r="A406" s="120" t="s">
        <v>992</v>
      </c>
      <c r="B406" s="121">
        <v>125</v>
      </c>
      <c r="C406" s="121">
        <v>8625000</v>
      </c>
    </row>
    <row r="407" spans="1:3" hidden="1">
      <c r="A407" s="201" t="s">
        <v>767</v>
      </c>
      <c r="B407" s="121">
        <v>125</v>
      </c>
      <c r="C407" s="121">
        <v>8625000</v>
      </c>
    </row>
    <row r="408" spans="1:3" hidden="1">
      <c r="A408" s="120" t="s">
        <v>1136</v>
      </c>
      <c r="B408" s="121">
        <v>3</v>
      </c>
      <c r="C408" s="121">
        <v>1560000</v>
      </c>
    </row>
    <row r="409" spans="1:3" hidden="1">
      <c r="A409" s="201" t="s">
        <v>207</v>
      </c>
      <c r="B409" s="121">
        <v>3</v>
      </c>
      <c r="C409" s="121">
        <v>1560000</v>
      </c>
    </row>
    <row r="410" spans="1:3" hidden="1">
      <c r="A410" s="120" t="s">
        <v>1184</v>
      </c>
      <c r="B410" s="121">
        <v>155</v>
      </c>
      <c r="C410" s="121">
        <v>12900000</v>
      </c>
    </row>
    <row r="411" spans="1:3" hidden="1">
      <c r="A411" s="201" t="s">
        <v>767</v>
      </c>
      <c r="B411" s="121">
        <v>150</v>
      </c>
      <c r="C411" s="121">
        <v>10350000</v>
      </c>
    </row>
    <row r="412" spans="1:3" hidden="1">
      <c r="A412" s="201" t="s">
        <v>207</v>
      </c>
      <c r="B412" s="121">
        <v>5</v>
      </c>
      <c r="C412" s="121">
        <v>2550000</v>
      </c>
    </row>
    <row r="413" spans="1:3" hidden="1">
      <c r="A413" s="119" t="s">
        <v>762</v>
      </c>
      <c r="B413" s="121">
        <v>210645</v>
      </c>
      <c r="C413" s="121">
        <v>4475532240</v>
      </c>
    </row>
    <row r="414" spans="1:3" hidden="1">
      <c r="A414" s="120" t="s">
        <v>794</v>
      </c>
      <c r="B414" s="121">
        <v>26000</v>
      </c>
      <c r="C414" s="121">
        <v>335140000</v>
      </c>
    </row>
    <row r="415" spans="1:3" hidden="1">
      <c r="A415" s="201" t="s">
        <v>795</v>
      </c>
      <c r="B415" s="121">
        <v>26000</v>
      </c>
      <c r="C415" s="121">
        <v>335140000</v>
      </c>
    </row>
    <row r="416" spans="1:3" hidden="1">
      <c r="A416" s="120" t="s">
        <v>796</v>
      </c>
      <c r="B416" s="121">
        <v>26000</v>
      </c>
      <c r="C416" s="121">
        <v>0</v>
      </c>
    </row>
    <row r="417" spans="1:3" hidden="1">
      <c r="A417" s="201" t="s">
        <v>795</v>
      </c>
      <c r="B417" s="121">
        <v>26000</v>
      </c>
      <c r="C417" s="121">
        <v>0</v>
      </c>
    </row>
    <row r="418" spans="1:3" hidden="1">
      <c r="A418" s="120" t="s">
        <v>797</v>
      </c>
      <c r="B418" s="121">
        <v>56000</v>
      </c>
      <c r="C418" s="121">
        <v>719600000</v>
      </c>
    </row>
    <row r="419" spans="1:3" hidden="1">
      <c r="A419" s="201" t="s">
        <v>795</v>
      </c>
      <c r="B419" s="121">
        <v>56000</v>
      </c>
      <c r="C419" s="121">
        <v>719600000</v>
      </c>
    </row>
    <row r="420" spans="1:3" hidden="1">
      <c r="A420" s="120" t="s">
        <v>839</v>
      </c>
      <c r="B420" s="121">
        <v>300</v>
      </c>
      <c r="C420" s="121">
        <v>5655000</v>
      </c>
    </row>
    <row r="421" spans="1:3" hidden="1">
      <c r="A421" s="201" t="s">
        <v>840</v>
      </c>
      <c r="B421" s="121">
        <v>300</v>
      </c>
      <c r="C421" s="121">
        <v>5655000</v>
      </c>
    </row>
    <row r="422" spans="1:3" hidden="1">
      <c r="A422" s="120" t="s">
        <v>847</v>
      </c>
      <c r="B422" s="121">
        <v>2000</v>
      </c>
      <c r="C422" s="121">
        <v>37700000</v>
      </c>
    </row>
    <row r="423" spans="1:3" hidden="1">
      <c r="A423" s="201" t="s">
        <v>840</v>
      </c>
      <c r="B423" s="121">
        <v>2000</v>
      </c>
      <c r="C423" s="121">
        <v>37700000</v>
      </c>
    </row>
    <row r="424" spans="1:3" hidden="1">
      <c r="A424" s="120" t="s">
        <v>848</v>
      </c>
      <c r="B424" s="121">
        <v>2000</v>
      </c>
      <c r="C424" s="121">
        <v>37700000</v>
      </c>
    </row>
    <row r="425" spans="1:3" hidden="1">
      <c r="A425" s="201" t="s">
        <v>840</v>
      </c>
      <c r="B425" s="121">
        <v>2000</v>
      </c>
      <c r="C425" s="121">
        <v>37700000</v>
      </c>
    </row>
    <row r="426" spans="1:3" hidden="1">
      <c r="A426" s="120" t="s">
        <v>868</v>
      </c>
      <c r="B426" s="121">
        <v>8600</v>
      </c>
      <c r="C426" s="121">
        <v>191360000</v>
      </c>
    </row>
    <row r="427" spans="1:3" hidden="1">
      <c r="A427" s="201" t="s">
        <v>766</v>
      </c>
      <c r="B427" s="121">
        <v>200</v>
      </c>
      <c r="C427" s="121">
        <v>27100000</v>
      </c>
    </row>
    <row r="428" spans="1:3" hidden="1">
      <c r="A428" s="201" t="s">
        <v>494</v>
      </c>
      <c r="B428" s="121">
        <v>6000</v>
      </c>
      <c r="C428" s="121">
        <v>72600000</v>
      </c>
    </row>
    <row r="429" spans="1:3" hidden="1">
      <c r="A429" s="201" t="s">
        <v>339</v>
      </c>
      <c r="B429" s="121">
        <v>100</v>
      </c>
      <c r="C429" s="121">
        <v>12500000</v>
      </c>
    </row>
    <row r="430" spans="1:3" hidden="1">
      <c r="A430" s="201" t="s">
        <v>194</v>
      </c>
      <c r="B430" s="121">
        <v>2000</v>
      </c>
      <c r="C430" s="121">
        <v>35200000</v>
      </c>
    </row>
    <row r="431" spans="1:3" hidden="1">
      <c r="A431" s="201" t="s">
        <v>789</v>
      </c>
      <c r="B431" s="121">
        <v>100</v>
      </c>
      <c r="C431" s="121">
        <v>17500000</v>
      </c>
    </row>
    <row r="432" spans="1:3" hidden="1">
      <c r="A432" s="201" t="s">
        <v>768</v>
      </c>
      <c r="B432" s="121">
        <v>200</v>
      </c>
      <c r="C432" s="121">
        <v>26460000</v>
      </c>
    </row>
    <row r="433" spans="1:3" hidden="1">
      <c r="A433" s="120" t="s">
        <v>928</v>
      </c>
      <c r="B433" s="121">
        <v>550</v>
      </c>
      <c r="C433" s="121">
        <v>11168700</v>
      </c>
    </row>
    <row r="434" spans="1:3" hidden="1">
      <c r="A434" s="201" t="s">
        <v>194</v>
      </c>
      <c r="B434" s="121">
        <v>100</v>
      </c>
      <c r="C434" s="121">
        <v>1760000</v>
      </c>
    </row>
    <row r="435" spans="1:3" hidden="1">
      <c r="A435" s="201" t="s">
        <v>158</v>
      </c>
      <c r="B435" s="121">
        <v>50</v>
      </c>
      <c r="C435" s="121">
        <v>1852700</v>
      </c>
    </row>
    <row r="436" spans="1:3" hidden="1">
      <c r="A436" s="201" t="s">
        <v>929</v>
      </c>
      <c r="B436" s="121">
        <v>100</v>
      </c>
      <c r="C436" s="121">
        <v>1901000</v>
      </c>
    </row>
    <row r="437" spans="1:3" hidden="1">
      <c r="A437" s="201" t="s">
        <v>116</v>
      </c>
      <c r="B437" s="121">
        <v>300</v>
      </c>
      <c r="C437" s="121">
        <v>5655000</v>
      </c>
    </row>
    <row r="438" spans="1:3" hidden="1">
      <c r="A438" s="120" t="s">
        <v>998</v>
      </c>
      <c r="B438" s="121">
        <v>12730</v>
      </c>
      <c r="C438" s="121">
        <v>377950000</v>
      </c>
    </row>
    <row r="439" spans="1:3" hidden="1">
      <c r="A439" s="201" t="s">
        <v>766</v>
      </c>
      <c r="B439" s="121">
        <v>200</v>
      </c>
      <c r="C439" s="121">
        <v>27100000</v>
      </c>
    </row>
    <row r="440" spans="1:3" hidden="1">
      <c r="A440" s="201" t="s">
        <v>494</v>
      </c>
      <c r="B440" s="121">
        <v>6000</v>
      </c>
      <c r="C440" s="121">
        <v>72600000</v>
      </c>
    </row>
    <row r="441" spans="1:3" hidden="1">
      <c r="A441" s="201" t="s">
        <v>339</v>
      </c>
      <c r="B441" s="121">
        <v>50</v>
      </c>
      <c r="C441" s="121">
        <v>625000</v>
      </c>
    </row>
    <row r="442" spans="1:3" hidden="1">
      <c r="A442" s="201" t="s">
        <v>788</v>
      </c>
      <c r="B442" s="121">
        <v>100</v>
      </c>
      <c r="C442" s="121">
        <v>3450000</v>
      </c>
    </row>
    <row r="443" spans="1:3" hidden="1">
      <c r="A443" s="201" t="s">
        <v>221</v>
      </c>
      <c r="B443" s="121">
        <v>30</v>
      </c>
      <c r="C443" s="121">
        <v>5250000</v>
      </c>
    </row>
    <row r="444" spans="1:3" hidden="1">
      <c r="A444" s="201" t="s">
        <v>158</v>
      </c>
      <c r="B444" s="121">
        <v>325</v>
      </c>
      <c r="C444" s="121">
        <v>12042500</v>
      </c>
    </row>
    <row r="445" spans="1:3" hidden="1">
      <c r="A445" s="201" t="s">
        <v>767</v>
      </c>
      <c r="B445" s="121">
        <v>900</v>
      </c>
      <c r="C445" s="121">
        <v>47628000</v>
      </c>
    </row>
    <row r="446" spans="1:3" hidden="1">
      <c r="A446" s="201" t="s">
        <v>929</v>
      </c>
      <c r="B446" s="121">
        <v>700</v>
      </c>
      <c r="C446" s="121">
        <v>13307000</v>
      </c>
    </row>
    <row r="447" spans="1:3" hidden="1">
      <c r="A447" s="201" t="s">
        <v>116</v>
      </c>
      <c r="B447" s="121">
        <v>1200</v>
      </c>
      <c r="C447" s="121">
        <v>22620000</v>
      </c>
    </row>
    <row r="448" spans="1:3" hidden="1">
      <c r="A448" s="201" t="s">
        <v>151</v>
      </c>
      <c r="B448" s="121">
        <v>600</v>
      </c>
      <c r="C448" s="121">
        <v>37020000</v>
      </c>
    </row>
    <row r="449" spans="1:3" hidden="1">
      <c r="A449" s="201" t="s">
        <v>789</v>
      </c>
      <c r="B449" s="121">
        <v>200</v>
      </c>
      <c r="C449" s="121">
        <v>35000000</v>
      </c>
    </row>
    <row r="450" spans="1:3" hidden="1">
      <c r="A450" s="201" t="s">
        <v>779</v>
      </c>
      <c r="B450" s="121">
        <v>1000</v>
      </c>
      <c r="C450" s="121">
        <v>30200000</v>
      </c>
    </row>
    <row r="451" spans="1:3" hidden="1">
      <c r="A451" s="201" t="s">
        <v>136</v>
      </c>
      <c r="B451" s="121">
        <v>1425</v>
      </c>
      <c r="C451" s="121">
        <v>71107500</v>
      </c>
    </row>
    <row r="452" spans="1:3" hidden="1">
      <c r="A452" s="120" t="s">
        <v>999</v>
      </c>
      <c r="B452" s="121">
        <v>5000</v>
      </c>
      <c r="C452" s="121">
        <v>120000000</v>
      </c>
    </row>
    <row r="453" spans="1:3" hidden="1">
      <c r="A453" s="201" t="s">
        <v>111</v>
      </c>
      <c r="B453" s="121">
        <v>5000</v>
      </c>
      <c r="C453" s="121">
        <v>120000000</v>
      </c>
    </row>
    <row r="454" spans="1:3" hidden="1">
      <c r="A454" s="120" t="s">
        <v>1003</v>
      </c>
      <c r="B454" s="121">
        <v>325</v>
      </c>
      <c r="C454" s="121">
        <v>6126250</v>
      </c>
    </row>
    <row r="455" spans="1:3" hidden="1">
      <c r="A455" s="201" t="s">
        <v>840</v>
      </c>
      <c r="B455" s="121">
        <v>325</v>
      </c>
      <c r="C455" s="121">
        <v>6126250</v>
      </c>
    </row>
    <row r="456" spans="1:3" hidden="1">
      <c r="A456" s="120" t="s">
        <v>1024</v>
      </c>
      <c r="B456" s="121">
        <v>3550</v>
      </c>
      <c r="C456" s="121">
        <v>76628800</v>
      </c>
    </row>
    <row r="457" spans="1:3" hidden="1">
      <c r="A457" s="201" t="s">
        <v>494</v>
      </c>
      <c r="B457" s="121">
        <v>400</v>
      </c>
      <c r="C457" s="121">
        <v>4840000</v>
      </c>
    </row>
    <row r="458" spans="1:3" hidden="1">
      <c r="A458" s="201" t="s">
        <v>194</v>
      </c>
      <c r="B458" s="121">
        <v>350</v>
      </c>
      <c r="C458" s="121">
        <v>6160000</v>
      </c>
    </row>
    <row r="459" spans="1:3" hidden="1">
      <c r="A459" s="201" t="s">
        <v>158</v>
      </c>
      <c r="B459" s="121">
        <v>200</v>
      </c>
      <c r="C459" s="121">
        <v>7410800</v>
      </c>
    </row>
    <row r="460" spans="1:3" hidden="1">
      <c r="A460" s="201" t="s">
        <v>929</v>
      </c>
      <c r="B460" s="121">
        <v>800</v>
      </c>
      <c r="C460" s="121">
        <v>15208000</v>
      </c>
    </row>
    <row r="461" spans="1:3">
      <c r="A461" s="201" t="s">
        <v>116</v>
      </c>
      <c r="B461" s="121">
        <v>1000</v>
      </c>
      <c r="C461" s="121">
        <v>18850000</v>
      </c>
    </row>
    <row r="462" spans="1:3">
      <c r="A462" s="201" t="s">
        <v>779</v>
      </c>
      <c r="B462" s="121">
        <v>800</v>
      </c>
      <c r="C462" s="121">
        <v>24160000</v>
      </c>
    </row>
    <row r="463" spans="1:3">
      <c r="A463" s="120" t="s">
        <v>1031</v>
      </c>
      <c r="B463" s="121">
        <v>5900</v>
      </c>
      <c r="C463" s="121">
        <v>157709000</v>
      </c>
    </row>
    <row r="464" spans="1:3">
      <c r="A464" s="201" t="s">
        <v>215</v>
      </c>
      <c r="B464" s="121">
        <v>100</v>
      </c>
      <c r="C464" s="121">
        <v>12500000</v>
      </c>
    </row>
    <row r="465" spans="1:3">
      <c r="A465" s="201" t="s">
        <v>194</v>
      </c>
      <c r="B465" s="121">
        <v>2000</v>
      </c>
      <c r="C465" s="121">
        <v>35200000</v>
      </c>
    </row>
    <row r="466" spans="1:3">
      <c r="A466" s="201" t="s">
        <v>767</v>
      </c>
      <c r="B466" s="121">
        <v>600</v>
      </c>
      <c r="C466" s="121">
        <v>31752000</v>
      </c>
    </row>
    <row r="467" spans="1:3">
      <c r="A467" s="201" t="s">
        <v>929</v>
      </c>
      <c r="B467" s="121">
        <v>700</v>
      </c>
      <c r="C467" s="121">
        <v>13307000</v>
      </c>
    </row>
    <row r="468" spans="1:3">
      <c r="A468" s="201" t="s">
        <v>679</v>
      </c>
      <c r="B468" s="121">
        <v>500</v>
      </c>
      <c r="C468" s="121">
        <v>15900000</v>
      </c>
    </row>
    <row r="469" spans="1:3">
      <c r="A469" s="201" t="s">
        <v>116</v>
      </c>
      <c r="B469" s="121">
        <v>1000</v>
      </c>
      <c r="C469" s="121">
        <v>18850000</v>
      </c>
    </row>
    <row r="470" spans="1:3">
      <c r="A470" s="201" t="s">
        <v>779</v>
      </c>
      <c r="B470" s="121">
        <v>1000</v>
      </c>
      <c r="C470" s="121">
        <v>30200000</v>
      </c>
    </row>
    <row r="471" spans="1:3">
      <c r="A471" s="120" t="s">
        <v>1032</v>
      </c>
      <c r="B471" s="121">
        <v>4000</v>
      </c>
      <c r="C471" s="121">
        <v>96000000</v>
      </c>
    </row>
    <row r="472" spans="1:3">
      <c r="A472" s="201" t="s">
        <v>111</v>
      </c>
      <c r="B472" s="121">
        <v>4000</v>
      </c>
      <c r="C472" s="121">
        <v>96000000</v>
      </c>
    </row>
    <row r="473" spans="1:3">
      <c r="A473" s="120" t="s">
        <v>1033</v>
      </c>
      <c r="B473" s="121">
        <v>4300</v>
      </c>
      <c r="C473" s="121">
        <v>123270000</v>
      </c>
    </row>
    <row r="474" spans="1:3">
      <c r="A474" s="201" t="s">
        <v>766</v>
      </c>
      <c r="B474" s="121">
        <v>100</v>
      </c>
      <c r="C474" s="121">
        <v>13550000</v>
      </c>
    </row>
    <row r="475" spans="1:3">
      <c r="A475" s="201" t="s">
        <v>788</v>
      </c>
      <c r="B475" s="121">
        <v>160</v>
      </c>
      <c r="C475" s="121">
        <v>5520000</v>
      </c>
    </row>
    <row r="476" spans="1:3">
      <c r="A476" s="201" t="s">
        <v>194</v>
      </c>
      <c r="B476" s="121">
        <v>2000</v>
      </c>
      <c r="C476" s="121">
        <v>35200000</v>
      </c>
    </row>
    <row r="477" spans="1:3">
      <c r="A477" s="201" t="s">
        <v>221</v>
      </c>
      <c r="B477" s="121">
        <v>40</v>
      </c>
      <c r="C477" s="121">
        <v>7000000</v>
      </c>
    </row>
    <row r="478" spans="1:3">
      <c r="A478" s="201" t="s">
        <v>679</v>
      </c>
      <c r="B478" s="121">
        <v>1000</v>
      </c>
      <c r="C478" s="121">
        <v>31800000</v>
      </c>
    </row>
    <row r="479" spans="1:3">
      <c r="A479" s="201" t="s">
        <v>779</v>
      </c>
      <c r="B479" s="121">
        <v>1000</v>
      </c>
      <c r="C479" s="121">
        <v>30200000</v>
      </c>
    </row>
    <row r="480" spans="1:3">
      <c r="A480" s="120" t="s">
        <v>1034</v>
      </c>
      <c r="B480" s="121">
        <v>3000</v>
      </c>
      <c r="C480" s="121">
        <v>72000000</v>
      </c>
    </row>
    <row r="481" spans="1:3">
      <c r="A481" s="201" t="s">
        <v>111</v>
      </c>
      <c r="B481" s="121">
        <v>3000</v>
      </c>
      <c r="C481" s="121">
        <v>72000000</v>
      </c>
    </row>
    <row r="482" spans="1:3">
      <c r="A482" s="120" t="s">
        <v>1057</v>
      </c>
      <c r="B482" s="121">
        <v>4750</v>
      </c>
      <c r="C482" s="121">
        <v>690090000</v>
      </c>
    </row>
    <row r="483" spans="1:3">
      <c r="A483" s="201" t="s">
        <v>930</v>
      </c>
      <c r="B483" s="121">
        <v>1200</v>
      </c>
      <c r="C483" s="121">
        <v>528000000</v>
      </c>
    </row>
    <row r="484" spans="1:3">
      <c r="A484" s="201" t="s">
        <v>766</v>
      </c>
      <c r="B484" s="121">
        <v>200</v>
      </c>
      <c r="C484" s="121">
        <v>27100000</v>
      </c>
    </row>
    <row r="485" spans="1:3">
      <c r="A485" s="201" t="s">
        <v>215</v>
      </c>
      <c r="B485" s="121">
        <v>150</v>
      </c>
      <c r="C485" s="121">
        <v>18750000</v>
      </c>
    </row>
    <row r="486" spans="1:3">
      <c r="A486" s="201" t="s">
        <v>788</v>
      </c>
      <c r="B486" s="121">
        <v>100</v>
      </c>
      <c r="C486" s="121">
        <v>3450000</v>
      </c>
    </row>
    <row r="487" spans="1:3">
      <c r="A487" s="201" t="s">
        <v>929</v>
      </c>
      <c r="B487" s="121">
        <v>1000</v>
      </c>
      <c r="C487" s="121">
        <v>19010000</v>
      </c>
    </row>
    <row r="488" spans="1:3">
      <c r="A488" s="201" t="s">
        <v>116</v>
      </c>
      <c r="B488" s="121">
        <v>1000</v>
      </c>
      <c r="C488" s="121">
        <v>18850000</v>
      </c>
    </row>
    <row r="489" spans="1:3">
      <c r="A489" s="201" t="s">
        <v>151</v>
      </c>
      <c r="B489" s="121">
        <v>1000</v>
      </c>
      <c r="C489" s="121">
        <v>61700000</v>
      </c>
    </row>
    <row r="490" spans="1:3">
      <c r="A490" s="201" t="s">
        <v>1058</v>
      </c>
      <c r="B490" s="121">
        <v>100</v>
      </c>
      <c r="C490" s="121">
        <v>13230000</v>
      </c>
    </row>
    <row r="491" spans="1:3">
      <c r="A491" s="120" t="s">
        <v>1059</v>
      </c>
      <c r="B491" s="121">
        <v>2000</v>
      </c>
      <c r="C491" s="121">
        <v>48000000</v>
      </c>
    </row>
    <row r="492" spans="1:3">
      <c r="A492" s="201" t="s">
        <v>111</v>
      </c>
      <c r="B492" s="121">
        <v>2000</v>
      </c>
      <c r="C492" s="121">
        <v>48000000</v>
      </c>
    </row>
    <row r="493" spans="1:3">
      <c r="A493" s="120" t="s">
        <v>1060</v>
      </c>
      <c r="B493" s="121">
        <v>90</v>
      </c>
      <c r="C493" s="121">
        <v>0</v>
      </c>
    </row>
    <row r="494" spans="1:3">
      <c r="A494" s="201" t="s">
        <v>843</v>
      </c>
      <c r="B494" s="121">
        <v>90</v>
      </c>
      <c r="C494" s="121">
        <v>0</v>
      </c>
    </row>
    <row r="495" spans="1:3">
      <c r="A495" s="120" t="s">
        <v>1067</v>
      </c>
      <c r="B495" s="121">
        <v>175</v>
      </c>
      <c r="C495" s="121">
        <v>3298750</v>
      </c>
    </row>
    <row r="496" spans="1:3">
      <c r="A496" s="201" t="s">
        <v>840</v>
      </c>
      <c r="B496" s="121">
        <v>175</v>
      </c>
      <c r="C496" s="121">
        <v>3298750</v>
      </c>
    </row>
    <row r="497" spans="1:3">
      <c r="A497" s="120" t="s">
        <v>1084</v>
      </c>
      <c r="B497" s="121">
        <v>1750</v>
      </c>
      <c r="C497" s="121">
        <v>108168690</v>
      </c>
    </row>
    <row r="498" spans="1:3">
      <c r="A498" s="201" t="s">
        <v>930</v>
      </c>
      <c r="B498" s="121">
        <v>150</v>
      </c>
      <c r="C498" s="121">
        <v>66000000</v>
      </c>
    </row>
    <row r="499" spans="1:3">
      <c r="A499" s="201" t="s">
        <v>112</v>
      </c>
      <c r="B499" s="121">
        <v>115</v>
      </c>
      <c r="C499" s="121">
        <v>5347500</v>
      </c>
    </row>
    <row r="500" spans="1:3">
      <c r="A500" s="201" t="s">
        <v>158</v>
      </c>
      <c r="B500" s="121">
        <v>200</v>
      </c>
      <c r="C500" s="121">
        <v>7410800</v>
      </c>
    </row>
    <row r="501" spans="1:3">
      <c r="A501" s="201" t="s">
        <v>1085</v>
      </c>
      <c r="B501" s="121">
        <v>285</v>
      </c>
      <c r="C501" s="121">
        <v>10560390</v>
      </c>
    </row>
    <row r="502" spans="1:3">
      <c r="A502" s="201" t="s">
        <v>116</v>
      </c>
      <c r="B502" s="121">
        <v>1000</v>
      </c>
      <c r="C502" s="121">
        <v>18850000</v>
      </c>
    </row>
    <row r="503" spans="1:3">
      <c r="A503" s="120" t="s">
        <v>1086</v>
      </c>
      <c r="B503" s="121">
        <v>15</v>
      </c>
      <c r="C503" s="121">
        <v>0</v>
      </c>
    </row>
    <row r="504" spans="1:3">
      <c r="A504" s="201" t="s">
        <v>843</v>
      </c>
      <c r="B504" s="121">
        <v>15</v>
      </c>
      <c r="C504" s="121">
        <v>0</v>
      </c>
    </row>
    <row r="505" spans="1:3">
      <c r="A505" s="120" t="s">
        <v>1092</v>
      </c>
      <c r="B505" s="121">
        <v>1500</v>
      </c>
      <c r="C505" s="121">
        <v>28275000</v>
      </c>
    </row>
    <row r="506" spans="1:3">
      <c r="A506" s="201" t="s">
        <v>840</v>
      </c>
      <c r="B506" s="121">
        <v>1500</v>
      </c>
      <c r="C506" s="121">
        <v>28275000</v>
      </c>
    </row>
    <row r="507" spans="1:3">
      <c r="A507" s="120" t="s">
        <v>1093</v>
      </c>
      <c r="B507" s="121">
        <v>1000</v>
      </c>
      <c r="C507" s="121">
        <v>18850000</v>
      </c>
    </row>
    <row r="508" spans="1:3">
      <c r="A508" s="201" t="s">
        <v>840</v>
      </c>
      <c r="B508" s="121">
        <v>1000</v>
      </c>
      <c r="C508" s="121">
        <v>18850000</v>
      </c>
    </row>
    <row r="509" spans="1:3">
      <c r="A509" s="120" t="s">
        <v>1112</v>
      </c>
      <c r="B509" s="121">
        <v>900</v>
      </c>
      <c r="C509" s="121">
        <v>16965000</v>
      </c>
    </row>
    <row r="510" spans="1:3">
      <c r="A510" s="201" t="s">
        <v>116</v>
      </c>
      <c r="B510" s="121">
        <v>900</v>
      </c>
      <c r="C510" s="121">
        <v>16965000</v>
      </c>
    </row>
    <row r="511" spans="1:3">
      <c r="A511" s="120" t="s">
        <v>1113</v>
      </c>
      <c r="B511" s="121">
        <v>575</v>
      </c>
      <c r="C511" s="121">
        <v>10838750</v>
      </c>
    </row>
    <row r="512" spans="1:3">
      <c r="A512" s="201" t="s">
        <v>116</v>
      </c>
      <c r="B512" s="121">
        <v>575</v>
      </c>
      <c r="C512" s="121">
        <v>10838750</v>
      </c>
    </row>
    <row r="513" spans="1:3">
      <c r="A513" s="120" t="s">
        <v>1114</v>
      </c>
      <c r="B513" s="121">
        <v>6300</v>
      </c>
      <c r="C513" s="121">
        <v>218875000</v>
      </c>
    </row>
    <row r="514" spans="1:3">
      <c r="A514" s="201" t="s">
        <v>194</v>
      </c>
      <c r="B514" s="121">
        <v>500</v>
      </c>
      <c r="C514" s="121">
        <v>8800000</v>
      </c>
    </row>
    <row r="515" spans="1:3">
      <c r="A515" s="201" t="s">
        <v>221</v>
      </c>
      <c r="B515" s="121">
        <v>100</v>
      </c>
      <c r="C515" s="121">
        <v>17500000</v>
      </c>
    </row>
    <row r="516" spans="1:3">
      <c r="A516" s="201" t="s">
        <v>929</v>
      </c>
      <c r="B516" s="121">
        <v>500</v>
      </c>
      <c r="C516" s="121">
        <v>9505000</v>
      </c>
    </row>
    <row r="517" spans="1:3">
      <c r="A517" s="201" t="s">
        <v>679</v>
      </c>
      <c r="B517" s="121">
        <v>3700</v>
      </c>
      <c r="C517" s="121">
        <v>117660000</v>
      </c>
    </row>
    <row r="518" spans="1:3">
      <c r="A518" s="201" t="s">
        <v>1115</v>
      </c>
      <c r="B518" s="121">
        <v>200</v>
      </c>
      <c r="C518" s="121">
        <v>10400000</v>
      </c>
    </row>
    <row r="519" spans="1:3">
      <c r="A519" s="201" t="s">
        <v>151</v>
      </c>
      <c r="B519" s="121">
        <v>500</v>
      </c>
      <c r="C519" s="121">
        <v>30850000</v>
      </c>
    </row>
    <row r="520" spans="1:3">
      <c r="A520" s="201" t="s">
        <v>779</v>
      </c>
      <c r="B520" s="121">
        <v>800</v>
      </c>
      <c r="C520" s="121">
        <v>24160000</v>
      </c>
    </row>
    <row r="521" spans="1:3">
      <c r="A521" s="120" t="s">
        <v>1116</v>
      </c>
      <c r="B521" s="121">
        <v>4000</v>
      </c>
      <c r="C521" s="121">
        <v>100800000</v>
      </c>
    </row>
    <row r="522" spans="1:3">
      <c r="A522" s="201" t="s">
        <v>111</v>
      </c>
      <c r="B522" s="121">
        <v>4000</v>
      </c>
      <c r="C522" s="121">
        <v>100800000</v>
      </c>
    </row>
    <row r="523" spans="1:3">
      <c r="A523" s="120" t="s">
        <v>1153</v>
      </c>
      <c r="B523" s="121">
        <v>1700</v>
      </c>
      <c r="C523" s="121">
        <v>46785000</v>
      </c>
    </row>
    <row r="524" spans="1:3">
      <c r="A524" s="201" t="s">
        <v>111</v>
      </c>
      <c r="B524" s="121">
        <v>500</v>
      </c>
      <c r="C524" s="121">
        <v>12000000</v>
      </c>
    </row>
    <row r="525" spans="1:3">
      <c r="A525" s="201" t="s">
        <v>929</v>
      </c>
      <c r="B525" s="121">
        <v>500</v>
      </c>
      <c r="C525" s="121">
        <v>9505000</v>
      </c>
    </row>
    <row r="526" spans="1:3">
      <c r="A526" s="201" t="s">
        <v>679</v>
      </c>
      <c r="B526" s="121">
        <v>600</v>
      </c>
      <c r="C526" s="121">
        <v>19080000</v>
      </c>
    </row>
    <row r="527" spans="1:3">
      <c r="A527" s="201" t="s">
        <v>1154</v>
      </c>
      <c r="B527" s="121">
        <v>100</v>
      </c>
      <c r="C527" s="121">
        <v>6200000</v>
      </c>
    </row>
    <row r="528" spans="1:3">
      <c r="A528" s="120" t="s">
        <v>1157</v>
      </c>
      <c r="B528" s="121">
        <v>6210</v>
      </c>
      <c r="C528" s="121">
        <v>248745800</v>
      </c>
    </row>
    <row r="529" spans="1:3">
      <c r="A529" s="201" t="s">
        <v>766</v>
      </c>
      <c r="B529" s="121">
        <v>200</v>
      </c>
      <c r="C529" s="121">
        <v>27100000</v>
      </c>
    </row>
    <row r="530" spans="1:3">
      <c r="A530" s="201" t="s">
        <v>788</v>
      </c>
      <c r="B530" s="121">
        <v>160</v>
      </c>
      <c r="C530" s="121">
        <v>5520000</v>
      </c>
    </row>
    <row r="531" spans="1:3">
      <c r="A531" s="201" t="s">
        <v>194</v>
      </c>
      <c r="B531" s="121">
        <v>1500</v>
      </c>
      <c r="C531" s="121">
        <v>26400000</v>
      </c>
    </row>
    <row r="532" spans="1:3">
      <c r="A532" s="201" t="s">
        <v>158</v>
      </c>
      <c r="B532" s="121">
        <v>200</v>
      </c>
      <c r="C532" s="121">
        <v>7410800</v>
      </c>
    </row>
    <row r="533" spans="1:3">
      <c r="A533" s="201" t="s">
        <v>767</v>
      </c>
      <c r="B533" s="121">
        <v>1000</v>
      </c>
      <c r="C533" s="121">
        <v>52920000</v>
      </c>
    </row>
    <row r="534" spans="1:3">
      <c r="A534" s="201" t="s">
        <v>679</v>
      </c>
      <c r="B534" s="121">
        <v>2000</v>
      </c>
      <c r="C534" s="121">
        <v>63600000</v>
      </c>
    </row>
    <row r="535" spans="1:3">
      <c r="A535" s="201" t="s">
        <v>151</v>
      </c>
      <c r="B535" s="121">
        <v>500</v>
      </c>
      <c r="C535" s="121">
        <v>30850000</v>
      </c>
    </row>
    <row r="536" spans="1:3">
      <c r="A536" s="201" t="s">
        <v>779</v>
      </c>
      <c r="B536" s="121">
        <v>500</v>
      </c>
      <c r="C536" s="121">
        <v>15100000</v>
      </c>
    </row>
    <row r="537" spans="1:3">
      <c r="A537" s="201" t="s">
        <v>768</v>
      </c>
      <c r="B537" s="121">
        <v>150</v>
      </c>
      <c r="C537" s="121">
        <v>19845000</v>
      </c>
    </row>
    <row r="538" spans="1:3">
      <c r="A538" s="120" t="s">
        <v>1158</v>
      </c>
      <c r="B538" s="121">
        <v>3000</v>
      </c>
      <c r="C538" s="121">
        <v>72000000</v>
      </c>
    </row>
    <row r="539" spans="1:3">
      <c r="A539" s="201" t="s">
        <v>111</v>
      </c>
      <c r="B539" s="121">
        <v>3000</v>
      </c>
      <c r="C539" s="121">
        <v>72000000</v>
      </c>
    </row>
    <row r="540" spans="1:3">
      <c r="A540" s="120" t="s">
        <v>1167</v>
      </c>
      <c r="B540" s="121">
        <v>1825</v>
      </c>
      <c r="C540" s="121">
        <v>100737500</v>
      </c>
    </row>
    <row r="541" spans="1:3">
      <c r="A541" s="201" t="s">
        <v>766</v>
      </c>
      <c r="B541" s="121">
        <v>100</v>
      </c>
      <c r="C541" s="121">
        <v>13550000</v>
      </c>
    </row>
    <row r="542" spans="1:3">
      <c r="A542" s="201" t="s">
        <v>215</v>
      </c>
      <c r="B542" s="121">
        <v>100</v>
      </c>
      <c r="C542" s="121">
        <v>12500000</v>
      </c>
    </row>
    <row r="543" spans="1:3">
      <c r="A543" s="201" t="s">
        <v>158</v>
      </c>
      <c r="B543" s="121">
        <v>225</v>
      </c>
      <c r="C543" s="121">
        <v>8337500</v>
      </c>
    </row>
    <row r="544" spans="1:3">
      <c r="A544" s="201" t="s">
        <v>929</v>
      </c>
      <c r="B544" s="121">
        <v>1000</v>
      </c>
      <c r="C544" s="121">
        <v>19010000</v>
      </c>
    </row>
    <row r="545" spans="1:3">
      <c r="A545" s="201" t="s">
        <v>151</v>
      </c>
      <c r="B545" s="121">
        <v>200</v>
      </c>
      <c r="C545" s="121">
        <v>12340000</v>
      </c>
    </row>
    <row r="546" spans="1:3">
      <c r="A546" s="201" t="s">
        <v>778</v>
      </c>
      <c r="B546" s="121">
        <v>200</v>
      </c>
      <c r="C546" s="121">
        <v>35000000</v>
      </c>
    </row>
    <row r="547" spans="1:3">
      <c r="A547" s="120" t="s">
        <v>1188</v>
      </c>
      <c r="B547" s="121">
        <v>7200</v>
      </c>
      <c r="C547" s="121">
        <v>211400000</v>
      </c>
    </row>
    <row r="548" spans="1:3">
      <c r="A548" s="201" t="s">
        <v>215</v>
      </c>
      <c r="B548" s="121">
        <v>100</v>
      </c>
      <c r="C548" s="121">
        <v>12500000</v>
      </c>
    </row>
    <row r="549" spans="1:3">
      <c r="A549" s="201" t="s">
        <v>788</v>
      </c>
      <c r="B549" s="121">
        <v>300</v>
      </c>
      <c r="C549" s="121">
        <v>10350000</v>
      </c>
    </row>
    <row r="550" spans="1:3">
      <c r="A550" s="201" t="s">
        <v>194</v>
      </c>
      <c r="B550" s="121">
        <v>2500</v>
      </c>
      <c r="C550" s="121">
        <v>44000000</v>
      </c>
    </row>
    <row r="551" spans="1:3">
      <c r="A551" s="201" t="s">
        <v>767</v>
      </c>
      <c r="B551" s="121">
        <v>500</v>
      </c>
      <c r="C551" s="121">
        <v>26460000</v>
      </c>
    </row>
    <row r="552" spans="1:3">
      <c r="A552" s="201" t="s">
        <v>1115</v>
      </c>
      <c r="B552" s="121">
        <v>200</v>
      </c>
      <c r="C552" s="121">
        <v>10400000</v>
      </c>
    </row>
    <row r="553" spans="1:3">
      <c r="A553" s="201" t="s">
        <v>116</v>
      </c>
      <c r="B553" s="121">
        <v>3000</v>
      </c>
      <c r="C553" s="121">
        <v>56550000</v>
      </c>
    </row>
    <row r="554" spans="1:3">
      <c r="A554" s="201" t="s">
        <v>151</v>
      </c>
      <c r="B554" s="121">
        <v>400</v>
      </c>
      <c r="C554" s="121">
        <v>24680000</v>
      </c>
    </row>
    <row r="555" spans="1:3">
      <c r="A555" s="201" t="s">
        <v>768</v>
      </c>
      <c r="B555" s="121">
        <v>200</v>
      </c>
      <c r="C555" s="121">
        <v>26460000</v>
      </c>
    </row>
    <row r="556" spans="1:3">
      <c r="A556" s="120" t="s">
        <v>1189</v>
      </c>
      <c r="B556" s="121">
        <v>3000</v>
      </c>
      <c r="C556" s="121">
        <v>72000000</v>
      </c>
    </row>
    <row r="557" spans="1:3">
      <c r="A557" s="201" t="s">
        <v>111</v>
      </c>
      <c r="B557" s="121">
        <v>3000</v>
      </c>
      <c r="C557" s="121">
        <v>72000000</v>
      </c>
    </row>
    <row r="558" spans="1:3">
      <c r="A558" s="120" t="s">
        <v>1192</v>
      </c>
      <c r="B558" s="121">
        <v>1400</v>
      </c>
      <c r="C558" s="121">
        <v>36095000</v>
      </c>
    </row>
    <row r="559" spans="1:3">
      <c r="A559" s="201" t="s">
        <v>162</v>
      </c>
      <c r="B559" s="121">
        <v>100</v>
      </c>
      <c r="C559" s="121">
        <v>1870000</v>
      </c>
    </row>
    <row r="560" spans="1:3">
      <c r="A560" s="201" t="s">
        <v>679</v>
      </c>
      <c r="B560" s="121">
        <v>400</v>
      </c>
      <c r="C560" s="121">
        <v>12720000</v>
      </c>
    </row>
    <row r="561" spans="1:3">
      <c r="A561" s="201" t="s">
        <v>116</v>
      </c>
      <c r="B561" s="121">
        <v>500</v>
      </c>
      <c r="C561" s="121">
        <v>9425000</v>
      </c>
    </row>
    <row r="562" spans="1:3">
      <c r="A562" s="201" t="s">
        <v>779</v>
      </c>
      <c r="B562" s="121">
        <v>400</v>
      </c>
      <c r="C562" s="121">
        <v>12080000</v>
      </c>
    </row>
    <row r="563" spans="1:3">
      <c r="A563" s="120" t="s">
        <v>1204</v>
      </c>
      <c r="B563" s="121">
        <v>3000</v>
      </c>
      <c r="C563" s="121">
        <v>75600000</v>
      </c>
    </row>
    <row r="564" spans="1:3">
      <c r="A564" s="201" t="s">
        <v>111</v>
      </c>
      <c r="B564" s="121">
        <v>3000</v>
      </c>
      <c r="C564" s="121">
        <v>75600000</v>
      </c>
    </row>
    <row r="565" spans="1:3">
      <c r="A565" s="119" t="s">
        <v>763</v>
      </c>
      <c r="B565" s="121">
        <v>18075</v>
      </c>
      <c r="C565" s="121">
        <v>449352500</v>
      </c>
    </row>
    <row r="566" spans="1:3">
      <c r="A566" s="120" t="s">
        <v>802</v>
      </c>
      <c r="B566" s="121">
        <v>2500</v>
      </c>
      <c r="C566" s="121">
        <v>63750000</v>
      </c>
    </row>
    <row r="567" spans="1:3">
      <c r="A567" s="201" t="s">
        <v>111</v>
      </c>
      <c r="B567" s="121">
        <v>2500</v>
      </c>
      <c r="C567" s="121">
        <v>63750000</v>
      </c>
    </row>
    <row r="568" spans="1:3">
      <c r="A568" s="120" t="s">
        <v>803</v>
      </c>
      <c r="B568" s="121">
        <v>300</v>
      </c>
      <c r="C568" s="121">
        <v>11550000</v>
      </c>
    </row>
    <row r="569" spans="1:3">
      <c r="A569" s="201" t="s">
        <v>679</v>
      </c>
      <c r="B569" s="121">
        <v>300</v>
      </c>
      <c r="C569" s="121">
        <v>11550000</v>
      </c>
    </row>
    <row r="570" spans="1:3">
      <c r="A570" s="120" t="s">
        <v>828</v>
      </c>
      <c r="B570" s="121">
        <v>1500</v>
      </c>
      <c r="C570" s="121">
        <v>27525000</v>
      </c>
    </row>
    <row r="571" spans="1:3">
      <c r="A571" s="201" t="s">
        <v>194</v>
      </c>
      <c r="B571" s="121">
        <v>1500</v>
      </c>
      <c r="C571" s="121">
        <v>27525000</v>
      </c>
    </row>
    <row r="572" spans="1:3">
      <c r="A572" s="120" t="s">
        <v>837</v>
      </c>
      <c r="B572" s="121">
        <v>2600</v>
      </c>
      <c r="C572" s="121">
        <v>59800000</v>
      </c>
    </row>
    <row r="573" spans="1:3">
      <c r="A573" s="201" t="s">
        <v>194</v>
      </c>
      <c r="B573" s="121">
        <v>2000</v>
      </c>
      <c r="C573" s="121">
        <v>36700000</v>
      </c>
    </row>
    <row r="574" spans="1:3">
      <c r="A574" s="201" t="s">
        <v>679</v>
      </c>
      <c r="B574" s="121">
        <v>600</v>
      </c>
      <c r="C574" s="121">
        <v>23100000</v>
      </c>
    </row>
    <row r="575" spans="1:3">
      <c r="A575" s="120" t="s">
        <v>850</v>
      </c>
      <c r="B575" s="121">
        <v>2000</v>
      </c>
      <c r="C575" s="121">
        <v>36700000</v>
      </c>
    </row>
    <row r="576" spans="1:3">
      <c r="A576" s="201" t="s">
        <v>194</v>
      </c>
      <c r="B576" s="121">
        <v>2000</v>
      </c>
      <c r="C576" s="121">
        <v>36700000</v>
      </c>
    </row>
    <row r="577" spans="1:3">
      <c r="A577" s="120" t="s">
        <v>851</v>
      </c>
      <c r="B577" s="121">
        <v>200</v>
      </c>
      <c r="C577" s="121">
        <v>3670000</v>
      </c>
    </row>
    <row r="578" spans="1:3">
      <c r="A578" s="201" t="s">
        <v>194</v>
      </c>
      <c r="B578" s="121">
        <v>200</v>
      </c>
      <c r="C578" s="121">
        <v>3670000</v>
      </c>
    </row>
    <row r="579" spans="1:3">
      <c r="A579" s="120" t="s">
        <v>852</v>
      </c>
      <c r="B579" s="121">
        <v>2000</v>
      </c>
      <c r="C579" s="121">
        <v>36700000</v>
      </c>
    </row>
    <row r="580" spans="1:3">
      <c r="A580" s="201" t="s">
        <v>194</v>
      </c>
      <c r="B580" s="121">
        <v>2000</v>
      </c>
      <c r="C580" s="121">
        <v>36700000</v>
      </c>
    </row>
    <row r="581" spans="1:3">
      <c r="A581" s="120" t="s">
        <v>900</v>
      </c>
      <c r="B581" s="121">
        <v>2100</v>
      </c>
      <c r="C581" s="121">
        <v>61350000</v>
      </c>
    </row>
    <row r="582" spans="1:3">
      <c r="A582" s="201" t="s">
        <v>111</v>
      </c>
      <c r="B582" s="121">
        <v>1500</v>
      </c>
      <c r="C582" s="121">
        <v>38250000</v>
      </c>
    </row>
    <row r="583" spans="1:3">
      <c r="A583" s="201" t="s">
        <v>679</v>
      </c>
      <c r="B583" s="121">
        <v>600</v>
      </c>
      <c r="C583" s="121">
        <v>23100000</v>
      </c>
    </row>
    <row r="584" spans="1:3">
      <c r="A584" s="120" t="s">
        <v>920</v>
      </c>
      <c r="B584" s="121">
        <v>800</v>
      </c>
      <c r="C584" s="121">
        <v>20400000</v>
      </c>
    </row>
    <row r="585" spans="1:3">
      <c r="A585" s="201" t="s">
        <v>111</v>
      </c>
      <c r="B585" s="121">
        <v>800</v>
      </c>
      <c r="C585" s="121">
        <v>20400000</v>
      </c>
    </row>
    <row r="586" spans="1:3">
      <c r="A586" s="120" t="s">
        <v>939</v>
      </c>
      <c r="B586" s="121">
        <v>450</v>
      </c>
      <c r="C586" s="121">
        <v>15375000</v>
      </c>
    </row>
    <row r="587" spans="1:3">
      <c r="A587" s="201" t="s">
        <v>111</v>
      </c>
      <c r="B587" s="121">
        <v>150</v>
      </c>
      <c r="C587" s="121">
        <v>3825000</v>
      </c>
    </row>
    <row r="588" spans="1:3">
      <c r="A588" s="201" t="s">
        <v>679</v>
      </c>
      <c r="B588" s="121">
        <v>300</v>
      </c>
      <c r="C588" s="121">
        <v>11550000</v>
      </c>
    </row>
    <row r="589" spans="1:3">
      <c r="A589" s="120" t="s">
        <v>1004</v>
      </c>
      <c r="B589" s="121">
        <v>200</v>
      </c>
      <c r="C589" s="121">
        <v>5100000</v>
      </c>
    </row>
    <row r="590" spans="1:3">
      <c r="A590" s="201" t="s">
        <v>111</v>
      </c>
      <c r="B590" s="121">
        <v>200</v>
      </c>
      <c r="C590" s="121">
        <v>5100000</v>
      </c>
    </row>
    <row r="591" spans="1:3">
      <c r="A591" s="120" t="s">
        <v>1005</v>
      </c>
      <c r="B591" s="121">
        <v>100</v>
      </c>
      <c r="C591" s="121">
        <v>2550000</v>
      </c>
    </row>
    <row r="592" spans="1:3">
      <c r="A592" s="201" t="s">
        <v>111</v>
      </c>
      <c r="B592" s="121">
        <v>100</v>
      </c>
      <c r="C592" s="121">
        <v>2550000</v>
      </c>
    </row>
    <row r="593" spans="1:3">
      <c r="A593" s="120" t="s">
        <v>1062</v>
      </c>
      <c r="B593" s="121">
        <v>2000</v>
      </c>
      <c r="C593" s="121">
        <v>36700000</v>
      </c>
    </row>
    <row r="594" spans="1:3">
      <c r="A594" s="201" t="s">
        <v>194</v>
      </c>
      <c r="B594" s="121">
        <v>2000</v>
      </c>
      <c r="C594" s="121">
        <v>36700000</v>
      </c>
    </row>
    <row r="595" spans="1:3">
      <c r="A595" s="120" t="s">
        <v>1077</v>
      </c>
      <c r="B595" s="121">
        <v>50</v>
      </c>
      <c r="C595" s="121">
        <v>850000</v>
      </c>
    </row>
    <row r="596" spans="1:3">
      <c r="A596" s="201" t="s">
        <v>1078</v>
      </c>
      <c r="B596" s="121">
        <v>50</v>
      </c>
      <c r="C596" s="121">
        <v>850000</v>
      </c>
    </row>
    <row r="597" spans="1:3">
      <c r="A597" s="120" t="s">
        <v>1088</v>
      </c>
      <c r="B597" s="121">
        <v>100</v>
      </c>
      <c r="C597" s="121">
        <v>15500000</v>
      </c>
    </row>
    <row r="598" spans="1:3">
      <c r="A598" s="201" t="s">
        <v>768</v>
      </c>
      <c r="B598" s="121">
        <v>100</v>
      </c>
      <c r="C598" s="121">
        <v>15500000</v>
      </c>
    </row>
    <row r="599" spans="1:3">
      <c r="A599" s="120" t="s">
        <v>1089</v>
      </c>
      <c r="B599" s="121">
        <v>200</v>
      </c>
      <c r="C599" s="121">
        <v>31000000</v>
      </c>
    </row>
    <row r="600" spans="1:3">
      <c r="A600" s="201" t="s">
        <v>768</v>
      </c>
      <c r="B600" s="121">
        <v>200</v>
      </c>
      <c r="C600" s="121">
        <v>31000000</v>
      </c>
    </row>
    <row r="601" spans="1:3">
      <c r="A601" s="120" t="s">
        <v>1138</v>
      </c>
      <c r="B601" s="121">
        <v>275</v>
      </c>
      <c r="C601" s="121">
        <v>7987500</v>
      </c>
    </row>
    <row r="602" spans="1:3">
      <c r="A602" s="201" t="s">
        <v>111</v>
      </c>
      <c r="B602" s="121">
        <v>200</v>
      </c>
      <c r="C602" s="121">
        <v>5100000</v>
      </c>
    </row>
    <row r="603" spans="1:3">
      <c r="A603" s="201" t="s">
        <v>679</v>
      </c>
      <c r="B603" s="121">
        <v>75</v>
      </c>
      <c r="C603" s="121">
        <v>2887500</v>
      </c>
    </row>
    <row r="604" spans="1:3">
      <c r="A604" s="120" t="s">
        <v>1155</v>
      </c>
      <c r="B604" s="121">
        <v>700</v>
      </c>
      <c r="C604" s="121">
        <v>12845000</v>
      </c>
    </row>
    <row r="605" spans="1:3">
      <c r="A605" s="201" t="s">
        <v>194</v>
      </c>
      <c r="B605" s="121">
        <v>700</v>
      </c>
      <c r="C605" s="121">
        <v>12845000</v>
      </c>
    </row>
    <row r="606" spans="1:3">
      <c r="A606" s="119" t="s">
        <v>765</v>
      </c>
      <c r="B606" s="121">
        <v>950</v>
      </c>
      <c r="C606" s="121">
        <v>85627500</v>
      </c>
    </row>
    <row r="607" spans="1:3">
      <c r="A607" s="120" t="s">
        <v>833</v>
      </c>
      <c r="B607" s="121">
        <v>300</v>
      </c>
      <c r="C607" s="121">
        <v>32947500</v>
      </c>
    </row>
    <row r="608" spans="1:3">
      <c r="A608" s="201" t="s">
        <v>115</v>
      </c>
      <c r="B608" s="121">
        <v>300</v>
      </c>
      <c r="C608" s="121">
        <v>32947500</v>
      </c>
    </row>
    <row r="609" spans="1:3">
      <c r="A609" s="120" t="s">
        <v>988</v>
      </c>
      <c r="B609" s="121">
        <v>400</v>
      </c>
      <c r="C609" s="121">
        <v>43930000</v>
      </c>
    </row>
    <row r="610" spans="1:3">
      <c r="A610" s="201" t="s">
        <v>115</v>
      </c>
      <c r="B610" s="121">
        <v>400</v>
      </c>
      <c r="C610" s="121">
        <v>43930000</v>
      </c>
    </row>
    <row r="611" spans="1:3">
      <c r="A611" s="120" t="s">
        <v>989</v>
      </c>
      <c r="B611" s="121">
        <v>250</v>
      </c>
      <c r="C611" s="121">
        <v>8750000</v>
      </c>
    </row>
    <row r="612" spans="1:3">
      <c r="A612" s="201" t="s">
        <v>779</v>
      </c>
      <c r="B612" s="121">
        <v>250</v>
      </c>
      <c r="C612" s="121">
        <v>8750000</v>
      </c>
    </row>
    <row r="613" spans="1:3">
      <c r="A613" s="119" t="s">
        <v>784</v>
      </c>
      <c r="B613" s="121">
        <v>7375</v>
      </c>
      <c r="C613" s="121">
        <v>290611150</v>
      </c>
    </row>
    <row r="614" spans="1:3">
      <c r="A614" s="120" t="s">
        <v>816</v>
      </c>
      <c r="B614" s="121">
        <v>25</v>
      </c>
      <c r="C614" s="121">
        <v>1325000</v>
      </c>
    </row>
    <row r="615" spans="1:3">
      <c r="A615" s="201" t="s">
        <v>113</v>
      </c>
      <c r="B615" s="121">
        <v>25</v>
      </c>
      <c r="C615" s="121">
        <v>1325000</v>
      </c>
    </row>
    <row r="616" spans="1:3">
      <c r="A616" s="120" t="s">
        <v>838</v>
      </c>
      <c r="B616" s="121">
        <v>50</v>
      </c>
      <c r="C616" s="121">
        <v>8750000</v>
      </c>
    </row>
    <row r="617" spans="1:3">
      <c r="A617" s="201" t="s">
        <v>778</v>
      </c>
      <c r="B617" s="121">
        <v>50</v>
      </c>
      <c r="C617" s="121">
        <v>8750000</v>
      </c>
    </row>
    <row r="618" spans="1:3">
      <c r="A618" s="120" t="s">
        <v>885</v>
      </c>
      <c r="B618" s="121">
        <v>100</v>
      </c>
      <c r="C618" s="121">
        <v>3705400</v>
      </c>
    </row>
    <row r="619" spans="1:3">
      <c r="A619" s="201" t="s">
        <v>158</v>
      </c>
      <c r="B619" s="121">
        <v>100</v>
      </c>
      <c r="C619" s="121">
        <v>3705400</v>
      </c>
    </row>
    <row r="620" spans="1:3">
      <c r="A620" s="120" t="s">
        <v>932</v>
      </c>
      <c r="B620" s="121">
        <v>50</v>
      </c>
      <c r="C620" s="121">
        <v>8750000</v>
      </c>
    </row>
    <row r="621" spans="1:3">
      <c r="A621" s="201" t="s">
        <v>778</v>
      </c>
      <c r="B621" s="121">
        <v>50</v>
      </c>
      <c r="C621" s="121">
        <v>8750000</v>
      </c>
    </row>
    <row r="622" spans="1:3">
      <c r="A622" s="120" t="s">
        <v>933</v>
      </c>
      <c r="B622" s="121">
        <v>325</v>
      </c>
      <c r="C622" s="121">
        <v>26355000</v>
      </c>
    </row>
    <row r="623" spans="1:3">
      <c r="A623" s="201" t="s">
        <v>767</v>
      </c>
      <c r="B623" s="121">
        <v>250</v>
      </c>
      <c r="C623" s="121">
        <v>13230000</v>
      </c>
    </row>
    <row r="624" spans="1:3">
      <c r="A624" s="201" t="s">
        <v>778</v>
      </c>
      <c r="B624" s="121">
        <v>75</v>
      </c>
      <c r="C624" s="121">
        <v>13125000</v>
      </c>
    </row>
    <row r="625" spans="1:3">
      <c r="A625" s="120" t="s">
        <v>940</v>
      </c>
      <c r="B625" s="121">
        <v>475</v>
      </c>
      <c r="C625" s="121">
        <v>11400000</v>
      </c>
    </row>
    <row r="626" spans="1:3">
      <c r="A626" s="201" t="s">
        <v>111</v>
      </c>
      <c r="B626" s="121">
        <v>475</v>
      </c>
      <c r="C626" s="121">
        <v>11400000</v>
      </c>
    </row>
    <row r="627" spans="1:3">
      <c r="A627" s="120" t="s">
        <v>945</v>
      </c>
      <c r="B627" s="121">
        <v>225</v>
      </c>
      <c r="C627" s="121">
        <v>4889250</v>
      </c>
    </row>
    <row r="628" spans="1:3">
      <c r="A628" s="201" t="s">
        <v>212</v>
      </c>
      <c r="B628" s="121">
        <v>225</v>
      </c>
      <c r="C628" s="121">
        <v>4889250</v>
      </c>
    </row>
    <row r="629" spans="1:3">
      <c r="A629" s="120" t="s">
        <v>946</v>
      </c>
      <c r="B629" s="121">
        <v>75</v>
      </c>
      <c r="C629" s="121">
        <v>2587500</v>
      </c>
    </row>
    <row r="630" spans="1:3">
      <c r="A630" s="201" t="s">
        <v>679</v>
      </c>
      <c r="B630" s="121">
        <v>75</v>
      </c>
      <c r="C630" s="121">
        <v>2587500</v>
      </c>
    </row>
    <row r="631" spans="1:3">
      <c r="A631" s="120" t="s">
        <v>948</v>
      </c>
      <c r="B631" s="121">
        <v>125</v>
      </c>
      <c r="C631" s="121">
        <v>6615000</v>
      </c>
    </row>
    <row r="632" spans="1:3">
      <c r="A632" s="201" t="s">
        <v>767</v>
      </c>
      <c r="B632" s="121">
        <v>125</v>
      </c>
      <c r="C632" s="121">
        <v>6615000</v>
      </c>
    </row>
    <row r="633" spans="1:3">
      <c r="A633" s="120" t="s">
        <v>949</v>
      </c>
      <c r="B633" s="121">
        <v>75</v>
      </c>
      <c r="C633" s="121">
        <v>2587500</v>
      </c>
    </row>
    <row r="634" spans="1:3">
      <c r="A634" s="201" t="s">
        <v>679</v>
      </c>
      <c r="B634" s="121">
        <v>75</v>
      </c>
      <c r="C634" s="121">
        <v>2587500</v>
      </c>
    </row>
    <row r="635" spans="1:3">
      <c r="A635" s="120" t="s">
        <v>977</v>
      </c>
      <c r="B635" s="121">
        <v>4000</v>
      </c>
      <c r="C635" s="121">
        <v>96000000</v>
      </c>
    </row>
    <row r="636" spans="1:3">
      <c r="A636" s="201" t="s">
        <v>111</v>
      </c>
      <c r="B636" s="121">
        <v>4000</v>
      </c>
      <c r="C636" s="121">
        <v>96000000</v>
      </c>
    </row>
    <row r="637" spans="1:3">
      <c r="A637" s="120" t="s">
        <v>978</v>
      </c>
      <c r="B637" s="121">
        <v>100</v>
      </c>
      <c r="C637" s="121">
        <v>3450000</v>
      </c>
    </row>
    <row r="638" spans="1:3">
      <c r="A638" s="201" t="s">
        <v>679</v>
      </c>
      <c r="B638" s="121">
        <v>100</v>
      </c>
      <c r="C638" s="121">
        <v>3450000</v>
      </c>
    </row>
    <row r="639" spans="1:3">
      <c r="A639" s="120" t="s">
        <v>991</v>
      </c>
      <c r="B639" s="121">
        <v>100</v>
      </c>
      <c r="C639" s="121">
        <v>5292000</v>
      </c>
    </row>
    <row r="640" spans="1:3">
      <c r="A640" s="201" t="s">
        <v>767</v>
      </c>
      <c r="B640" s="121">
        <v>100</v>
      </c>
      <c r="C640" s="121">
        <v>5292000</v>
      </c>
    </row>
    <row r="641" spans="1:3">
      <c r="A641" s="120" t="s">
        <v>1020</v>
      </c>
      <c r="B641" s="121">
        <v>100</v>
      </c>
      <c r="C641" s="121">
        <v>5292000</v>
      </c>
    </row>
    <row r="642" spans="1:3">
      <c r="A642" s="201" t="s">
        <v>767</v>
      </c>
      <c r="B642" s="121">
        <v>100</v>
      </c>
      <c r="C642" s="121">
        <v>5292000</v>
      </c>
    </row>
    <row r="643" spans="1:3">
      <c r="A643" s="120" t="s">
        <v>1095</v>
      </c>
      <c r="B643" s="121">
        <v>200</v>
      </c>
      <c r="C643" s="121">
        <v>27100000</v>
      </c>
    </row>
    <row r="644" spans="1:3">
      <c r="A644" s="201" t="s">
        <v>766</v>
      </c>
      <c r="B644" s="121">
        <v>200</v>
      </c>
      <c r="C644" s="121">
        <v>27100000</v>
      </c>
    </row>
    <row r="645" spans="1:3">
      <c r="A645" s="120" t="s">
        <v>1144</v>
      </c>
      <c r="B645" s="121">
        <v>100</v>
      </c>
      <c r="C645" s="121">
        <v>17500000</v>
      </c>
    </row>
    <row r="646" spans="1:3">
      <c r="A646" s="201" t="s">
        <v>778</v>
      </c>
      <c r="B646" s="121">
        <v>100</v>
      </c>
      <c r="C646" s="121">
        <v>17500000</v>
      </c>
    </row>
    <row r="647" spans="1:3">
      <c r="A647" s="120" t="s">
        <v>1150</v>
      </c>
      <c r="B647" s="121">
        <v>500</v>
      </c>
      <c r="C647" s="121">
        <v>35200000</v>
      </c>
    </row>
    <row r="648" spans="1:3">
      <c r="A648" s="201" t="s">
        <v>111</v>
      </c>
      <c r="B648" s="121">
        <v>300</v>
      </c>
      <c r="C648" s="121">
        <v>7200000</v>
      </c>
    </row>
    <row r="649" spans="1:3">
      <c r="A649" s="201" t="s">
        <v>161</v>
      </c>
      <c r="B649" s="121">
        <v>200</v>
      </c>
      <c r="C649" s="121">
        <v>28000000</v>
      </c>
    </row>
    <row r="650" spans="1:3">
      <c r="A650" s="120" t="s">
        <v>1151</v>
      </c>
      <c r="B650" s="121">
        <v>100</v>
      </c>
      <c r="C650" s="121">
        <v>2992500</v>
      </c>
    </row>
    <row r="651" spans="1:3">
      <c r="A651" s="201" t="s">
        <v>783</v>
      </c>
      <c r="B651" s="121">
        <v>100</v>
      </c>
      <c r="C651" s="121">
        <v>2992500</v>
      </c>
    </row>
    <row r="652" spans="1:3">
      <c r="A652" s="120" t="s">
        <v>1166</v>
      </c>
      <c r="B652" s="121">
        <v>200</v>
      </c>
      <c r="C652" s="121">
        <v>7980000</v>
      </c>
    </row>
    <row r="653" spans="1:3">
      <c r="A653" s="201" t="s">
        <v>171</v>
      </c>
      <c r="B653" s="121">
        <v>200</v>
      </c>
      <c r="C653" s="121">
        <v>7980000</v>
      </c>
    </row>
    <row r="654" spans="1:3">
      <c r="A654" s="120" t="s">
        <v>1174</v>
      </c>
      <c r="B654" s="121">
        <v>150</v>
      </c>
      <c r="C654" s="121">
        <v>4050000</v>
      </c>
    </row>
    <row r="655" spans="1:3">
      <c r="A655" s="201" t="s">
        <v>783</v>
      </c>
      <c r="B655" s="121">
        <v>100</v>
      </c>
      <c r="C655" s="121">
        <v>2850000</v>
      </c>
    </row>
    <row r="656" spans="1:3">
      <c r="A656" s="201" t="s">
        <v>111</v>
      </c>
      <c r="B656" s="121">
        <v>50</v>
      </c>
      <c r="C656" s="121">
        <v>1200000</v>
      </c>
    </row>
    <row r="657" spans="1:3">
      <c r="A657" s="120" t="s">
        <v>1181</v>
      </c>
      <c r="B657" s="121">
        <v>200</v>
      </c>
      <c r="C657" s="121">
        <v>4800000</v>
      </c>
    </row>
    <row r="658" spans="1:3">
      <c r="A658" s="201" t="s">
        <v>111</v>
      </c>
      <c r="B658" s="121">
        <v>200</v>
      </c>
      <c r="C658" s="121">
        <v>4800000</v>
      </c>
    </row>
    <row r="659" spans="1:3">
      <c r="A659" s="120" t="s">
        <v>1182</v>
      </c>
      <c r="B659" s="121">
        <v>100</v>
      </c>
      <c r="C659" s="121">
        <v>3990000</v>
      </c>
    </row>
    <row r="660" spans="1:3">
      <c r="A660" s="201" t="s">
        <v>171</v>
      </c>
      <c r="B660" s="121">
        <v>100</v>
      </c>
      <c r="C660" s="121">
        <v>3990000</v>
      </c>
    </row>
    <row r="661" spans="1:3">
      <c r="A661" s="119" t="s">
        <v>786</v>
      </c>
      <c r="B661" s="121">
        <v>1038.1199999999999</v>
      </c>
      <c r="C661" s="121">
        <v>48290500</v>
      </c>
    </row>
    <row r="662" spans="1:3">
      <c r="A662" s="120" t="s">
        <v>858</v>
      </c>
      <c r="B662" s="121">
        <v>20</v>
      </c>
      <c r="C662" s="121">
        <v>930000</v>
      </c>
    </row>
    <row r="663" spans="1:3">
      <c r="A663" s="201" t="s">
        <v>112</v>
      </c>
      <c r="B663" s="121">
        <v>20</v>
      </c>
      <c r="C663" s="121">
        <v>930000</v>
      </c>
    </row>
    <row r="664" spans="1:3">
      <c r="A664" s="120" t="s">
        <v>859</v>
      </c>
      <c r="B664" s="121">
        <v>1.5</v>
      </c>
      <c r="C664" s="121">
        <v>0</v>
      </c>
    </row>
    <row r="665" spans="1:3">
      <c r="A665" s="201" t="s">
        <v>843</v>
      </c>
      <c r="B665" s="121">
        <v>1.5</v>
      </c>
      <c r="C665" s="121">
        <v>0</v>
      </c>
    </row>
    <row r="666" spans="1:3">
      <c r="A666" s="120" t="s">
        <v>889</v>
      </c>
      <c r="B666" s="121">
        <v>50</v>
      </c>
      <c r="C666" s="121">
        <v>2325000</v>
      </c>
    </row>
    <row r="667" spans="1:3">
      <c r="A667" s="201" t="s">
        <v>112</v>
      </c>
      <c r="B667" s="121">
        <v>50</v>
      </c>
      <c r="C667" s="121">
        <v>2325000</v>
      </c>
    </row>
    <row r="668" spans="1:3">
      <c r="A668" s="120" t="s">
        <v>890</v>
      </c>
      <c r="B668" s="121">
        <v>3.75</v>
      </c>
      <c r="C668" s="121">
        <v>0</v>
      </c>
    </row>
    <row r="669" spans="1:3">
      <c r="A669" s="201" t="s">
        <v>843</v>
      </c>
      <c r="B669" s="121">
        <v>3.75</v>
      </c>
      <c r="C669" s="121">
        <v>0</v>
      </c>
    </row>
    <row r="670" spans="1:3">
      <c r="A670" s="120" t="s">
        <v>966</v>
      </c>
      <c r="B670" s="121">
        <v>50</v>
      </c>
      <c r="C670" s="121">
        <v>2325000</v>
      </c>
    </row>
    <row r="671" spans="1:3">
      <c r="A671" s="201" t="s">
        <v>112</v>
      </c>
      <c r="B671" s="121">
        <v>50</v>
      </c>
      <c r="C671" s="121">
        <v>2325000</v>
      </c>
    </row>
    <row r="672" spans="1:3">
      <c r="A672" s="120" t="s">
        <v>967</v>
      </c>
      <c r="B672" s="121">
        <v>69.12</v>
      </c>
      <c r="C672" s="121">
        <v>6665500</v>
      </c>
    </row>
    <row r="673" spans="1:3">
      <c r="A673" s="201" t="s">
        <v>112</v>
      </c>
      <c r="B673" s="121">
        <v>55</v>
      </c>
      <c r="C673" s="121">
        <v>2557500</v>
      </c>
    </row>
    <row r="674" spans="1:3">
      <c r="A674" s="201" t="s">
        <v>207</v>
      </c>
      <c r="B674" s="121">
        <v>10</v>
      </c>
      <c r="C674" s="121">
        <v>4108000</v>
      </c>
    </row>
    <row r="675" spans="1:3">
      <c r="A675" s="201" t="s">
        <v>843</v>
      </c>
      <c r="B675" s="121">
        <v>4.12</v>
      </c>
      <c r="C675" s="121">
        <v>0</v>
      </c>
    </row>
    <row r="676" spans="1:3">
      <c r="A676" s="120" t="s">
        <v>974</v>
      </c>
      <c r="B676" s="121">
        <v>72</v>
      </c>
      <c r="C676" s="121">
        <v>3355200</v>
      </c>
    </row>
    <row r="677" spans="1:3">
      <c r="A677" s="201" t="s">
        <v>593</v>
      </c>
      <c r="B677" s="121">
        <v>72</v>
      </c>
      <c r="C677" s="121">
        <v>3355200</v>
      </c>
    </row>
    <row r="678" spans="1:3">
      <c r="A678" s="120" t="s">
        <v>975</v>
      </c>
      <c r="B678" s="121">
        <v>100</v>
      </c>
      <c r="C678" s="121">
        <v>4650000</v>
      </c>
    </row>
    <row r="679" spans="1:3">
      <c r="A679" s="201" t="s">
        <v>188</v>
      </c>
      <c r="B679" s="121">
        <v>100</v>
      </c>
      <c r="C679" s="121">
        <v>4650000</v>
      </c>
    </row>
    <row r="680" spans="1:3">
      <c r="A680" s="120" t="s">
        <v>976</v>
      </c>
      <c r="B680" s="121">
        <v>7.5</v>
      </c>
      <c r="C680" s="121">
        <v>0</v>
      </c>
    </row>
    <row r="681" spans="1:3">
      <c r="A681" s="201" t="s">
        <v>843</v>
      </c>
      <c r="B681" s="121">
        <v>7.5</v>
      </c>
      <c r="C681" s="121">
        <v>0</v>
      </c>
    </row>
    <row r="682" spans="1:3">
      <c r="A682" s="120" t="s">
        <v>1002</v>
      </c>
      <c r="B682" s="121">
        <v>105</v>
      </c>
      <c r="C682" s="121">
        <v>4882500</v>
      </c>
    </row>
    <row r="683" spans="1:3">
      <c r="A683" s="201" t="s">
        <v>188</v>
      </c>
      <c r="B683" s="121">
        <v>105</v>
      </c>
      <c r="C683" s="121">
        <v>4882500</v>
      </c>
    </row>
    <row r="684" spans="1:3">
      <c r="A684" s="120" t="s">
        <v>1019</v>
      </c>
      <c r="B684" s="121">
        <v>7.875</v>
      </c>
      <c r="C684" s="121">
        <v>0</v>
      </c>
    </row>
    <row r="685" spans="1:3">
      <c r="A685" s="201" t="s">
        <v>843</v>
      </c>
      <c r="B685" s="121">
        <v>7.875</v>
      </c>
      <c r="C685" s="121">
        <v>0</v>
      </c>
    </row>
    <row r="686" spans="1:3">
      <c r="A686" s="120" t="s">
        <v>1023</v>
      </c>
      <c r="B686" s="121">
        <v>160</v>
      </c>
      <c r="C686" s="121">
        <v>5796000</v>
      </c>
    </row>
    <row r="687" spans="1:3">
      <c r="A687" s="201" t="s">
        <v>962</v>
      </c>
      <c r="B687" s="121">
        <v>160</v>
      </c>
      <c r="C687" s="121">
        <v>5796000</v>
      </c>
    </row>
    <row r="688" spans="1:3">
      <c r="A688" s="120" t="s">
        <v>1035</v>
      </c>
      <c r="B688" s="121">
        <v>45</v>
      </c>
      <c r="C688" s="121">
        <v>2092500</v>
      </c>
    </row>
    <row r="689" spans="1:3">
      <c r="A689" s="201" t="s">
        <v>112</v>
      </c>
      <c r="B689" s="121">
        <v>45</v>
      </c>
      <c r="C689" s="121">
        <v>2092500</v>
      </c>
    </row>
    <row r="690" spans="1:3">
      <c r="A690" s="120" t="s">
        <v>1036</v>
      </c>
      <c r="B690" s="121">
        <v>3.375</v>
      </c>
      <c r="C690" s="121">
        <v>0</v>
      </c>
    </row>
    <row r="691" spans="1:3">
      <c r="A691" s="201" t="s">
        <v>843</v>
      </c>
      <c r="B691" s="121">
        <v>3.375</v>
      </c>
      <c r="C691" s="121">
        <v>0</v>
      </c>
    </row>
    <row r="692" spans="1:3">
      <c r="A692" s="120" t="s">
        <v>1040</v>
      </c>
      <c r="B692" s="121">
        <v>268</v>
      </c>
      <c r="C692" s="121">
        <v>12478800</v>
      </c>
    </row>
    <row r="693" spans="1:3">
      <c r="A693" s="201" t="s">
        <v>112</v>
      </c>
      <c r="B693" s="121">
        <v>100</v>
      </c>
      <c r="C693" s="121">
        <v>4650000</v>
      </c>
    </row>
    <row r="694" spans="1:3">
      <c r="A694" s="201" t="s">
        <v>593</v>
      </c>
      <c r="B694" s="121">
        <v>168</v>
      </c>
      <c r="C694" s="121">
        <v>7828800</v>
      </c>
    </row>
    <row r="695" spans="1:3">
      <c r="A695" s="120" t="s">
        <v>1041</v>
      </c>
      <c r="B695" s="121">
        <v>7.5</v>
      </c>
      <c r="C695" s="121">
        <v>0</v>
      </c>
    </row>
    <row r="696" spans="1:3">
      <c r="A696" s="201" t="s">
        <v>843</v>
      </c>
      <c r="B696" s="121">
        <v>7.5</v>
      </c>
      <c r="C696" s="121">
        <v>0</v>
      </c>
    </row>
    <row r="697" spans="1:3">
      <c r="A697" s="120" t="s">
        <v>1125</v>
      </c>
      <c r="B697" s="121">
        <v>0.75</v>
      </c>
      <c r="C697" s="121">
        <v>0</v>
      </c>
    </row>
    <row r="698" spans="1:3">
      <c r="A698" s="201" t="s">
        <v>843</v>
      </c>
      <c r="B698" s="121">
        <v>0.75</v>
      </c>
      <c r="C698" s="121">
        <v>0</v>
      </c>
    </row>
    <row r="699" spans="1:3">
      <c r="A699" s="120" t="s">
        <v>1156</v>
      </c>
      <c r="B699" s="121">
        <v>0.75</v>
      </c>
      <c r="C699" s="121">
        <v>0</v>
      </c>
    </row>
    <row r="700" spans="1:3">
      <c r="A700" s="201" t="s">
        <v>843</v>
      </c>
      <c r="B700" s="121">
        <v>0.75</v>
      </c>
      <c r="C700" s="121">
        <v>0</v>
      </c>
    </row>
    <row r="701" spans="1:3">
      <c r="A701" s="120" t="s">
        <v>1180</v>
      </c>
      <c r="B701" s="121">
        <v>3</v>
      </c>
      <c r="C701" s="121">
        <v>0</v>
      </c>
    </row>
    <row r="702" spans="1:3">
      <c r="A702" s="201" t="s">
        <v>810</v>
      </c>
      <c r="B702" s="121">
        <v>1.5</v>
      </c>
      <c r="C702" s="121">
        <v>0</v>
      </c>
    </row>
    <row r="703" spans="1:3">
      <c r="A703" s="201" t="s">
        <v>843</v>
      </c>
      <c r="B703" s="121">
        <v>1.5</v>
      </c>
      <c r="C703" s="121"/>
    </row>
    <row r="704" spans="1:3">
      <c r="A704" s="120" t="s">
        <v>1190</v>
      </c>
      <c r="B704" s="121">
        <v>60</v>
      </c>
      <c r="C704" s="121">
        <v>2790000</v>
      </c>
    </row>
    <row r="705" spans="1:3">
      <c r="A705" s="201" t="s">
        <v>1191</v>
      </c>
      <c r="B705" s="121">
        <v>60</v>
      </c>
      <c r="C705" s="121">
        <v>2790000</v>
      </c>
    </row>
    <row r="706" spans="1:3">
      <c r="A706" s="120" t="s">
        <v>1201</v>
      </c>
      <c r="B706" s="121">
        <v>3</v>
      </c>
      <c r="C706" s="121">
        <v>0</v>
      </c>
    </row>
    <row r="707" spans="1:3">
      <c r="A707" s="201" t="s">
        <v>843</v>
      </c>
      <c r="B707" s="121">
        <v>3</v>
      </c>
      <c r="C707" s="121">
        <v>0</v>
      </c>
    </row>
    <row r="708" spans="1:3">
      <c r="A708" s="119" t="s">
        <v>64</v>
      </c>
      <c r="B708" s="121">
        <v>4550</v>
      </c>
      <c r="C708" s="121">
        <v>121425000</v>
      </c>
    </row>
    <row r="709" spans="1:3">
      <c r="A709" s="120" t="s">
        <v>872</v>
      </c>
      <c r="B709" s="121">
        <v>600</v>
      </c>
      <c r="C709" s="121">
        <v>23100000</v>
      </c>
    </row>
    <row r="710" spans="1:3">
      <c r="A710" s="201" t="s">
        <v>679</v>
      </c>
      <c r="B710" s="121">
        <v>600</v>
      </c>
      <c r="C710" s="121">
        <v>23100000</v>
      </c>
    </row>
    <row r="711" spans="1:3">
      <c r="A711" s="120" t="s">
        <v>873</v>
      </c>
      <c r="B711" s="121">
        <v>500</v>
      </c>
      <c r="C711" s="121">
        <v>19250000</v>
      </c>
    </row>
    <row r="712" spans="1:3">
      <c r="A712" s="201" t="s">
        <v>679</v>
      </c>
      <c r="B712" s="121">
        <v>500</v>
      </c>
      <c r="C712" s="121">
        <v>19250000</v>
      </c>
    </row>
    <row r="713" spans="1:3">
      <c r="A713" s="120" t="s">
        <v>874</v>
      </c>
      <c r="B713" s="121">
        <v>1400</v>
      </c>
      <c r="C713" s="121">
        <v>25500000</v>
      </c>
    </row>
    <row r="714" spans="1:3">
      <c r="A714" s="201" t="s">
        <v>111</v>
      </c>
      <c r="B714" s="121">
        <v>1400</v>
      </c>
      <c r="C714" s="121">
        <v>25500000</v>
      </c>
    </row>
    <row r="715" spans="1:3">
      <c r="A715" s="120" t="s">
        <v>875</v>
      </c>
      <c r="B715" s="121">
        <v>1750</v>
      </c>
      <c r="C715" s="121">
        <v>44625000</v>
      </c>
    </row>
    <row r="716" spans="1:3">
      <c r="A716" s="201" t="s">
        <v>111</v>
      </c>
      <c r="B716" s="121">
        <v>1750</v>
      </c>
      <c r="C716" s="121">
        <v>44625000</v>
      </c>
    </row>
    <row r="717" spans="1:3">
      <c r="A717" s="120" t="s">
        <v>1081</v>
      </c>
      <c r="B717" s="121">
        <v>300</v>
      </c>
      <c r="C717" s="121">
        <v>8950000</v>
      </c>
    </row>
    <row r="718" spans="1:3">
      <c r="A718" s="201" t="s">
        <v>111</v>
      </c>
      <c r="B718" s="121">
        <v>200</v>
      </c>
      <c r="C718" s="121">
        <v>5100000</v>
      </c>
    </row>
    <row r="719" spans="1:3">
      <c r="A719" s="201" t="s">
        <v>679</v>
      </c>
      <c r="B719" s="121">
        <v>100</v>
      </c>
      <c r="C719" s="121">
        <v>3850000</v>
      </c>
    </row>
    <row r="720" spans="1:3">
      <c r="A720" s="119" t="s">
        <v>179</v>
      </c>
      <c r="B720" s="121">
        <v>1475</v>
      </c>
      <c r="C720" s="121">
        <v>272762500</v>
      </c>
    </row>
    <row r="721" spans="1:3">
      <c r="A721" s="120" t="s">
        <v>882</v>
      </c>
      <c r="B721" s="121">
        <v>800</v>
      </c>
      <c r="C721" s="121">
        <v>151600000</v>
      </c>
    </row>
    <row r="722" spans="1:3">
      <c r="A722" s="201" t="s">
        <v>209</v>
      </c>
      <c r="B722" s="121">
        <v>800</v>
      </c>
      <c r="C722" s="121">
        <v>151600000</v>
      </c>
    </row>
    <row r="723" spans="1:3">
      <c r="A723" s="120" t="s">
        <v>1186</v>
      </c>
      <c r="B723" s="121">
        <v>675</v>
      </c>
      <c r="C723" s="121">
        <v>121162500</v>
      </c>
    </row>
    <row r="724" spans="1:3">
      <c r="A724" s="201" t="s">
        <v>209</v>
      </c>
      <c r="B724" s="121">
        <v>675</v>
      </c>
      <c r="C724" s="121">
        <v>121162500</v>
      </c>
    </row>
    <row r="725" spans="1:3">
      <c r="A725" s="119" t="s">
        <v>774</v>
      </c>
      <c r="B725" s="121">
        <v>100</v>
      </c>
      <c r="C725" s="121">
        <v>3675000</v>
      </c>
    </row>
    <row r="726" spans="1:3">
      <c r="A726" s="120" t="s">
        <v>1018</v>
      </c>
      <c r="B726" s="121">
        <v>100</v>
      </c>
      <c r="C726" s="121">
        <v>3675000</v>
      </c>
    </row>
    <row r="727" spans="1:3">
      <c r="A727" s="201" t="s">
        <v>795</v>
      </c>
      <c r="B727" s="121">
        <v>50</v>
      </c>
      <c r="C727" s="121">
        <v>925000</v>
      </c>
    </row>
    <row r="728" spans="1:3">
      <c r="A728" s="201" t="s">
        <v>158</v>
      </c>
      <c r="B728" s="121">
        <v>50</v>
      </c>
      <c r="C728" s="121">
        <v>2750000</v>
      </c>
    </row>
    <row r="729" spans="1:3">
      <c r="A729" s="119" t="s">
        <v>776</v>
      </c>
      <c r="B729" s="121">
        <v>315</v>
      </c>
      <c r="C729" s="121">
        <v>41365000</v>
      </c>
    </row>
    <row r="730" spans="1:3">
      <c r="A730" s="120" t="s">
        <v>1015</v>
      </c>
      <c r="B730" s="121">
        <v>315</v>
      </c>
      <c r="C730" s="121">
        <v>41365000</v>
      </c>
    </row>
    <row r="731" spans="1:3">
      <c r="A731" s="201" t="s">
        <v>766</v>
      </c>
      <c r="B731" s="121">
        <v>100</v>
      </c>
      <c r="C731" s="121">
        <v>14500000</v>
      </c>
    </row>
    <row r="732" spans="1:3">
      <c r="A732" s="201" t="s">
        <v>792</v>
      </c>
      <c r="B732" s="121">
        <v>200</v>
      </c>
      <c r="C732" s="121">
        <v>19440000</v>
      </c>
    </row>
    <row r="733" spans="1:3">
      <c r="A733" s="201" t="s">
        <v>207</v>
      </c>
      <c r="B733" s="121">
        <v>15</v>
      </c>
      <c r="C733" s="121">
        <v>7425000</v>
      </c>
    </row>
    <row r="734" spans="1:3">
      <c r="A734" s="119" t="s">
        <v>163</v>
      </c>
      <c r="B734" s="121">
        <v>1956.5</v>
      </c>
      <c r="C734" s="121">
        <v>135197904</v>
      </c>
    </row>
    <row r="735" spans="1:3">
      <c r="A735" s="120" t="s">
        <v>1104</v>
      </c>
      <c r="B735" s="121">
        <v>925</v>
      </c>
      <c r="C735" s="121">
        <v>69829400</v>
      </c>
    </row>
    <row r="736" spans="1:3">
      <c r="A736" s="201" t="s">
        <v>158</v>
      </c>
      <c r="B736" s="121">
        <v>750</v>
      </c>
      <c r="C736" s="121">
        <v>42000000</v>
      </c>
    </row>
    <row r="737" spans="1:3">
      <c r="A737" s="201" t="s">
        <v>792</v>
      </c>
      <c r="B737" s="121">
        <v>150</v>
      </c>
      <c r="C737" s="121">
        <v>15300000</v>
      </c>
    </row>
    <row r="738" spans="1:3">
      <c r="A738" s="201" t="s">
        <v>207</v>
      </c>
      <c r="B738" s="121">
        <v>25</v>
      </c>
      <c r="C738" s="121">
        <v>12529400</v>
      </c>
    </row>
    <row r="739" spans="1:3">
      <c r="A739" s="120" t="s">
        <v>1105</v>
      </c>
      <c r="B739" s="121">
        <v>1031.5</v>
      </c>
      <c r="C739" s="121">
        <v>65368504</v>
      </c>
    </row>
    <row r="740" spans="1:3">
      <c r="A740" s="201" t="s">
        <v>1106</v>
      </c>
      <c r="B740" s="121">
        <v>500</v>
      </c>
      <c r="C740" s="121">
        <v>8000000</v>
      </c>
    </row>
    <row r="741" spans="1:3">
      <c r="A741" s="201" t="s">
        <v>158</v>
      </c>
      <c r="B741" s="121">
        <v>400</v>
      </c>
      <c r="C741" s="121">
        <v>22400000</v>
      </c>
    </row>
    <row r="742" spans="1:3">
      <c r="A742" s="201" t="s">
        <v>230</v>
      </c>
      <c r="B742" s="121">
        <v>17.5</v>
      </c>
      <c r="C742" s="121">
        <v>1785000</v>
      </c>
    </row>
    <row r="743" spans="1:3">
      <c r="A743" s="201" t="s">
        <v>792</v>
      </c>
      <c r="B743" s="121">
        <v>60</v>
      </c>
      <c r="C743" s="121">
        <v>6120000</v>
      </c>
    </row>
    <row r="744" spans="1:3">
      <c r="A744" s="201" t="s">
        <v>207</v>
      </c>
      <c r="B744" s="121">
        <v>54</v>
      </c>
      <c r="C744" s="121">
        <v>27063504</v>
      </c>
    </row>
    <row r="745" spans="1:3">
      <c r="A745" s="119" t="s">
        <v>780</v>
      </c>
      <c r="B745" s="121">
        <v>2946.25</v>
      </c>
      <c r="C745" s="121">
        <v>109625000</v>
      </c>
    </row>
    <row r="746" spans="1:3">
      <c r="A746" s="120" t="s">
        <v>983</v>
      </c>
      <c r="B746" s="121">
        <v>800</v>
      </c>
      <c r="C746" s="121">
        <v>14450000</v>
      </c>
    </row>
    <row r="747" spans="1:3">
      <c r="A747" s="201" t="s">
        <v>215</v>
      </c>
      <c r="B747" s="121">
        <v>300</v>
      </c>
      <c r="C747" s="121">
        <v>4860000</v>
      </c>
    </row>
    <row r="748" spans="1:3">
      <c r="A748" s="201" t="s">
        <v>795</v>
      </c>
      <c r="B748" s="121">
        <v>200</v>
      </c>
      <c r="C748" s="121">
        <v>3200000</v>
      </c>
    </row>
    <row r="749" spans="1:3">
      <c r="A749" s="201" t="s">
        <v>194</v>
      </c>
      <c r="B749" s="121">
        <v>300</v>
      </c>
      <c r="C749" s="121">
        <v>6390000</v>
      </c>
    </row>
    <row r="750" spans="1:3">
      <c r="A750" s="120" t="s">
        <v>984</v>
      </c>
      <c r="B750" s="121">
        <v>70</v>
      </c>
      <c r="C750" s="121">
        <v>13225000</v>
      </c>
    </row>
    <row r="751" spans="1:3">
      <c r="A751" s="201" t="s">
        <v>789</v>
      </c>
      <c r="B751" s="121">
        <v>70</v>
      </c>
      <c r="C751" s="121">
        <v>13225000</v>
      </c>
    </row>
    <row r="752" spans="1:3">
      <c r="A752" s="120" t="s">
        <v>985</v>
      </c>
      <c r="B752" s="121">
        <v>800</v>
      </c>
      <c r="C752" s="121">
        <v>14450000</v>
      </c>
    </row>
    <row r="753" spans="1:3">
      <c r="A753" s="201" t="s">
        <v>215</v>
      </c>
      <c r="B753" s="121">
        <v>300</v>
      </c>
      <c r="C753" s="121">
        <v>4860000</v>
      </c>
    </row>
    <row r="754" spans="1:3">
      <c r="A754" s="201" t="s">
        <v>795</v>
      </c>
      <c r="B754" s="121">
        <v>200</v>
      </c>
      <c r="C754" s="121">
        <v>3200000</v>
      </c>
    </row>
    <row r="755" spans="1:3">
      <c r="A755" s="201" t="s">
        <v>194</v>
      </c>
      <c r="B755" s="121">
        <v>300</v>
      </c>
      <c r="C755" s="121">
        <v>6390000</v>
      </c>
    </row>
    <row r="756" spans="1:3">
      <c r="A756" s="120" t="s">
        <v>986</v>
      </c>
      <c r="B756" s="121">
        <v>1175</v>
      </c>
      <c r="C756" s="121">
        <v>58600000</v>
      </c>
    </row>
    <row r="757" spans="1:3">
      <c r="A757" s="201" t="s">
        <v>215</v>
      </c>
      <c r="B757" s="121">
        <v>400</v>
      </c>
      <c r="C757" s="121">
        <v>6480000</v>
      </c>
    </row>
    <row r="758" spans="1:3">
      <c r="A758" s="201" t="s">
        <v>188</v>
      </c>
      <c r="B758" s="121">
        <v>150</v>
      </c>
      <c r="C758" s="121">
        <v>8400000</v>
      </c>
    </row>
    <row r="759" spans="1:3">
      <c r="A759" s="201" t="s">
        <v>795</v>
      </c>
      <c r="B759" s="121">
        <v>200</v>
      </c>
      <c r="C759" s="121">
        <v>3200000</v>
      </c>
    </row>
    <row r="760" spans="1:3">
      <c r="A760" s="201" t="s">
        <v>194</v>
      </c>
      <c r="B760" s="121">
        <v>200</v>
      </c>
      <c r="C760" s="121">
        <v>4260000</v>
      </c>
    </row>
    <row r="761" spans="1:3">
      <c r="A761" s="201" t="s">
        <v>115</v>
      </c>
      <c r="B761" s="121">
        <v>25</v>
      </c>
      <c r="C761" s="121">
        <v>2750000</v>
      </c>
    </row>
    <row r="762" spans="1:3">
      <c r="A762" s="201" t="s">
        <v>151</v>
      </c>
      <c r="B762" s="121">
        <v>50</v>
      </c>
      <c r="C762" s="121">
        <v>2760000</v>
      </c>
    </row>
    <row r="763" spans="1:3">
      <c r="A763" s="201" t="s">
        <v>778</v>
      </c>
      <c r="B763" s="121">
        <v>150</v>
      </c>
      <c r="C763" s="121">
        <v>30750000</v>
      </c>
    </row>
    <row r="764" spans="1:3">
      <c r="A764" s="120" t="s">
        <v>987</v>
      </c>
      <c r="B764" s="121">
        <v>11.25</v>
      </c>
      <c r="C764" s="121">
        <v>0</v>
      </c>
    </row>
    <row r="765" spans="1:3">
      <c r="A765" s="201" t="s">
        <v>843</v>
      </c>
      <c r="B765" s="121">
        <v>11.25</v>
      </c>
      <c r="C765" s="121">
        <v>0</v>
      </c>
    </row>
    <row r="766" spans="1:3">
      <c r="A766" s="120" t="s">
        <v>1178</v>
      </c>
      <c r="B766" s="121">
        <v>20</v>
      </c>
      <c r="C766" s="121">
        <v>3000000</v>
      </c>
    </row>
    <row r="767" spans="1:3">
      <c r="A767" s="201" t="s">
        <v>766</v>
      </c>
      <c r="B767" s="121">
        <v>20</v>
      </c>
      <c r="C767" s="121">
        <v>3000000</v>
      </c>
    </row>
    <row r="768" spans="1:3">
      <c r="A768" s="120" t="s">
        <v>1197</v>
      </c>
      <c r="B768" s="121">
        <v>70</v>
      </c>
      <c r="C768" s="121">
        <v>5900000</v>
      </c>
    </row>
    <row r="769" spans="1:3">
      <c r="A769" s="201" t="s">
        <v>767</v>
      </c>
      <c r="B769" s="121">
        <v>50</v>
      </c>
      <c r="C769" s="121">
        <v>2700000</v>
      </c>
    </row>
    <row r="770" spans="1:3">
      <c r="A770" s="201" t="s">
        <v>768</v>
      </c>
      <c r="B770" s="121">
        <v>20</v>
      </c>
      <c r="C770" s="121">
        <v>3200000</v>
      </c>
    </row>
    <row r="771" spans="1:3">
      <c r="A771" s="119" t="s">
        <v>167</v>
      </c>
      <c r="B771" s="121">
        <v>2300</v>
      </c>
      <c r="C771" s="121">
        <v>37850000</v>
      </c>
    </row>
    <row r="772" spans="1:3">
      <c r="A772" s="120" t="s">
        <v>805</v>
      </c>
      <c r="B772" s="121">
        <v>300</v>
      </c>
      <c r="C772" s="121">
        <v>5850000</v>
      </c>
    </row>
    <row r="773" spans="1:3">
      <c r="A773" s="201" t="s">
        <v>194</v>
      </c>
      <c r="B773" s="121">
        <v>300</v>
      </c>
      <c r="C773" s="121">
        <v>5850000</v>
      </c>
    </row>
    <row r="774" spans="1:3">
      <c r="A774" s="120" t="s">
        <v>947</v>
      </c>
      <c r="B774" s="121">
        <v>1000</v>
      </c>
      <c r="C774" s="121">
        <v>16000000</v>
      </c>
    </row>
    <row r="775" spans="1:3">
      <c r="A775" s="201" t="s">
        <v>795</v>
      </c>
      <c r="B775" s="121">
        <v>1000</v>
      </c>
      <c r="C775" s="121">
        <v>16000000</v>
      </c>
    </row>
    <row r="776" spans="1:3">
      <c r="A776" s="120" t="s">
        <v>1009</v>
      </c>
      <c r="B776" s="121">
        <v>1000</v>
      </c>
      <c r="C776" s="121">
        <v>16000000</v>
      </c>
    </row>
    <row r="777" spans="1:3">
      <c r="A777" s="201" t="s">
        <v>795</v>
      </c>
      <c r="B777" s="121">
        <v>1000</v>
      </c>
      <c r="C777" s="121">
        <v>16000000</v>
      </c>
    </row>
    <row r="778" spans="1:3">
      <c r="A778" s="119" t="s">
        <v>539</v>
      </c>
      <c r="B778" s="121">
        <v>325</v>
      </c>
      <c r="C778" s="121">
        <v>6920000</v>
      </c>
    </row>
    <row r="779" spans="1:3">
      <c r="A779" s="120" t="s">
        <v>1118</v>
      </c>
      <c r="B779" s="121">
        <v>200</v>
      </c>
      <c r="C779" s="121">
        <v>4920000</v>
      </c>
    </row>
    <row r="780" spans="1:3">
      <c r="A780" s="201" t="s">
        <v>212</v>
      </c>
      <c r="B780" s="121">
        <v>200</v>
      </c>
      <c r="C780" s="121">
        <v>4920000</v>
      </c>
    </row>
    <row r="781" spans="1:3">
      <c r="A781" s="120" t="s">
        <v>1168</v>
      </c>
      <c r="B781" s="121">
        <v>125</v>
      </c>
      <c r="C781" s="121">
        <v>2000000</v>
      </c>
    </row>
    <row r="782" spans="1:3">
      <c r="A782" s="201" t="s">
        <v>795</v>
      </c>
      <c r="B782" s="121">
        <v>125</v>
      </c>
      <c r="C782" s="121">
        <v>2000000</v>
      </c>
    </row>
    <row r="783" spans="1:3">
      <c r="A783" s="119" t="s">
        <v>177</v>
      </c>
      <c r="B783" s="121">
        <v>691.375</v>
      </c>
      <c r="C783" s="121">
        <v>39104375</v>
      </c>
    </row>
    <row r="784" spans="1:3">
      <c r="A784" s="120" t="s">
        <v>951</v>
      </c>
      <c r="B784" s="121">
        <v>685</v>
      </c>
      <c r="C784" s="121">
        <v>38753375</v>
      </c>
    </row>
    <row r="785" spans="1:3">
      <c r="A785" s="201" t="s">
        <v>795</v>
      </c>
      <c r="B785" s="121">
        <v>400</v>
      </c>
      <c r="C785" s="121">
        <v>6200000</v>
      </c>
    </row>
    <row r="786" spans="1:3">
      <c r="A786" s="201" t="s">
        <v>209</v>
      </c>
      <c r="B786" s="121">
        <v>75</v>
      </c>
      <c r="C786" s="121">
        <v>12985875</v>
      </c>
    </row>
    <row r="787" spans="1:3">
      <c r="A787" s="201" t="s">
        <v>194</v>
      </c>
      <c r="B787" s="121">
        <v>25</v>
      </c>
      <c r="C787" s="121">
        <v>487500</v>
      </c>
    </row>
    <row r="788" spans="1:3">
      <c r="A788" s="201" t="s">
        <v>221</v>
      </c>
      <c r="B788" s="121">
        <v>60</v>
      </c>
      <c r="C788" s="121">
        <v>14805000</v>
      </c>
    </row>
    <row r="789" spans="1:3">
      <c r="A789" s="201" t="s">
        <v>767</v>
      </c>
      <c r="B789" s="121">
        <v>25</v>
      </c>
      <c r="C789" s="121">
        <v>1725000</v>
      </c>
    </row>
    <row r="790" spans="1:3">
      <c r="A790" s="201" t="s">
        <v>111</v>
      </c>
      <c r="B790" s="121">
        <v>100</v>
      </c>
      <c r="C790" s="121">
        <v>2550000</v>
      </c>
    </row>
    <row r="791" spans="1:3">
      <c r="A791" s="120" t="s">
        <v>965</v>
      </c>
      <c r="B791" s="121">
        <v>6.375</v>
      </c>
      <c r="C791" s="121">
        <v>351000</v>
      </c>
    </row>
    <row r="792" spans="1:3">
      <c r="A792" s="201" t="s">
        <v>188</v>
      </c>
      <c r="B792" s="121">
        <v>6</v>
      </c>
      <c r="C792" s="121">
        <v>351000</v>
      </c>
    </row>
    <row r="793" spans="1:3">
      <c r="A793" s="201" t="s">
        <v>843</v>
      </c>
      <c r="B793" s="121">
        <v>0.375</v>
      </c>
      <c r="C793" s="121">
        <v>0</v>
      </c>
    </row>
    <row r="794" spans="1:3">
      <c r="A794" s="119" t="s">
        <v>481</v>
      </c>
      <c r="B794" s="121">
        <v>6</v>
      </c>
      <c r="C794" s="121">
        <v>630000</v>
      </c>
    </row>
    <row r="795" spans="1:3">
      <c r="A795" s="120" t="s">
        <v>1200</v>
      </c>
      <c r="B795" s="121">
        <v>6</v>
      </c>
      <c r="C795" s="121">
        <v>630000</v>
      </c>
    </row>
    <row r="796" spans="1:3">
      <c r="A796" s="201" t="s">
        <v>230</v>
      </c>
      <c r="B796" s="121">
        <v>6</v>
      </c>
      <c r="C796" s="121">
        <v>630000</v>
      </c>
    </row>
    <row r="797" spans="1:3">
      <c r="A797" s="119" t="s">
        <v>543</v>
      </c>
      <c r="B797" s="121">
        <v>74</v>
      </c>
      <c r="C797" s="121">
        <v>3020300</v>
      </c>
    </row>
    <row r="798" spans="1:3">
      <c r="A798" s="120" t="s">
        <v>1043</v>
      </c>
      <c r="B798" s="121">
        <v>74</v>
      </c>
      <c r="C798" s="121">
        <v>3020300</v>
      </c>
    </row>
    <row r="799" spans="1:3">
      <c r="A799" s="201" t="s">
        <v>766</v>
      </c>
      <c r="B799" s="121">
        <v>2</v>
      </c>
      <c r="C799" s="121">
        <v>311800</v>
      </c>
    </row>
    <row r="800" spans="1:3">
      <c r="A800" s="201" t="s">
        <v>795</v>
      </c>
      <c r="B800" s="121">
        <v>50</v>
      </c>
      <c r="C800" s="121">
        <v>775000</v>
      </c>
    </row>
    <row r="801" spans="1:3">
      <c r="A801" s="201" t="s">
        <v>221</v>
      </c>
      <c r="B801" s="121">
        <v>2</v>
      </c>
      <c r="C801" s="121">
        <v>493500</v>
      </c>
    </row>
    <row r="802" spans="1:3">
      <c r="A802" s="201" t="s">
        <v>814</v>
      </c>
      <c r="B802" s="121">
        <v>20</v>
      </c>
      <c r="C802" s="121">
        <v>1440000</v>
      </c>
    </row>
    <row r="803" spans="1:3">
      <c r="A803" s="119" t="s">
        <v>149</v>
      </c>
      <c r="B803" s="121">
        <v>40</v>
      </c>
      <c r="C803" s="121">
        <v>20800000</v>
      </c>
    </row>
    <row r="804" spans="1:3">
      <c r="A804" s="120" t="s">
        <v>1148</v>
      </c>
      <c r="B804" s="121">
        <v>20</v>
      </c>
      <c r="C804" s="121">
        <v>10400000</v>
      </c>
    </row>
    <row r="805" spans="1:3">
      <c r="A805" s="201" t="s">
        <v>207</v>
      </c>
      <c r="B805" s="121">
        <v>20</v>
      </c>
      <c r="C805" s="121">
        <v>10400000</v>
      </c>
    </row>
    <row r="806" spans="1:3">
      <c r="A806" s="120" t="s">
        <v>1149</v>
      </c>
      <c r="B806" s="121">
        <v>20</v>
      </c>
      <c r="C806" s="121">
        <v>10400000</v>
      </c>
    </row>
    <row r="807" spans="1:3">
      <c r="A807" s="201" t="s">
        <v>207</v>
      </c>
      <c r="B807" s="121">
        <v>20</v>
      </c>
      <c r="C807" s="121">
        <v>10400000</v>
      </c>
    </row>
    <row r="808" spans="1:3">
      <c r="A808" s="119" t="s">
        <v>53</v>
      </c>
      <c r="B808" s="121">
        <v>625</v>
      </c>
      <c r="C808" s="121">
        <v>24125000</v>
      </c>
    </row>
    <row r="809" spans="1:3">
      <c r="A809" s="120" t="s">
        <v>1098</v>
      </c>
      <c r="B809" s="121">
        <v>625</v>
      </c>
      <c r="C809" s="121">
        <v>24125000</v>
      </c>
    </row>
    <row r="810" spans="1:3">
      <c r="A810" s="201" t="s">
        <v>767</v>
      </c>
      <c r="B810" s="121">
        <v>50</v>
      </c>
      <c r="C810" s="121">
        <v>3350000</v>
      </c>
    </row>
    <row r="811" spans="1:3">
      <c r="A811" s="201" t="s">
        <v>111</v>
      </c>
      <c r="B811" s="121">
        <v>300</v>
      </c>
      <c r="C811" s="121">
        <v>7650000</v>
      </c>
    </row>
    <row r="812" spans="1:3">
      <c r="A812" s="201" t="s">
        <v>679</v>
      </c>
      <c r="B812" s="121">
        <v>250</v>
      </c>
      <c r="C812" s="121">
        <v>9625000</v>
      </c>
    </row>
    <row r="813" spans="1:3">
      <c r="A813" s="201" t="s">
        <v>768</v>
      </c>
      <c r="B813" s="121">
        <v>25</v>
      </c>
      <c r="C813" s="121">
        <v>3500000</v>
      </c>
    </row>
    <row r="814" spans="1:3">
      <c r="A814" s="119" t="s">
        <v>133</v>
      </c>
      <c r="B814" s="121">
        <v>2700</v>
      </c>
      <c r="C814" s="121">
        <v>170424000</v>
      </c>
    </row>
    <row r="815" spans="1:3">
      <c r="A815" s="120" t="s">
        <v>798</v>
      </c>
      <c r="B815" s="121">
        <v>1700</v>
      </c>
      <c r="C815" s="121">
        <v>107304000</v>
      </c>
    </row>
    <row r="816" spans="1:3">
      <c r="A816" s="201" t="s">
        <v>388</v>
      </c>
      <c r="B816" s="121">
        <v>1700</v>
      </c>
      <c r="C816" s="121">
        <v>107304000</v>
      </c>
    </row>
    <row r="817" spans="1:3">
      <c r="A817" s="120" t="s">
        <v>799</v>
      </c>
      <c r="B817" s="121">
        <v>1000</v>
      </c>
      <c r="C817" s="121">
        <v>63120000</v>
      </c>
    </row>
    <row r="818" spans="1:3">
      <c r="A818" s="201" t="s">
        <v>388</v>
      </c>
      <c r="B818" s="121">
        <v>1000</v>
      </c>
      <c r="C818" s="121">
        <v>63120000</v>
      </c>
    </row>
    <row r="819" spans="1:3">
      <c r="A819" s="119" t="s">
        <v>785</v>
      </c>
      <c r="B819" s="121">
        <v>12264</v>
      </c>
      <c r="C819" s="121">
        <v>402049000</v>
      </c>
    </row>
    <row r="820" spans="1:3">
      <c r="A820" s="120" t="s">
        <v>825</v>
      </c>
      <c r="B820" s="121">
        <v>144</v>
      </c>
      <c r="C820" s="121">
        <v>7956000</v>
      </c>
    </row>
    <row r="821" spans="1:3">
      <c r="A821" s="201" t="s">
        <v>772</v>
      </c>
      <c r="B821" s="121">
        <v>144</v>
      </c>
      <c r="C821" s="121">
        <v>7956000</v>
      </c>
    </row>
    <row r="822" spans="1:3">
      <c r="A822" s="120" t="s">
        <v>957</v>
      </c>
      <c r="B822" s="121">
        <v>8500</v>
      </c>
      <c r="C822" s="121">
        <v>263500000</v>
      </c>
    </row>
    <row r="823" spans="1:3">
      <c r="A823" s="201" t="s">
        <v>779</v>
      </c>
      <c r="B823" s="121">
        <v>8500</v>
      </c>
      <c r="C823" s="121">
        <v>263500000</v>
      </c>
    </row>
    <row r="824" spans="1:3">
      <c r="A824" s="120" t="s">
        <v>958</v>
      </c>
      <c r="B824" s="121">
        <v>2900</v>
      </c>
      <c r="C824" s="121">
        <v>51475000</v>
      </c>
    </row>
    <row r="825" spans="1:3">
      <c r="A825" s="201" t="s">
        <v>194</v>
      </c>
      <c r="B825" s="121">
        <v>2900</v>
      </c>
      <c r="C825" s="121">
        <v>51475000</v>
      </c>
    </row>
    <row r="826" spans="1:3">
      <c r="A826" s="120" t="s">
        <v>959</v>
      </c>
      <c r="B826" s="121">
        <v>200</v>
      </c>
      <c r="C826" s="121">
        <v>50568000</v>
      </c>
    </row>
    <row r="827" spans="1:3">
      <c r="A827" s="201" t="s">
        <v>772</v>
      </c>
      <c r="B827" s="121">
        <v>200</v>
      </c>
      <c r="C827" s="121">
        <v>50568000</v>
      </c>
    </row>
    <row r="828" spans="1:3">
      <c r="A828" s="120" t="s">
        <v>960</v>
      </c>
      <c r="B828" s="121">
        <v>88</v>
      </c>
      <c r="C828" s="121">
        <v>4682000</v>
      </c>
    </row>
    <row r="829" spans="1:3">
      <c r="A829" s="201" t="s">
        <v>772</v>
      </c>
      <c r="B829" s="121">
        <v>88</v>
      </c>
      <c r="C829" s="121">
        <v>4682000</v>
      </c>
    </row>
    <row r="830" spans="1:3">
      <c r="A830" s="120" t="s">
        <v>994</v>
      </c>
      <c r="B830" s="121">
        <v>288</v>
      </c>
      <c r="C830" s="121">
        <v>15912000</v>
      </c>
    </row>
    <row r="831" spans="1:3">
      <c r="A831" s="201" t="s">
        <v>772</v>
      </c>
      <c r="B831" s="121">
        <v>288</v>
      </c>
      <c r="C831" s="121">
        <v>15912000</v>
      </c>
    </row>
    <row r="832" spans="1:3">
      <c r="A832" s="120" t="s">
        <v>1100</v>
      </c>
      <c r="B832" s="121">
        <v>144</v>
      </c>
      <c r="C832" s="121">
        <v>7956000</v>
      </c>
    </row>
    <row r="833" spans="1:3">
      <c r="A833" s="201" t="s">
        <v>772</v>
      </c>
      <c r="B833" s="121">
        <v>144</v>
      </c>
      <c r="C833" s="121">
        <v>7956000</v>
      </c>
    </row>
    <row r="834" spans="1:3">
      <c r="A834" s="119" t="s">
        <v>42</v>
      </c>
      <c r="B834" s="121">
        <v>1375</v>
      </c>
      <c r="C834" s="121">
        <v>36841150</v>
      </c>
    </row>
    <row r="835" spans="1:3">
      <c r="A835" s="120" t="s">
        <v>826</v>
      </c>
      <c r="B835" s="121">
        <v>300</v>
      </c>
      <c r="C835" s="121">
        <v>11400000</v>
      </c>
    </row>
    <row r="836" spans="1:3">
      <c r="A836" s="201" t="s">
        <v>788</v>
      </c>
      <c r="B836" s="121">
        <v>300</v>
      </c>
      <c r="C836" s="121">
        <v>11400000</v>
      </c>
    </row>
    <row r="837" spans="1:3">
      <c r="A837" s="120" t="s">
        <v>827</v>
      </c>
      <c r="B837" s="121">
        <v>25</v>
      </c>
      <c r="C837" s="121">
        <v>525000</v>
      </c>
    </row>
    <row r="838" spans="1:3">
      <c r="A838" s="201" t="s">
        <v>116</v>
      </c>
      <c r="B838" s="121">
        <v>25</v>
      </c>
      <c r="C838" s="121">
        <v>525000</v>
      </c>
    </row>
    <row r="839" spans="1:3">
      <c r="A839" s="120" t="s">
        <v>944</v>
      </c>
      <c r="B839" s="121">
        <v>700</v>
      </c>
      <c r="C839" s="121">
        <v>12495000</v>
      </c>
    </row>
    <row r="840" spans="1:3">
      <c r="A840" s="201" t="s">
        <v>215</v>
      </c>
      <c r="B840" s="121">
        <v>700</v>
      </c>
      <c r="C840" s="121">
        <v>12495000</v>
      </c>
    </row>
    <row r="841" spans="1:3">
      <c r="A841" s="120" t="s">
        <v>1046</v>
      </c>
      <c r="B841" s="121">
        <v>300</v>
      </c>
      <c r="C841" s="121">
        <v>11400000</v>
      </c>
    </row>
    <row r="842" spans="1:3">
      <c r="A842" s="201" t="s">
        <v>788</v>
      </c>
      <c r="B842" s="121">
        <v>300</v>
      </c>
      <c r="C842" s="121">
        <v>11400000</v>
      </c>
    </row>
    <row r="843" spans="1:3">
      <c r="A843" s="120" t="s">
        <v>1087</v>
      </c>
      <c r="B843" s="121">
        <v>50</v>
      </c>
      <c r="C843" s="121">
        <v>1021150</v>
      </c>
    </row>
    <row r="844" spans="1:3">
      <c r="A844" s="201" t="s">
        <v>194</v>
      </c>
      <c r="B844" s="121">
        <v>50</v>
      </c>
      <c r="C844" s="121">
        <v>1021150</v>
      </c>
    </row>
    <row r="845" spans="1:3">
      <c r="A845" s="119" t="s">
        <v>592</v>
      </c>
      <c r="B845" s="121">
        <v>113.75</v>
      </c>
      <c r="C845" s="121">
        <v>12150000</v>
      </c>
    </row>
    <row r="846" spans="1:3">
      <c r="A846" s="120" t="s">
        <v>905</v>
      </c>
      <c r="B846" s="121">
        <v>30</v>
      </c>
      <c r="C846" s="121">
        <v>6750000</v>
      </c>
    </row>
    <row r="847" spans="1:3">
      <c r="A847" s="201" t="s">
        <v>906</v>
      </c>
      <c r="B847" s="121">
        <v>30</v>
      </c>
      <c r="C847" s="121">
        <v>6750000</v>
      </c>
    </row>
    <row r="848" spans="1:3">
      <c r="A848" s="120" t="s">
        <v>907</v>
      </c>
      <c r="B848" s="121">
        <v>2.25</v>
      </c>
      <c r="C848" s="121">
        <v>0</v>
      </c>
    </row>
    <row r="849" spans="1:3">
      <c r="A849" s="201" t="s">
        <v>843</v>
      </c>
      <c r="B849" s="121">
        <v>2.25</v>
      </c>
      <c r="C849" s="121">
        <v>0</v>
      </c>
    </row>
    <row r="850" spans="1:3">
      <c r="A850" s="120" t="s">
        <v>924</v>
      </c>
      <c r="B850" s="121">
        <v>20</v>
      </c>
      <c r="C850" s="121">
        <v>1400000</v>
      </c>
    </row>
    <row r="851" spans="1:3">
      <c r="A851" s="201" t="s">
        <v>814</v>
      </c>
      <c r="B851" s="121">
        <v>20</v>
      </c>
      <c r="C851" s="121">
        <v>1400000</v>
      </c>
    </row>
    <row r="852" spans="1:3">
      <c r="A852" s="120" t="s">
        <v>1121</v>
      </c>
      <c r="B852" s="121">
        <v>60</v>
      </c>
      <c r="C852" s="121">
        <v>4000000</v>
      </c>
    </row>
    <row r="853" spans="1:3">
      <c r="A853" s="201" t="s">
        <v>112</v>
      </c>
      <c r="B853" s="121">
        <v>20</v>
      </c>
      <c r="C853" s="121">
        <v>1200000</v>
      </c>
    </row>
    <row r="854" spans="1:3">
      <c r="A854" s="201" t="s">
        <v>814</v>
      </c>
      <c r="B854" s="121">
        <v>40</v>
      </c>
      <c r="C854" s="121">
        <v>2800000</v>
      </c>
    </row>
    <row r="855" spans="1:3">
      <c r="A855" s="120" t="s">
        <v>1122</v>
      </c>
      <c r="B855" s="121">
        <v>1.5</v>
      </c>
      <c r="C855" s="121">
        <v>0</v>
      </c>
    </row>
    <row r="856" spans="1:3">
      <c r="A856" s="201" t="s">
        <v>843</v>
      </c>
      <c r="B856" s="121">
        <v>1.5</v>
      </c>
      <c r="C856" s="121">
        <v>0</v>
      </c>
    </row>
    <row r="857" spans="1:3">
      <c r="A857" s="119" t="s">
        <v>787</v>
      </c>
      <c r="B857" s="121">
        <v>8</v>
      </c>
      <c r="C857" s="121">
        <v>520000</v>
      </c>
    </row>
    <row r="858" spans="1:3">
      <c r="A858" s="120" t="s">
        <v>899</v>
      </c>
      <c r="B858" s="121">
        <v>8</v>
      </c>
      <c r="C858" s="121">
        <v>520000</v>
      </c>
    </row>
    <row r="859" spans="1:3">
      <c r="A859" s="201" t="s">
        <v>772</v>
      </c>
      <c r="B859" s="121">
        <v>8</v>
      </c>
      <c r="C859" s="121">
        <v>520000</v>
      </c>
    </row>
    <row r="860" spans="1:3">
      <c r="A860" s="119" t="s">
        <v>32</v>
      </c>
      <c r="B860" s="121">
        <v>2610.75</v>
      </c>
      <c r="C860" s="121">
        <v>170993750</v>
      </c>
    </row>
    <row r="861" spans="1:3">
      <c r="A861" s="120" t="s">
        <v>808</v>
      </c>
      <c r="B861" s="121">
        <v>2350</v>
      </c>
      <c r="C861" s="121">
        <v>163225000</v>
      </c>
    </row>
    <row r="862" spans="1:3">
      <c r="A862" s="201" t="s">
        <v>112</v>
      </c>
      <c r="B862" s="121">
        <v>150</v>
      </c>
      <c r="C862" s="121">
        <v>7950000</v>
      </c>
    </row>
    <row r="863" spans="1:3">
      <c r="A863" s="201" t="s">
        <v>795</v>
      </c>
      <c r="B863" s="121">
        <v>400</v>
      </c>
      <c r="C863" s="121">
        <v>6400000</v>
      </c>
    </row>
    <row r="864" spans="1:3">
      <c r="A864" s="201" t="s">
        <v>767</v>
      </c>
      <c r="B864" s="121">
        <v>1300</v>
      </c>
      <c r="C864" s="121">
        <v>84500000</v>
      </c>
    </row>
    <row r="865" spans="1:3">
      <c r="A865" s="201" t="s">
        <v>115</v>
      </c>
      <c r="B865" s="121">
        <v>350</v>
      </c>
      <c r="C865" s="121">
        <v>35875000</v>
      </c>
    </row>
    <row r="866" spans="1:3">
      <c r="A866" s="201" t="s">
        <v>778</v>
      </c>
      <c r="B866" s="121">
        <v>150</v>
      </c>
      <c r="C866" s="121">
        <v>28500000</v>
      </c>
    </row>
    <row r="867" spans="1:3">
      <c r="A867" s="120" t="s">
        <v>809</v>
      </c>
      <c r="B867" s="121">
        <v>11.25</v>
      </c>
      <c r="C867" s="121">
        <v>0</v>
      </c>
    </row>
    <row r="868" spans="1:3">
      <c r="A868" s="201" t="s">
        <v>810</v>
      </c>
      <c r="B868" s="121">
        <v>11.25</v>
      </c>
      <c r="C868" s="121">
        <v>0</v>
      </c>
    </row>
    <row r="869" spans="1:3">
      <c r="A869" s="120" t="s">
        <v>829</v>
      </c>
      <c r="B869" s="121">
        <v>225</v>
      </c>
      <c r="C869" s="121">
        <v>5737500</v>
      </c>
    </row>
    <row r="870" spans="1:3">
      <c r="A870" s="201" t="s">
        <v>111</v>
      </c>
      <c r="B870" s="121">
        <v>225</v>
      </c>
      <c r="C870" s="121">
        <v>5737500</v>
      </c>
    </row>
    <row r="871" spans="1:3">
      <c r="A871" s="120" t="s">
        <v>972</v>
      </c>
      <c r="B871" s="121">
        <v>24.5</v>
      </c>
      <c r="C871" s="121">
        <v>2031250</v>
      </c>
    </row>
    <row r="872" spans="1:3">
      <c r="A872" s="201" t="s">
        <v>973</v>
      </c>
      <c r="B872" s="121">
        <v>14.5</v>
      </c>
      <c r="C872" s="121">
        <v>1486250</v>
      </c>
    </row>
    <row r="873" spans="1:3">
      <c r="A873" s="201" t="s">
        <v>772</v>
      </c>
      <c r="B873" s="121">
        <v>10</v>
      </c>
      <c r="C873" s="121">
        <v>545000</v>
      </c>
    </row>
    <row r="874" spans="1:3">
      <c r="A874" s="119" t="s">
        <v>790</v>
      </c>
      <c r="B874" s="121">
        <v>53</v>
      </c>
      <c r="C874" s="121">
        <v>2335000</v>
      </c>
    </row>
    <row r="875" spans="1:3">
      <c r="A875" s="120" t="s">
        <v>926</v>
      </c>
      <c r="B875" s="121">
        <v>50</v>
      </c>
      <c r="C875" s="121">
        <v>775000</v>
      </c>
    </row>
    <row r="876" spans="1:3">
      <c r="A876" s="201" t="s">
        <v>795</v>
      </c>
      <c r="B876" s="121">
        <v>50</v>
      </c>
      <c r="C876" s="121">
        <v>775000</v>
      </c>
    </row>
    <row r="877" spans="1:3">
      <c r="A877" s="120" t="s">
        <v>927</v>
      </c>
      <c r="B877" s="121">
        <v>3</v>
      </c>
      <c r="C877" s="121">
        <v>1560000</v>
      </c>
    </row>
    <row r="878" spans="1:3">
      <c r="A878" s="201" t="s">
        <v>207</v>
      </c>
      <c r="B878" s="121">
        <v>3</v>
      </c>
      <c r="C878" s="121">
        <v>1560000</v>
      </c>
    </row>
    <row r="879" spans="1:3">
      <c r="A879" s="119" t="s">
        <v>801</v>
      </c>
      <c r="B879" s="121">
        <v>10800</v>
      </c>
      <c r="C879" s="121">
        <v>336200000</v>
      </c>
    </row>
    <row r="880" spans="1:3">
      <c r="A880" s="120" t="s">
        <v>800</v>
      </c>
      <c r="B880" s="121">
        <v>10800</v>
      </c>
      <c r="C880" s="121">
        <v>336200000</v>
      </c>
    </row>
    <row r="881" spans="1:3">
      <c r="A881" s="201" t="s">
        <v>209</v>
      </c>
      <c r="B881" s="121">
        <v>800</v>
      </c>
      <c r="C881" s="121">
        <v>131200000</v>
      </c>
    </row>
    <row r="882" spans="1:3">
      <c r="A882" s="201" t="s">
        <v>116</v>
      </c>
      <c r="B882" s="121">
        <v>10000</v>
      </c>
      <c r="C882" s="121">
        <v>205000000</v>
      </c>
    </row>
    <row r="883" spans="1:3">
      <c r="A883" s="119" t="s">
        <v>399</v>
      </c>
      <c r="B883" s="121">
        <v>20000</v>
      </c>
      <c r="C883" s="121">
        <v>0</v>
      </c>
    </row>
    <row r="884" spans="1:3">
      <c r="A884" s="120" t="s">
        <v>806</v>
      </c>
      <c r="B884" s="121">
        <v>20000</v>
      </c>
      <c r="C884" s="121">
        <v>0</v>
      </c>
    </row>
    <row r="885" spans="1:3">
      <c r="A885" s="201" t="s">
        <v>113</v>
      </c>
      <c r="B885" s="121">
        <v>8000</v>
      </c>
      <c r="C885" s="121">
        <v>0</v>
      </c>
    </row>
    <row r="886" spans="1:3">
      <c r="A886" s="201" t="s">
        <v>795</v>
      </c>
      <c r="B886" s="121">
        <v>1000</v>
      </c>
      <c r="C886" s="121">
        <v>0</v>
      </c>
    </row>
    <row r="887" spans="1:3">
      <c r="A887" s="201" t="s">
        <v>807</v>
      </c>
      <c r="B887" s="121">
        <v>3000</v>
      </c>
      <c r="C887" s="121">
        <v>0</v>
      </c>
    </row>
    <row r="888" spans="1:3">
      <c r="A888" s="201" t="s">
        <v>153</v>
      </c>
      <c r="B888" s="121">
        <v>8000</v>
      </c>
      <c r="C888" s="121">
        <v>0</v>
      </c>
    </row>
    <row r="889" spans="1:3">
      <c r="A889" s="119" t="s">
        <v>831</v>
      </c>
      <c r="B889" s="121">
        <v>24</v>
      </c>
      <c r="C889" s="121">
        <v>3600000</v>
      </c>
    </row>
    <row r="890" spans="1:3">
      <c r="A890" s="120" t="s">
        <v>830</v>
      </c>
      <c r="B890" s="121">
        <v>24</v>
      </c>
      <c r="C890" s="121">
        <v>3600000</v>
      </c>
    </row>
    <row r="891" spans="1:3">
      <c r="A891" s="201" t="s">
        <v>766</v>
      </c>
      <c r="B891" s="121">
        <v>24</v>
      </c>
      <c r="C891" s="121">
        <v>3600000</v>
      </c>
    </row>
    <row r="892" spans="1:3">
      <c r="A892" s="119" t="s">
        <v>854</v>
      </c>
      <c r="B892" s="121">
        <v>125</v>
      </c>
      <c r="C892" s="121">
        <v>2572500</v>
      </c>
    </row>
    <row r="893" spans="1:3">
      <c r="A893" s="120" t="s">
        <v>853</v>
      </c>
      <c r="B893" s="121">
        <v>125</v>
      </c>
      <c r="C893" s="121">
        <v>2572500</v>
      </c>
    </row>
    <row r="894" spans="1:3">
      <c r="A894" s="201" t="s">
        <v>795</v>
      </c>
      <c r="B894" s="121">
        <v>75</v>
      </c>
      <c r="C894" s="121">
        <v>1312500</v>
      </c>
    </row>
    <row r="895" spans="1:3">
      <c r="A895" s="201" t="s">
        <v>212</v>
      </c>
      <c r="B895" s="121">
        <v>50</v>
      </c>
      <c r="C895" s="121">
        <v>1260000</v>
      </c>
    </row>
    <row r="896" spans="1:3">
      <c r="A896" s="119" t="s">
        <v>393</v>
      </c>
      <c r="B896" s="121">
        <v>700</v>
      </c>
      <c r="C896" s="121">
        <v>35700000</v>
      </c>
    </row>
    <row r="897" spans="1:3">
      <c r="A897" s="120" t="s">
        <v>1145</v>
      </c>
      <c r="B897" s="121">
        <v>700</v>
      </c>
      <c r="C897" s="121">
        <v>35700000</v>
      </c>
    </row>
    <row r="898" spans="1:3">
      <c r="A898" s="201" t="s">
        <v>171</v>
      </c>
      <c r="B898" s="121">
        <v>700</v>
      </c>
      <c r="C898" s="121">
        <v>35700000</v>
      </c>
    </row>
    <row r="899" spans="1:3">
      <c r="A899" s="119" t="s">
        <v>864</v>
      </c>
      <c r="B899" s="121">
        <v>16.5</v>
      </c>
      <c r="C899" s="121">
        <v>2920800</v>
      </c>
    </row>
    <row r="900" spans="1:3">
      <c r="A900" s="120" t="s">
        <v>863</v>
      </c>
      <c r="B900" s="121">
        <v>15</v>
      </c>
      <c r="C900" s="121">
        <v>2775000</v>
      </c>
    </row>
    <row r="901" spans="1:3">
      <c r="A901" s="201" t="s">
        <v>789</v>
      </c>
      <c r="B901" s="121">
        <v>15</v>
      </c>
      <c r="C901" s="121">
        <v>2775000</v>
      </c>
    </row>
    <row r="902" spans="1:3">
      <c r="A902" s="120" t="s">
        <v>865</v>
      </c>
      <c r="B902" s="121">
        <v>1.5</v>
      </c>
      <c r="C902" s="121">
        <v>145800</v>
      </c>
    </row>
    <row r="903" spans="1:3">
      <c r="A903" s="201" t="s">
        <v>792</v>
      </c>
      <c r="B903" s="121">
        <v>1.5</v>
      </c>
      <c r="C903" s="121">
        <v>145800</v>
      </c>
    </row>
    <row r="904" spans="1:3">
      <c r="A904" s="119" t="s">
        <v>867</v>
      </c>
      <c r="B904" s="121">
        <v>125.5</v>
      </c>
      <c r="C904" s="121">
        <v>34518520</v>
      </c>
    </row>
    <row r="905" spans="1:3">
      <c r="A905" s="120" t="s">
        <v>866</v>
      </c>
      <c r="B905" s="121">
        <v>7</v>
      </c>
      <c r="C905" s="121">
        <v>2200240</v>
      </c>
    </row>
    <row r="906" spans="1:3">
      <c r="A906" s="201" t="s">
        <v>766</v>
      </c>
      <c r="B906" s="121">
        <v>4</v>
      </c>
      <c r="C906" s="121">
        <v>640000</v>
      </c>
    </row>
    <row r="907" spans="1:3">
      <c r="A907" s="201" t="s">
        <v>207</v>
      </c>
      <c r="B907" s="121">
        <v>3</v>
      </c>
      <c r="C907" s="121">
        <v>1560240</v>
      </c>
    </row>
    <row r="908" spans="1:3">
      <c r="A908" s="120" t="s">
        <v>904</v>
      </c>
      <c r="B908" s="121">
        <v>5</v>
      </c>
      <c r="C908" s="121">
        <v>2601040</v>
      </c>
    </row>
    <row r="909" spans="1:3">
      <c r="A909" s="201" t="s">
        <v>207</v>
      </c>
      <c r="B909" s="121">
        <v>5</v>
      </c>
      <c r="C909" s="121">
        <v>2601040</v>
      </c>
    </row>
    <row r="910" spans="1:3">
      <c r="A910" s="120" t="s">
        <v>1025</v>
      </c>
      <c r="B910" s="121">
        <v>50</v>
      </c>
      <c r="C910" s="121">
        <v>7975000</v>
      </c>
    </row>
    <row r="911" spans="1:3">
      <c r="A911" s="201" t="s">
        <v>221</v>
      </c>
      <c r="B911" s="121">
        <v>20</v>
      </c>
      <c r="C911" s="121">
        <v>5800000</v>
      </c>
    </row>
    <row r="912" spans="1:3">
      <c r="A912" s="201" t="s">
        <v>814</v>
      </c>
      <c r="B912" s="121">
        <v>30</v>
      </c>
      <c r="C912" s="121">
        <v>2175000</v>
      </c>
    </row>
    <row r="913" spans="1:3">
      <c r="A913" s="120" t="s">
        <v>1026</v>
      </c>
      <c r="B913" s="121">
        <v>26</v>
      </c>
      <c r="C913" s="121">
        <v>5176000</v>
      </c>
    </row>
    <row r="914" spans="1:3">
      <c r="A914" s="201" t="s">
        <v>766</v>
      </c>
      <c r="B914" s="121">
        <v>6</v>
      </c>
      <c r="C914" s="121">
        <v>960000</v>
      </c>
    </row>
    <row r="915" spans="1:3">
      <c r="A915" s="201" t="s">
        <v>1027</v>
      </c>
      <c r="B915" s="121">
        <v>20</v>
      </c>
      <c r="C915" s="121">
        <v>4216000</v>
      </c>
    </row>
    <row r="916" spans="1:3">
      <c r="A916" s="120" t="s">
        <v>1028</v>
      </c>
      <c r="B916" s="121">
        <v>1.5</v>
      </c>
      <c r="C916" s="121">
        <v>0</v>
      </c>
    </row>
    <row r="917" spans="1:3">
      <c r="A917" s="201" t="s">
        <v>843</v>
      </c>
      <c r="B917" s="121">
        <v>1.5</v>
      </c>
      <c r="C917" s="121">
        <v>0</v>
      </c>
    </row>
    <row r="918" spans="1:3">
      <c r="A918" s="120" t="s">
        <v>1101</v>
      </c>
      <c r="B918" s="121">
        <v>10</v>
      </c>
      <c r="C918" s="121">
        <v>5202080</v>
      </c>
    </row>
    <row r="919" spans="1:3">
      <c r="A919" s="201" t="s">
        <v>207</v>
      </c>
      <c r="B919" s="121">
        <v>10</v>
      </c>
      <c r="C919" s="121">
        <v>5202080</v>
      </c>
    </row>
    <row r="920" spans="1:3">
      <c r="A920" s="120" t="s">
        <v>1126</v>
      </c>
      <c r="B920" s="121">
        <v>6</v>
      </c>
      <c r="C920" s="121">
        <v>960000</v>
      </c>
    </row>
    <row r="921" spans="1:3">
      <c r="A921" s="201" t="s">
        <v>766</v>
      </c>
      <c r="B921" s="121">
        <v>6</v>
      </c>
      <c r="C921" s="121">
        <v>960000</v>
      </c>
    </row>
    <row r="922" spans="1:3">
      <c r="A922" s="120" t="s">
        <v>1139</v>
      </c>
      <c r="B922" s="121">
        <v>20</v>
      </c>
      <c r="C922" s="121">
        <v>10404160</v>
      </c>
    </row>
    <row r="923" spans="1:3">
      <c r="A923" s="201" t="s">
        <v>207</v>
      </c>
      <c r="B923" s="121">
        <v>20</v>
      </c>
      <c r="C923" s="121">
        <v>10404160</v>
      </c>
    </row>
    <row r="924" spans="1:3">
      <c r="A924" s="119" t="s">
        <v>561</v>
      </c>
      <c r="B924" s="121">
        <v>500</v>
      </c>
      <c r="C924" s="121">
        <v>8400000</v>
      </c>
    </row>
    <row r="925" spans="1:3">
      <c r="A925" s="120" t="s">
        <v>869</v>
      </c>
      <c r="B925" s="121">
        <v>500</v>
      </c>
      <c r="C925" s="121">
        <v>8400000</v>
      </c>
    </row>
    <row r="926" spans="1:3">
      <c r="A926" s="201" t="s">
        <v>494</v>
      </c>
      <c r="B926" s="121">
        <v>500</v>
      </c>
      <c r="C926" s="121">
        <v>8400000</v>
      </c>
    </row>
    <row r="927" spans="1:3">
      <c r="A927" s="119" t="s">
        <v>880</v>
      </c>
      <c r="B927" s="121">
        <v>105</v>
      </c>
      <c r="C927" s="121">
        <v>7375500</v>
      </c>
    </row>
    <row r="928" spans="1:3">
      <c r="A928" s="120" t="s">
        <v>879</v>
      </c>
      <c r="B928" s="121">
        <v>20</v>
      </c>
      <c r="C928" s="121">
        <v>2200000</v>
      </c>
    </row>
    <row r="929" spans="1:3">
      <c r="A929" s="201" t="s">
        <v>230</v>
      </c>
      <c r="B929" s="121">
        <v>20</v>
      </c>
      <c r="C929" s="121">
        <v>2200000</v>
      </c>
    </row>
    <row r="930" spans="1:3">
      <c r="A930" s="120" t="s">
        <v>881</v>
      </c>
      <c r="B930" s="121">
        <v>25</v>
      </c>
      <c r="C930" s="121">
        <v>2750000</v>
      </c>
    </row>
    <row r="931" spans="1:3">
      <c r="A931" s="201" t="s">
        <v>230</v>
      </c>
      <c r="B931" s="121">
        <v>25</v>
      </c>
      <c r="C931" s="121">
        <v>2750000</v>
      </c>
    </row>
    <row r="932" spans="1:3">
      <c r="A932" s="120" t="s">
        <v>1161</v>
      </c>
      <c r="B932" s="121">
        <v>40</v>
      </c>
      <c r="C932" s="121">
        <v>1617000</v>
      </c>
    </row>
    <row r="933" spans="1:3">
      <c r="A933" s="201" t="s">
        <v>962</v>
      </c>
      <c r="B933" s="121">
        <v>40</v>
      </c>
      <c r="C933" s="121">
        <v>1617000</v>
      </c>
    </row>
    <row r="934" spans="1:3">
      <c r="A934" s="120" t="s">
        <v>1162</v>
      </c>
      <c r="B934" s="121">
        <v>20</v>
      </c>
      <c r="C934" s="121">
        <v>808500</v>
      </c>
    </row>
    <row r="935" spans="1:3">
      <c r="A935" s="201" t="s">
        <v>962</v>
      </c>
      <c r="B935" s="121">
        <v>20</v>
      </c>
      <c r="C935" s="121">
        <v>808500</v>
      </c>
    </row>
    <row r="936" spans="1:3">
      <c r="A936" s="119" t="s">
        <v>884</v>
      </c>
      <c r="B936" s="121">
        <v>200</v>
      </c>
      <c r="C936" s="121">
        <v>9331800</v>
      </c>
    </row>
    <row r="937" spans="1:3">
      <c r="A937" s="120" t="s">
        <v>883</v>
      </c>
      <c r="B937" s="121">
        <v>200</v>
      </c>
      <c r="C937" s="121">
        <v>9331800</v>
      </c>
    </row>
    <row r="938" spans="1:3">
      <c r="A938" s="201" t="s">
        <v>593</v>
      </c>
      <c r="B938" s="121">
        <v>200</v>
      </c>
      <c r="C938" s="121">
        <v>9331800</v>
      </c>
    </row>
    <row r="939" spans="1:3">
      <c r="A939" s="119" t="s">
        <v>887</v>
      </c>
      <c r="B939" s="121">
        <v>1920</v>
      </c>
      <c r="C939" s="121">
        <v>52272400</v>
      </c>
    </row>
    <row r="940" spans="1:3">
      <c r="A940" s="120" t="s">
        <v>886</v>
      </c>
      <c r="B940" s="121">
        <v>20</v>
      </c>
      <c r="C940" s="121">
        <v>722400</v>
      </c>
    </row>
    <row r="941" spans="1:3">
      <c r="A941" s="201" t="s">
        <v>766</v>
      </c>
      <c r="B941" s="121">
        <v>20</v>
      </c>
      <c r="C941" s="121">
        <v>722400</v>
      </c>
    </row>
    <row r="942" spans="1:3">
      <c r="A942" s="120" t="s">
        <v>1072</v>
      </c>
      <c r="B942" s="121">
        <v>600</v>
      </c>
      <c r="C942" s="121">
        <v>9300000</v>
      </c>
    </row>
    <row r="943" spans="1:3">
      <c r="A943" s="201" t="s">
        <v>795</v>
      </c>
      <c r="B943" s="121">
        <v>600</v>
      </c>
      <c r="C943" s="121">
        <v>9300000</v>
      </c>
    </row>
    <row r="944" spans="1:3">
      <c r="A944" s="120" t="s">
        <v>1152</v>
      </c>
      <c r="B944" s="121">
        <v>650</v>
      </c>
      <c r="C944" s="121">
        <v>21125000</v>
      </c>
    </row>
    <row r="945" spans="1:3">
      <c r="A945" s="201" t="s">
        <v>111</v>
      </c>
      <c r="B945" s="121">
        <v>300</v>
      </c>
      <c r="C945" s="121">
        <v>7650000</v>
      </c>
    </row>
    <row r="946" spans="1:3">
      <c r="A946" s="201" t="s">
        <v>679</v>
      </c>
      <c r="B946" s="121">
        <v>350</v>
      </c>
      <c r="C946" s="121">
        <v>13475000</v>
      </c>
    </row>
    <row r="947" spans="1:3">
      <c r="A947" s="120" t="s">
        <v>1169</v>
      </c>
      <c r="B947" s="121">
        <v>650</v>
      </c>
      <c r="C947" s="121">
        <v>21125000</v>
      </c>
    </row>
    <row r="948" spans="1:3">
      <c r="A948" s="201" t="s">
        <v>111</v>
      </c>
      <c r="B948" s="121">
        <v>300</v>
      </c>
      <c r="C948" s="121">
        <v>7650000</v>
      </c>
    </row>
    <row r="949" spans="1:3">
      <c r="A949" s="201" t="s">
        <v>679</v>
      </c>
      <c r="B949" s="121">
        <v>350</v>
      </c>
      <c r="C949" s="121">
        <v>13475000</v>
      </c>
    </row>
    <row r="950" spans="1:3">
      <c r="A950" s="119" t="s">
        <v>385</v>
      </c>
      <c r="B950" s="121">
        <v>4700</v>
      </c>
      <c r="C950" s="121">
        <v>402515700</v>
      </c>
    </row>
    <row r="951" spans="1:3">
      <c r="A951" s="120" t="s">
        <v>888</v>
      </c>
      <c r="B951" s="121">
        <v>4700</v>
      </c>
      <c r="C951" s="121">
        <v>402515700</v>
      </c>
    </row>
    <row r="952" spans="1:3">
      <c r="A952" s="201" t="s">
        <v>209</v>
      </c>
      <c r="B952" s="121">
        <v>1200</v>
      </c>
      <c r="C952" s="121">
        <v>147481200</v>
      </c>
    </row>
    <row r="953" spans="1:3">
      <c r="A953" s="201" t="s">
        <v>115</v>
      </c>
      <c r="B953" s="121">
        <v>3500</v>
      </c>
      <c r="C953" s="121">
        <v>255034500</v>
      </c>
    </row>
    <row r="954" spans="1:3">
      <c r="A954" s="119" t="s">
        <v>893</v>
      </c>
      <c r="B954" s="121">
        <v>300</v>
      </c>
      <c r="C954" s="121">
        <v>16830000</v>
      </c>
    </row>
    <row r="955" spans="1:3">
      <c r="A955" s="120" t="s">
        <v>892</v>
      </c>
      <c r="B955" s="121">
        <v>300</v>
      </c>
      <c r="C955" s="121">
        <v>16830000</v>
      </c>
    </row>
    <row r="956" spans="1:3">
      <c r="A956" s="201" t="s">
        <v>226</v>
      </c>
      <c r="B956" s="121">
        <v>300</v>
      </c>
      <c r="C956" s="121">
        <v>16830000</v>
      </c>
    </row>
    <row r="957" spans="1:3">
      <c r="A957" s="119" t="s">
        <v>471</v>
      </c>
      <c r="B957" s="121">
        <v>68.75</v>
      </c>
      <c r="C957" s="121">
        <v>15605000</v>
      </c>
    </row>
    <row r="958" spans="1:3">
      <c r="A958" s="120" t="s">
        <v>895</v>
      </c>
      <c r="B958" s="121">
        <v>35</v>
      </c>
      <c r="C958" s="121">
        <v>6700000</v>
      </c>
    </row>
    <row r="959" spans="1:3">
      <c r="A959" s="201" t="s">
        <v>766</v>
      </c>
      <c r="B959" s="121">
        <v>20</v>
      </c>
      <c r="C959" s="121">
        <v>3400000</v>
      </c>
    </row>
    <row r="960" spans="1:3">
      <c r="A960" s="201" t="s">
        <v>207</v>
      </c>
      <c r="B960" s="121">
        <v>5</v>
      </c>
      <c r="C960" s="121">
        <v>2650000</v>
      </c>
    </row>
    <row r="961" spans="1:3">
      <c r="A961" s="201" t="s">
        <v>772</v>
      </c>
      <c r="B961" s="121">
        <v>10</v>
      </c>
      <c r="C961" s="121">
        <v>650000</v>
      </c>
    </row>
    <row r="962" spans="1:3">
      <c r="A962" s="120" t="s">
        <v>1016</v>
      </c>
      <c r="B962" s="121">
        <v>10</v>
      </c>
      <c r="C962" s="121">
        <v>5300000</v>
      </c>
    </row>
    <row r="963" spans="1:3">
      <c r="A963" s="201" t="s">
        <v>207</v>
      </c>
      <c r="B963" s="121">
        <v>10</v>
      </c>
      <c r="C963" s="121">
        <v>5300000</v>
      </c>
    </row>
    <row r="964" spans="1:3">
      <c r="A964" s="120" t="s">
        <v>1053</v>
      </c>
      <c r="B964" s="121">
        <v>20</v>
      </c>
      <c r="C964" s="121">
        <v>3605000</v>
      </c>
    </row>
    <row r="965" spans="1:3">
      <c r="A965" s="201" t="s">
        <v>112</v>
      </c>
      <c r="B965" s="121">
        <v>5</v>
      </c>
      <c r="C965" s="121">
        <v>305000</v>
      </c>
    </row>
    <row r="966" spans="1:3">
      <c r="A966" s="201" t="s">
        <v>207</v>
      </c>
      <c r="B966" s="121">
        <v>5</v>
      </c>
      <c r="C966" s="121">
        <v>2650000</v>
      </c>
    </row>
    <row r="967" spans="1:3">
      <c r="A967" s="201" t="s">
        <v>772</v>
      </c>
      <c r="B967" s="121">
        <v>10</v>
      </c>
      <c r="C967" s="121">
        <v>650000</v>
      </c>
    </row>
    <row r="968" spans="1:3">
      <c r="A968" s="120" t="s">
        <v>1054</v>
      </c>
      <c r="B968" s="121">
        <v>3.75</v>
      </c>
      <c r="C968" s="121">
        <v>0</v>
      </c>
    </row>
    <row r="969" spans="1:3">
      <c r="A969" s="201" t="s">
        <v>843</v>
      </c>
      <c r="B969" s="121">
        <v>3.75</v>
      </c>
      <c r="C969" s="121">
        <v>0</v>
      </c>
    </row>
    <row r="970" spans="1:3">
      <c r="A970" s="119" t="s">
        <v>718</v>
      </c>
      <c r="B970" s="121">
        <v>800</v>
      </c>
      <c r="C970" s="121">
        <v>12640000</v>
      </c>
    </row>
    <row r="971" spans="1:3">
      <c r="A971" s="120" t="s">
        <v>897</v>
      </c>
      <c r="B971" s="121">
        <v>400</v>
      </c>
      <c r="C971" s="121">
        <v>6320000</v>
      </c>
    </row>
    <row r="972" spans="1:3">
      <c r="A972" s="201" t="s">
        <v>795</v>
      </c>
      <c r="B972" s="121">
        <v>400</v>
      </c>
      <c r="C972" s="121">
        <v>6320000</v>
      </c>
    </row>
    <row r="973" spans="1:3">
      <c r="A973" s="120" t="s">
        <v>934</v>
      </c>
      <c r="B973" s="121">
        <v>400</v>
      </c>
      <c r="C973" s="121">
        <v>6320000</v>
      </c>
    </row>
    <row r="974" spans="1:3">
      <c r="A974" s="201" t="s">
        <v>795</v>
      </c>
      <c r="B974" s="121">
        <v>400</v>
      </c>
      <c r="C974" s="121">
        <v>6320000</v>
      </c>
    </row>
    <row r="975" spans="1:3">
      <c r="A975" s="119" t="s">
        <v>54</v>
      </c>
      <c r="B975" s="121">
        <v>3174.5</v>
      </c>
      <c r="C975" s="121">
        <v>79892000</v>
      </c>
    </row>
    <row r="976" spans="1:3">
      <c r="A976" s="120" t="s">
        <v>910</v>
      </c>
      <c r="B976" s="121">
        <v>2160</v>
      </c>
      <c r="C976" s="121">
        <v>61711250</v>
      </c>
    </row>
    <row r="977" spans="1:3">
      <c r="A977" s="201" t="s">
        <v>113</v>
      </c>
      <c r="B977" s="121">
        <v>100</v>
      </c>
      <c r="C977" s="121">
        <v>6400000</v>
      </c>
    </row>
    <row r="978" spans="1:3">
      <c r="A978" s="201" t="s">
        <v>766</v>
      </c>
      <c r="B978" s="121">
        <v>10</v>
      </c>
      <c r="C978" s="121">
        <v>1600000</v>
      </c>
    </row>
    <row r="979" spans="1:3">
      <c r="A979" s="201" t="s">
        <v>215</v>
      </c>
      <c r="B979" s="121">
        <v>750</v>
      </c>
      <c r="C979" s="121">
        <v>12986250</v>
      </c>
    </row>
    <row r="980" spans="1:3">
      <c r="A980" s="201" t="s">
        <v>112</v>
      </c>
      <c r="B980" s="121">
        <v>200</v>
      </c>
      <c r="C980" s="121">
        <v>11000000</v>
      </c>
    </row>
    <row r="981" spans="1:3">
      <c r="A981" s="201" t="s">
        <v>194</v>
      </c>
      <c r="B981" s="121">
        <v>500</v>
      </c>
      <c r="C981" s="121">
        <v>10250000</v>
      </c>
    </row>
    <row r="982" spans="1:3">
      <c r="A982" s="201" t="s">
        <v>767</v>
      </c>
      <c r="B982" s="121">
        <v>50</v>
      </c>
      <c r="C982" s="121">
        <v>3625000</v>
      </c>
    </row>
    <row r="983" spans="1:3">
      <c r="A983" s="201" t="s">
        <v>111</v>
      </c>
      <c r="B983" s="121">
        <v>500</v>
      </c>
      <c r="C983" s="121">
        <v>12750000</v>
      </c>
    </row>
    <row r="984" spans="1:3">
      <c r="A984" s="201" t="s">
        <v>136</v>
      </c>
      <c r="B984" s="121">
        <v>50</v>
      </c>
      <c r="C984" s="121">
        <v>3100000</v>
      </c>
    </row>
    <row r="985" spans="1:3">
      <c r="A985" s="120" t="s">
        <v>911</v>
      </c>
      <c r="B985" s="121">
        <v>14.5</v>
      </c>
      <c r="C985" s="121">
        <v>0</v>
      </c>
    </row>
    <row r="986" spans="1:3">
      <c r="A986" s="201" t="s">
        <v>843</v>
      </c>
      <c r="B986" s="121">
        <v>14.5</v>
      </c>
      <c r="C986" s="121">
        <v>0</v>
      </c>
    </row>
    <row r="987" spans="1:3">
      <c r="A987" s="120" t="s">
        <v>1196</v>
      </c>
      <c r="B987" s="121">
        <v>1000</v>
      </c>
      <c r="C987" s="121">
        <v>18180750</v>
      </c>
    </row>
    <row r="988" spans="1:3">
      <c r="A988" s="201" t="s">
        <v>215</v>
      </c>
      <c r="B988" s="121">
        <v>1000</v>
      </c>
      <c r="C988" s="121">
        <v>18180750</v>
      </c>
    </row>
    <row r="989" spans="1:3">
      <c r="A989" s="119" t="s">
        <v>916</v>
      </c>
      <c r="B989" s="121">
        <v>80</v>
      </c>
      <c r="C989" s="121">
        <v>9880000</v>
      </c>
    </row>
    <row r="990" spans="1:3">
      <c r="A990" s="120" t="s">
        <v>915</v>
      </c>
      <c r="B990" s="121">
        <v>10</v>
      </c>
      <c r="C990" s="121">
        <v>1700000</v>
      </c>
    </row>
    <row r="991" spans="1:3">
      <c r="A991" s="201" t="s">
        <v>769</v>
      </c>
      <c r="B991" s="121">
        <v>10</v>
      </c>
      <c r="C991" s="121">
        <v>1700000</v>
      </c>
    </row>
    <row r="992" spans="1:3">
      <c r="A992" s="120" t="s">
        <v>1159</v>
      </c>
      <c r="B992" s="121">
        <v>70</v>
      </c>
      <c r="C992" s="121">
        <v>8180000</v>
      </c>
    </row>
    <row r="993" spans="1:3">
      <c r="A993" s="201" t="s">
        <v>792</v>
      </c>
      <c r="B993" s="121">
        <v>60</v>
      </c>
      <c r="C993" s="121">
        <v>6480000</v>
      </c>
    </row>
    <row r="994" spans="1:3">
      <c r="A994" s="201" t="s">
        <v>161</v>
      </c>
      <c r="B994" s="121">
        <v>10</v>
      </c>
      <c r="C994" s="121">
        <v>1700000</v>
      </c>
    </row>
    <row r="995" spans="1:3">
      <c r="A995" s="119" t="s">
        <v>181</v>
      </c>
      <c r="B995" s="121">
        <v>11500</v>
      </c>
      <c r="C995" s="121">
        <v>505366500</v>
      </c>
    </row>
    <row r="996" spans="1:3">
      <c r="A996" s="120" t="s">
        <v>922</v>
      </c>
      <c r="B996" s="121">
        <v>300</v>
      </c>
      <c r="C996" s="121">
        <v>20250000</v>
      </c>
    </row>
    <row r="997" spans="1:3">
      <c r="A997" s="201" t="s">
        <v>151</v>
      </c>
      <c r="B997" s="121">
        <v>300</v>
      </c>
      <c r="C997" s="121">
        <v>20250000</v>
      </c>
    </row>
    <row r="998" spans="1:3">
      <c r="A998" s="120" t="s">
        <v>923</v>
      </c>
      <c r="B998" s="121">
        <v>800</v>
      </c>
      <c r="C998" s="121">
        <v>118040000</v>
      </c>
    </row>
    <row r="999" spans="1:3">
      <c r="A999" s="201" t="s">
        <v>209</v>
      </c>
      <c r="B999" s="121">
        <v>800</v>
      </c>
      <c r="C999" s="121">
        <v>118040000</v>
      </c>
    </row>
    <row r="1000" spans="1:3">
      <c r="A1000" s="120" t="s">
        <v>1055</v>
      </c>
      <c r="B1000" s="121">
        <v>7900</v>
      </c>
      <c r="C1000" s="121">
        <v>274326500</v>
      </c>
    </row>
    <row r="1001" spans="1:3">
      <c r="A1001" s="201" t="s">
        <v>194</v>
      </c>
      <c r="B1001" s="121">
        <v>5500</v>
      </c>
      <c r="C1001" s="121">
        <v>112326500</v>
      </c>
    </row>
    <row r="1002" spans="1:3">
      <c r="A1002" s="201" t="s">
        <v>151</v>
      </c>
      <c r="B1002" s="121">
        <v>2400</v>
      </c>
      <c r="C1002" s="121">
        <v>162000000</v>
      </c>
    </row>
    <row r="1003" spans="1:3">
      <c r="A1003" s="120" t="s">
        <v>1117</v>
      </c>
      <c r="B1003" s="121">
        <v>2500</v>
      </c>
      <c r="C1003" s="121">
        <v>92750000</v>
      </c>
    </row>
    <row r="1004" spans="1:3">
      <c r="A1004" s="201" t="s">
        <v>158</v>
      </c>
      <c r="B1004" s="121">
        <v>2500</v>
      </c>
      <c r="C1004" s="121">
        <v>92750000</v>
      </c>
    </row>
    <row r="1005" spans="1:3">
      <c r="A1005" s="119" t="s">
        <v>943</v>
      </c>
      <c r="B1005" s="121">
        <v>550</v>
      </c>
      <c r="C1005" s="121">
        <v>57750000</v>
      </c>
    </row>
    <row r="1006" spans="1:3">
      <c r="A1006" s="120" t="s">
        <v>942</v>
      </c>
      <c r="B1006" s="121">
        <v>550</v>
      </c>
      <c r="C1006" s="121">
        <v>57750000</v>
      </c>
    </row>
    <row r="1007" spans="1:3">
      <c r="A1007" s="201" t="s">
        <v>115</v>
      </c>
      <c r="B1007" s="121">
        <v>550</v>
      </c>
      <c r="C1007" s="121">
        <v>57750000</v>
      </c>
    </row>
    <row r="1008" spans="1:3">
      <c r="A1008" s="119" t="s">
        <v>392</v>
      </c>
      <c r="B1008" s="121">
        <v>100</v>
      </c>
      <c r="C1008" s="121">
        <v>3817000</v>
      </c>
    </row>
    <row r="1009" spans="1:3">
      <c r="A1009" s="120" t="s">
        <v>971</v>
      </c>
      <c r="B1009" s="121">
        <v>100</v>
      </c>
      <c r="C1009" s="121">
        <v>3817000</v>
      </c>
    </row>
    <row r="1010" spans="1:3">
      <c r="A1010" s="201" t="s">
        <v>795</v>
      </c>
      <c r="B1010" s="121">
        <v>50</v>
      </c>
      <c r="C1010" s="121">
        <v>925000</v>
      </c>
    </row>
    <row r="1011" spans="1:3">
      <c r="A1011" s="201" t="s">
        <v>226</v>
      </c>
      <c r="B1011" s="121">
        <v>50</v>
      </c>
      <c r="C1011" s="121">
        <v>2892000</v>
      </c>
    </row>
    <row r="1012" spans="1:3">
      <c r="A1012" s="119" t="s">
        <v>996</v>
      </c>
      <c r="B1012" s="121">
        <v>2744.5</v>
      </c>
      <c r="C1012" s="121">
        <v>79824400</v>
      </c>
    </row>
    <row r="1013" spans="1:3">
      <c r="A1013" s="120" t="s">
        <v>995</v>
      </c>
      <c r="B1013" s="121">
        <v>425</v>
      </c>
      <c r="C1013" s="121">
        <v>6800000</v>
      </c>
    </row>
    <row r="1014" spans="1:3">
      <c r="A1014" s="201" t="s">
        <v>795</v>
      </c>
      <c r="B1014" s="121">
        <v>425</v>
      </c>
      <c r="C1014" s="121">
        <v>6800000</v>
      </c>
    </row>
    <row r="1015" spans="1:3">
      <c r="A1015" s="120" t="s">
        <v>1010</v>
      </c>
      <c r="B1015" s="121">
        <v>480</v>
      </c>
      <c r="C1015" s="121">
        <v>19580000</v>
      </c>
    </row>
    <row r="1016" spans="1:3">
      <c r="A1016" s="201" t="s">
        <v>962</v>
      </c>
      <c r="B1016" s="121">
        <v>480</v>
      </c>
      <c r="C1016" s="121">
        <v>19580000</v>
      </c>
    </row>
    <row r="1017" spans="1:3">
      <c r="A1017" s="120" t="s">
        <v>1050</v>
      </c>
      <c r="B1017" s="121">
        <v>325</v>
      </c>
      <c r="C1017" s="121">
        <v>5200000</v>
      </c>
    </row>
    <row r="1018" spans="1:3">
      <c r="A1018" s="201" t="s">
        <v>795</v>
      </c>
      <c r="B1018" s="121">
        <v>325</v>
      </c>
      <c r="C1018" s="121">
        <v>5200000</v>
      </c>
    </row>
    <row r="1019" spans="1:3">
      <c r="A1019" s="120" t="s">
        <v>1051</v>
      </c>
      <c r="B1019" s="121">
        <v>450</v>
      </c>
      <c r="C1019" s="121">
        <v>7200000</v>
      </c>
    </row>
    <row r="1020" spans="1:3">
      <c r="A1020" s="201" t="s">
        <v>795</v>
      </c>
      <c r="B1020" s="121">
        <v>450</v>
      </c>
      <c r="C1020" s="121">
        <v>7200000</v>
      </c>
    </row>
    <row r="1021" spans="1:3">
      <c r="A1021" s="120" t="s">
        <v>1083</v>
      </c>
      <c r="B1021" s="121">
        <v>450</v>
      </c>
      <c r="C1021" s="121">
        <v>7200000</v>
      </c>
    </row>
    <row r="1022" spans="1:3">
      <c r="A1022" s="201" t="s">
        <v>795</v>
      </c>
      <c r="B1022" s="121">
        <v>450</v>
      </c>
      <c r="C1022" s="121">
        <v>7200000</v>
      </c>
    </row>
    <row r="1023" spans="1:3">
      <c r="A1023" s="120" t="s">
        <v>1123</v>
      </c>
      <c r="B1023" s="121">
        <v>592</v>
      </c>
      <c r="C1023" s="121">
        <v>31657400</v>
      </c>
    </row>
    <row r="1024" spans="1:3">
      <c r="A1024" s="201" t="s">
        <v>766</v>
      </c>
      <c r="B1024" s="121">
        <v>20</v>
      </c>
      <c r="C1024" s="121">
        <v>2900000</v>
      </c>
    </row>
    <row r="1025" spans="1:3">
      <c r="A1025" s="201" t="s">
        <v>792</v>
      </c>
      <c r="B1025" s="121">
        <v>112</v>
      </c>
      <c r="C1025" s="121">
        <v>10886400</v>
      </c>
    </row>
    <row r="1026" spans="1:3">
      <c r="A1026" s="201" t="s">
        <v>962</v>
      </c>
      <c r="B1026" s="121">
        <v>460</v>
      </c>
      <c r="C1026" s="121">
        <v>17871000</v>
      </c>
    </row>
    <row r="1027" spans="1:3">
      <c r="A1027" s="120" t="s">
        <v>1164</v>
      </c>
      <c r="B1027" s="121">
        <v>22.5</v>
      </c>
      <c r="C1027" s="121">
        <v>2187000</v>
      </c>
    </row>
    <row r="1028" spans="1:3">
      <c r="A1028" s="201" t="s">
        <v>792</v>
      </c>
      <c r="B1028" s="121">
        <v>22.5</v>
      </c>
      <c r="C1028" s="121">
        <v>2187000</v>
      </c>
    </row>
    <row r="1029" spans="1:3">
      <c r="A1029" s="119" t="s">
        <v>160</v>
      </c>
      <c r="B1029" s="121">
        <v>4</v>
      </c>
      <c r="C1029" s="121">
        <v>2055456</v>
      </c>
    </row>
    <row r="1030" spans="1:3">
      <c r="A1030" s="120" t="s">
        <v>1044</v>
      </c>
      <c r="B1030" s="121">
        <v>4</v>
      </c>
      <c r="C1030" s="121">
        <v>2055456</v>
      </c>
    </row>
    <row r="1031" spans="1:3">
      <c r="A1031" s="201" t="s">
        <v>207</v>
      </c>
      <c r="B1031" s="121">
        <v>4</v>
      </c>
      <c r="C1031" s="121">
        <v>2055456</v>
      </c>
    </row>
    <row r="1032" spans="1:3">
      <c r="A1032" s="119" t="s">
        <v>1012</v>
      </c>
      <c r="B1032" s="121">
        <v>315</v>
      </c>
      <c r="C1032" s="121">
        <v>41365000</v>
      </c>
    </row>
    <row r="1033" spans="1:3">
      <c r="A1033" s="120" t="s">
        <v>1011</v>
      </c>
      <c r="B1033" s="121">
        <v>315</v>
      </c>
      <c r="C1033" s="121">
        <v>41365000</v>
      </c>
    </row>
    <row r="1034" spans="1:3">
      <c r="A1034" s="201" t="s">
        <v>766</v>
      </c>
      <c r="B1034" s="121">
        <v>100</v>
      </c>
      <c r="C1034" s="121">
        <v>14500000</v>
      </c>
    </row>
    <row r="1035" spans="1:3">
      <c r="A1035" s="201" t="s">
        <v>792</v>
      </c>
      <c r="B1035" s="121">
        <v>200</v>
      </c>
      <c r="C1035" s="121">
        <v>19440000</v>
      </c>
    </row>
    <row r="1036" spans="1:3">
      <c r="A1036" s="201" t="s">
        <v>207</v>
      </c>
      <c r="B1036" s="121">
        <v>15</v>
      </c>
      <c r="C1036" s="121">
        <v>7425000</v>
      </c>
    </row>
    <row r="1037" spans="1:3">
      <c r="A1037" s="119" t="s">
        <v>1014</v>
      </c>
      <c r="B1037" s="121">
        <v>50</v>
      </c>
      <c r="C1037" s="121">
        <v>7250000</v>
      </c>
    </row>
    <row r="1038" spans="1:3">
      <c r="A1038" s="120" t="s">
        <v>1013</v>
      </c>
      <c r="B1038" s="121">
        <v>50</v>
      </c>
      <c r="C1038" s="121">
        <v>7250000</v>
      </c>
    </row>
    <row r="1039" spans="1:3">
      <c r="A1039" s="201" t="s">
        <v>766</v>
      </c>
      <c r="B1039" s="121">
        <v>50</v>
      </c>
      <c r="C1039" s="121">
        <v>7250000</v>
      </c>
    </row>
    <row r="1040" spans="1:3">
      <c r="A1040" s="119" t="s">
        <v>1038</v>
      </c>
      <c r="B1040" s="121">
        <v>21300</v>
      </c>
      <c r="C1040" s="121">
        <v>1791690300</v>
      </c>
    </row>
    <row r="1041" spans="1:3">
      <c r="A1041" s="120" t="s">
        <v>1037</v>
      </c>
      <c r="B1041" s="121">
        <v>6500</v>
      </c>
      <c r="C1041" s="121">
        <v>548686500</v>
      </c>
    </row>
    <row r="1042" spans="1:3">
      <c r="A1042" s="201" t="s">
        <v>209</v>
      </c>
      <c r="B1042" s="121">
        <v>1500</v>
      </c>
      <c r="C1042" s="121">
        <v>184351500</v>
      </c>
    </row>
    <row r="1043" spans="1:3">
      <c r="A1043" s="201" t="s">
        <v>115</v>
      </c>
      <c r="B1043" s="121">
        <v>5000</v>
      </c>
      <c r="C1043" s="121">
        <v>364335000</v>
      </c>
    </row>
    <row r="1044" spans="1:3">
      <c r="A1044" s="120" t="s">
        <v>1039</v>
      </c>
      <c r="B1044" s="121">
        <v>6500</v>
      </c>
      <c r="C1044" s="121">
        <v>548686500</v>
      </c>
    </row>
    <row r="1045" spans="1:3">
      <c r="A1045" s="201" t="s">
        <v>209</v>
      </c>
      <c r="B1045" s="121">
        <v>1500</v>
      </c>
      <c r="C1045" s="121">
        <v>184351500</v>
      </c>
    </row>
    <row r="1046" spans="1:3">
      <c r="A1046" s="201" t="s">
        <v>115</v>
      </c>
      <c r="B1046" s="121">
        <v>5000</v>
      </c>
      <c r="C1046" s="121">
        <v>364335000</v>
      </c>
    </row>
    <row r="1047" spans="1:3">
      <c r="A1047" s="120" t="s">
        <v>1048</v>
      </c>
      <c r="B1047" s="121">
        <v>2000</v>
      </c>
      <c r="C1047" s="121">
        <v>170751000</v>
      </c>
    </row>
    <row r="1048" spans="1:3">
      <c r="A1048" s="201" t="s">
        <v>209</v>
      </c>
      <c r="B1048" s="121">
        <v>500</v>
      </c>
      <c r="C1048" s="121">
        <v>61450500</v>
      </c>
    </row>
    <row r="1049" spans="1:3">
      <c r="A1049" s="201" t="s">
        <v>115</v>
      </c>
      <c r="B1049" s="121">
        <v>1500</v>
      </c>
      <c r="C1049" s="121">
        <v>109300500</v>
      </c>
    </row>
    <row r="1050" spans="1:3">
      <c r="A1050" s="120" t="s">
        <v>1061</v>
      </c>
      <c r="B1050" s="121">
        <v>3000</v>
      </c>
      <c r="C1050" s="121">
        <v>268635000</v>
      </c>
    </row>
    <row r="1051" spans="1:3">
      <c r="A1051" s="201" t="s">
        <v>209</v>
      </c>
      <c r="B1051" s="121">
        <v>1000</v>
      </c>
      <c r="C1051" s="121">
        <v>122901000</v>
      </c>
    </row>
    <row r="1052" spans="1:3">
      <c r="A1052" s="201" t="s">
        <v>115</v>
      </c>
      <c r="B1052" s="121">
        <v>2000</v>
      </c>
      <c r="C1052" s="121">
        <v>145734000</v>
      </c>
    </row>
    <row r="1053" spans="1:3">
      <c r="A1053" s="120" t="s">
        <v>1183</v>
      </c>
      <c r="B1053" s="121">
        <v>3300</v>
      </c>
      <c r="C1053" s="121">
        <v>254931300</v>
      </c>
    </row>
    <row r="1054" spans="1:3">
      <c r="A1054" s="201" t="s">
        <v>209</v>
      </c>
      <c r="B1054" s="121">
        <v>300</v>
      </c>
      <c r="C1054" s="121">
        <v>36870300</v>
      </c>
    </row>
    <row r="1055" spans="1:3">
      <c r="A1055" s="201" t="s">
        <v>115</v>
      </c>
      <c r="B1055" s="121">
        <v>3000</v>
      </c>
      <c r="C1055" s="121">
        <v>218061000</v>
      </c>
    </row>
    <row r="1056" spans="1:3">
      <c r="A1056" s="119" t="s">
        <v>1069</v>
      </c>
      <c r="B1056" s="121">
        <v>1300</v>
      </c>
      <c r="C1056" s="121">
        <v>20540000</v>
      </c>
    </row>
    <row r="1057" spans="1:3">
      <c r="A1057" s="120" t="s">
        <v>1068</v>
      </c>
      <c r="B1057" s="121">
        <v>700</v>
      </c>
      <c r="C1057" s="121">
        <v>11060000</v>
      </c>
    </row>
    <row r="1058" spans="1:3">
      <c r="A1058" s="201" t="s">
        <v>795</v>
      </c>
      <c r="B1058" s="121">
        <v>700</v>
      </c>
      <c r="C1058" s="121">
        <v>11060000</v>
      </c>
    </row>
    <row r="1059" spans="1:3">
      <c r="A1059" s="120" t="s">
        <v>1160</v>
      </c>
      <c r="B1059" s="121">
        <v>600</v>
      </c>
      <c r="C1059" s="121">
        <v>9480000</v>
      </c>
    </row>
    <row r="1060" spans="1:3">
      <c r="A1060" s="201" t="s">
        <v>795</v>
      </c>
      <c r="B1060" s="121">
        <v>600</v>
      </c>
      <c r="C1060" s="121">
        <v>9480000</v>
      </c>
    </row>
    <row r="1061" spans="1:3">
      <c r="A1061" s="119" t="s">
        <v>1075</v>
      </c>
      <c r="B1061" s="121">
        <v>39</v>
      </c>
      <c r="C1061" s="121">
        <v>9599225</v>
      </c>
    </row>
    <row r="1062" spans="1:3">
      <c r="A1062" s="120" t="s">
        <v>1074</v>
      </c>
      <c r="B1062" s="121">
        <v>37.5</v>
      </c>
      <c r="C1062" s="121">
        <v>9599225</v>
      </c>
    </row>
    <row r="1063" spans="1:3">
      <c r="A1063" s="201" t="s">
        <v>766</v>
      </c>
      <c r="B1063" s="121">
        <v>10</v>
      </c>
      <c r="C1063" s="121">
        <v>1500000</v>
      </c>
    </row>
    <row r="1064" spans="1:3">
      <c r="A1064" s="201" t="s">
        <v>207</v>
      </c>
      <c r="B1064" s="121">
        <v>7.5</v>
      </c>
      <c r="C1064" s="121">
        <v>3834225</v>
      </c>
    </row>
    <row r="1065" spans="1:3">
      <c r="A1065" s="201" t="s">
        <v>906</v>
      </c>
      <c r="B1065" s="121">
        <v>20</v>
      </c>
      <c r="C1065" s="121">
        <v>4265000</v>
      </c>
    </row>
    <row r="1066" spans="1:3">
      <c r="A1066" s="120" t="s">
        <v>1076</v>
      </c>
      <c r="B1066" s="121">
        <v>1.5</v>
      </c>
      <c r="C1066" s="121">
        <v>0</v>
      </c>
    </row>
    <row r="1067" spans="1:3">
      <c r="A1067" s="201" t="s">
        <v>843</v>
      </c>
      <c r="B1067" s="121">
        <v>1.5</v>
      </c>
      <c r="C1067" s="121">
        <v>0</v>
      </c>
    </row>
    <row r="1068" spans="1:3">
      <c r="A1068" s="119" t="s">
        <v>1080</v>
      </c>
      <c r="B1068" s="121">
        <v>300</v>
      </c>
      <c r="C1068" s="121">
        <v>6300000</v>
      </c>
    </row>
    <row r="1069" spans="1:3">
      <c r="A1069" s="120" t="s">
        <v>1079</v>
      </c>
      <c r="B1069" s="121">
        <v>300</v>
      </c>
      <c r="C1069" s="121">
        <v>6300000</v>
      </c>
    </row>
    <row r="1070" spans="1:3">
      <c r="A1070" s="201" t="s">
        <v>116</v>
      </c>
      <c r="B1070" s="121">
        <v>300</v>
      </c>
      <c r="C1070" s="121">
        <v>6300000</v>
      </c>
    </row>
    <row r="1071" spans="1:3">
      <c r="A1071" s="119" t="s">
        <v>172</v>
      </c>
      <c r="B1071" s="121">
        <v>2.5</v>
      </c>
      <c r="C1071" s="121">
        <v>1337500</v>
      </c>
    </row>
    <row r="1072" spans="1:3">
      <c r="A1072" s="120" t="s">
        <v>1091</v>
      </c>
      <c r="B1072" s="121">
        <v>2.5</v>
      </c>
      <c r="C1072" s="121">
        <v>1337500</v>
      </c>
    </row>
    <row r="1073" spans="1:3">
      <c r="A1073" s="201" t="s">
        <v>207</v>
      </c>
      <c r="B1073" s="121">
        <v>2.5</v>
      </c>
      <c r="C1073" s="121">
        <v>1337500</v>
      </c>
    </row>
    <row r="1074" spans="1:3">
      <c r="A1074" s="119" t="s">
        <v>1103</v>
      </c>
      <c r="B1074" s="121">
        <v>100</v>
      </c>
      <c r="C1074" s="121">
        <v>2100000</v>
      </c>
    </row>
    <row r="1075" spans="1:3">
      <c r="A1075" s="120" t="s">
        <v>1102</v>
      </c>
      <c r="B1075" s="121">
        <v>100</v>
      </c>
      <c r="C1075" s="121">
        <v>2100000</v>
      </c>
    </row>
    <row r="1076" spans="1:3">
      <c r="A1076" s="201" t="s">
        <v>116</v>
      </c>
      <c r="B1076" s="121">
        <v>100</v>
      </c>
      <c r="C1076" s="121">
        <v>2100000</v>
      </c>
    </row>
    <row r="1077" spans="1:3">
      <c r="A1077" s="119" t="s">
        <v>390</v>
      </c>
      <c r="B1077" s="121">
        <v>5</v>
      </c>
      <c r="C1077" s="121">
        <v>680000</v>
      </c>
    </row>
    <row r="1078" spans="1:3">
      <c r="A1078" s="120" t="s">
        <v>1108</v>
      </c>
      <c r="B1078" s="121">
        <v>4</v>
      </c>
      <c r="C1078" s="121">
        <v>680000</v>
      </c>
    </row>
    <row r="1079" spans="1:3">
      <c r="A1079" s="201" t="s">
        <v>771</v>
      </c>
      <c r="B1079" s="121">
        <v>4</v>
      </c>
      <c r="C1079" s="121">
        <v>680000</v>
      </c>
    </row>
    <row r="1080" spans="1:3">
      <c r="A1080" s="120" t="s">
        <v>1109</v>
      </c>
      <c r="B1080" s="121">
        <v>1</v>
      </c>
      <c r="C1080" s="121">
        <v>0</v>
      </c>
    </row>
    <row r="1081" spans="1:3">
      <c r="A1081" s="201" t="s">
        <v>843</v>
      </c>
      <c r="B1081" s="121">
        <v>1</v>
      </c>
      <c r="C1081" s="121">
        <v>0</v>
      </c>
    </row>
    <row r="1082" spans="1:3">
      <c r="A1082" s="119" t="s">
        <v>1131</v>
      </c>
      <c r="B1082" s="121">
        <v>10.15</v>
      </c>
      <c r="C1082" s="121">
        <v>600000</v>
      </c>
    </row>
    <row r="1083" spans="1:3">
      <c r="A1083" s="120" t="s">
        <v>1130</v>
      </c>
      <c r="B1083" s="121">
        <v>10</v>
      </c>
      <c r="C1083" s="121">
        <v>600000</v>
      </c>
    </row>
    <row r="1084" spans="1:3">
      <c r="A1084" s="201" t="s">
        <v>188</v>
      </c>
      <c r="B1084" s="121">
        <v>10</v>
      </c>
      <c r="C1084" s="121">
        <v>600000</v>
      </c>
    </row>
    <row r="1085" spans="1:3">
      <c r="A1085" s="120" t="s">
        <v>1132</v>
      </c>
      <c r="B1085" s="121">
        <v>0.15</v>
      </c>
      <c r="C1085" s="121">
        <v>0</v>
      </c>
    </row>
    <row r="1086" spans="1:3">
      <c r="A1086" s="201" t="s">
        <v>843</v>
      </c>
      <c r="B1086" s="121">
        <v>0.15</v>
      </c>
      <c r="C1086" s="121">
        <v>0</v>
      </c>
    </row>
    <row r="1087" spans="1:3">
      <c r="A1087" s="119" t="s">
        <v>1134</v>
      </c>
      <c r="B1087" s="121">
        <v>10</v>
      </c>
      <c r="C1087" s="121">
        <v>2480000</v>
      </c>
    </row>
    <row r="1088" spans="1:3">
      <c r="A1088" s="120" t="s">
        <v>1133</v>
      </c>
      <c r="B1088" s="121">
        <v>10</v>
      </c>
      <c r="C1088" s="121">
        <v>2480000</v>
      </c>
    </row>
    <row r="1089" spans="1:3">
      <c r="A1089" s="201" t="s">
        <v>221</v>
      </c>
      <c r="B1089" s="121">
        <v>10</v>
      </c>
      <c r="C1089" s="121">
        <v>2480000</v>
      </c>
    </row>
    <row r="1090" spans="1:3">
      <c r="A1090" s="119" t="s">
        <v>1141</v>
      </c>
      <c r="B1090" s="121">
        <v>50</v>
      </c>
      <c r="C1090" s="121">
        <v>3307500</v>
      </c>
    </row>
    <row r="1091" spans="1:3">
      <c r="A1091" s="120" t="s">
        <v>1140</v>
      </c>
      <c r="B1091" s="121">
        <v>50</v>
      </c>
      <c r="C1091" s="121">
        <v>3307500</v>
      </c>
    </row>
    <row r="1092" spans="1:3">
      <c r="A1092" s="201" t="s">
        <v>113</v>
      </c>
      <c r="B1092" s="121">
        <v>50</v>
      </c>
      <c r="C1092" s="121">
        <v>3307500</v>
      </c>
    </row>
    <row r="1093" spans="1:3">
      <c r="A1093" s="119" t="s">
        <v>1171</v>
      </c>
      <c r="B1093" s="121">
        <v>41.5</v>
      </c>
      <c r="C1093" s="121">
        <v>8271009</v>
      </c>
    </row>
    <row r="1094" spans="1:3">
      <c r="A1094" s="120" t="s">
        <v>1170</v>
      </c>
      <c r="B1094" s="121">
        <v>20</v>
      </c>
      <c r="C1094" s="121">
        <v>7071009</v>
      </c>
    </row>
    <row r="1095" spans="1:3">
      <c r="A1095" s="201" t="s">
        <v>207</v>
      </c>
      <c r="B1095" s="121">
        <v>20</v>
      </c>
      <c r="C1095" s="121">
        <v>7071009</v>
      </c>
    </row>
    <row r="1096" spans="1:3">
      <c r="A1096" s="120" t="s">
        <v>1193</v>
      </c>
      <c r="B1096" s="121">
        <v>20</v>
      </c>
      <c r="C1096" s="121">
        <v>1200000</v>
      </c>
    </row>
    <row r="1097" spans="1:3">
      <c r="A1097" s="201" t="s">
        <v>188</v>
      </c>
      <c r="B1097" s="121">
        <v>20</v>
      </c>
      <c r="C1097" s="121">
        <v>1200000</v>
      </c>
    </row>
    <row r="1098" spans="1:3">
      <c r="A1098" s="120" t="s">
        <v>1194</v>
      </c>
      <c r="B1098" s="121">
        <v>1.5</v>
      </c>
      <c r="C1098" s="121">
        <v>0</v>
      </c>
    </row>
    <row r="1099" spans="1:3">
      <c r="A1099" s="201" t="s">
        <v>810</v>
      </c>
      <c r="B1099" s="121">
        <v>1.5</v>
      </c>
      <c r="C1099" s="121">
        <v>0</v>
      </c>
    </row>
    <row r="1100" spans="1:3">
      <c r="A1100" s="119" t="s">
        <v>1176</v>
      </c>
      <c r="B1100" s="121">
        <v>2100</v>
      </c>
      <c r="C1100" s="121">
        <v>0</v>
      </c>
    </row>
    <row r="1101" spans="1:3">
      <c r="A1101" s="120" t="s">
        <v>1175</v>
      </c>
      <c r="B1101" s="121">
        <v>2100</v>
      </c>
      <c r="C1101" s="121">
        <v>0</v>
      </c>
    </row>
    <row r="1102" spans="1:3">
      <c r="A1102" s="201" t="s">
        <v>1177</v>
      </c>
      <c r="B1102" s="121">
        <v>2100</v>
      </c>
      <c r="C1102" s="121">
        <v>0</v>
      </c>
    </row>
    <row r="1103" spans="1:3">
      <c r="A1103" s="119" t="s">
        <v>1203</v>
      </c>
      <c r="B1103" s="121">
        <v>1</v>
      </c>
      <c r="C1103" s="121">
        <v>590000</v>
      </c>
    </row>
    <row r="1104" spans="1:3">
      <c r="A1104" s="120" t="s">
        <v>1202</v>
      </c>
      <c r="B1104" s="121">
        <v>1</v>
      </c>
      <c r="C1104" s="121">
        <v>590000</v>
      </c>
    </row>
    <row r="1105" spans="1:3">
      <c r="A1105" s="201" t="s">
        <v>207</v>
      </c>
      <c r="B1105" s="121">
        <v>1</v>
      </c>
      <c r="C1105" s="121">
        <v>590000</v>
      </c>
    </row>
    <row r="1106" spans="1:3">
      <c r="A1106" s="37" t="s">
        <v>374</v>
      </c>
      <c r="B1106" s="121">
        <v>300</v>
      </c>
      <c r="C1106" s="121">
        <v>15520000</v>
      </c>
    </row>
    <row r="1107" spans="1:3">
      <c r="A1107" s="119" t="s">
        <v>52</v>
      </c>
      <c r="B1107" s="121">
        <v>100</v>
      </c>
      <c r="C1107" s="121">
        <v>10600000</v>
      </c>
    </row>
    <row r="1108" spans="1:3">
      <c r="A1108" s="120" t="s">
        <v>823</v>
      </c>
      <c r="B1108" s="121">
        <v>100</v>
      </c>
      <c r="C1108" s="121">
        <v>10600000</v>
      </c>
    </row>
    <row r="1109" spans="1:3">
      <c r="A1109" s="201" t="s">
        <v>792</v>
      </c>
      <c r="B1109" s="121">
        <v>100</v>
      </c>
      <c r="C1109" s="121">
        <v>10600000</v>
      </c>
    </row>
    <row r="1110" spans="1:3">
      <c r="A1110" s="119" t="s">
        <v>539</v>
      </c>
      <c r="B1110" s="121">
        <v>200</v>
      </c>
      <c r="C1110" s="121">
        <v>4920000</v>
      </c>
    </row>
    <row r="1111" spans="1:3">
      <c r="A1111" s="120" t="s">
        <v>1135</v>
      </c>
      <c r="B1111" s="121">
        <v>200</v>
      </c>
      <c r="C1111" s="121">
        <v>4920000</v>
      </c>
    </row>
    <row r="1112" spans="1:3">
      <c r="A1112" s="201" t="s">
        <v>212</v>
      </c>
      <c r="B1112" s="121">
        <v>200</v>
      </c>
      <c r="C1112" s="121">
        <v>4920000</v>
      </c>
    </row>
    <row r="1113" spans="1:3">
      <c r="A1113" s="37" t="s">
        <v>67</v>
      </c>
      <c r="B1113" s="121">
        <v>475644.76500000001</v>
      </c>
      <c r="C1113" s="121">
        <v>14788589837</v>
      </c>
    </row>
    <row r="1114" spans="1:3">
      <c r="B1114"/>
    </row>
    <row r="1115" spans="1:3">
      <c r="B1115"/>
    </row>
    <row r="1116" spans="1:3">
      <c r="B1116"/>
    </row>
    <row r="1117" spans="1:3">
      <c r="B1117"/>
    </row>
    <row r="1118" spans="1:3">
      <c r="B1118"/>
    </row>
    <row r="1119" spans="1:3">
      <c r="B1119"/>
    </row>
    <row r="1120" spans="1:3">
      <c r="B1120"/>
    </row>
    <row r="1121" spans="2:2">
      <c r="B1121"/>
    </row>
    <row r="1122" spans="2:2">
      <c r="B1122"/>
    </row>
    <row r="1123" spans="2:2">
      <c r="B1123"/>
    </row>
    <row r="1124" spans="2:2">
      <c r="B1124"/>
    </row>
    <row r="1125" spans="2:2">
      <c r="B1125"/>
    </row>
    <row r="1126" spans="2:2">
      <c r="B1126"/>
    </row>
    <row r="1127" spans="2:2">
      <c r="B1127"/>
    </row>
    <row r="1128" spans="2:2">
      <c r="B1128"/>
    </row>
    <row r="1129" spans="2:2">
      <c r="B1129"/>
    </row>
    <row r="1130" spans="2:2">
      <c r="B1130"/>
    </row>
    <row r="1131" spans="2:2">
      <c r="B1131"/>
    </row>
    <row r="1132" spans="2:2">
      <c r="B1132"/>
    </row>
    <row r="1133" spans="2:2">
      <c r="B1133"/>
    </row>
    <row r="1134" spans="2:2">
      <c r="B1134"/>
    </row>
    <row r="1135" spans="2:2">
      <c r="B1135"/>
    </row>
    <row r="1136" spans="2:2">
      <c r="B1136"/>
    </row>
    <row r="1137" spans="2:2">
      <c r="B1137"/>
    </row>
    <row r="1138" spans="2:2">
      <c r="B1138"/>
    </row>
    <row r="1139" spans="2:2">
      <c r="B1139"/>
    </row>
    <row r="1140" spans="2:2">
      <c r="B1140"/>
    </row>
    <row r="1141" spans="2:2">
      <c r="B1141"/>
    </row>
    <row r="1142" spans="2:2">
      <c r="B1142"/>
    </row>
    <row r="1143" spans="2:2">
      <c r="B1143"/>
    </row>
    <row r="1144" spans="2:2">
      <c r="B1144"/>
    </row>
    <row r="1145" spans="2:2">
      <c r="B1145"/>
    </row>
    <row r="1146" spans="2:2">
      <c r="B1146"/>
    </row>
    <row r="1147" spans="2:2">
      <c r="B1147"/>
    </row>
    <row r="1148" spans="2:2">
      <c r="B1148"/>
    </row>
    <row r="1149" spans="2:2">
      <c r="B1149"/>
    </row>
    <row r="1150" spans="2:2">
      <c r="B1150"/>
    </row>
    <row r="1151" spans="2:2">
      <c r="B1151"/>
    </row>
    <row r="1152" spans="2:2">
      <c r="B1152"/>
    </row>
    <row r="1153" spans="2:2">
      <c r="B1153"/>
    </row>
    <row r="1154" spans="2:2">
      <c r="B1154"/>
    </row>
    <row r="1155" spans="2:2">
      <c r="B1155"/>
    </row>
    <row r="1156" spans="2:2">
      <c r="B1156"/>
    </row>
    <row r="1157" spans="2:2">
      <c r="B1157"/>
    </row>
    <row r="1158" spans="2:2">
      <c r="B1158"/>
    </row>
    <row r="1159" spans="2:2">
      <c r="B1159"/>
    </row>
    <row r="1160" spans="2:2">
      <c r="B1160"/>
    </row>
    <row r="1161" spans="2:2">
      <c r="B1161"/>
    </row>
    <row r="1162" spans="2:2">
      <c r="B1162"/>
    </row>
    <row r="1163" spans="2:2">
      <c r="B1163"/>
    </row>
    <row r="1164" spans="2:2">
      <c r="B1164"/>
    </row>
    <row r="1165" spans="2:2">
      <c r="B1165"/>
    </row>
    <row r="1166" spans="2:2">
      <c r="B1166"/>
    </row>
    <row r="1167" spans="2:2">
      <c r="B1167"/>
    </row>
    <row r="1168" spans="2:2">
      <c r="B1168"/>
    </row>
    <row r="1169" spans="2:2">
      <c r="B1169"/>
    </row>
    <row r="1170" spans="2:2">
      <c r="B1170"/>
    </row>
    <row r="1171" spans="2:2">
      <c r="B1171"/>
    </row>
    <row r="1172" spans="2:2">
      <c r="B1172"/>
    </row>
    <row r="1173" spans="2:2">
      <c r="B1173"/>
    </row>
    <row r="1174" spans="2:2">
      <c r="B1174"/>
    </row>
    <row r="1175" spans="2:2">
      <c r="B1175"/>
    </row>
    <row r="1176" spans="2:2">
      <c r="B1176"/>
    </row>
    <row r="1177" spans="2:2">
      <c r="B1177"/>
    </row>
    <row r="1178" spans="2:2">
      <c r="B1178"/>
    </row>
    <row r="1179" spans="2:2">
      <c r="B1179"/>
    </row>
    <row r="1180" spans="2:2">
      <c r="B1180"/>
    </row>
    <row r="1181" spans="2:2">
      <c r="B1181"/>
    </row>
    <row r="1182" spans="2:2">
      <c r="B1182"/>
    </row>
    <row r="1183" spans="2:2">
      <c r="B1183"/>
    </row>
    <row r="1184" spans="2:2">
      <c r="B1184"/>
    </row>
    <row r="1185" spans="2:2">
      <c r="B1185"/>
    </row>
    <row r="1186" spans="2:2">
      <c r="B1186"/>
    </row>
    <row r="1187" spans="2:2">
      <c r="B1187"/>
    </row>
    <row r="1188" spans="2:2">
      <c r="B1188"/>
    </row>
    <row r="1189" spans="2:2">
      <c r="B1189"/>
    </row>
    <row r="1190" spans="2:2">
      <c r="B1190"/>
    </row>
    <row r="1191" spans="2:2">
      <c r="B1191"/>
    </row>
    <row r="1192" spans="2:2">
      <c r="B1192"/>
    </row>
    <row r="1193" spans="2:2">
      <c r="B1193"/>
    </row>
    <row r="1194" spans="2:2">
      <c r="B1194"/>
    </row>
    <row r="1195" spans="2:2">
      <c r="B1195"/>
    </row>
    <row r="1196" spans="2:2">
      <c r="B1196"/>
    </row>
    <row r="1197" spans="2:2">
      <c r="B1197"/>
    </row>
    <row r="1198" spans="2:2">
      <c r="B1198"/>
    </row>
    <row r="1199" spans="2:2">
      <c r="B1199"/>
    </row>
    <row r="1200" spans="2:2">
      <c r="B1200"/>
    </row>
    <row r="1201" spans="2:2">
      <c r="B1201"/>
    </row>
    <row r="1202" spans="2:2">
      <c r="B1202"/>
    </row>
    <row r="1203" spans="2:2">
      <c r="B1203"/>
    </row>
    <row r="1204" spans="2:2">
      <c r="B1204"/>
    </row>
    <row r="1205" spans="2:2">
      <c r="B1205"/>
    </row>
    <row r="1206" spans="2:2">
      <c r="B1206"/>
    </row>
    <row r="1207" spans="2:2">
      <c r="B1207"/>
    </row>
    <row r="1208" spans="2:2">
      <c r="B1208"/>
    </row>
    <row r="1209" spans="2:2">
      <c r="B1209"/>
    </row>
    <row r="1210" spans="2:2">
      <c r="B1210"/>
    </row>
    <row r="1211" spans="2:2">
      <c r="B1211"/>
    </row>
    <row r="1212" spans="2:2">
      <c r="B1212"/>
    </row>
    <row r="1213" spans="2:2">
      <c r="B1213"/>
    </row>
    <row r="1214" spans="2:2">
      <c r="B1214"/>
    </row>
    <row r="1215" spans="2:2">
      <c r="B1215"/>
    </row>
    <row r="1216" spans="2:2">
      <c r="B1216"/>
    </row>
    <row r="1217" spans="2:2">
      <c r="B1217"/>
    </row>
    <row r="1218" spans="2:2">
      <c r="B1218"/>
    </row>
    <row r="1219" spans="2:2">
      <c r="B1219"/>
    </row>
    <row r="1220" spans="2:2">
      <c r="B1220"/>
    </row>
    <row r="1221" spans="2:2">
      <c r="B1221"/>
    </row>
    <row r="1222" spans="2:2">
      <c r="B1222"/>
    </row>
    <row r="1223" spans="2:2">
      <c r="B1223"/>
    </row>
    <row r="1224" spans="2:2">
      <c r="B1224"/>
    </row>
    <row r="1225" spans="2:2">
      <c r="B1225"/>
    </row>
    <row r="1226" spans="2:2">
      <c r="B1226"/>
    </row>
    <row r="1227" spans="2:2">
      <c r="B1227"/>
    </row>
    <row r="1228" spans="2:2">
      <c r="B1228"/>
    </row>
    <row r="1229" spans="2:2">
      <c r="B1229"/>
    </row>
    <row r="1230" spans="2:2">
      <c r="B1230"/>
    </row>
    <row r="1231" spans="2:2">
      <c r="B1231"/>
    </row>
    <row r="1232" spans="2:2">
      <c r="B1232"/>
    </row>
    <row r="1233" spans="2:2">
      <c r="B1233"/>
    </row>
    <row r="1234" spans="2:2">
      <c r="B1234"/>
    </row>
    <row r="1235" spans="2:2">
      <c r="B1235"/>
    </row>
    <row r="1236" spans="2:2">
      <c r="B1236"/>
    </row>
    <row r="1237" spans="2:2">
      <c r="B1237"/>
    </row>
    <row r="1238" spans="2:2">
      <c r="B1238"/>
    </row>
    <row r="1239" spans="2:2">
      <c r="B1239"/>
    </row>
    <row r="1240" spans="2:2">
      <c r="B1240"/>
    </row>
    <row r="1241" spans="2:2">
      <c r="B1241"/>
    </row>
    <row r="1242" spans="2:2">
      <c r="B1242"/>
    </row>
    <row r="1243" spans="2:2">
      <c r="B1243"/>
    </row>
    <row r="1244" spans="2:2">
      <c r="B1244"/>
    </row>
    <row r="1245" spans="2:2">
      <c r="B1245"/>
    </row>
    <row r="1246" spans="2:2">
      <c r="B1246"/>
    </row>
    <row r="1247" spans="2:2">
      <c r="B1247"/>
    </row>
    <row r="1248" spans="2:2">
      <c r="B1248"/>
    </row>
    <row r="1249" spans="2:2">
      <c r="B1249"/>
    </row>
    <row r="1250" spans="2:2">
      <c r="B1250"/>
    </row>
    <row r="1251" spans="2:2">
      <c r="B1251"/>
    </row>
    <row r="1252" spans="2:2">
      <c r="B1252"/>
    </row>
    <row r="1253" spans="2:2">
      <c r="B1253"/>
    </row>
    <row r="1254" spans="2:2">
      <c r="B1254"/>
    </row>
    <row r="1255" spans="2:2">
      <c r="B1255"/>
    </row>
    <row r="1256" spans="2:2">
      <c r="B1256"/>
    </row>
    <row r="1257" spans="2:2">
      <c r="B1257"/>
    </row>
    <row r="1258" spans="2:2">
      <c r="B1258"/>
    </row>
    <row r="1259" spans="2:2">
      <c r="B1259"/>
    </row>
    <row r="1260" spans="2:2">
      <c r="B1260"/>
    </row>
    <row r="1261" spans="2:2">
      <c r="B1261"/>
    </row>
    <row r="1262" spans="2:2">
      <c r="B1262"/>
    </row>
    <row r="1263" spans="2:2">
      <c r="B1263"/>
    </row>
    <row r="1264" spans="2:2">
      <c r="B1264"/>
    </row>
    <row r="1265" spans="2:2">
      <c r="B1265"/>
    </row>
    <row r="1266" spans="2:2">
      <c r="B1266"/>
    </row>
    <row r="1267" spans="2:2">
      <c r="B1267"/>
    </row>
    <row r="1268" spans="2:2">
      <c r="B1268"/>
    </row>
    <row r="1269" spans="2:2">
      <c r="B1269"/>
    </row>
    <row r="1270" spans="2:2">
      <c r="B1270"/>
    </row>
    <row r="1271" spans="2:2">
      <c r="B1271"/>
    </row>
    <row r="1272" spans="2:2">
      <c r="B1272"/>
    </row>
    <row r="1273" spans="2:2">
      <c r="B1273"/>
    </row>
    <row r="1274" spans="2:2">
      <c r="B1274"/>
    </row>
    <row r="1275" spans="2:2">
      <c r="B1275"/>
    </row>
    <row r="1276" spans="2:2">
      <c r="B1276"/>
    </row>
    <row r="1277" spans="2:2">
      <c r="B1277"/>
    </row>
    <row r="1278" spans="2:2">
      <c r="B1278"/>
    </row>
    <row r="1279" spans="2:2">
      <c r="B1279"/>
    </row>
    <row r="1280" spans="2:2">
      <c r="B1280"/>
    </row>
    <row r="1281" spans="2:2">
      <c r="B1281"/>
    </row>
    <row r="1282" spans="2:2">
      <c r="B1282"/>
    </row>
    <row r="1283" spans="2:2">
      <c r="B1283"/>
    </row>
    <row r="1284" spans="2:2">
      <c r="B1284"/>
    </row>
    <row r="1285" spans="2:2">
      <c r="B1285"/>
    </row>
    <row r="1286" spans="2:2">
      <c r="B1286"/>
    </row>
    <row r="1287" spans="2:2">
      <c r="B1287"/>
    </row>
    <row r="1288" spans="2:2">
      <c r="B1288"/>
    </row>
    <row r="1289" spans="2:2">
      <c r="B1289"/>
    </row>
    <row r="1290" spans="2:2">
      <c r="B1290"/>
    </row>
    <row r="1291" spans="2:2">
      <c r="B1291"/>
    </row>
    <row r="1292" spans="2:2">
      <c r="B1292"/>
    </row>
    <row r="1293" spans="2:2">
      <c r="B1293"/>
    </row>
    <row r="1294" spans="2:2">
      <c r="B1294"/>
    </row>
    <row r="1295" spans="2:2">
      <c r="B1295"/>
    </row>
    <row r="1296" spans="2:2">
      <c r="B1296"/>
    </row>
    <row r="1297" spans="2:2">
      <c r="B1297"/>
    </row>
    <row r="1298" spans="2:2">
      <c r="B1298"/>
    </row>
    <row r="1299" spans="2:2">
      <c r="B1299"/>
    </row>
    <row r="1300" spans="2:2">
      <c r="B1300"/>
    </row>
    <row r="1301" spans="2:2">
      <c r="B1301"/>
    </row>
    <row r="1302" spans="2:2">
      <c r="B1302"/>
    </row>
    <row r="1303" spans="2:2">
      <c r="B1303"/>
    </row>
    <row r="1304" spans="2:2">
      <c r="B1304"/>
    </row>
    <row r="1305" spans="2:2">
      <c r="B1305"/>
    </row>
    <row r="1306" spans="2:2">
      <c r="B1306"/>
    </row>
    <row r="1307" spans="2:2">
      <c r="B1307"/>
    </row>
    <row r="1308" spans="2:2">
      <c r="B1308"/>
    </row>
    <row r="1309" spans="2:2">
      <c r="B1309"/>
    </row>
    <row r="1310" spans="2:2">
      <c r="B1310"/>
    </row>
    <row r="1311" spans="2:2">
      <c r="B1311"/>
    </row>
    <row r="1312" spans="2:2">
      <c r="B1312"/>
    </row>
    <row r="1313" spans="2:2">
      <c r="B1313"/>
    </row>
    <row r="1314" spans="2:2">
      <c r="B1314"/>
    </row>
    <row r="1315" spans="2:2">
      <c r="B1315"/>
    </row>
    <row r="1316" spans="2:2">
      <c r="B1316"/>
    </row>
    <row r="1317" spans="2:2">
      <c r="B1317"/>
    </row>
    <row r="1318" spans="2:2">
      <c r="B1318"/>
    </row>
    <row r="1319" spans="2:2">
      <c r="B1319"/>
    </row>
    <row r="1320" spans="2:2">
      <c r="B1320"/>
    </row>
    <row r="1321" spans="2:2">
      <c r="B1321"/>
    </row>
    <row r="1322" spans="2:2">
      <c r="B1322"/>
    </row>
    <row r="1323" spans="2:2">
      <c r="B1323"/>
    </row>
    <row r="1324" spans="2:2">
      <c r="B1324"/>
    </row>
    <row r="1325" spans="2:2">
      <c r="B1325"/>
    </row>
    <row r="1326" spans="2:2">
      <c r="B1326"/>
    </row>
    <row r="1327" spans="2:2">
      <c r="B1327"/>
    </row>
    <row r="1328" spans="2:2">
      <c r="B1328"/>
    </row>
    <row r="1329" spans="2:2">
      <c r="B1329"/>
    </row>
    <row r="1330" spans="2:2">
      <c r="B1330"/>
    </row>
    <row r="1331" spans="2:2">
      <c r="B1331"/>
    </row>
    <row r="1332" spans="2:2">
      <c r="B1332"/>
    </row>
    <row r="1333" spans="2:2">
      <c r="B1333"/>
    </row>
    <row r="1334" spans="2:2">
      <c r="B1334"/>
    </row>
    <row r="1335" spans="2:2">
      <c r="B1335"/>
    </row>
    <row r="1336" spans="2:2">
      <c r="B1336"/>
    </row>
    <row r="1337" spans="2:2">
      <c r="B1337"/>
    </row>
    <row r="1338" spans="2:2">
      <c r="B1338"/>
    </row>
    <row r="1339" spans="2:2">
      <c r="B1339"/>
    </row>
    <row r="1340" spans="2:2">
      <c r="B1340"/>
    </row>
    <row r="1341" spans="2:2">
      <c r="B1341"/>
    </row>
    <row r="1342" spans="2:2">
      <c r="B1342"/>
    </row>
    <row r="1343" spans="2:2">
      <c r="B1343"/>
    </row>
    <row r="1344" spans="2:2">
      <c r="B1344"/>
    </row>
    <row r="1345" spans="2:2">
      <c r="B1345"/>
    </row>
    <row r="1346" spans="2:2">
      <c r="B1346"/>
    </row>
    <row r="1347" spans="2:2">
      <c r="B1347"/>
    </row>
    <row r="1348" spans="2:2">
      <c r="B1348"/>
    </row>
    <row r="1349" spans="2:2">
      <c r="B1349"/>
    </row>
    <row r="1350" spans="2:2">
      <c r="B1350"/>
    </row>
    <row r="1351" spans="2:2">
      <c r="B1351"/>
    </row>
    <row r="1352" spans="2:2">
      <c r="B1352"/>
    </row>
    <row r="1353" spans="2:2">
      <c r="B1353"/>
    </row>
    <row r="1354" spans="2:2">
      <c r="B1354"/>
    </row>
    <row r="1355" spans="2:2">
      <c r="B1355"/>
    </row>
    <row r="1356" spans="2:2">
      <c r="B1356"/>
    </row>
    <row r="1357" spans="2:2">
      <c r="B1357"/>
    </row>
    <row r="1358" spans="2:2">
      <c r="B1358"/>
    </row>
    <row r="1359" spans="2:2">
      <c r="B1359"/>
    </row>
    <row r="1360" spans="2:2">
      <c r="B1360"/>
    </row>
    <row r="1361" spans="2:2">
      <c r="B1361" s="140"/>
    </row>
    <row r="1362" spans="2:2">
      <c r="B1362" s="140"/>
    </row>
    <row r="1363" spans="2:2">
      <c r="B1363" s="140"/>
    </row>
    <row r="1364" spans="2:2">
      <c r="B1364" s="140"/>
    </row>
    <row r="1365" spans="2:2">
      <c r="B1365" s="140"/>
    </row>
    <row r="1366" spans="2:2">
      <c r="B1366" s="140"/>
    </row>
    <row r="1367" spans="2:2">
      <c r="B1367" s="140"/>
    </row>
    <row r="1368" spans="2:2">
      <c r="B1368" s="140"/>
    </row>
    <row r="1369" spans="2:2">
      <c r="B1369" s="140"/>
    </row>
    <row r="1370" spans="2:2">
      <c r="B1370" s="140"/>
    </row>
    <row r="1371" spans="2:2">
      <c r="B1371" s="140"/>
    </row>
    <row r="1372" spans="2:2">
      <c r="B1372" s="140"/>
    </row>
    <row r="1373" spans="2:2">
      <c r="B1373" s="140"/>
    </row>
    <row r="1374" spans="2:2">
      <c r="B1374" s="140"/>
    </row>
    <row r="1375" spans="2:2">
      <c r="B1375" s="140"/>
    </row>
    <row r="1376" spans="2:2">
      <c r="B1376" s="140"/>
    </row>
    <row r="1377" spans="2:2">
      <c r="B1377" s="140"/>
    </row>
    <row r="1378" spans="2:2">
      <c r="B1378" s="140"/>
    </row>
    <row r="1379" spans="2:2">
      <c r="B1379" s="140"/>
    </row>
    <row r="1380" spans="2:2">
      <c r="B1380" s="140"/>
    </row>
    <row r="1381" spans="2:2">
      <c r="B1381" s="140"/>
    </row>
    <row r="1382" spans="2:2">
      <c r="B1382" s="140"/>
    </row>
    <row r="1383" spans="2:2">
      <c r="B1383" s="140"/>
    </row>
    <row r="1384" spans="2:2">
      <c r="B1384" s="140"/>
    </row>
    <row r="1385" spans="2:2">
      <c r="B1385" s="140"/>
    </row>
    <row r="1386" spans="2:2">
      <c r="B1386" s="140"/>
    </row>
    <row r="1387" spans="2:2">
      <c r="B1387" s="140"/>
    </row>
    <row r="1388" spans="2:2">
      <c r="B1388" s="140"/>
    </row>
    <row r="1389" spans="2:2">
      <c r="B1389" s="140"/>
    </row>
    <row r="1390" spans="2:2">
      <c r="B1390" s="140"/>
    </row>
    <row r="1391" spans="2:2">
      <c r="B1391" s="140"/>
    </row>
    <row r="1392" spans="2:2">
      <c r="B1392" s="140"/>
    </row>
    <row r="1393" spans="2:2">
      <c r="B1393" s="140"/>
    </row>
    <row r="1394" spans="2:2">
      <c r="B1394" s="140"/>
    </row>
    <row r="1395" spans="2:2">
      <c r="B1395" s="140"/>
    </row>
    <row r="1396" spans="2:2">
      <c r="B1396" s="140"/>
    </row>
    <row r="1397" spans="2:2">
      <c r="B1397" s="140"/>
    </row>
    <row r="1398" spans="2:2">
      <c r="B1398" s="140"/>
    </row>
    <row r="1399" spans="2:2">
      <c r="B1399" s="140"/>
    </row>
    <row r="1400" spans="2:2">
      <c r="B1400" s="140"/>
    </row>
    <row r="1401" spans="2:2">
      <c r="B1401" s="140"/>
    </row>
    <row r="1402" spans="2:2">
      <c r="B1402" s="140"/>
    </row>
    <row r="1403" spans="2:2">
      <c r="B1403" s="140"/>
    </row>
    <row r="1404" spans="2:2">
      <c r="B1404" s="140"/>
    </row>
    <row r="1405" spans="2:2">
      <c r="B1405" s="140"/>
    </row>
    <row r="1406" spans="2:2">
      <c r="B1406" s="140"/>
    </row>
    <row r="1407" spans="2:2">
      <c r="B1407" s="140"/>
    </row>
    <row r="1408" spans="2:2">
      <c r="B1408" s="140"/>
    </row>
    <row r="1409" spans="2:2">
      <c r="B1409" s="140"/>
    </row>
    <row r="1410" spans="2:2">
      <c r="B1410" s="140"/>
    </row>
    <row r="1411" spans="2:2">
      <c r="B1411" s="140"/>
    </row>
    <row r="1412" spans="2:2">
      <c r="B1412" s="140"/>
    </row>
    <row r="1413" spans="2:2">
      <c r="B1413" s="140"/>
    </row>
    <row r="1414" spans="2:2">
      <c r="B1414" s="140"/>
    </row>
    <row r="1415" spans="2:2">
      <c r="B1415" s="140"/>
    </row>
    <row r="1416" spans="2:2">
      <c r="B1416" s="140"/>
    </row>
    <row r="1417" spans="2:2">
      <c r="B1417" s="140"/>
    </row>
    <row r="1418" spans="2:2">
      <c r="B1418" s="140"/>
    </row>
    <row r="1419" spans="2:2">
      <c r="B1419" s="140"/>
    </row>
    <row r="1420" spans="2:2">
      <c r="B1420" s="140"/>
    </row>
    <row r="1421" spans="2:2">
      <c r="B1421" s="140"/>
    </row>
    <row r="1422" spans="2:2">
      <c r="B1422" s="140"/>
    </row>
    <row r="1423" spans="2:2">
      <c r="B1423" s="140"/>
    </row>
    <row r="1424" spans="2:2">
      <c r="B1424" s="140"/>
    </row>
    <row r="1425" spans="2:2">
      <c r="B1425" s="140"/>
    </row>
    <row r="1426" spans="2:2">
      <c r="B1426" s="140"/>
    </row>
    <row r="1427" spans="2:2">
      <c r="B1427" s="140"/>
    </row>
    <row r="1428" spans="2:2">
      <c r="B1428" s="140"/>
    </row>
    <row r="1429" spans="2:2">
      <c r="B1429" s="140"/>
    </row>
    <row r="1430" spans="2:2">
      <c r="B1430" s="140"/>
    </row>
    <row r="1431" spans="2:2">
      <c r="B1431" s="140"/>
    </row>
    <row r="1432" spans="2:2">
      <c r="B1432" s="140"/>
    </row>
    <row r="1433" spans="2:2">
      <c r="B1433" s="140"/>
    </row>
    <row r="1434" spans="2:2">
      <c r="B1434" s="140"/>
    </row>
    <row r="1435" spans="2:2">
      <c r="B1435" s="140"/>
    </row>
    <row r="1436" spans="2:2">
      <c r="B1436" s="140"/>
    </row>
    <row r="1437" spans="2:2">
      <c r="B1437" s="140"/>
    </row>
    <row r="1438" spans="2:2">
      <c r="B1438" s="140"/>
    </row>
    <row r="1439" spans="2:2">
      <c r="B1439" s="140"/>
    </row>
    <row r="1440" spans="2:2">
      <c r="B1440" s="140"/>
    </row>
    <row r="1441" spans="2:2">
      <c r="B1441" s="140"/>
    </row>
    <row r="1442" spans="2:2">
      <c r="B1442" s="140"/>
    </row>
    <row r="1443" spans="2:2">
      <c r="B1443" s="140"/>
    </row>
    <row r="1444" spans="2:2">
      <c r="B1444" s="140"/>
    </row>
    <row r="1445" spans="2:2">
      <c r="B1445" s="140"/>
    </row>
    <row r="1446" spans="2:2">
      <c r="B1446" s="140"/>
    </row>
    <row r="1447" spans="2:2">
      <c r="B1447" s="140"/>
    </row>
    <row r="1448" spans="2:2">
      <c r="B1448" s="140"/>
    </row>
    <row r="1449" spans="2:2">
      <c r="B1449" s="140"/>
    </row>
    <row r="1450" spans="2:2">
      <c r="B1450" s="140"/>
    </row>
    <row r="1451" spans="2:2">
      <c r="B1451" s="140"/>
    </row>
    <row r="1452" spans="2:2">
      <c r="B1452" s="140"/>
    </row>
    <row r="1453" spans="2:2">
      <c r="B1453" s="140"/>
    </row>
    <row r="1454" spans="2:2">
      <c r="B1454" s="140"/>
    </row>
    <row r="1455" spans="2:2">
      <c r="B1455" s="140"/>
    </row>
    <row r="1456" spans="2:2">
      <c r="B1456" s="140"/>
    </row>
    <row r="1457" spans="2:2">
      <c r="B1457" s="140"/>
    </row>
    <row r="1458" spans="2:2">
      <c r="B1458" s="140"/>
    </row>
    <row r="1459" spans="2:2">
      <c r="B1459" s="140"/>
    </row>
    <row r="1460" spans="2:2">
      <c r="B1460" s="140"/>
    </row>
    <row r="1461" spans="2:2">
      <c r="B1461" s="140"/>
    </row>
    <row r="1462" spans="2:2">
      <c r="B1462" s="140"/>
    </row>
    <row r="1463" spans="2:2">
      <c r="B1463" s="140"/>
    </row>
    <row r="1464" spans="2:2">
      <c r="B1464" s="140"/>
    </row>
    <row r="1465" spans="2:2">
      <c r="B1465" s="140"/>
    </row>
    <row r="1466" spans="2:2">
      <c r="B1466" s="140"/>
    </row>
    <row r="1467" spans="2:2">
      <c r="B1467" s="140"/>
    </row>
    <row r="1468" spans="2:2">
      <c r="B1468" s="140"/>
    </row>
    <row r="1469" spans="2:2">
      <c r="B1469" s="140"/>
    </row>
    <row r="1470" spans="2:2">
      <c r="B1470" s="140"/>
    </row>
    <row r="1471" spans="2:2">
      <c r="B1471" s="140"/>
    </row>
    <row r="1472" spans="2:2">
      <c r="B1472" s="140"/>
    </row>
    <row r="1473" spans="2:2">
      <c r="B1473" s="140"/>
    </row>
    <row r="1474" spans="2:2">
      <c r="B1474" s="140"/>
    </row>
    <row r="1475" spans="2:2">
      <c r="B1475" s="140"/>
    </row>
    <row r="1476" spans="2:2">
      <c r="B1476" s="140"/>
    </row>
    <row r="1477" spans="2:2">
      <c r="B1477" s="140"/>
    </row>
    <row r="1478" spans="2:2">
      <c r="B1478" s="140"/>
    </row>
    <row r="1479" spans="2:2">
      <c r="B1479" s="140"/>
    </row>
    <row r="1480" spans="2:2">
      <c r="B1480" s="140"/>
    </row>
    <row r="1481" spans="2:2">
      <c r="B1481" s="140"/>
    </row>
    <row r="1482" spans="2:2">
      <c r="B1482" s="140"/>
    </row>
    <row r="1483" spans="2:2">
      <c r="B1483" s="140"/>
    </row>
    <row r="1484" spans="2:2">
      <c r="B1484" s="140"/>
    </row>
    <row r="1485" spans="2:2">
      <c r="B1485" s="140"/>
    </row>
    <row r="1486" spans="2:2">
      <c r="B1486" s="140"/>
    </row>
    <row r="1487" spans="2:2">
      <c r="B1487" s="140"/>
    </row>
    <row r="1488" spans="2:2">
      <c r="B1488" s="140"/>
    </row>
    <row r="1489" spans="2:2">
      <c r="B1489" s="140"/>
    </row>
    <row r="1490" spans="2:2">
      <c r="B1490" s="140"/>
    </row>
    <row r="1491" spans="2:2">
      <c r="B1491" s="140"/>
    </row>
    <row r="1492" spans="2:2">
      <c r="B1492" s="140"/>
    </row>
    <row r="1493" spans="2:2">
      <c r="B1493" s="140"/>
    </row>
    <row r="1494" spans="2:2">
      <c r="B1494" s="140"/>
    </row>
    <row r="1495" spans="2:2">
      <c r="B1495" s="140"/>
    </row>
    <row r="1496" spans="2:2">
      <c r="B1496" s="140"/>
    </row>
    <row r="1497" spans="2:2">
      <c r="B1497" s="140"/>
    </row>
    <row r="1498" spans="2:2">
      <c r="B1498" s="140"/>
    </row>
    <row r="1499" spans="2:2">
      <c r="B1499" s="140"/>
    </row>
    <row r="1500" spans="2:2">
      <c r="B1500" s="140"/>
    </row>
    <row r="1501" spans="2:2">
      <c r="B1501" s="140"/>
    </row>
    <row r="1502" spans="2:2">
      <c r="B1502" s="140"/>
    </row>
    <row r="1503" spans="2:2">
      <c r="B1503" s="140"/>
    </row>
    <row r="1504" spans="2:2">
      <c r="B1504" s="140"/>
    </row>
    <row r="1505" spans="2:2">
      <c r="B1505" s="140"/>
    </row>
    <row r="1506" spans="2:2">
      <c r="B1506" s="140"/>
    </row>
    <row r="1507" spans="2:2">
      <c r="B1507" s="140"/>
    </row>
    <row r="1508" spans="2:2">
      <c r="B1508" s="140"/>
    </row>
    <row r="1509" spans="2:2">
      <c r="B1509" s="140"/>
    </row>
    <row r="1510" spans="2:2">
      <c r="B1510" s="140"/>
    </row>
    <row r="1511" spans="2:2">
      <c r="B1511" s="140"/>
    </row>
    <row r="1512" spans="2:2">
      <c r="B1512" s="140"/>
    </row>
    <row r="1513" spans="2:2">
      <c r="B1513" s="140"/>
    </row>
    <row r="1514" spans="2:2">
      <c r="B1514" s="140"/>
    </row>
    <row r="1515" spans="2:2">
      <c r="B1515" s="140"/>
    </row>
    <row r="1516" spans="2:2">
      <c r="B1516" s="140"/>
    </row>
    <row r="1517" spans="2:2">
      <c r="B1517" s="140"/>
    </row>
    <row r="1518" spans="2:2">
      <c r="B1518" s="140"/>
    </row>
    <row r="1519" spans="2:2">
      <c r="B1519" s="140"/>
    </row>
    <row r="1520" spans="2:2">
      <c r="B1520" s="140"/>
    </row>
    <row r="1521" spans="2:2">
      <c r="B1521" s="140"/>
    </row>
    <row r="1522" spans="2:2">
      <c r="B1522" s="140"/>
    </row>
    <row r="1523" spans="2:2">
      <c r="B1523" s="140"/>
    </row>
    <row r="1524" spans="2:2">
      <c r="B1524" s="140"/>
    </row>
    <row r="1525" spans="2:2">
      <c r="B1525" s="140"/>
    </row>
    <row r="1526" spans="2:2">
      <c r="B1526" s="140"/>
    </row>
    <row r="1527" spans="2:2">
      <c r="B1527" s="140"/>
    </row>
    <row r="1528" spans="2:2">
      <c r="B1528" s="140"/>
    </row>
    <row r="1529" spans="2:2">
      <c r="B1529" s="140"/>
    </row>
    <row r="1530" spans="2:2">
      <c r="B1530" s="140"/>
    </row>
    <row r="1531" spans="2:2">
      <c r="B1531" s="140"/>
    </row>
    <row r="1532" spans="2:2">
      <c r="B1532" s="140"/>
    </row>
    <row r="1533" spans="2:2">
      <c r="B1533" s="140"/>
    </row>
    <row r="1534" spans="2:2">
      <c r="B1534" s="140"/>
    </row>
    <row r="1535" spans="2:2">
      <c r="B1535" s="140"/>
    </row>
    <row r="1536" spans="2:2">
      <c r="B1536" s="140"/>
    </row>
    <row r="1537" spans="2:2">
      <c r="B1537" s="140"/>
    </row>
    <row r="1538" spans="2:2">
      <c r="B1538" s="140"/>
    </row>
    <row r="1539" spans="2:2">
      <c r="B1539" s="140"/>
    </row>
    <row r="1540" spans="2:2">
      <c r="B1540" s="140"/>
    </row>
    <row r="1541" spans="2:2">
      <c r="B1541" s="140"/>
    </row>
    <row r="1542" spans="2:2">
      <c r="B1542" s="140"/>
    </row>
    <row r="1543" spans="2:2">
      <c r="B1543" s="140"/>
    </row>
    <row r="1544" spans="2:2">
      <c r="B1544" s="140"/>
    </row>
    <row r="1545" spans="2:2">
      <c r="B1545" s="140"/>
    </row>
    <row r="1546" spans="2:2">
      <c r="B1546" s="140"/>
    </row>
    <row r="1547" spans="2:2">
      <c r="B1547" s="140"/>
    </row>
    <row r="1548" spans="2:2">
      <c r="B1548" s="140"/>
    </row>
    <row r="1549" spans="2:2">
      <c r="B1549" s="140"/>
    </row>
    <row r="1550" spans="2:2">
      <c r="B1550" s="140"/>
    </row>
    <row r="1551" spans="2:2">
      <c r="B1551" s="140"/>
    </row>
    <row r="1552" spans="2:2">
      <c r="B1552" s="140"/>
    </row>
    <row r="1553" spans="2:2">
      <c r="B1553" s="140"/>
    </row>
    <row r="1554" spans="2:2">
      <c r="B1554" s="140"/>
    </row>
    <row r="1555" spans="2:2">
      <c r="B1555" s="140"/>
    </row>
    <row r="1556" spans="2:2">
      <c r="B1556" s="140"/>
    </row>
    <row r="1557" spans="2:2">
      <c r="B1557" s="140"/>
    </row>
    <row r="1558" spans="2:2">
      <c r="B1558" s="140"/>
    </row>
    <row r="1559" spans="2:2">
      <c r="B1559" s="140"/>
    </row>
    <row r="1560" spans="2:2">
      <c r="B1560" s="140"/>
    </row>
    <row r="1561" spans="2:2">
      <c r="B1561" s="140"/>
    </row>
    <row r="1562" spans="2:2">
      <c r="B1562" s="140"/>
    </row>
    <row r="1563" spans="2:2">
      <c r="B1563" s="140"/>
    </row>
    <row r="1564" spans="2:2">
      <c r="B1564" s="140"/>
    </row>
    <row r="1565" spans="2:2">
      <c r="B1565" s="140"/>
    </row>
    <row r="1566" spans="2:2">
      <c r="B1566" s="140"/>
    </row>
    <row r="1567" spans="2:2">
      <c r="B1567" s="140"/>
    </row>
    <row r="1568" spans="2:2">
      <c r="B1568" s="140"/>
    </row>
    <row r="1569" spans="2:2">
      <c r="B1569" s="140"/>
    </row>
    <row r="1570" spans="2:2">
      <c r="B1570" s="140"/>
    </row>
    <row r="1571" spans="2:2">
      <c r="B1571" s="140"/>
    </row>
    <row r="1572" spans="2:2">
      <c r="B1572" s="140"/>
    </row>
    <row r="1573" spans="2:2">
      <c r="B1573" s="140"/>
    </row>
    <row r="1574" spans="2:2">
      <c r="B1574" s="140"/>
    </row>
    <row r="1575" spans="2:2">
      <c r="B1575" s="140"/>
    </row>
    <row r="1576" spans="2:2">
      <c r="B1576" s="140"/>
    </row>
    <row r="1577" spans="2:2">
      <c r="B1577" s="140"/>
    </row>
    <row r="1578" spans="2:2">
      <c r="B1578" s="140"/>
    </row>
    <row r="1579" spans="2:2">
      <c r="B1579" s="140"/>
    </row>
    <row r="1580" spans="2:2">
      <c r="B1580" s="140"/>
    </row>
    <row r="1581" spans="2:2">
      <c r="B1581" s="140"/>
    </row>
    <row r="1582" spans="2:2">
      <c r="B1582" s="140"/>
    </row>
    <row r="1583" spans="2:2">
      <c r="B1583" s="140"/>
    </row>
    <row r="1584" spans="2:2">
      <c r="B1584" s="140"/>
    </row>
    <row r="1585" spans="2:2">
      <c r="B1585" s="140"/>
    </row>
    <row r="1586" spans="2:2">
      <c r="B1586" s="140"/>
    </row>
    <row r="1587" spans="2:2">
      <c r="B1587" s="140"/>
    </row>
    <row r="1588" spans="2:2">
      <c r="B1588" s="140"/>
    </row>
    <row r="1589" spans="2:2">
      <c r="B1589" s="140"/>
    </row>
    <row r="1590" spans="2:2">
      <c r="B1590" s="140"/>
    </row>
    <row r="1591" spans="2:2">
      <c r="B1591" s="140"/>
    </row>
    <row r="1592" spans="2:2">
      <c r="B1592" s="140"/>
    </row>
    <row r="1593" spans="2:2">
      <c r="B1593" s="140"/>
    </row>
    <row r="1594" spans="2:2">
      <c r="B1594" s="140"/>
    </row>
    <row r="1595" spans="2:2">
      <c r="B1595" s="140"/>
    </row>
    <row r="1596" spans="2:2">
      <c r="B1596" s="140"/>
    </row>
    <row r="1597" spans="2:2">
      <c r="B1597" s="140"/>
    </row>
    <row r="1598" spans="2:2">
      <c r="B1598" s="140"/>
    </row>
    <row r="1599" spans="2:2">
      <c r="B1599" s="140"/>
    </row>
    <row r="1600" spans="2:2">
      <c r="B1600" s="140"/>
    </row>
    <row r="1601" spans="2:2">
      <c r="B1601" s="140"/>
    </row>
    <row r="1602" spans="2:2">
      <c r="B1602" s="140"/>
    </row>
    <row r="1603" spans="2:2">
      <c r="B1603" s="140"/>
    </row>
    <row r="1604" spans="2:2">
      <c r="B1604" s="140"/>
    </row>
    <row r="1605" spans="2:2">
      <c r="B1605" s="140"/>
    </row>
    <row r="1606" spans="2:2">
      <c r="B1606" s="140"/>
    </row>
    <row r="1607" spans="2:2">
      <c r="B1607" s="140"/>
    </row>
    <row r="1608" spans="2:2">
      <c r="B1608" s="140"/>
    </row>
    <row r="1609" spans="2:2">
      <c r="B1609" s="140"/>
    </row>
    <row r="1610" spans="2:2">
      <c r="B1610" s="140"/>
    </row>
    <row r="1611" spans="2:2">
      <c r="B1611" s="140"/>
    </row>
    <row r="1612" spans="2:2">
      <c r="B1612" s="140"/>
    </row>
    <row r="1613" spans="2:2">
      <c r="B1613" s="140"/>
    </row>
    <row r="1614" spans="2:2">
      <c r="B1614" s="140"/>
    </row>
    <row r="1615" spans="2:2">
      <c r="B1615" s="140"/>
    </row>
    <row r="1616" spans="2:2">
      <c r="B1616" s="140"/>
    </row>
    <row r="1617" spans="2:2">
      <c r="B1617" s="140"/>
    </row>
    <row r="1618" spans="2:2">
      <c r="B1618" s="140"/>
    </row>
    <row r="1619" spans="2:2">
      <c r="B1619" s="140"/>
    </row>
    <row r="1620" spans="2:2">
      <c r="B1620" s="140"/>
    </row>
    <row r="1621" spans="2:2">
      <c r="B1621" s="140"/>
    </row>
    <row r="1622" spans="2:2">
      <c r="B1622" s="140"/>
    </row>
    <row r="1623" spans="2:2">
      <c r="B1623" s="140"/>
    </row>
    <row r="1624" spans="2:2">
      <c r="B1624" s="140"/>
    </row>
    <row r="1625" spans="2:2">
      <c r="B1625" s="140"/>
    </row>
    <row r="1626" spans="2:2">
      <c r="B1626" s="140"/>
    </row>
    <row r="1627" spans="2:2">
      <c r="B1627" s="140"/>
    </row>
    <row r="1628" spans="2:2">
      <c r="B1628" s="140"/>
    </row>
    <row r="1629" spans="2:2">
      <c r="B1629" s="140"/>
    </row>
    <row r="1630" spans="2:2">
      <c r="B1630" s="140"/>
    </row>
    <row r="1631" spans="2:2">
      <c r="B1631" s="140"/>
    </row>
    <row r="1632" spans="2:2">
      <c r="B1632" s="140"/>
    </row>
    <row r="1633" spans="2:2">
      <c r="B1633" s="140"/>
    </row>
    <row r="1634" spans="2:2">
      <c r="B1634" s="140"/>
    </row>
    <row r="1635" spans="2:2">
      <c r="B1635" s="140"/>
    </row>
    <row r="1636" spans="2:2">
      <c r="B1636" s="140"/>
    </row>
    <row r="1637" spans="2:2">
      <c r="B1637" s="140"/>
    </row>
    <row r="1638" spans="2:2">
      <c r="B1638" s="140"/>
    </row>
    <row r="1639" spans="2:2">
      <c r="B1639" s="140"/>
    </row>
    <row r="1640" spans="2:2">
      <c r="B1640" s="140"/>
    </row>
    <row r="1641" spans="2:2">
      <c r="B1641" s="140"/>
    </row>
    <row r="1642" spans="2:2">
      <c r="B1642" s="140"/>
    </row>
    <row r="1643" spans="2:2">
      <c r="B1643" s="140"/>
    </row>
    <row r="1644" spans="2:2">
      <c r="B1644" s="140"/>
    </row>
    <row r="1645" spans="2:2">
      <c r="B1645" s="140"/>
    </row>
    <row r="1646" spans="2:2">
      <c r="B1646" s="140"/>
    </row>
    <row r="1647" spans="2:2">
      <c r="B1647" s="140"/>
    </row>
    <row r="1648" spans="2:2">
      <c r="B1648" s="140"/>
    </row>
    <row r="1649" spans="2:2">
      <c r="B1649" s="140"/>
    </row>
    <row r="1650" spans="2:2">
      <c r="B1650" s="140"/>
    </row>
    <row r="1651" spans="2:2">
      <c r="B1651" s="140"/>
    </row>
    <row r="1652" spans="2:2">
      <c r="B1652" s="140"/>
    </row>
    <row r="1653" spans="2:2">
      <c r="B1653" s="140"/>
    </row>
    <row r="1654" spans="2:2">
      <c r="B1654" s="140"/>
    </row>
    <row r="1655" spans="2:2">
      <c r="B1655" s="140"/>
    </row>
    <row r="1656" spans="2:2">
      <c r="B1656" s="140"/>
    </row>
    <row r="1657" spans="2:2">
      <c r="B1657" s="140"/>
    </row>
    <row r="1658" spans="2:2">
      <c r="B1658" s="140"/>
    </row>
    <row r="1659" spans="2:2">
      <c r="B1659" s="140"/>
    </row>
    <row r="1660" spans="2:2">
      <c r="B1660" s="140"/>
    </row>
    <row r="1661" spans="2:2">
      <c r="B1661" s="140"/>
    </row>
    <row r="1662" spans="2:2">
      <c r="B1662" s="140"/>
    </row>
    <row r="1663" spans="2:2">
      <c r="B1663" s="140"/>
    </row>
    <row r="1664" spans="2:2">
      <c r="B1664" s="140"/>
    </row>
    <row r="1665" spans="2:2">
      <c r="B1665" s="140"/>
    </row>
    <row r="1666" spans="2:2">
      <c r="B1666" s="140"/>
    </row>
    <row r="1667" spans="2:2">
      <c r="B1667" s="140"/>
    </row>
    <row r="1668" spans="2:2">
      <c r="B1668" s="140"/>
    </row>
    <row r="1669" spans="2:2">
      <c r="B1669" s="140"/>
    </row>
    <row r="1670" spans="2:2">
      <c r="B1670" s="140"/>
    </row>
    <row r="1671" spans="2:2">
      <c r="B1671" s="140"/>
    </row>
    <row r="1672" spans="2:2">
      <c r="B1672" s="140"/>
    </row>
    <row r="1673" spans="2:2">
      <c r="B1673" s="140"/>
    </row>
    <row r="1674" spans="2:2">
      <c r="B1674" s="140"/>
    </row>
    <row r="1675" spans="2:2">
      <c r="B1675" s="140"/>
    </row>
    <row r="1676" spans="2:2">
      <c r="B1676" s="140"/>
    </row>
    <row r="1677" spans="2:2">
      <c r="B1677" s="140"/>
    </row>
    <row r="1678" spans="2:2">
      <c r="B1678" s="140"/>
    </row>
    <row r="1679" spans="2:2">
      <c r="B1679" s="140"/>
    </row>
    <row r="1680" spans="2:2">
      <c r="B1680" s="140"/>
    </row>
    <row r="1681" spans="2:2">
      <c r="B1681" s="140"/>
    </row>
    <row r="1682" spans="2:2">
      <c r="B1682" s="140"/>
    </row>
    <row r="1683" spans="2:2">
      <c r="B1683" s="140"/>
    </row>
    <row r="1684" spans="2:2">
      <c r="B1684" s="140"/>
    </row>
    <row r="1685" spans="2:2">
      <c r="B1685" s="140"/>
    </row>
    <row r="1686" spans="2:2">
      <c r="B1686" s="140"/>
    </row>
    <row r="1687" spans="2:2">
      <c r="B1687" s="140"/>
    </row>
    <row r="1688" spans="2:2">
      <c r="B1688" s="140"/>
    </row>
    <row r="1689" spans="2:2">
      <c r="B1689" s="140"/>
    </row>
    <row r="1690" spans="2:2">
      <c r="B1690" s="140"/>
    </row>
    <row r="1691" spans="2:2">
      <c r="B1691" s="140"/>
    </row>
    <row r="1692" spans="2:2">
      <c r="B1692" s="140"/>
    </row>
    <row r="1693" spans="2:2">
      <c r="B1693" s="140"/>
    </row>
    <row r="1694" spans="2:2">
      <c r="B1694" s="140"/>
    </row>
    <row r="1695" spans="2:2">
      <c r="B1695" s="140"/>
    </row>
    <row r="1696" spans="2:2">
      <c r="B1696" s="140"/>
    </row>
    <row r="1697" spans="2:2">
      <c r="B1697" s="140"/>
    </row>
    <row r="1698" spans="2:2">
      <c r="B1698" s="140"/>
    </row>
    <row r="1699" spans="2:2">
      <c r="B1699" s="140"/>
    </row>
    <row r="1700" spans="2:2">
      <c r="B1700" s="140"/>
    </row>
    <row r="1701" spans="2:2">
      <c r="B1701" s="140"/>
    </row>
    <row r="1702" spans="2:2">
      <c r="B1702" s="140"/>
    </row>
    <row r="1703" spans="2:2">
      <c r="B1703" s="140"/>
    </row>
    <row r="1704" spans="2:2">
      <c r="B1704" s="140"/>
    </row>
    <row r="1705" spans="2:2">
      <c r="B1705" s="140"/>
    </row>
    <row r="1706" spans="2:2">
      <c r="B1706" s="140"/>
    </row>
    <row r="1707" spans="2:2">
      <c r="B1707" s="140"/>
    </row>
    <row r="1708" spans="2:2">
      <c r="B1708" s="140"/>
    </row>
    <row r="1709" spans="2:2">
      <c r="B1709" s="140"/>
    </row>
    <row r="1710" spans="2:2">
      <c r="B1710" s="140"/>
    </row>
    <row r="1711" spans="2:2">
      <c r="B1711" s="140"/>
    </row>
    <row r="1712" spans="2:2">
      <c r="B1712" s="140"/>
    </row>
    <row r="1713" spans="2:2">
      <c r="B1713" s="140"/>
    </row>
    <row r="1714" spans="2:2">
      <c r="B1714" s="140"/>
    </row>
    <row r="1715" spans="2:2">
      <c r="B1715" s="140"/>
    </row>
    <row r="1716" spans="2:2">
      <c r="B1716" s="140"/>
    </row>
    <row r="1717" spans="2:2">
      <c r="B1717" s="140"/>
    </row>
    <row r="1718" spans="2:2">
      <c r="B1718" s="140"/>
    </row>
    <row r="1719" spans="2:2">
      <c r="B1719" s="140"/>
    </row>
    <row r="1720" spans="2:2">
      <c r="B1720" s="140"/>
    </row>
    <row r="1721" spans="2:2">
      <c r="B1721" s="140"/>
    </row>
    <row r="1722" spans="2:2">
      <c r="B1722" s="140"/>
    </row>
    <row r="1723" spans="2:2">
      <c r="B1723" s="140"/>
    </row>
    <row r="1724" spans="2:2">
      <c r="B1724" s="140"/>
    </row>
    <row r="1725" spans="2:2">
      <c r="B1725" s="140"/>
    </row>
    <row r="1726" spans="2:2">
      <c r="B1726" s="140"/>
    </row>
    <row r="1727" spans="2:2">
      <c r="B1727" s="140"/>
    </row>
    <row r="1728" spans="2:2">
      <c r="B1728" s="140"/>
    </row>
    <row r="1729" spans="2:2">
      <c r="B1729" s="140"/>
    </row>
    <row r="1730" spans="2:2">
      <c r="B1730" s="140"/>
    </row>
    <row r="1731" spans="2:2">
      <c r="B1731" s="140"/>
    </row>
    <row r="1732" spans="2:2">
      <c r="B1732" s="140"/>
    </row>
    <row r="1733" spans="2:2">
      <c r="B1733" s="140"/>
    </row>
    <row r="1734" spans="2:2">
      <c r="B1734" s="140"/>
    </row>
    <row r="1735" spans="2:2">
      <c r="B1735" s="140"/>
    </row>
    <row r="1736" spans="2:2">
      <c r="B1736" s="140"/>
    </row>
    <row r="1737" spans="2:2">
      <c r="B1737" s="140"/>
    </row>
    <row r="1738" spans="2:2">
      <c r="B1738" s="140"/>
    </row>
    <row r="1739" spans="2:2">
      <c r="B1739" s="140"/>
    </row>
    <row r="1740" spans="2:2">
      <c r="B1740" s="140"/>
    </row>
    <row r="1741" spans="2:2">
      <c r="B1741" s="140"/>
    </row>
    <row r="1742" spans="2:2">
      <c r="B1742" s="140"/>
    </row>
    <row r="1743" spans="2:2">
      <c r="B1743" s="140"/>
    </row>
    <row r="1744" spans="2:2">
      <c r="B1744" s="140"/>
    </row>
    <row r="1745" spans="2:2">
      <c r="B1745" s="140"/>
    </row>
    <row r="1746" spans="2:2">
      <c r="B1746" s="140"/>
    </row>
    <row r="1747" spans="2:2">
      <c r="B1747" s="140"/>
    </row>
    <row r="1748" spans="2:2">
      <c r="B1748" s="140"/>
    </row>
    <row r="1749" spans="2:2">
      <c r="B1749" s="140"/>
    </row>
    <row r="1750" spans="2:2">
      <c r="B1750" s="140"/>
    </row>
    <row r="1751" spans="2:2">
      <c r="B1751" s="140"/>
    </row>
    <row r="1752" spans="2:2">
      <c r="B1752" s="140"/>
    </row>
    <row r="1753" spans="2:2">
      <c r="B1753" s="140"/>
    </row>
    <row r="1754" spans="2:2">
      <c r="B1754" s="140"/>
    </row>
    <row r="1755" spans="2:2">
      <c r="B1755" s="140"/>
    </row>
    <row r="1756" spans="2:2">
      <c r="B1756" s="140"/>
    </row>
    <row r="1757" spans="2:2">
      <c r="B1757" s="140"/>
    </row>
    <row r="1758" spans="2:2">
      <c r="B1758" s="140"/>
    </row>
    <row r="1759" spans="2:2">
      <c r="B1759" s="140"/>
    </row>
    <row r="1760" spans="2:2">
      <c r="B1760" s="140"/>
    </row>
    <row r="1761" spans="2:2">
      <c r="B1761" s="140"/>
    </row>
    <row r="1762" spans="2:2">
      <c r="B1762" s="140"/>
    </row>
    <row r="1763" spans="2:2">
      <c r="B1763" s="140"/>
    </row>
    <row r="1764" spans="2:2">
      <c r="B1764" s="140"/>
    </row>
    <row r="1765" spans="2:2">
      <c r="B1765" s="140"/>
    </row>
    <row r="1766" spans="2:2">
      <c r="B1766" s="140"/>
    </row>
    <row r="1767" spans="2:2">
      <c r="B1767" s="140"/>
    </row>
    <row r="1768" spans="2:2">
      <c r="B1768" s="140"/>
    </row>
    <row r="1769" spans="2:2">
      <c r="B1769" s="140"/>
    </row>
    <row r="1770" spans="2:2">
      <c r="B1770" s="140"/>
    </row>
    <row r="1771" spans="2:2">
      <c r="B1771" s="140"/>
    </row>
    <row r="1772" spans="2:2">
      <c r="B1772" s="140"/>
    </row>
    <row r="1773" spans="2:2">
      <c r="B1773" s="140"/>
    </row>
    <row r="1774" spans="2:2">
      <c r="B1774" s="140"/>
    </row>
    <row r="1775" spans="2:2">
      <c r="B1775" s="140"/>
    </row>
    <row r="1776" spans="2:2">
      <c r="B1776" s="140"/>
    </row>
    <row r="1777" spans="2:2">
      <c r="B1777" s="140"/>
    </row>
    <row r="1778" spans="2:2">
      <c r="B1778" s="140"/>
    </row>
    <row r="1779" spans="2:2">
      <c r="B1779" s="140"/>
    </row>
    <row r="1780" spans="2:2">
      <c r="B1780" s="140"/>
    </row>
    <row r="1781" spans="2:2">
      <c r="B1781" s="140"/>
    </row>
    <row r="1782" spans="2:2">
      <c r="B1782" s="140"/>
    </row>
    <row r="1783" spans="2:2">
      <c r="B1783" s="140"/>
    </row>
    <row r="1784" spans="2:2">
      <c r="B1784" s="140"/>
    </row>
    <row r="1785" spans="2:2">
      <c r="B1785" s="140"/>
    </row>
    <row r="1786" spans="2:2">
      <c r="B1786" s="140"/>
    </row>
    <row r="1787" spans="2:2">
      <c r="B1787" s="140"/>
    </row>
    <row r="1788" spans="2:2">
      <c r="B1788" s="140"/>
    </row>
    <row r="1789" spans="2:2">
      <c r="B1789" s="140"/>
    </row>
    <row r="1790" spans="2:2">
      <c r="B1790" s="140"/>
    </row>
    <row r="1791" spans="2:2">
      <c r="B1791" s="140"/>
    </row>
    <row r="1792" spans="2:2">
      <c r="B1792" s="140"/>
    </row>
    <row r="1793" spans="2:2">
      <c r="B1793" s="140"/>
    </row>
    <row r="1794" spans="2:2">
      <c r="B1794" s="140"/>
    </row>
    <row r="1795" spans="2:2">
      <c r="B1795" s="140"/>
    </row>
    <row r="1796" spans="2:2">
      <c r="B1796" s="140"/>
    </row>
    <row r="1797" spans="2:2">
      <c r="B1797" s="140"/>
    </row>
    <row r="1798" spans="2:2">
      <c r="B1798" s="140"/>
    </row>
    <row r="1799" spans="2:2">
      <c r="B1799" s="140"/>
    </row>
    <row r="1800" spans="2:2">
      <c r="B1800" s="140"/>
    </row>
    <row r="1801" spans="2:2">
      <c r="B1801" s="140"/>
    </row>
    <row r="1802" spans="2:2">
      <c r="B1802" s="140"/>
    </row>
    <row r="1803" spans="2:2">
      <c r="B1803" s="140"/>
    </row>
    <row r="1804" spans="2:2">
      <c r="B1804" s="140"/>
    </row>
    <row r="1805" spans="2:2">
      <c r="B1805" s="140"/>
    </row>
    <row r="1806" spans="2:2">
      <c r="B1806" s="140"/>
    </row>
    <row r="1807" spans="2:2">
      <c r="B1807" s="140"/>
    </row>
    <row r="1808" spans="2:2">
      <c r="B1808" s="140"/>
    </row>
    <row r="1809" spans="2:2">
      <c r="B1809" s="140"/>
    </row>
    <row r="1810" spans="2:2">
      <c r="B1810" s="140"/>
    </row>
    <row r="1811" spans="2:2">
      <c r="B1811" s="140"/>
    </row>
    <row r="1812" spans="2:2">
      <c r="B1812" s="140"/>
    </row>
    <row r="1813" spans="2:2">
      <c r="B1813" s="140"/>
    </row>
    <row r="1814" spans="2:2">
      <c r="B1814" s="140"/>
    </row>
    <row r="1815" spans="2:2">
      <c r="B1815" s="140"/>
    </row>
    <row r="1816" spans="2:2">
      <c r="B1816" s="140"/>
    </row>
    <row r="1817" spans="2:2">
      <c r="B1817" s="140"/>
    </row>
    <row r="1818" spans="2:2">
      <c r="B1818" s="140"/>
    </row>
    <row r="1819" spans="2:2">
      <c r="B1819" s="140"/>
    </row>
    <row r="1820" spans="2:2">
      <c r="B1820" s="140"/>
    </row>
    <row r="1821" spans="2:2">
      <c r="B1821" s="140"/>
    </row>
    <row r="1822" spans="2:2">
      <c r="B1822" s="140"/>
    </row>
    <row r="1823" spans="2:2">
      <c r="B1823" s="140"/>
    </row>
    <row r="1824" spans="2:2">
      <c r="B1824" s="140"/>
    </row>
    <row r="1825" spans="2:2">
      <c r="B1825" s="140"/>
    </row>
    <row r="1826" spans="2:2">
      <c r="B1826" s="140"/>
    </row>
    <row r="1827" spans="2:2">
      <c r="B1827" s="140"/>
    </row>
    <row r="1828" spans="2:2">
      <c r="B1828" s="140"/>
    </row>
    <row r="1829" spans="2:2">
      <c r="B1829" s="140"/>
    </row>
    <row r="1830" spans="2:2">
      <c r="B1830" s="140"/>
    </row>
    <row r="1831" spans="2:2">
      <c r="B1831" s="140"/>
    </row>
    <row r="1832" spans="2:2">
      <c r="B1832" s="140"/>
    </row>
    <row r="1833" spans="2:2">
      <c r="B1833" s="140"/>
    </row>
    <row r="1834" spans="2:2">
      <c r="B1834" s="140"/>
    </row>
    <row r="1835" spans="2:2">
      <c r="B1835" s="140"/>
    </row>
    <row r="1836" spans="2:2">
      <c r="B1836" s="140"/>
    </row>
    <row r="1837" spans="2:2">
      <c r="B1837" s="140"/>
    </row>
    <row r="1838" spans="2:2">
      <c r="B1838" s="140"/>
    </row>
    <row r="1839" spans="2:2">
      <c r="B1839" s="140"/>
    </row>
    <row r="1840" spans="2:2">
      <c r="B1840" s="140"/>
    </row>
    <row r="1841" spans="2:2">
      <c r="B1841" s="140"/>
    </row>
    <row r="1842" spans="2:2">
      <c r="B1842" s="140"/>
    </row>
    <row r="1843" spans="2:2">
      <c r="B1843" s="140"/>
    </row>
    <row r="1844" spans="2:2">
      <c r="B1844" s="140"/>
    </row>
    <row r="1845" spans="2:2">
      <c r="B1845" s="140"/>
    </row>
    <row r="1846" spans="2:2">
      <c r="B1846" s="140"/>
    </row>
    <row r="1847" spans="2:2">
      <c r="B1847" s="140"/>
    </row>
    <row r="1848" spans="2:2">
      <c r="B1848" s="140"/>
    </row>
    <row r="1849" spans="2:2">
      <c r="B1849" s="140"/>
    </row>
    <row r="1850" spans="2:2">
      <c r="B1850" s="140"/>
    </row>
    <row r="1851" spans="2:2">
      <c r="B1851" s="140"/>
    </row>
    <row r="1852" spans="2:2">
      <c r="B1852" s="140"/>
    </row>
    <row r="1853" spans="2:2">
      <c r="B1853" s="140"/>
    </row>
    <row r="1854" spans="2:2">
      <c r="B1854" s="140"/>
    </row>
    <row r="1855" spans="2:2">
      <c r="B1855" s="140"/>
    </row>
    <row r="1856" spans="2:2">
      <c r="B1856" s="140"/>
    </row>
    <row r="1857" spans="2:2">
      <c r="B1857" s="140"/>
    </row>
    <row r="1858" spans="2:2">
      <c r="B1858" s="140"/>
    </row>
    <row r="1859" spans="2:2">
      <c r="B1859" s="140"/>
    </row>
    <row r="1860" spans="2:2">
      <c r="B1860" s="140"/>
    </row>
    <row r="1861" spans="2:2">
      <c r="B1861" s="140"/>
    </row>
    <row r="1862" spans="2:2">
      <c r="B1862" s="140"/>
    </row>
    <row r="1863" spans="2:2">
      <c r="B1863" s="140"/>
    </row>
    <row r="1864" spans="2:2">
      <c r="B1864" s="140"/>
    </row>
    <row r="1865" spans="2:2">
      <c r="B1865" s="140"/>
    </row>
    <row r="1866" spans="2:2">
      <c r="B1866" s="140"/>
    </row>
    <row r="1867" spans="2:2">
      <c r="B1867" s="140"/>
    </row>
    <row r="1868" spans="2:2">
      <c r="B1868" s="140"/>
    </row>
    <row r="1869" spans="2:2">
      <c r="B1869" s="140"/>
    </row>
    <row r="1870" spans="2:2">
      <c r="B1870" s="140"/>
    </row>
    <row r="1871" spans="2:2">
      <c r="B1871" s="140"/>
    </row>
    <row r="1872" spans="2:2">
      <c r="B1872" s="140"/>
    </row>
    <row r="1873" spans="2:2">
      <c r="B1873" s="140"/>
    </row>
    <row r="1874" spans="2:2">
      <c r="B1874" s="140"/>
    </row>
    <row r="1875" spans="2:2">
      <c r="B1875" s="140"/>
    </row>
    <row r="1876" spans="2:2">
      <c r="B1876" s="140"/>
    </row>
    <row r="1877" spans="2:2">
      <c r="B1877" s="140"/>
    </row>
    <row r="1878" spans="2:2">
      <c r="B1878" s="140"/>
    </row>
    <row r="1879" spans="2:2">
      <c r="B1879" s="140"/>
    </row>
    <row r="1880" spans="2:2">
      <c r="B1880" s="140"/>
    </row>
    <row r="1881" spans="2:2">
      <c r="B1881" s="140"/>
    </row>
    <row r="1882" spans="2:2">
      <c r="B1882" s="140"/>
    </row>
    <row r="1883" spans="2:2">
      <c r="B1883" s="140"/>
    </row>
    <row r="1884" spans="2:2">
      <c r="B1884" s="140"/>
    </row>
    <row r="1885" spans="2:2">
      <c r="B1885" s="140"/>
    </row>
    <row r="1886" spans="2:2">
      <c r="B1886" s="140"/>
    </row>
    <row r="1887" spans="2:2">
      <c r="B1887" s="140"/>
    </row>
    <row r="1888" spans="2:2">
      <c r="B1888" s="140"/>
    </row>
    <row r="1889" spans="2:2">
      <c r="B1889" s="140"/>
    </row>
    <row r="1890" spans="2:2">
      <c r="B1890" s="140"/>
    </row>
    <row r="1891" spans="2:2">
      <c r="B1891" s="140"/>
    </row>
    <row r="1892" spans="2:2">
      <c r="B1892" s="140"/>
    </row>
    <row r="1893" spans="2:2">
      <c r="B1893" s="140"/>
    </row>
    <row r="1894" spans="2:2">
      <c r="B1894" s="140"/>
    </row>
    <row r="1895" spans="2:2">
      <c r="B1895" s="140"/>
    </row>
    <row r="1896" spans="2:2">
      <c r="B1896" s="140"/>
    </row>
    <row r="1897" spans="2:2">
      <c r="B1897" s="140"/>
    </row>
    <row r="1898" spans="2:2">
      <c r="B1898" s="140"/>
    </row>
    <row r="1899" spans="2:2">
      <c r="B1899" s="140"/>
    </row>
    <row r="1900" spans="2:2">
      <c r="B1900" s="140"/>
    </row>
    <row r="1901" spans="2:2">
      <c r="B1901" s="140"/>
    </row>
    <row r="1902" spans="2:2">
      <c r="B1902" s="140"/>
    </row>
    <row r="1903" spans="2:2">
      <c r="B1903" s="140"/>
    </row>
    <row r="1904" spans="2:2">
      <c r="B1904" s="140"/>
    </row>
    <row r="1905" spans="2:2">
      <c r="B1905" s="140"/>
    </row>
    <row r="1906" spans="2:2">
      <c r="B1906" s="140"/>
    </row>
    <row r="1907" spans="2:2">
      <c r="B1907" s="140"/>
    </row>
    <row r="1908" spans="2:2">
      <c r="B1908" s="140"/>
    </row>
    <row r="1909" spans="2:2">
      <c r="B1909" s="140"/>
    </row>
    <row r="1910" spans="2:2">
      <c r="B1910" s="140"/>
    </row>
    <row r="1911" spans="2:2">
      <c r="B1911" s="140"/>
    </row>
    <row r="1912" spans="2:2">
      <c r="B1912" s="140"/>
    </row>
    <row r="1913" spans="2:2">
      <c r="B1913" s="140"/>
    </row>
    <row r="1914" spans="2:2">
      <c r="B1914" s="140"/>
    </row>
    <row r="1915" spans="2:2">
      <c r="B1915" s="140"/>
    </row>
    <row r="1916" spans="2:2">
      <c r="B1916" s="140"/>
    </row>
    <row r="1917" spans="2:2">
      <c r="B1917" s="140"/>
    </row>
    <row r="1918" spans="2:2">
      <c r="B1918" s="140"/>
    </row>
    <row r="1919" spans="2:2">
      <c r="B1919" s="140"/>
    </row>
    <row r="1920" spans="2:2">
      <c r="B1920" s="140"/>
    </row>
    <row r="1921" spans="2:2">
      <c r="B1921" s="140"/>
    </row>
    <row r="1922" spans="2:2">
      <c r="B1922" s="140"/>
    </row>
    <row r="1923" spans="2:2">
      <c r="B1923" s="140"/>
    </row>
    <row r="1924" spans="2:2">
      <c r="B1924" s="140"/>
    </row>
    <row r="1925" spans="2:2">
      <c r="B1925" s="140"/>
    </row>
    <row r="1926" spans="2:2">
      <c r="B1926" s="140"/>
    </row>
    <row r="1927" spans="2:2">
      <c r="B1927" s="140"/>
    </row>
    <row r="1928" spans="2:2">
      <c r="B1928" s="140"/>
    </row>
    <row r="1929" spans="2:2">
      <c r="B1929" s="140"/>
    </row>
    <row r="1930" spans="2:2">
      <c r="B1930" s="140"/>
    </row>
    <row r="1931" spans="2:2">
      <c r="B1931" s="140"/>
    </row>
    <row r="1932" spans="2:2">
      <c r="B1932" s="140"/>
    </row>
    <row r="1933" spans="2:2">
      <c r="B1933" s="140"/>
    </row>
    <row r="1934" spans="2:2">
      <c r="B1934" s="140"/>
    </row>
    <row r="1935" spans="2:2">
      <c r="B1935" s="140"/>
    </row>
    <row r="1936" spans="2:2">
      <c r="B1936" s="140"/>
    </row>
    <row r="1937" spans="2:2">
      <c r="B1937" s="140"/>
    </row>
    <row r="1938" spans="2:2">
      <c r="B1938" s="140"/>
    </row>
    <row r="1939" spans="2:2">
      <c r="B1939" s="140"/>
    </row>
    <row r="1940" spans="2:2">
      <c r="B1940" s="140"/>
    </row>
    <row r="1941" spans="2:2">
      <c r="B1941" s="140"/>
    </row>
    <row r="1942" spans="2:2">
      <c r="B1942" s="140"/>
    </row>
    <row r="1943" spans="2:2">
      <c r="B1943" s="140"/>
    </row>
    <row r="1944" spans="2:2">
      <c r="B1944" s="140"/>
    </row>
    <row r="1945" spans="2:2">
      <c r="B1945" s="140"/>
    </row>
    <row r="1946" spans="2:2">
      <c r="B1946" s="140"/>
    </row>
    <row r="1947" spans="2:2">
      <c r="B1947" s="140"/>
    </row>
    <row r="1948" spans="2:2">
      <c r="B1948" s="140"/>
    </row>
    <row r="1949" spans="2:2">
      <c r="B1949" s="140"/>
    </row>
    <row r="1950" spans="2:2">
      <c r="B1950" s="140"/>
    </row>
    <row r="1951" spans="2:2">
      <c r="B1951" s="140"/>
    </row>
    <row r="1952" spans="2:2">
      <c r="B1952" s="140"/>
    </row>
    <row r="1953" spans="2:2">
      <c r="B1953" s="140"/>
    </row>
    <row r="1954" spans="2:2">
      <c r="B1954" s="140"/>
    </row>
    <row r="1955" spans="2:2">
      <c r="B1955" s="140"/>
    </row>
    <row r="1956" spans="2:2">
      <c r="B1956" s="140"/>
    </row>
    <row r="1957" spans="2:2">
      <c r="B1957" s="140"/>
    </row>
    <row r="1958" spans="2:2">
      <c r="B1958" s="140"/>
    </row>
    <row r="1959" spans="2:2">
      <c r="B1959" s="140"/>
    </row>
    <row r="1960" spans="2:2">
      <c r="B1960" s="140"/>
    </row>
    <row r="1961" spans="2:2">
      <c r="B1961" s="140"/>
    </row>
    <row r="1962" spans="2:2">
      <c r="B1962" s="140"/>
    </row>
    <row r="1963" spans="2:2">
      <c r="B1963" s="140"/>
    </row>
    <row r="1964" spans="2:2">
      <c r="B1964" s="140"/>
    </row>
    <row r="1965" spans="2:2">
      <c r="B1965" s="140"/>
    </row>
    <row r="1966" spans="2:2">
      <c r="B1966" s="140"/>
    </row>
    <row r="1967" spans="2:2">
      <c r="B1967" s="140"/>
    </row>
    <row r="1968" spans="2:2">
      <c r="B1968" s="140"/>
    </row>
    <row r="1969" spans="2:2">
      <c r="B1969" s="140"/>
    </row>
    <row r="1970" spans="2:2">
      <c r="B1970" s="140"/>
    </row>
    <row r="1971" spans="2:2">
      <c r="B1971" s="140"/>
    </row>
    <row r="1972" spans="2:2">
      <c r="B1972" s="140"/>
    </row>
    <row r="1973" spans="2:2">
      <c r="B1973" s="140"/>
    </row>
    <row r="1974" spans="2:2">
      <c r="B1974" s="140"/>
    </row>
    <row r="1975" spans="2:2">
      <c r="B1975" s="140"/>
    </row>
    <row r="1976" spans="2:2">
      <c r="B1976" s="140"/>
    </row>
    <row r="1977" spans="2:2">
      <c r="B1977" s="140"/>
    </row>
    <row r="1978" spans="2:2">
      <c r="B1978" s="140"/>
    </row>
    <row r="1979" spans="2:2">
      <c r="B1979" s="140"/>
    </row>
    <row r="1980" spans="2:2">
      <c r="B1980" s="140"/>
    </row>
    <row r="1981" spans="2:2">
      <c r="B1981" s="140"/>
    </row>
    <row r="1982" spans="2:2">
      <c r="B1982" s="140"/>
    </row>
    <row r="1983" spans="2:2">
      <c r="B1983" s="140"/>
    </row>
    <row r="1984" spans="2:2">
      <c r="B1984" s="140"/>
    </row>
    <row r="1985" spans="2:2">
      <c r="B1985" s="140"/>
    </row>
    <row r="1986" spans="2:2">
      <c r="B1986" s="140"/>
    </row>
    <row r="1987" spans="2:2">
      <c r="B1987" s="140"/>
    </row>
    <row r="1988" spans="2:2">
      <c r="B1988" s="140"/>
    </row>
    <row r="1989" spans="2:2">
      <c r="B1989" s="140"/>
    </row>
    <row r="1990" spans="2:2">
      <c r="B1990" s="140"/>
    </row>
    <row r="1991" spans="2:2">
      <c r="B1991" s="140"/>
    </row>
    <row r="1992" spans="2:2">
      <c r="B1992" s="140"/>
    </row>
    <row r="1993" spans="2:2">
      <c r="B1993" s="140"/>
    </row>
    <row r="1994" spans="2:2">
      <c r="B1994" s="140"/>
    </row>
    <row r="1995" spans="2:2">
      <c r="B1995" s="140"/>
    </row>
    <row r="1996" spans="2:2">
      <c r="B1996" s="140"/>
    </row>
    <row r="1997" spans="2:2">
      <c r="B1997" s="140"/>
    </row>
    <row r="1998" spans="2:2">
      <c r="B1998" s="140"/>
    </row>
    <row r="1999" spans="2:2">
      <c r="B1999" s="140"/>
    </row>
    <row r="2000" spans="2:2">
      <c r="B2000" s="140"/>
    </row>
    <row r="2001" spans="2:2">
      <c r="B2001" s="140"/>
    </row>
    <row r="2002" spans="2:2">
      <c r="B2002" s="140"/>
    </row>
    <row r="2003" spans="2:2">
      <c r="B2003" s="140"/>
    </row>
    <row r="2004" spans="2:2">
      <c r="B2004" s="140"/>
    </row>
    <row r="2005" spans="2:2">
      <c r="B2005" s="140"/>
    </row>
    <row r="2006" spans="2:2">
      <c r="B2006" s="140"/>
    </row>
    <row r="2007" spans="2:2">
      <c r="B2007" s="140"/>
    </row>
    <row r="2008" spans="2:2">
      <c r="B2008" s="140"/>
    </row>
    <row r="2009" spans="2:2">
      <c r="B2009" s="140"/>
    </row>
    <row r="2010" spans="2:2">
      <c r="B2010" s="140"/>
    </row>
    <row r="2011" spans="2:2">
      <c r="B2011" s="140"/>
    </row>
    <row r="2012" spans="2:2">
      <c r="B2012" s="140"/>
    </row>
    <row r="2013" spans="2:2">
      <c r="B2013" s="140"/>
    </row>
    <row r="2014" spans="2:2">
      <c r="B2014" s="140"/>
    </row>
    <row r="2015" spans="2:2">
      <c r="B2015" s="140"/>
    </row>
    <row r="2016" spans="2:2">
      <c r="B2016" s="140"/>
    </row>
    <row r="2017" spans="2:2">
      <c r="B2017" s="140"/>
    </row>
    <row r="2018" spans="2:2">
      <c r="B2018" s="140"/>
    </row>
    <row r="2019" spans="2:2">
      <c r="B2019" s="140"/>
    </row>
    <row r="2020" spans="2:2">
      <c r="B2020" s="140"/>
    </row>
    <row r="2021" spans="2:2">
      <c r="B2021" s="140"/>
    </row>
    <row r="2022" spans="2:2">
      <c r="B2022" s="140"/>
    </row>
    <row r="2023" spans="2:2">
      <c r="B2023" s="140"/>
    </row>
    <row r="2024" spans="2:2">
      <c r="B2024" s="140"/>
    </row>
    <row r="2025" spans="2:2">
      <c r="B2025" s="140"/>
    </row>
    <row r="2026" spans="2:2">
      <c r="B2026" s="140"/>
    </row>
    <row r="2027" spans="2:2">
      <c r="B2027" s="140"/>
    </row>
    <row r="2028" spans="2:2">
      <c r="B2028" s="140"/>
    </row>
    <row r="2029" spans="2:2">
      <c r="B2029" s="140"/>
    </row>
    <row r="2030" spans="2:2">
      <c r="B2030" s="140"/>
    </row>
    <row r="2031" spans="2:2">
      <c r="B2031" s="140"/>
    </row>
    <row r="2032" spans="2:2">
      <c r="B2032" s="140"/>
    </row>
    <row r="2033" spans="2:2">
      <c r="B2033" s="140"/>
    </row>
    <row r="2034" spans="2:2">
      <c r="B2034" s="140"/>
    </row>
    <row r="2035" spans="2:2">
      <c r="B2035" s="140"/>
    </row>
    <row r="2036" spans="2:2">
      <c r="B2036" s="140"/>
    </row>
    <row r="2037" spans="2:2">
      <c r="B2037" s="140"/>
    </row>
    <row r="2038" spans="2:2">
      <c r="B2038" s="140"/>
    </row>
    <row r="2039" spans="2:2">
      <c r="B2039" s="140"/>
    </row>
    <row r="2040" spans="2:2">
      <c r="B2040" s="140"/>
    </row>
    <row r="2041" spans="2:2">
      <c r="B2041" s="140"/>
    </row>
    <row r="2042" spans="2:2">
      <c r="B2042" s="140"/>
    </row>
    <row r="2043" spans="2:2">
      <c r="B2043" s="140"/>
    </row>
    <row r="2044" spans="2:2">
      <c r="B2044" s="140"/>
    </row>
    <row r="2045" spans="2:2">
      <c r="B2045" s="140"/>
    </row>
    <row r="2046" spans="2:2">
      <c r="B2046" s="140"/>
    </row>
    <row r="2047" spans="2:2">
      <c r="B2047" s="140"/>
    </row>
    <row r="2048" spans="2:2">
      <c r="B2048" s="140"/>
    </row>
    <row r="2049" spans="2:2">
      <c r="B2049" s="140"/>
    </row>
    <row r="2050" spans="2:2">
      <c r="B2050" s="140"/>
    </row>
    <row r="2051" spans="2:2">
      <c r="B2051" s="140"/>
    </row>
    <row r="2052" spans="2:2">
      <c r="B2052" s="140"/>
    </row>
    <row r="2053" spans="2:2">
      <c r="B2053" s="140"/>
    </row>
    <row r="2054" spans="2:2">
      <c r="B2054" s="140"/>
    </row>
    <row r="2055" spans="2:2">
      <c r="B2055" s="140"/>
    </row>
    <row r="2056" spans="2:2">
      <c r="B2056" s="140"/>
    </row>
    <row r="2057" spans="2:2">
      <c r="B2057" s="140"/>
    </row>
    <row r="2058" spans="2:2">
      <c r="B2058" s="140"/>
    </row>
    <row r="2059" spans="2:2">
      <c r="B2059" s="140"/>
    </row>
    <row r="2060" spans="2:2">
      <c r="B2060" s="140"/>
    </row>
    <row r="2061" spans="2:2">
      <c r="B2061" s="140"/>
    </row>
    <row r="2062" spans="2:2">
      <c r="B2062" s="140"/>
    </row>
    <row r="2063" spans="2:2">
      <c r="B2063" s="140"/>
    </row>
    <row r="2064" spans="2:2">
      <c r="B2064" s="140"/>
    </row>
    <row r="2065" spans="2:2">
      <c r="B2065" s="140"/>
    </row>
    <row r="2066" spans="2:2">
      <c r="B2066" s="140"/>
    </row>
    <row r="2067" spans="2:2">
      <c r="B2067" s="140"/>
    </row>
    <row r="2068" spans="2:2">
      <c r="B2068" s="140"/>
    </row>
    <row r="2069" spans="2:2">
      <c r="B2069" s="140"/>
    </row>
    <row r="2070" spans="2:2">
      <c r="B2070" s="140"/>
    </row>
    <row r="2071" spans="2:2">
      <c r="B2071" s="140"/>
    </row>
    <row r="2072" spans="2:2">
      <c r="B2072" s="140"/>
    </row>
    <row r="2073" spans="2:2">
      <c r="B2073" s="140"/>
    </row>
    <row r="2074" spans="2:2">
      <c r="B2074" s="140"/>
    </row>
    <row r="2075" spans="2:2">
      <c r="B2075" s="140"/>
    </row>
    <row r="2076" spans="2:2">
      <c r="B2076" s="140"/>
    </row>
    <row r="2077" spans="2:2">
      <c r="B2077" s="140"/>
    </row>
    <row r="2078" spans="2:2">
      <c r="B2078" s="140"/>
    </row>
    <row r="2079" spans="2:2">
      <c r="B2079" s="140"/>
    </row>
    <row r="2080" spans="2:2">
      <c r="B2080" s="140"/>
    </row>
    <row r="2081" spans="2:2">
      <c r="B2081" s="140"/>
    </row>
    <row r="2082" spans="2:2">
      <c r="B2082" s="140"/>
    </row>
    <row r="2083" spans="2:2">
      <c r="B2083" s="140"/>
    </row>
    <row r="2084" spans="2:2">
      <c r="B2084" s="140"/>
    </row>
    <row r="2085" spans="2:2">
      <c r="B2085" s="140"/>
    </row>
    <row r="2086" spans="2:2">
      <c r="B2086" s="140"/>
    </row>
    <row r="2087" spans="2:2">
      <c r="B2087" s="140"/>
    </row>
    <row r="2088" spans="2:2">
      <c r="B2088" s="140"/>
    </row>
    <row r="2089" spans="2:2">
      <c r="B2089" s="140"/>
    </row>
    <row r="2090" spans="2:2">
      <c r="B2090" s="140"/>
    </row>
    <row r="2091" spans="2:2">
      <c r="B2091" s="140"/>
    </row>
    <row r="2092" spans="2:2">
      <c r="B2092" s="140"/>
    </row>
    <row r="2093" spans="2:2">
      <c r="B2093" s="140"/>
    </row>
    <row r="2094" spans="2:2">
      <c r="B2094" s="140"/>
    </row>
    <row r="2095" spans="2:2">
      <c r="B2095" s="140"/>
    </row>
    <row r="2096" spans="2:2">
      <c r="B2096" s="140"/>
    </row>
    <row r="2097" spans="2:2">
      <c r="B2097" s="140"/>
    </row>
    <row r="2098" spans="2:2">
      <c r="B2098" s="140"/>
    </row>
  </sheetData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98D6-4923-48A1-A077-657DAF3C5B5E}">
  <dimension ref="A3:G521"/>
  <sheetViews>
    <sheetView topLeftCell="A325" workbookViewId="0">
      <selection activeCell="A340" sqref="A340"/>
    </sheetView>
  </sheetViews>
  <sheetFormatPr baseColWidth="10" defaultRowHeight="13"/>
  <cols>
    <col min="1" max="1" width="54.59765625" bestFit="1" customWidth="1"/>
    <col min="2" max="2" width="16" bestFit="1" customWidth="1"/>
    <col min="4" max="4" width="20.19921875" customWidth="1"/>
  </cols>
  <sheetData>
    <row r="3" spans="1:7">
      <c r="A3" s="74" t="s">
        <v>0</v>
      </c>
      <c r="B3" t="s">
        <v>754</v>
      </c>
    </row>
    <row r="4" spans="1:7">
      <c r="A4" s="37">
        <v>-16</v>
      </c>
      <c r="B4">
        <v>1</v>
      </c>
    </row>
    <row r="5" spans="1:7">
      <c r="A5" s="119" t="s">
        <v>159</v>
      </c>
      <c r="B5">
        <v>1</v>
      </c>
    </row>
    <row r="6" spans="1:7">
      <c r="A6" s="120" t="s">
        <v>467</v>
      </c>
      <c r="B6">
        <v>1</v>
      </c>
      <c r="D6" s="146" t="s">
        <v>759</v>
      </c>
      <c r="E6" s="146">
        <v>587</v>
      </c>
      <c r="F6" s="147">
        <v>1</v>
      </c>
      <c r="G6" s="146" t="s">
        <v>760</v>
      </c>
    </row>
    <row r="7" spans="1:7">
      <c r="A7" s="37">
        <v>-7</v>
      </c>
      <c r="B7">
        <v>1</v>
      </c>
      <c r="D7" s="144" t="s">
        <v>755</v>
      </c>
      <c r="E7" s="143">
        <v>77</v>
      </c>
      <c r="F7" s="144" t="s">
        <v>758</v>
      </c>
      <c r="G7" s="145">
        <f>+E7*F6/E6</f>
        <v>0.131175468483816</v>
      </c>
    </row>
    <row r="8" spans="1:7">
      <c r="A8" s="119" t="s">
        <v>159</v>
      </c>
      <c r="B8">
        <v>1</v>
      </c>
      <c r="D8" s="144" t="s">
        <v>756</v>
      </c>
      <c r="E8" s="143">
        <f>+GETPIVOTDATA("Cliente",$A$3,"DIAS DE DIFERENCIA",0)</f>
        <v>371</v>
      </c>
      <c r="F8" s="144" t="s">
        <v>758</v>
      </c>
      <c r="G8" s="145">
        <f>+E8*F6/E6</f>
        <v>0.63202725724020448</v>
      </c>
    </row>
    <row r="9" spans="1:7">
      <c r="A9" s="120" t="s">
        <v>434</v>
      </c>
      <c r="B9">
        <v>1</v>
      </c>
      <c r="D9" s="144" t="s">
        <v>757</v>
      </c>
      <c r="E9" s="143">
        <v>139</v>
      </c>
      <c r="F9" s="144" t="s">
        <v>758</v>
      </c>
      <c r="G9" s="145">
        <f>+E9*F6/E6</f>
        <v>0.23679727427597955</v>
      </c>
    </row>
    <row r="10" spans="1:7">
      <c r="A10" s="37">
        <v>-6</v>
      </c>
      <c r="B10">
        <v>6</v>
      </c>
    </row>
    <row r="11" spans="1:7">
      <c r="A11" s="119" t="s">
        <v>114</v>
      </c>
      <c r="B11">
        <v>6</v>
      </c>
    </row>
    <row r="12" spans="1:7">
      <c r="A12" s="120" t="s">
        <v>608</v>
      </c>
      <c r="B12">
        <v>6</v>
      </c>
    </row>
    <row r="13" spans="1:7">
      <c r="A13" s="37">
        <v>-4</v>
      </c>
      <c r="B13">
        <v>1</v>
      </c>
    </row>
    <row r="14" spans="1:7">
      <c r="A14" s="119" t="s">
        <v>751</v>
      </c>
      <c r="B14">
        <v>1</v>
      </c>
    </row>
    <row r="15" spans="1:7">
      <c r="A15" s="120" t="s">
        <v>750</v>
      </c>
      <c r="B15">
        <v>1</v>
      </c>
    </row>
    <row r="16" spans="1:7">
      <c r="A16" s="37">
        <v>-3</v>
      </c>
      <c r="B16">
        <v>19</v>
      </c>
    </row>
    <row r="17" spans="1:2">
      <c r="A17" s="119" t="s">
        <v>144</v>
      </c>
      <c r="B17">
        <v>2</v>
      </c>
    </row>
    <row r="18" spans="1:2">
      <c r="A18" s="120" t="s">
        <v>444</v>
      </c>
      <c r="B18">
        <v>2</v>
      </c>
    </row>
    <row r="19" spans="1:2">
      <c r="A19" s="119" t="s">
        <v>471</v>
      </c>
      <c r="B19">
        <v>1</v>
      </c>
    </row>
    <row r="20" spans="1:2">
      <c r="A20" s="120" t="s">
        <v>752</v>
      </c>
      <c r="B20">
        <v>1</v>
      </c>
    </row>
    <row r="21" spans="1:2">
      <c r="A21" s="119" t="s">
        <v>386</v>
      </c>
      <c r="B21">
        <v>1</v>
      </c>
    </row>
    <row r="22" spans="1:2">
      <c r="A22" s="120" t="s">
        <v>606</v>
      </c>
      <c r="B22">
        <v>1</v>
      </c>
    </row>
    <row r="23" spans="1:2">
      <c r="A23" s="119" t="s">
        <v>30</v>
      </c>
      <c r="B23">
        <v>5</v>
      </c>
    </row>
    <row r="24" spans="1:2">
      <c r="A24" s="120" t="s">
        <v>463</v>
      </c>
      <c r="B24">
        <v>2</v>
      </c>
    </row>
    <row r="25" spans="1:2">
      <c r="A25" s="120" t="s">
        <v>510</v>
      </c>
      <c r="B25">
        <v>1</v>
      </c>
    </row>
    <row r="26" spans="1:2">
      <c r="A26" s="120" t="s">
        <v>630</v>
      </c>
      <c r="B26">
        <v>1</v>
      </c>
    </row>
    <row r="27" spans="1:2">
      <c r="A27" s="120" t="s">
        <v>631</v>
      </c>
      <c r="B27">
        <v>1</v>
      </c>
    </row>
    <row r="28" spans="1:2">
      <c r="A28" s="119" t="s">
        <v>38</v>
      </c>
      <c r="B28">
        <v>6</v>
      </c>
    </row>
    <row r="29" spans="1:2">
      <c r="A29" s="120" t="s">
        <v>417</v>
      </c>
      <c r="B29">
        <v>1</v>
      </c>
    </row>
    <row r="30" spans="1:2">
      <c r="A30" s="120" t="s">
        <v>507</v>
      </c>
      <c r="B30">
        <v>1</v>
      </c>
    </row>
    <row r="31" spans="1:2">
      <c r="A31" s="120" t="s">
        <v>572</v>
      </c>
      <c r="B31">
        <v>1</v>
      </c>
    </row>
    <row r="32" spans="1:2">
      <c r="A32" s="120" t="s">
        <v>619</v>
      </c>
      <c r="B32">
        <v>1</v>
      </c>
    </row>
    <row r="33" spans="1:2">
      <c r="A33" s="120" t="s">
        <v>647</v>
      </c>
      <c r="B33">
        <v>1</v>
      </c>
    </row>
    <row r="34" spans="1:2">
      <c r="A34" s="120" t="s">
        <v>683</v>
      </c>
      <c r="B34">
        <v>1</v>
      </c>
    </row>
    <row r="35" spans="1:2">
      <c r="A35" s="119" t="s">
        <v>383</v>
      </c>
      <c r="B35">
        <v>1</v>
      </c>
    </row>
    <row r="36" spans="1:2">
      <c r="A36" s="120" t="s">
        <v>574</v>
      </c>
      <c r="B36">
        <v>1</v>
      </c>
    </row>
    <row r="37" spans="1:2">
      <c r="A37" s="119" t="s">
        <v>167</v>
      </c>
      <c r="B37">
        <v>1</v>
      </c>
    </row>
    <row r="38" spans="1:2">
      <c r="A38" s="120" t="s">
        <v>749</v>
      </c>
      <c r="B38">
        <v>1</v>
      </c>
    </row>
    <row r="39" spans="1:2">
      <c r="A39" s="119" t="s">
        <v>438</v>
      </c>
      <c r="B39">
        <v>1</v>
      </c>
    </row>
    <row r="40" spans="1:2">
      <c r="A40" s="120" t="s">
        <v>437</v>
      </c>
      <c r="B40">
        <v>1</v>
      </c>
    </row>
    <row r="41" spans="1:2">
      <c r="A41" s="119" t="s">
        <v>159</v>
      </c>
      <c r="B41">
        <v>1</v>
      </c>
    </row>
    <row r="42" spans="1:2">
      <c r="A42" s="120" t="s">
        <v>512</v>
      </c>
      <c r="B42">
        <v>1</v>
      </c>
    </row>
    <row r="43" spans="1:2">
      <c r="A43" s="37">
        <v>-2</v>
      </c>
      <c r="B43">
        <v>18</v>
      </c>
    </row>
    <row r="44" spans="1:2">
      <c r="A44" s="119" t="s">
        <v>378</v>
      </c>
      <c r="B44">
        <v>3</v>
      </c>
    </row>
    <row r="45" spans="1:2">
      <c r="A45" s="120" t="s">
        <v>567</v>
      </c>
      <c r="B45">
        <v>3</v>
      </c>
    </row>
    <row r="46" spans="1:2">
      <c r="A46" s="119" t="s">
        <v>386</v>
      </c>
      <c r="B46">
        <v>3</v>
      </c>
    </row>
    <row r="47" spans="1:2">
      <c r="A47" s="120" t="s">
        <v>705</v>
      </c>
      <c r="B47">
        <v>3</v>
      </c>
    </row>
    <row r="48" spans="1:2">
      <c r="A48" s="119" t="s">
        <v>30</v>
      </c>
      <c r="B48">
        <v>4</v>
      </c>
    </row>
    <row r="49" spans="1:2">
      <c r="A49" s="120" t="s">
        <v>422</v>
      </c>
      <c r="B49">
        <v>2</v>
      </c>
    </row>
    <row r="50" spans="1:2">
      <c r="A50" s="120" t="s">
        <v>448</v>
      </c>
      <c r="B50">
        <v>1</v>
      </c>
    </row>
    <row r="51" spans="1:2">
      <c r="A51" s="120" t="s">
        <v>684</v>
      </c>
      <c r="B51">
        <v>1</v>
      </c>
    </row>
    <row r="52" spans="1:2">
      <c r="A52" s="119" t="s">
        <v>38</v>
      </c>
      <c r="B52">
        <v>3</v>
      </c>
    </row>
    <row r="53" spans="1:2">
      <c r="A53" s="120" t="s">
        <v>443</v>
      </c>
      <c r="B53">
        <v>2</v>
      </c>
    </row>
    <row r="54" spans="1:2">
      <c r="A54" s="120" t="s">
        <v>694</v>
      </c>
      <c r="B54">
        <v>1</v>
      </c>
    </row>
    <row r="55" spans="1:2">
      <c r="A55" s="119" t="s">
        <v>114</v>
      </c>
      <c r="B55">
        <v>2</v>
      </c>
    </row>
    <row r="56" spans="1:2">
      <c r="A56" s="120" t="s">
        <v>609</v>
      </c>
      <c r="B56">
        <v>2</v>
      </c>
    </row>
    <row r="57" spans="1:2">
      <c r="A57" s="119" t="s">
        <v>146</v>
      </c>
      <c r="B57">
        <v>3</v>
      </c>
    </row>
    <row r="58" spans="1:2">
      <c r="A58" s="120" t="s">
        <v>473</v>
      </c>
      <c r="B58">
        <v>3</v>
      </c>
    </row>
    <row r="59" spans="1:2">
      <c r="A59" s="37">
        <v>-1</v>
      </c>
      <c r="B59">
        <v>31</v>
      </c>
    </row>
    <row r="60" spans="1:2">
      <c r="A60" s="119" t="s">
        <v>152</v>
      </c>
      <c r="B60">
        <v>5</v>
      </c>
    </row>
    <row r="61" spans="1:2">
      <c r="A61" s="120" t="s">
        <v>454</v>
      </c>
      <c r="B61">
        <v>1</v>
      </c>
    </row>
    <row r="62" spans="1:2">
      <c r="A62" s="120" t="s">
        <v>604</v>
      </c>
      <c r="B62">
        <v>2</v>
      </c>
    </row>
    <row r="63" spans="1:2">
      <c r="A63" s="120" t="s">
        <v>736</v>
      </c>
      <c r="B63">
        <v>2</v>
      </c>
    </row>
    <row r="64" spans="1:2">
      <c r="A64" s="119" t="s">
        <v>144</v>
      </c>
      <c r="B64">
        <v>1</v>
      </c>
    </row>
    <row r="65" spans="1:2">
      <c r="A65" s="120" t="s">
        <v>525</v>
      </c>
      <c r="B65">
        <v>1</v>
      </c>
    </row>
    <row r="66" spans="1:2">
      <c r="A66" s="119" t="s">
        <v>18</v>
      </c>
      <c r="B66">
        <v>1</v>
      </c>
    </row>
    <row r="67" spans="1:2">
      <c r="A67" s="120" t="s">
        <v>575</v>
      </c>
      <c r="B67">
        <v>1</v>
      </c>
    </row>
    <row r="68" spans="1:2">
      <c r="A68" s="119" t="s">
        <v>391</v>
      </c>
      <c r="B68">
        <v>1</v>
      </c>
    </row>
    <row r="69" spans="1:2">
      <c r="A69" s="120" t="s">
        <v>570</v>
      </c>
      <c r="B69">
        <v>1</v>
      </c>
    </row>
    <row r="70" spans="1:2">
      <c r="A70" s="119" t="s">
        <v>219</v>
      </c>
      <c r="B70">
        <v>1</v>
      </c>
    </row>
    <row r="71" spans="1:2">
      <c r="A71" s="120" t="s">
        <v>588</v>
      </c>
      <c r="B71">
        <v>1</v>
      </c>
    </row>
    <row r="72" spans="1:2">
      <c r="A72" s="119" t="s">
        <v>380</v>
      </c>
      <c r="B72">
        <v>1</v>
      </c>
    </row>
    <row r="73" spans="1:2">
      <c r="A73" s="120" t="s">
        <v>526</v>
      </c>
      <c r="B73">
        <v>1</v>
      </c>
    </row>
    <row r="74" spans="1:2">
      <c r="A74" s="119" t="s">
        <v>528</v>
      </c>
      <c r="B74">
        <v>1</v>
      </c>
    </row>
    <row r="75" spans="1:2">
      <c r="A75" s="120" t="s">
        <v>527</v>
      </c>
      <c r="B75">
        <v>1</v>
      </c>
    </row>
    <row r="76" spans="1:2">
      <c r="A76" s="119" t="s">
        <v>386</v>
      </c>
      <c r="B76">
        <v>4</v>
      </c>
    </row>
    <row r="77" spans="1:2">
      <c r="A77" s="120" t="s">
        <v>585</v>
      </c>
      <c r="B77">
        <v>1</v>
      </c>
    </row>
    <row r="78" spans="1:2">
      <c r="A78" s="120" t="s">
        <v>643</v>
      </c>
      <c r="B78">
        <v>3</v>
      </c>
    </row>
    <row r="79" spans="1:2">
      <c r="A79" s="119" t="s">
        <v>30</v>
      </c>
      <c r="B79">
        <v>2</v>
      </c>
    </row>
    <row r="80" spans="1:2">
      <c r="A80" s="120" t="s">
        <v>610</v>
      </c>
      <c r="B80">
        <v>1</v>
      </c>
    </row>
    <row r="81" spans="1:2">
      <c r="A81" s="120" t="s">
        <v>613</v>
      </c>
      <c r="B81">
        <v>1</v>
      </c>
    </row>
    <row r="82" spans="1:2">
      <c r="A82" s="119" t="s">
        <v>38</v>
      </c>
      <c r="B82">
        <v>5</v>
      </c>
    </row>
    <row r="83" spans="1:2">
      <c r="A83" s="120" t="s">
        <v>468</v>
      </c>
      <c r="B83">
        <v>1</v>
      </c>
    </row>
    <row r="84" spans="1:2">
      <c r="A84" s="120" t="s">
        <v>469</v>
      </c>
      <c r="B84">
        <v>1</v>
      </c>
    </row>
    <row r="85" spans="1:2">
      <c r="A85" s="120" t="s">
        <v>509</v>
      </c>
      <c r="B85">
        <v>1</v>
      </c>
    </row>
    <row r="86" spans="1:2">
      <c r="A86" s="120" t="s">
        <v>568</v>
      </c>
      <c r="B86">
        <v>1</v>
      </c>
    </row>
    <row r="87" spans="1:2">
      <c r="A87" s="120" t="s">
        <v>730</v>
      </c>
      <c r="B87">
        <v>1</v>
      </c>
    </row>
    <row r="88" spans="1:2">
      <c r="A88" s="119" t="s">
        <v>668</v>
      </c>
      <c r="B88">
        <v>1</v>
      </c>
    </row>
    <row r="89" spans="1:2">
      <c r="A89" s="120" t="s">
        <v>667</v>
      </c>
      <c r="B89">
        <v>1</v>
      </c>
    </row>
    <row r="90" spans="1:2">
      <c r="A90" s="119" t="s">
        <v>652</v>
      </c>
      <c r="B90">
        <v>1</v>
      </c>
    </row>
    <row r="91" spans="1:2">
      <c r="A91" s="120" t="s">
        <v>651</v>
      </c>
      <c r="B91">
        <v>1</v>
      </c>
    </row>
    <row r="92" spans="1:2">
      <c r="A92" s="119" t="s">
        <v>523</v>
      </c>
      <c r="B92">
        <v>1</v>
      </c>
    </row>
    <row r="93" spans="1:2">
      <c r="A93" s="120" t="s">
        <v>522</v>
      </c>
      <c r="B93">
        <v>1</v>
      </c>
    </row>
    <row r="94" spans="1:2">
      <c r="A94" s="119" t="s">
        <v>157</v>
      </c>
      <c r="B94">
        <v>1</v>
      </c>
    </row>
    <row r="95" spans="1:2">
      <c r="A95" s="120" t="s">
        <v>689</v>
      </c>
      <c r="B95">
        <v>1</v>
      </c>
    </row>
    <row r="96" spans="1:2">
      <c r="A96" s="119" t="s">
        <v>45</v>
      </c>
      <c r="B96">
        <v>1</v>
      </c>
    </row>
    <row r="97" spans="1:2">
      <c r="A97" s="120" t="s">
        <v>499</v>
      </c>
      <c r="B97">
        <v>1</v>
      </c>
    </row>
    <row r="98" spans="1:2">
      <c r="A98" s="119" t="s">
        <v>51</v>
      </c>
      <c r="B98">
        <v>2</v>
      </c>
    </row>
    <row r="99" spans="1:2">
      <c r="A99" s="120" t="s">
        <v>661</v>
      </c>
      <c r="B99">
        <v>2</v>
      </c>
    </row>
    <row r="100" spans="1:2">
      <c r="A100" s="119" t="s">
        <v>747</v>
      </c>
      <c r="B100">
        <v>1</v>
      </c>
    </row>
    <row r="101" spans="1:2">
      <c r="A101" s="120" t="s">
        <v>746</v>
      </c>
      <c r="B101">
        <v>1</v>
      </c>
    </row>
    <row r="102" spans="1:2">
      <c r="A102" s="119" t="s">
        <v>674</v>
      </c>
      <c r="B102">
        <v>1</v>
      </c>
    </row>
    <row r="103" spans="1:2">
      <c r="A103" s="120" t="s">
        <v>673</v>
      </c>
      <c r="B103">
        <v>1</v>
      </c>
    </row>
    <row r="104" spans="1:2">
      <c r="A104" s="37">
        <v>0</v>
      </c>
      <c r="B104">
        <v>371</v>
      </c>
    </row>
    <row r="105" spans="1:2">
      <c r="A105" s="119" t="s">
        <v>138</v>
      </c>
      <c r="B105">
        <v>1</v>
      </c>
    </row>
    <row r="106" spans="1:2">
      <c r="A106" s="120" t="s">
        <v>495</v>
      </c>
      <c r="B106">
        <v>1</v>
      </c>
    </row>
    <row r="107" spans="1:2">
      <c r="A107" s="119" t="s">
        <v>323</v>
      </c>
      <c r="B107">
        <v>5</v>
      </c>
    </row>
    <row r="108" spans="1:2">
      <c r="A108" s="120" t="s">
        <v>464</v>
      </c>
      <c r="B108">
        <v>1</v>
      </c>
    </row>
    <row r="109" spans="1:2">
      <c r="A109" s="120" t="s">
        <v>475</v>
      </c>
      <c r="B109">
        <v>1</v>
      </c>
    </row>
    <row r="110" spans="1:2">
      <c r="A110" s="120" t="s">
        <v>476</v>
      </c>
      <c r="B110">
        <v>1</v>
      </c>
    </row>
    <row r="111" spans="1:2">
      <c r="A111" s="120" t="s">
        <v>504</v>
      </c>
      <c r="B111">
        <v>1</v>
      </c>
    </row>
    <row r="112" spans="1:2">
      <c r="A112" s="120" t="s">
        <v>632</v>
      </c>
      <c r="B112">
        <v>1</v>
      </c>
    </row>
    <row r="113" spans="1:2">
      <c r="A113" s="119" t="s">
        <v>182</v>
      </c>
      <c r="B113">
        <v>1</v>
      </c>
    </row>
    <row r="114" spans="1:2">
      <c r="A114" s="120" t="s">
        <v>672</v>
      </c>
      <c r="B114">
        <v>1</v>
      </c>
    </row>
    <row r="115" spans="1:2">
      <c r="A115" s="119" t="s">
        <v>404</v>
      </c>
      <c r="B115">
        <v>4</v>
      </c>
    </row>
    <row r="116" spans="1:2">
      <c r="A116" s="120" t="s">
        <v>403</v>
      </c>
      <c r="B116">
        <v>1</v>
      </c>
    </row>
    <row r="117" spans="1:2">
      <c r="A117" s="120" t="s">
        <v>474</v>
      </c>
      <c r="B117">
        <v>1</v>
      </c>
    </row>
    <row r="118" spans="1:2">
      <c r="A118" s="120" t="s">
        <v>620</v>
      </c>
      <c r="B118">
        <v>1</v>
      </c>
    </row>
    <row r="119" spans="1:2">
      <c r="A119" s="120" t="s">
        <v>704</v>
      </c>
      <c r="B119">
        <v>1</v>
      </c>
    </row>
    <row r="120" spans="1:2">
      <c r="A120" s="119" t="s">
        <v>152</v>
      </c>
      <c r="B120">
        <v>4</v>
      </c>
    </row>
    <row r="121" spans="1:2">
      <c r="A121" s="120" t="s">
        <v>685</v>
      </c>
      <c r="B121">
        <v>2</v>
      </c>
    </row>
    <row r="122" spans="1:2">
      <c r="A122" s="120" t="s">
        <v>692</v>
      </c>
      <c r="B122">
        <v>2</v>
      </c>
    </row>
    <row r="123" spans="1:2">
      <c r="A123" s="119" t="s">
        <v>12</v>
      </c>
      <c r="B123">
        <v>3</v>
      </c>
    </row>
    <row r="124" spans="1:2">
      <c r="A124" s="120" t="s">
        <v>477</v>
      </c>
      <c r="B124">
        <v>1</v>
      </c>
    </row>
    <row r="125" spans="1:2">
      <c r="A125" s="120" t="s">
        <v>636</v>
      </c>
      <c r="B125">
        <v>1</v>
      </c>
    </row>
    <row r="126" spans="1:2">
      <c r="A126" s="120" t="s">
        <v>703</v>
      </c>
      <c r="B126">
        <v>1</v>
      </c>
    </row>
    <row r="127" spans="1:2">
      <c r="A127" s="119" t="s">
        <v>355</v>
      </c>
      <c r="B127">
        <v>13</v>
      </c>
    </row>
    <row r="128" spans="1:2">
      <c r="A128" s="120" t="s">
        <v>433</v>
      </c>
      <c r="B128">
        <v>4</v>
      </c>
    </row>
    <row r="129" spans="1:2">
      <c r="A129" s="120" t="s">
        <v>502</v>
      </c>
      <c r="B129">
        <v>2</v>
      </c>
    </row>
    <row r="130" spans="1:2">
      <c r="A130" s="120" t="s">
        <v>655</v>
      </c>
      <c r="B130">
        <v>4</v>
      </c>
    </row>
    <row r="131" spans="1:2">
      <c r="A131" s="120" t="s">
        <v>691</v>
      </c>
      <c r="B131">
        <v>3</v>
      </c>
    </row>
    <row r="132" spans="1:2">
      <c r="A132" s="119" t="s">
        <v>401</v>
      </c>
      <c r="B132">
        <v>1</v>
      </c>
    </row>
    <row r="133" spans="1:2">
      <c r="A133" s="120" t="s">
        <v>637</v>
      </c>
      <c r="B133">
        <v>1</v>
      </c>
    </row>
    <row r="134" spans="1:2">
      <c r="A134" s="119" t="s">
        <v>173</v>
      </c>
      <c r="B134">
        <v>1</v>
      </c>
    </row>
    <row r="135" spans="1:2">
      <c r="A135" s="120" t="s">
        <v>472</v>
      </c>
      <c r="B135">
        <v>1</v>
      </c>
    </row>
    <row r="136" spans="1:2">
      <c r="A136" s="119" t="s">
        <v>543</v>
      </c>
      <c r="B136">
        <v>4</v>
      </c>
    </row>
    <row r="137" spans="1:2">
      <c r="A137" s="120" t="s">
        <v>542</v>
      </c>
      <c r="B137">
        <v>4</v>
      </c>
    </row>
    <row r="138" spans="1:2">
      <c r="A138" s="119" t="s">
        <v>413</v>
      </c>
      <c r="B138">
        <v>1</v>
      </c>
    </row>
    <row r="139" spans="1:2">
      <c r="A139" s="120" t="s">
        <v>412</v>
      </c>
      <c r="B139">
        <v>1</v>
      </c>
    </row>
    <row r="140" spans="1:2">
      <c r="A140" s="119" t="s">
        <v>160</v>
      </c>
      <c r="B140">
        <v>1</v>
      </c>
    </row>
    <row r="141" spans="1:2">
      <c r="A141" s="120" t="s">
        <v>693</v>
      </c>
      <c r="B141">
        <v>1</v>
      </c>
    </row>
    <row r="142" spans="1:2">
      <c r="A142" s="119" t="s">
        <v>319</v>
      </c>
      <c r="B142">
        <v>1</v>
      </c>
    </row>
    <row r="143" spans="1:2">
      <c r="A143" s="120" t="s">
        <v>428</v>
      </c>
      <c r="B143">
        <v>1</v>
      </c>
    </row>
    <row r="144" spans="1:2">
      <c r="A144" s="119" t="s">
        <v>378</v>
      </c>
      <c r="B144">
        <v>1</v>
      </c>
    </row>
    <row r="145" spans="1:2">
      <c r="A145" s="120" t="s">
        <v>435</v>
      </c>
      <c r="B145">
        <v>1</v>
      </c>
    </row>
    <row r="146" spans="1:2">
      <c r="A146" s="119" t="s">
        <v>391</v>
      </c>
      <c r="B146">
        <v>1</v>
      </c>
    </row>
    <row r="147" spans="1:2">
      <c r="A147" s="120" t="s">
        <v>570</v>
      </c>
      <c r="B147">
        <v>1</v>
      </c>
    </row>
    <row r="148" spans="1:2">
      <c r="A148" s="119" t="s">
        <v>174</v>
      </c>
      <c r="B148">
        <v>3</v>
      </c>
    </row>
    <row r="149" spans="1:2">
      <c r="A149" s="120" t="s">
        <v>589</v>
      </c>
      <c r="B149">
        <v>1</v>
      </c>
    </row>
    <row r="150" spans="1:2">
      <c r="A150" s="120" t="s">
        <v>622</v>
      </c>
      <c r="B150">
        <v>1</v>
      </c>
    </row>
    <row r="151" spans="1:2">
      <c r="A151" s="120" t="s">
        <v>623</v>
      </c>
      <c r="B151">
        <v>1</v>
      </c>
    </row>
    <row r="152" spans="1:2">
      <c r="A152" s="119" t="s">
        <v>219</v>
      </c>
      <c r="B152">
        <v>4</v>
      </c>
    </row>
    <row r="153" spans="1:2">
      <c r="A153" s="120" t="s">
        <v>426</v>
      </c>
      <c r="B153">
        <v>1</v>
      </c>
    </row>
    <row r="154" spans="1:2">
      <c r="A154" s="120" t="s">
        <v>602</v>
      </c>
      <c r="B154">
        <v>2</v>
      </c>
    </row>
    <row r="155" spans="1:2">
      <c r="A155" s="120" t="s">
        <v>690</v>
      </c>
      <c r="B155">
        <v>1</v>
      </c>
    </row>
    <row r="156" spans="1:2">
      <c r="A156" s="119" t="s">
        <v>376</v>
      </c>
      <c r="B156">
        <v>1</v>
      </c>
    </row>
    <row r="157" spans="1:2">
      <c r="A157" s="120" t="s">
        <v>486</v>
      </c>
      <c r="B157">
        <v>1</v>
      </c>
    </row>
    <row r="158" spans="1:2">
      <c r="A158" s="119" t="s">
        <v>231</v>
      </c>
      <c r="B158">
        <v>2</v>
      </c>
    </row>
    <row r="159" spans="1:2">
      <c r="A159" s="120" t="s">
        <v>496</v>
      </c>
      <c r="B159">
        <v>1</v>
      </c>
    </row>
    <row r="160" spans="1:2">
      <c r="A160" s="120" t="s">
        <v>519</v>
      </c>
      <c r="B160">
        <v>1</v>
      </c>
    </row>
    <row r="161" spans="1:2">
      <c r="A161" s="119" t="s">
        <v>528</v>
      </c>
      <c r="B161">
        <v>1</v>
      </c>
    </row>
    <row r="162" spans="1:2">
      <c r="A162" s="120" t="s">
        <v>638</v>
      </c>
      <c r="B162">
        <v>1</v>
      </c>
    </row>
    <row r="163" spans="1:2">
      <c r="A163" s="119" t="s">
        <v>471</v>
      </c>
      <c r="B163">
        <v>5</v>
      </c>
    </row>
    <row r="164" spans="1:2">
      <c r="A164" s="120" t="s">
        <v>470</v>
      </c>
      <c r="B164">
        <v>2</v>
      </c>
    </row>
    <row r="165" spans="1:2">
      <c r="A165" s="120" t="s">
        <v>559</v>
      </c>
      <c r="B165">
        <v>2</v>
      </c>
    </row>
    <row r="166" spans="1:2">
      <c r="A166" s="120" t="s">
        <v>727</v>
      </c>
      <c r="B166">
        <v>1</v>
      </c>
    </row>
    <row r="167" spans="1:2">
      <c r="A167" s="119" t="s">
        <v>393</v>
      </c>
      <c r="B167">
        <v>1</v>
      </c>
    </row>
    <row r="168" spans="1:2">
      <c r="A168" s="120" t="s">
        <v>459</v>
      </c>
      <c r="B168">
        <v>1</v>
      </c>
    </row>
    <row r="169" spans="1:2">
      <c r="A169" s="119" t="s">
        <v>386</v>
      </c>
      <c r="B169">
        <v>19</v>
      </c>
    </row>
    <row r="170" spans="1:2">
      <c r="A170" s="120" t="s">
        <v>387</v>
      </c>
      <c r="B170">
        <v>2</v>
      </c>
    </row>
    <row r="171" spans="1:2">
      <c r="A171" s="120" t="s">
        <v>416</v>
      </c>
      <c r="B171">
        <v>1</v>
      </c>
    </row>
    <row r="172" spans="1:2">
      <c r="A172" s="120" t="s">
        <v>449</v>
      </c>
      <c r="B172">
        <v>2</v>
      </c>
    </row>
    <row r="173" spans="1:2">
      <c r="A173" s="120" t="s">
        <v>497</v>
      </c>
      <c r="B173">
        <v>1</v>
      </c>
    </row>
    <row r="174" spans="1:2">
      <c r="A174" s="120" t="s">
        <v>500</v>
      </c>
      <c r="B174">
        <v>1</v>
      </c>
    </row>
    <row r="175" spans="1:2">
      <c r="A175" s="120" t="s">
        <v>562</v>
      </c>
      <c r="B175">
        <v>1</v>
      </c>
    </row>
    <row r="176" spans="1:2">
      <c r="A176" s="120" t="s">
        <v>576</v>
      </c>
      <c r="B176">
        <v>2</v>
      </c>
    </row>
    <row r="177" spans="1:2">
      <c r="A177" s="120" t="s">
        <v>599</v>
      </c>
      <c r="B177">
        <v>1</v>
      </c>
    </row>
    <row r="178" spans="1:2">
      <c r="A178" s="120" t="s">
        <v>657</v>
      </c>
      <c r="B178">
        <v>2</v>
      </c>
    </row>
    <row r="179" spans="1:2">
      <c r="A179" s="120" t="s">
        <v>662</v>
      </c>
      <c r="B179">
        <v>2</v>
      </c>
    </row>
    <row r="180" spans="1:2">
      <c r="A180" s="120" t="s">
        <v>721</v>
      </c>
      <c r="B180">
        <v>1</v>
      </c>
    </row>
    <row r="181" spans="1:2">
      <c r="A181" s="120" t="s">
        <v>724</v>
      </c>
      <c r="B181">
        <v>3</v>
      </c>
    </row>
    <row r="182" spans="1:2">
      <c r="A182" s="119" t="s">
        <v>30</v>
      </c>
      <c r="B182">
        <v>9</v>
      </c>
    </row>
    <row r="183" spans="1:2">
      <c r="A183" s="120" t="s">
        <v>418</v>
      </c>
      <c r="B183">
        <v>1</v>
      </c>
    </row>
    <row r="184" spans="1:2">
      <c r="A184" s="120" t="s">
        <v>506</v>
      </c>
      <c r="B184">
        <v>1</v>
      </c>
    </row>
    <row r="185" spans="1:2">
      <c r="A185" s="120" t="s">
        <v>529</v>
      </c>
      <c r="B185">
        <v>1</v>
      </c>
    </row>
    <row r="186" spans="1:2">
      <c r="A186" s="120" t="s">
        <v>563</v>
      </c>
      <c r="B186">
        <v>1</v>
      </c>
    </row>
    <row r="187" spans="1:2">
      <c r="A187" s="120" t="s">
        <v>573</v>
      </c>
      <c r="B187">
        <v>1</v>
      </c>
    </row>
    <row r="188" spans="1:2">
      <c r="A188" s="120" t="s">
        <v>583</v>
      </c>
      <c r="B188">
        <v>1</v>
      </c>
    </row>
    <row r="189" spans="1:2">
      <c r="A189" s="120" t="s">
        <v>645</v>
      </c>
      <c r="B189">
        <v>1</v>
      </c>
    </row>
    <row r="190" spans="1:2">
      <c r="A190" s="120" t="s">
        <v>701</v>
      </c>
      <c r="B190">
        <v>1</v>
      </c>
    </row>
    <row r="191" spans="1:2">
      <c r="A191" s="120" t="s">
        <v>682</v>
      </c>
      <c r="B191">
        <v>1</v>
      </c>
    </row>
    <row r="192" spans="1:2">
      <c r="A192" s="119" t="s">
        <v>31</v>
      </c>
      <c r="B192">
        <v>7</v>
      </c>
    </row>
    <row r="193" spans="1:2">
      <c r="A193" s="120" t="s">
        <v>430</v>
      </c>
      <c r="B193">
        <v>2</v>
      </c>
    </row>
    <row r="194" spans="1:2">
      <c r="A194" s="120" t="s">
        <v>462</v>
      </c>
      <c r="B194">
        <v>1</v>
      </c>
    </row>
    <row r="195" spans="1:2">
      <c r="A195" s="120" t="s">
        <v>616</v>
      </c>
      <c r="B195">
        <v>3</v>
      </c>
    </row>
    <row r="196" spans="1:2">
      <c r="A196" s="120" t="s">
        <v>642</v>
      </c>
      <c r="B196">
        <v>1</v>
      </c>
    </row>
    <row r="197" spans="1:2">
      <c r="A197" s="119" t="s">
        <v>237</v>
      </c>
      <c r="B197">
        <v>8</v>
      </c>
    </row>
    <row r="198" spans="1:2">
      <c r="A198" s="120" t="s">
        <v>702</v>
      </c>
      <c r="B198">
        <v>8</v>
      </c>
    </row>
    <row r="199" spans="1:2">
      <c r="A199" s="119" t="s">
        <v>32</v>
      </c>
      <c r="B199">
        <v>9</v>
      </c>
    </row>
    <row r="200" spans="1:2">
      <c r="A200" s="120" t="s">
        <v>489</v>
      </c>
      <c r="B200">
        <v>1</v>
      </c>
    </row>
    <row r="201" spans="1:2">
      <c r="A201" s="120" t="s">
        <v>490</v>
      </c>
      <c r="B201">
        <v>2</v>
      </c>
    </row>
    <row r="202" spans="1:2">
      <c r="A202" s="120" t="s">
        <v>498</v>
      </c>
      <c r="B202">
        <v>6</v>
      </c>
    </row>
    <row r="203" spans="1:2">
      <c r="A203" s="119" t="s">
        <v>372</v>
      </c>
      <c r="B203">
        <v>2</v>
      </c>
    </row>
    <row r="204" spans="1:2">
      <c r="A204" s="120" t="s">
        <v>547</v>
      </c>
      <c r="B204">
        <v>1</v>
      </c>
    </row>
    <row r="205" spans="1:2">
      <c r="A205" s="120" t="s">
        <v>624</v>
      </c>
      <c r="B205">
        <v>1</v>
      </c>
    </row>
    <row r="206" spans="1:2">
      <c r="A206" s="119" t="s">
        <v>205</v>
      </c>
      <c r="B206">
        <v>3</v>
      </c>
    </row>
    <row r="207" spans="1:2">
      <c r="A207" s="120" t="s">
        <v>601</v>
      </c>
      <c r="B207">
        <v>3</v>
      </c>
    </row>
    <row r="208" spans="1:2">
      <c r="A208" s="119" t="s">
        <v>481</v>
      </c>
      <c r="B208">
        <v>4</v>
      </c>
    </row>
    <row r="209" spans="1:2">
      <c r="A209" s="120" t="s">
        <v>480</v>
      </c>
      <c r="B209">
        <v>4</v>
      </c>
    </row>
    <row r="210" spans="1:2">
      <c r="A210" s="119" t="s">
        <v>396</v>
      </c>
      <c r="B210">
        <v>4</v>
      </c>
    </row>
    <row r="211" spans="1:2">
      <c r="A211" s="120" t="s">
        <v>586</v>
      </c>
      <c r="B211">
        <v>4</v>
      </c>
    </row>
    <row r="212" spans="1:2">
      <c r="A212" s="119" t="s">
        <v>539</v>
      </c>
      <c r="B212">
        <v>1</v>
      </c>
    </row>
    <row r="213" spans="1:2">
      <c r="A213" s="120" t="s">
        <v>538</v>
      </c>
      <c r="B213">
        <v>1</v>
      </c>
    </row>
    <row r="214" spans="1:2">
      <c r="A214" s="119" t="s">
        <v>38</v>
      </c>
      <c r="B214">
        <v>11</v>
      </c>
    </row>
    <row r="215" spans="1:2">
      <c r="A215" s="120" t="s">
        <v>441</v>
      </c>
      <c r="B215">
        <v>2</v>
      </c>
    </row>
    <row r="216" spans="1:2">
      <c r="A216" s="120" t="s">
        <v>511</v>
      </c>
      <c r="B216">
        <v>1</v>
      </c>
    </row>
    <row r="217" spans="1:2">
      <c r="A217" s="120" t="s">
        <v>565</v>
      </c>
      <c r="B217">
        <v>1</v>
      </c>
    </row>
    <row r="218" spans="1:2">
      <c r="A218" s="120" t="s">
        <v>580</v>
      </c>
      <c r="B218">
        <v>1</v>
      </c>
    </row>
    <row r="219" spans="1:2">
      <c r="A219" s="120" t="s">
        <v>582</v>
      </c>
      <c r="B219">
        <v>1</v>
      </c>
    </row>
    <row r="220" spans="1:2">
      <c r="A220" s="120" t="s">
        <v>603</v>
      </c>
      <c r="B220">
        <v>1</v>
      </c>
    </row>
    <row r="221" spans="1:2">
      <c r="A221" s="120" t="s">
        <v>633</v>
      </c>
      <c r="B221">
        <v>1</v>
      </c>
    </row>
    <row r="222" spans="1:2">
      <c r="A222" s="120" t="s">
        <v>641</v>
      </c>
      <c r="B222">
        <v>1</v>
      </c>
    </row>
    <row r="223" spans="1:2">
      <c r="A223" s="120" t="s">
        <v>695</v>
      </c>
      <c r="B223">
        <v>1</v>
      </c>
    </row>
    <row r="224" spans="1:2">
      <c r="A224" s="120" t="s">
        <v>699</v>
      </c>
      <c r="B224">
        <v>1</v>
      </c>
    </row>
    <row r="225" spans="1:2">
      <c r="A225" s="119" t="s">
        <v>521</v>
      </c>
      <c r="B225">
        <v>8</v>
      </c>
    </row>
    <row r="226" spans="1:2">
      <c r="A226" s="120" t="s">
        <v>520</v>
      </c>
      <c r="B226">
        <v>4</v>
      </c>
    </row>
    <row r="227" spans="1:2">
      <c r="A227" s="120" t="s">
        <v>524</v>
      </c>
      <c r="B227">
        <v>4</v>
      </c>
    </row>
    <row r="228" spans="1:2">
      <c r="A228" s="119" t="s">
        <v>39</v>
      </c>
      <c r="B228">
        <v>11</v>
      </c>
    </row>
    <row r="229" spans="1:2">
      <c r="A229" s="120" t="s">
        <v>732</v>
      </c>
      <c r="B229">
        <v>11</v>
      </c>
    </row>
    <row r="230" spans="1:2">
      <c r="A230" s="119" t="s">
        <v>518</v>
      </c>
      <c r="B230">
        <v>3</v>
      </c>
    </row>
    <row r="231" spans="1:2">
      <c r="A231" s="120" t="s">
        <v>517</v>
      </c>
      <c r="B231">
        <v>3</v>
      </c>
    </row>
    <row r="232" spans="1:2">
      <c r="A232" s="119" t="s">
        <v>371</v>
      </c>
      <c r="B232">
        <v>1</v>
      </c>
    </row>
    <row r="233" spans="1:2">
      <c r="A233" s="120" t="s">
        <v>482</v>
      </c>
      <c r="B233">
        <v>1</v>
      </c>
    </row>
    <row r="234" spans="1:2">
      <c r="A234" s="119" t="s">
        <v>744</v>
      </c>
      <c r="B234">
        <v>3</v>
      </c>
    </row>
    <row r="235" spans="1:2">
      <c r="A235" s="120" t="s">
        <v>743</v>
      </c>
      <c r="B235">
        <v>2</v>
      </c>
    </row>
    <row r="236" spans="1:2">
      <c r="A236" s="120" t="s">
        <v>745</v>
      </c>
      <c r="B236">
        <v>1</v>
      </c>
    </row>
    <row r="237" spans="1:2">
      <c r="A237" s="119" t="s">
        <v>592</v>
      </c>
      <c r="B237">
        <v>3</v>
      </c>
    </row>
    <row r="238" spans="1:2">
      <c r="A238" s="120" t="s">
        <v>591</v>
      </c>
      <c r="B238">
        <v>3</v>
      </c>
    </row>
    <row r="239" spans="1:2">
      <c r="A239" s="119" t="s">
        <v>452</v>
      </c>
      <c r="B239">
        <v>1</v>
      </c>
    </row>
    <row r="240" spans="1:2">
      <c r="A240" s="120" t="s">
        <v>451</v>
      </c>
      <c r="B240">
        <v>1</v>
      </c>
    </row>
    <row r="241" spans="1:2">
      <c r="A241" s="119" t="s">
        <v>169</v>
      </c>
      <c r="B241">
        <v>5</v>
      </c>
    </row>
    <row r="242" spans="1:2">
      <c r="A242" s="120" t="s">
        <v>501</v>
      </c>
      <c r="B242">
        <v>1</v>
      </c>
    </row>
    <row r="243" spans="1:2">
      <c r="A243" s="120" t="s">
        <v>516</v>
      </c>
      <c r="B243">
        <v>2</v>
      </c>
    </row>
    <row r="244" spans="1:2">
      <c r="A244" s="120" t="s">
        <v>677</v>
      </c>
      <c r="B244">
        <v>1</v>
      </c>
    </row>
    <row r="245" spans="1:2">
      <c r="A245" s="120" t="s">
        <v>299</v>
      </c>
      <c r="B245">
        <v>1</v>
      </c>
    </row>
    <row r="246" spans="1:2">
      <c r="A246" s="119" t="s">
        <v>45</v>
      </c>
      <c r="B246">
        <v>7</v>
      </c>
    </row>
    <row r="247" spans="1:2">
      <c r="A247" s="120" t="s">
        <v>424</v>
      </c>
      <c r="B247">
        <v>2</v>
      </c>
    </row>
    <row r="248" spans="1:2">
      <c r="A248" s="120" t="s">
        <v>425</v>
      </c>
      <c r="B248">
        <v>1</v>
      </c>
    </row>
    <row r="249" spans="1:2">
      <c r="A249" s="120" t="s">
        <v>460</v>
      </c>
      <c r="B249">
        <v>1</v>
      </c>
    </row>
    <row r="250" spans="1:2">
      <c r="A250" s="120" t="s">
        <v>590</v>
      </c>
      <c r="B250">
        <v>1</v>
      </c>
    </row>
    <row r="251" spans="1:2">
      <c r="A251" s="120" t="s">
        <v>646</v>
      </c>
      <c r="B251">
        <v>2</v>
      </c>
    </row>
    <row r="252" spans="1:2">
      <c r="A252" s="119" t="s">
        <v>385</v>
      </c>
      <c r="B252">
        <v>12</v>
      </c>
    </row>
    <row r="253" spans="1:2">
      <c r="A253" s="120" t="s">
        <v>513</v>
      </c>
      <c r="B253">
        <v>2</v>
      </c>
    </row>
    <row r="254" spans="1:2">
      <c r="A254" s="120" t="s">
        <v>545</v>
      </c>
      <c r="B254">
        <v>2</v>
      </c>
    </row>
    <row r="255" spans="1:2">
      <c r="A255" s="120" t="s">
        <v>626</v>
      </c>
      <c r="B255">
        <v>2</v>
      </c>
    </row>
    <row r="256" spans="1:2">
      <c r="A256" s="120" t="s">
        <v>660</v>
      </c>
      <c r="B256">
        <v>2</v>
      </c>
    </row>
    <row r="257" spans="1:2">
      <c r="A257" s="120" t="s">
        <v>700</v>
      </c>
      <c r="B257">
        <v>2</v>
      </c>
    </row>
    <row r="258" spans="1:2">
      <c r="A258" s="120" t="s">
        <v>740</v>
      </c>
      <c r="B258">
        <v>2</v>
      </c>
    </row>
    <row r="259" spans="1:2">
      <c r="A259" s="119" t="s">
        <v>167</v>
      </c>
      <c r="B259">
        <v>2</v>
      </c>
    </row>
    <row r="260" spans="1:2">
      <c r="A260" s="120" t="s">
        <v>423</v>
      </c>
      <c r="B260">
        <v>1</v>
      </c>
    </row>
    <row r="261" spans="1:2">
      <c r="A261" s="120" t="s">
        <v>431</v>
      </c>
      <c r="B261">
        <v>1</v>
      </c>
    </row>
    <row r="262" spans="1:2">
      <c r="A262" s="119" t="s">
        <v>154</v>
      </c>
      <c r="B262">
        <v>4</v>
      </c>
    </row>
    <row r="263" spans="1:2">
      <c r="A263" s="120" t="s">
        <v>487</v>
      </c>
      <c r="B263">
        <v>3</v>
      </c>
    </row>
    <row r="264" spans="1:2">
      <c r="A264" s="120" t="s">
        <v>723</v>
      </c>
      <c r="B264">
        <v>1</v>
      </c>
    </row>
    <row r="265" spans="1:2">
      <c r="A265" s="119" t="s">
        <v>114</v>
      </c>
      <c r="B265">
        <v>11</v>
      </c>
    </row>
    <row r="266" spans="1:2">
      <c r="A266" s="120" t="s">
        <v>458</v>
      </c>
      <c r="B266">
        <v>2</v>
      </c>
    </row>
    <row r="267" spans="1:2">
      <c r="A267" s="120" t="s">
        <v>503</v>
      </c>
      <c r="B267">
        <v>3</v>
      </c>
    </row>
    <row r="268" spans="1:2">
      <c r="A268" s="120" t="s">
        <v>607</v>
      </c>
      <c r="B268">
        <v>6</v>
      </c>
    </row>
    <row r="269" spans="1:2">
      <c r="A269" s="119" t="s">
        <v>51</v>
      </c>
      <c r="B269">
        <v>7</v>
      </c>
    </row>
    <row r="270" spans="1:2">
      <c r="A270" s="120" t="s">
        <v>389</v>
      </c>
      <c r="B270">
        <v>1</v>
      </c>
    </row>
    <row r="271" spans="1:2">
      <c r="A271" s="120" t="s">
        <v>514</v>
      </c>
      <c r="B271">
        <v>1</v>
      </c>
    </row>
    <row r="272" spans="1:2">
      <c r="A272" s="120" t="s">
        <v>534</v>
      </c>
      <c r="B272">
        <v>1</v>
      </c>
    </row>
    <row r="273" spans="1:2">
      <c r="A273" s="120" t="s">
        <v>581</v>
      </c>
      <c r="B273">
        <v>2</v>
      </c>
    </row>
    <row r="274" spans="1:2">
      <c r="A274" s="120" t="s">
        <v>738</v>
      </c>
      <c r="B274">
        <v>1</v>
      </c>
    </row>
    <row r="275" spans="1:2">
      <c r="A275" s="120" t="s">
        <v>739</v>
      </c>
      <c r="B275">
        <v>1</v>
      </c>
    </row>
    <row r="276" spans="1:2">
      <c r="A276" s="119" t="s">
        <v>369</v>
      </c>
      <c r="B276">
        <v>2</v>
      </c>
    </row>
    <row r="277" spans="1:2">
      <c r="A277" s="120" t="s">
        <v>600</v>
      </c>
      <c r="B277">
        <v>1</v>
      </c>
    </row>
    <row r="278" spans="1:2">
      <c r="A278" s="120" t="s">
        <v>665</v>
      </c>
      <c r="B278">
        <v>1</v>
      </c>
    </row>
    <row r="279" spans="1:2">
      <c r="A279" s="119" t="s">
        <v>52</v>
      </c>
      <c r="B279">
        <v>2</v>
      </c>
    </row>
    <row r="280" spans="1:2">
      <c r="A280" s="120" t="s">
        <v>537</v>
      </c>
      <c r="B280">
        <v>1</v>
      </c>
    </row>
    <row r="281" spans="1:2">
      <c r="A281" s="120" t="s">
        <v>698</v>
      </c>
      <c r="B281">
        <v>1</v>
      </c>
    </row>
    <row r="282" spans="1:2">
      <c r="A282" s="119" t="s">
        <v>390</v>
      </c>
      <c r="B282">
        <v>1</v>
      </c>
    </row>
    <row r="283" spans="1:2">
      <c r="A283" s="120" t="s">
        <v>569</v>
      </c>
      <c r="B283">
        <v>1</v>
      </c>
    </row>
    <row r="284" spans="1:2">
      <c r="A284" s="119" t="s">
        <v>54</v>
      </c>
      <c r="B284">
        <v>22</v>
      </c>
    </row>
    <row r="285" spans="1:2">
      <c r="A285" s="120" t="s">
        <v>531</v>
      </c>
      <c r="B285">
        <v>4</v>
      </c>
    </row>
    <row r="286" spans="1:2">
      <c r="A286" s="120" t="s">
        <v>675</v>
      </c>
      <c r="B286">
        <v>5</v>
      </c>
    </row>
    <row r="287" spans="1:2">
      <c r="A287" s="120" t="s">
        <v>676</v>
      </c>
      <c r="B287">
        <v>5</v>
      </c>
    </row>
    <row r="288" spans="1:2">
      <c r="A288" s="120" t="s">
        <v>737</v>
      </c>
      <c r="B288">
        <v>8</v>
      </c>
    </row>
    <row r="289" spans="1:2">
      <c r="A289" s="119" t="s">
        <v>146</v>
      </c>
      <c r="B289">
        <v>5</v>
      </c>
    </row>
    <row r="290" spans="1:2">
      <c r="A290" s="120" t="s">
        <v>479</v>
      </c>
      <c r="B290">
        <v>1</v>
      </c>
    </row>
    <row r="291" spans="1:2">
      <c r="A291" s="120" t="s">
        <v>659</v>
      </c>
      <c r="B291">
        <v>2</v>
      </c>
    </row>
    <row r="292" spans="1:2">
      <c r="A292" s="120" t="s">
        <v>710</v>
      </c>
      <c r="B292">
        <v>2</v>
      </c>
    </row>
    <row r="293" spans="1:2">
      <c r="A293" s="119" t="s">
        <v>409</v>
      </c>
      <c r="B293">
        <v>89</v>
      </c>
    </row>
    <row r="294" spans="1:2">
      <c r="A294" s="120" t="s">
        <v>493</v>
      </c>
      <c r="B294">
        <v>11</v>
      </c>
    </row>
    <row r="295" spans="1:2">
      <c r="A295" s="120" t="s">
        <v>530</v>
      </c>
      <c r="B295">
        <v>4</v>
      </c>
    </row>
    <row r="296" spans="1:2">
      <c r="A296" s="120" t="s">
        <v>540</v>
      </c>
      <c r="B296">
        <v>14</v>
      </c>
    </row>
    <row r="297" spans="1:2">
      <c r="A297" s="120" t="s">
        <v>577</v>
      </c>
      <c r="B297">
        <v>8</v>
      </c>
    </row>
    <row r="298" spans="1:2">
      <c r="A298" s="120" t="s">
        <v>578</v>
      </c>
      <c r="B298">
        <v>9</v>
      </c>
    </row>
    <row r="299" spans="1:2">
      <c r="A299" s="120" t="s">
        <v>408</v>
      </c>
      <c r="B299">
        <v>1</v>
      </c>
    </row>
    <row r="300" spans="1:2">
      <c r="A300" s="120" t="s">
        <v>627</v>
      </c>
      <c r="B300">
        <v>11</v>
      </c>
    </row>
    <row r="301" spans="1:2">
      <c r="A301" s="120" t="s">
        <v>635</v>
      </c>
      <c r="B301">
        <v>1</v>
      </c>
    </row>
    <row r="302" spans="1:2">
      <c r="A302" s="120" t="s">
        <v>634</v>
      </c>
      <c r="B302">
        <v>3</v>
      </c>
    </row>
    <row r="303" spans="1:2">
      <c r="A303" s="120" t="s">
        <v>656</v>
      </c>
      <c r="B303">
        <v>3</v>
      </c>
    </row>
    <row r="304" spans="1:2">
      <c r="A304" s="120" t="s">
        <v>678</v>
      </c>
      <c r="B304">
        <v>2</v>
      </c>
    </row>
    <row r="305" spans="1:2">
      <c r="A305" s="120" t="s">
        <v>628</v>
      </c>
      <c r="B305">
        <v>1</v>
      </c>
    </row>
    <row r="306" spans="1:2">
      <c r="A306" s="120" t="s">
        <v>731</v>
      </c>
      <c r="B306">
        <v>6</v>
      </c>
    </row>
    <row r="307" spans="1:2">
      <c r="A307" s="120" t="s">
        <v>741</v>
      </c>
      <c r="B307">
        <v>14</v>
      </c>
    </row>
    <row r="308" spans="1:2">
      <c r="A308" s="120" t="s">
        <v>742</v>
      </c>
      <c r="B308">
        <v>1</v>
      </c>
    </row>
    <row r="309" spans="1:2">
      <c r="A309" s="119" t="s">
        <v>399</v>
      </c>
      <c r="B309">
        <v>4</v>
      </c>
    </row>
    <row r="310" spans="1:2">
      <c r="A310" s="120" t="s">
        <v>415</v>
      </c>
      <c r="B310">
        <v>3</v>
      </c>
    </row>
    <row r="311" spans="1:2">
      <c r="A311" s="120" t="s">
        <v>419</v>
      </c>
      <c r="B311">
        <v>1</v>
      </c>
    </row>
    <row r="312" spans="1:2">
      <c r="A312" s="119" t="s">
        <v>370</v>
      </c>
      <c r="B312">
        <v>1</v>
      </c>
    </row>
    <row r="313" spans="1:2">
      <c r="A313" s="120" t="s">
        <v>596</v>
      </c>
      <c r="B313">
        <v>1</v>
      </c>
    </row>
    <row r="314" spans="1:2">
      <c r="A314" s="119" t="s">
        <v>438</v>
      </c>
      <c r="B314">
        <v>1</v>
      </c>
    </row>
    <row r="315" spans="1:2">
      <c r="A315" s="120" t="s">
        <v>439</v>
      </c>
      <c r="B315">
        <v>1</v>
      </c>
    </row>
    <row r="316" spans="1:2">
      <c r="A316" s="119" t="s">
        <v>734</v>
      </c>
      <c r="B316">
        <v>2</v>
      </c>
    </row>
    <row r="317" spans="1:2">
      <c r="A317" s="120" t="s">
        <v>733</v>
      </c>
      <c r="B317">
        <v>2</v>
      </c>
    </row>
    <row r="318" spans="1:2">
      <c r="A318" s="119" t="s">
        <v>195</v>
      </c>
      <c r="B318">
        <v>2</v>
      </c>
    </row>
    <row r="319" spans="1:2">
      <c r="A319" s="120" t="s">
        <v>598</v>
      </c>
      <c r="B319">
        <v>2</v>
      </c>
    </row>
    <row r="320" spans="1:2">
      <c r="A320" s="119" t="s">
        <v>177</v>
      </c>
      <c r="B320">
        <v>16</v>
      </c>
    </row>
    <row r="321" spans="1:2">
      <c r="A321" s="120" t="s">
        <v>450</v>
      </c>
      <c r="B321">
        <v>3</v>
      </c>
    </row>
    <row r="322" spans="1:2">
      <c r="A322" s="120" t="s">
        <v>483</v>
      </c>
      <c r="B322">
        <v>6</v>
      </c>
    </row>
    <row r="323" spans="1:2">
      <c r="A323" s="120" t="s">
        <v>550</v>
      </c>
      <c r="B323">
        <v>7</v>
      </c>
    </row>
    <row r="324" spans="1:2">
      <c r="A324" s="119" t="s">
        <v>159</v>
      </c>
      <c r="B324">
        <v>4</v>
      </c>
    </row>
    <row r="325" spans="1:2">
      <c r="A325" s="120" t="s">
        <v>414</v>
      </c>
      <c r="B325">
        <v>1</v>
      </c>
    </row>
    <row r="326" spans="1:2">
      <c r="A326" s="120" t="s">
        <v>453</v>
      </c>
      <c r="B326">
        <v>1</v>
      </c>
    </row>
    <row r="327" spans="1:2">
      <c r="A327" s="120" t="s">
        <v>612</v>
      </c>
      <c r="B327">
        <v>1</v>
      </c>
    </row>
    <row r="328" spans="1:2">
      <c r="A328" s="120" t="s">
        <v>618</v>
      </c>
      <c r="B328">
        <v>1</v>
      </c>
    </row>
    <row r="329" spans="1:2">
      <c r="A329" s="119" t="s">
        <v>687</v>
      </c>
      <c r="B329">
        <v>3</v>
      </c>
    </row>
    <row r="330" spans="1:2">
      <c r="A330" s="120" t="s">
        <v>688</v>
      </c>
      <c r="B330">
        <v>1</v>
      </c>
    </row>
    <row r="331" spans="1:2">
      <c r="A331" s="120" t="s">
        <v>715</v>
      </c>
      <c r="B331">
        <v>1</v>
      </c>
    </row>
    <row r="332" spans="1:2">
      <c r="A332" s="120" t="s">
        <v>735</v>
      </c>
      <c r="B332">
        <v>1</v>
      </c>
    </row>
    <row r="333" spans="1:2">
      <c r="A333" s="119" t="s">
        <v>394</v>
      </c>
      <c r="B333">
        <v>2</v>
      </c>
    </row>
    <row r="334" spans="1:2">
      <c r="A334" s="120" t="s">
        <v>554</v>
      </c>
      <c r="B334">
        <v>2</v>
      </c>
    </row>
    <row r="335" spans="1:2">
      <c r="A335" s="119" t="s">
        <v>664</v>
      </c>
      <c r="B335">
        <v>1</v>
      </c>
    </row>
    <row r="336" spans="1:2">
      <c r="A336" s="120" t="s">
        <v>663</v>
      </c>
      <c r="B336">
        <v>1</v>
      </c>
    </row>
    <row r="337" spans="1:2">
      <c r="A337" s="37">
        <v>1</v>
      </c>
      <c r="B337">
        <v>87</v>
      </c>
    </row>
    <row r="338" spans="1:2">
      <c r="A338" s="119" t="s">
        <v>144</v>
      </c>
      <c r="B338">
        <v>4</v>
      </c>
    </row>
    <row r="339" spans="1:2">
      <c r="A339" s="120" t="s">
        <v>625</v>
      </c>
      <c r="B339">
        <v>1</v>
      </c>
    </row>
    <row r="340" spans="1:2">
      <c r="A340" s="120" t="s">
        <v>696</v>
      </c>
      <c r="B340">
        <v>1</v>
      </c>
    </row>
    <row r="341" spans="1:2">
      <c r="A341" s="120" t="s">
        <v>720</v>
      </c>
      <c r="B341">
        <v>2</v>
      </c>
    </row>
    <row r="342" spans="1:2">
      <c r="A342" s="119" t="s">
        <v>368</v>
      </c>
      <c r="B342">
        <v>1</v>
      </c>
    </row>
    <row r="343" spans="1:2">
      <c r="A343" s="120" t="s">
        <v>716</v>
      </c>
      <c r="B343">
        <v>1</v>
      </c>
    </row>
    <row r="344" spans="1:2">
      <c r="A344" s="119" t="s">
        <v>173</v>
      </c>
      <c r="B344">
        <v>4</v>
      </c>
    </row>
    <row r="345" spans="1:2">
      <c r="A345" s="120" t="s">
        <v>658</v>
      </c>
      <c r="B345">
        <v>4</v>
      </c>
    </row>
    <row r="346" spans="1:2">
      <c r="A346" s="119" t="s">
        <v>160</v>
      </c>
      <c r="B346">
        <v>1</v>
      </c>
    </row>
    <row r="347" spans="1:2">
      <c r="A347" s="120" t="s">
        <v>621</v>
      </c>
      <c r="B347">
        <v>1</v>
      </c>
    </row>
    <row r="348" spans="1:2">
      <c r="A348" s="119" t="s">
        <v>319</v>
      </c>
      <c r="B348">
        <v>2</v>
      </c>
    </row>
    <row r="349" spans="1:2">
      <c r="A349" s="120" t="s">
        <v>442</v>
      </c>
      <c r="B349">
        <v>1</v>
      </c>
    </row>
    <row r="350" spans="1:2">
      <c r="A350" s="120" t="s">
        <v>587</v>
      </c>
      <c r="B350">
        <v>1</v>
      </c>
    </row>
    <row r="351" spans="1:2">
      <c r="A351" s="119" t="s">
        <v>378</v>
      </c>
      <c r="B351">
        <v>2</v>
      </c>
    </row>
    <row r="352" spans="1:2">
      <c r="A352" s="120" t="s">
        <v>708</v>
      </c>
      <c r="B352">
        <v>2</v>
      </c>
    </row>
    <row r="353" spans="1:2">
      <c r="A353" s="119" t="s">
        <v>174</v>
      </c>
      <c r="B353">
        <v>1</v>
      </c>
    </row>
    <row r="354" spans="1:2">
      <c r="A354" s="120" t="s">
        <v>653</v>
      </c>
      <c r="B354">
        <v>1</v>
      </c>
    </row>
    <row r="355" spans="1:2">
      <c r="A355" s="119" t="s">
        <v>219</v>
      </c>
      <c r="B355">
        <v>1</v>
      </c>
    </row>
    <row r="356" spans="1:2">
      <c r="A356" s="120" t="s">
        <v>427</v>
      </c>
      <c r="B356">
        <v>1</v>
      </c>
    </row>
    <row r="357" spans="1:2">
      <c r="A357" s="119" t="s">
        <v>380</v>
      </c>
      <c r="B357">
        <v>1</v>
      </c>
    </row>
    <row r="358" spans="1:2">
      <c r="A358" s="120" t="s">
        <v>654</v>
      </c>
      <c r="B358">
        <v>1</v>
      </c>
    </row>
    <row r="359" spans="1:2">
      <c r="A359" s="119" t="s">
        <v>718</v>
      </c>
      <c r="B359">
        <v>1</v>
      </c>
    </row>
    <row r="360" spans="1:2">
      <c r="A360" s="120" t="s">
        <v>717</v>
      </c>
      <c r="B360">
        <v>1</v>
      </c>
    </row>
    <row r="361" spans="1:2">
      <c r="A361" s="119" t="s">
        <v>376</v>
      </c>
      <c r="B361">
        <v>12</v>
      </c>
    </row>
    <row r="362" spans="1:2">
      <c r="A362" s="120" t="s">
        <v>595</v>
      </c>
      <c r="B362">
        <v>6</v>
      </c>
    </row>
    <row r="363" spans="1:2">
      <c r="A363" s="120" t="s">
        <v>648</v>
      </c>
      <c r="B363">
        <v>5</v>
      </c>
    </row>
    <row r="364" spans="1:2">
      <c r="A364" s="120" t="s">
        <v>649</v>
      </c>
      <c r="B364">
        <v>1</v>
      </c>
    </row>
    <row r="365" spans="1:2">
      <c r="A365" s="119" t="s">
        <v>231</v>
      </c>
      <c r="B365">
        <v>2</v>
      </c>
    </row>
    <row r="366" spans="1:2">
      <c r="A366" s="120" t="s">
        <v>597</v>
      </c>
      <c r="B366">
        <v>1</v>
      </c>
    </row>
    <row r="367" spans="1:2">
      <c r="A367" s="120" t="s">
        <v>711</v>
      </c>
      <c r="B367">
        <v>1</v>
      </c>
    </row>
    <row r="368" spans="1:2">
      <c r="A368" s="119" t="s">
        <v>393</v>
      </c>
      <c r="B368">
        <v>2</v>
      </c>
    </row>
    <row r="369" spans="1:2">
      <c r="A369" s="120" t="s">
        <v>611</v>
      </c>
      <c r="B369">
        <v>2</v>
      </c>
    </row>
    <row r="370" spans="1:2">
      <c r="A370" s="119" t="s">
        <v>386</v>
      </c>
      <c r="B370">
        <v>4</v>
      </c>
    </row>
    <row r="371" spans="1:2">
      <c r="A371" s="120" t="s">
        <v>680</v>
      </c>
      <c r="B371">
        <v>3</v>
      </c>
    </row>
    <row r="372" spans="1:2">
      <c r="A372" s="120" t="s">
        <v>722</v>
      </c>
      <c r="B372">
        <v>1</v>
      </c>
    </row>
    <row r="373" spans="1:2">
      <c r="A373" s="119" t="s">
        <v>485</v>
      </c>
      <c r="B373">
        <v>1</v>
      </c>
    </row>
    <row r="374" spans="1:2">
      <c r="A374" s="120" t="s">
        <v>484</v>
      </c>
      <c r="B374">
        <v>1</v>
      </c>
    </row>
    <row r="375" spans="1:2">
      <c r="A375" s="119" t="s">
        <v>30</v>
      </c>
      <c r="B375">
        <v>3</v>
      </c>
    </row>
    <row r="376" spans="1:2">
      <c r="A376" s="120" t="s">
        <v>605</v>
      </c>
      <c r="B376">
        <v>1</v>
      </c>
    </row>
    <row r="377" spans="1:2">
      <c r="A377" s="120" t="s">
        <v>681</v>
      </c>
      <c r="B377">
        <v>1</v>
      </c>
    </row>
    <row r="378" spans="1:2">
      <c r="A378" s="120" t="s">
        <v>719</v>
      </c>
      <c r="B378">
        <v>1</v>
      </c>
    </row>
    <row r="379" spans="1:2">
      <c r="A379" s="119" t="s">
        <v>372</v>
      </c>
      <c r="B379">
        <v>3</v>
      </c>
    </row>
    <row r="380" spans="1:2">
      <c r="A380" s="120" t="s">
        <v>548</v>
      </c>
      <c r="B380">
        <v>1</v>
      </c>
    </row>
    <row r="381" spans="1:2">
      <c r="A381" s="120" t="s">
        <v>566</v>
      </c>
      <c r="B381">
        <v>1</v>
      </c>
    </row>
    <row r="382" spans="1:2">
      <c r="A382" s="120" t="s">
        <v>725</v>
      </c>
      <c r="B382">
        <v>1</v>
      </c>
    </row>
    <row r="383" spans="1:2">
      <c r="A383" s="119" t="s">
        <v>481</v>
      </c>
      <c r="B383">
        <v>1</v>
      </c>
    </row>
    <row r="384" spans="1:2">
      <c r="A384" s="120" t="s">
        <v>650</v>
      </c>
      <c r="B384">
        <v>1</v>
      </c>
    </row>
    <row r="385" spans="1:2">
      <c r="A385" s="119" t="s">
        <v>38</v>
      </c>
      <c r="B385">
        <v>9</v>
      </c>
    </row>
    <row r="386" spans="1:2">
      <c r="A386" s="120" t="s">
        <v>432</v>
      </c>
      <c r="B386">
        <v>1</v>
      </c>
    </row>
    <row r="387" spans="1:2">
      <c r="A387" s="120" t="s">
        <v>492</v>
      </c>
      <c r="B387">
        <v>1</v>
      </c>
    </row>
    <row r="388" spans="1:2">
      <c r="A388" s="120" t="s">
        <v>508</v>
      </c>
      <c r="B388">
        <v>1</v>
      </c>
    </row>
    <row r="389" spans="1:2">
      <c r="A389" s="120" t="s">
        <v>535</v>
      </c>
      <c r="B389">
        <v>1</v>
      </c>
    </row>
    <row r="390" spans="1:2">
      <c r="A390" s="120" t="s">
        <v>571</v>
      </c>
      <c r="B390">
        <v>1</v>
      </c>
    </row>
    <row r="391" spans="1:2">
      <c r="A391" s="120" t="s">
        <v>579</v>
      </c>
      <c r="B391">
        <v>1</v>
      </c>
    </row>
    <row r="392" spans="1:2">
      <c r="A392" s="120" t="s">
        <v>706</v>
      </c>
      <c r="B392">
        <v>1</v>
      </c>
    </row>
    <row r="393" spans="1:2">
      <c r="A393" s="120" t="s">
        <v>709</v>
      </c>
      <c r="B393">
        <v>1</v>
      </c>
    </row>
    <row r="394" spans="1:2">
      <c r="A394" s="120" t="s">
        <v>707</v>
      </c>
      <c r="B394">
        <v>1</v>
      </c>
    </row>
    <row r="395" spans="1:2">
      <c r="A395" s="119" t="s">
        <v>668</v>
      </c>
      <c r="B395">
        <v>3</v>
      </c>
    </row>
    <row r="396" spans="1:2">
      <c r="A396" s="120" t="s">
        <v>669</v>
      </c>
      <c r="B396">
        <v>3</v>
      </c>
    </row>
    <row r="397" spans="1:2">
      <c r="A397" s="119" t="s">
        <v>381</v>
      </c>
      <c r="B397">
        <v>1</v>
      </c>
    </row>
    <row r="398" spans="1:2">
      <c r="A398" s="120" t="s">
        <v>748</v>
      </c>
      <c r="B398">
        <v>1</v>
      </c>
    </row>
    <row r="399" spans="1:2">
      <c r="A399" s="119" t="s">
        <v>169</v>
      </c>
      <c r="B399">
        <v>3</v>
      </c>
    </row>
    <row r="400" spans="1:2">
      <c r="A400" s="120" t="s">
        <v>445</v>
      </c>
      <c r="B400">
        <v>1</v>
      </c>
    </row>
    <row r="401" spans="1:2">
      <c r="A401" s="120" t="s">
        <v>712</v>
      </c>
      <c r="B401">
        <v>2</v>
      </c>
    </row>
    <row r="402" spans="1:2">
      <c r="A402" s="119" t="s">
        <v>392</v>
      </c>
      <c r="B402">
        <v>2</v>
      </c>
    </row>
    <row r="403" spans="1:2">
      <c r="A403" s="120" t="s">
        <v>666</v>
      </c>
      <c r="B403">
        <v>2</v>
      </c>
    </row>
    <row r="404" spans="1:2">
      <c r="A404" s="119" t="s">
        <v>51</v>
      </c>
      <c r="B404">
        <v>3</v>
      </c>
    </row>
    <row r="405" spans="1:2">
      <c r="A405" s="120" t="s">
        <v>615</v>
      </c>
      <c r="B405">
        <v>1</v>
      </c>
    </row>
    <row r="406" spans="1:2">
      <c r="A406" s="120" t="s">
        <v>614</v>
      </c>
      <c r="B406">
        <v>1</v>
      </c>
    </row>
    <row r="407" spans="1:2">
      <c r="A407" s="120" t="s">
        <v>644</v>
      </c>
      <c r="B407">
        <v>1</v>
      </c>
    </row>
    <row r="408" spans="1:2">
      <c r="A408" s="119" t="s">
        <v>671</v>
      </c>
      <c r="B408">
        <v>1</v>
      </c>
    </row>
    <row r="409" spans="1:2">
      <c r="A409" s="120" t="s">
        <v>670</v>
      </c>
      <c r="B409">
        <v>1</v>
      </c>
    </row>
    <row r="410" spans="1:2">
      <c r="A410" s="119" t="s">
        <v>53</v>
      </c>
      <c r="B410">
        <v>2</v>
      </c>
    </row>
    <row r="411" spans="1:2">
      <c r="A411" s="120" t="s">
        <v>456</v>
      </c>
      <c r="B411">
        <v>2</v>
      </c>
    </row>
    <row r="412" spans="1:2">
      <c r="A412" s="119" t="s">
        <v>409</v>
      </c>
      <c r="B412">
        <v>10</v>
      </c>
    </row>
    <row r="413" spans="1:2">
      <c r="A413" s="120" t="s">
        <v>540</v>
      </c>
      <c r="B413">
        <v>1</v>
      </c>
    </row>
    <row r="414" spans="1:2">
      <c r="A414" s="120" t="s">
        <v>678</v>
      </c>
      <c r="B414">
        <v>9</v>
      </c>
    </row>
    <row r="415" spans="1:2">
      <c r="A415" s="119" t="s">
        <v>159</v>
      </c>
      <c r="B415">
        <v>3</v>
      </c>
    </row>
    <row r="416" spans="1:2">
      <c r="A416" s="120" t="s">
        <v>429</v>
      </c>
      <c r="B416">
        <v>1</v>
      </c>
    </row>
    <row r="417" spans="1:2">
      <c r="A417" s="120" t="s">
        <v>466</v>
      </c>
      <c r="B417">
        <v>2</v>
      </c>
    </row>
    <row r="418" spans="1:2">
      <c r="A418" s="119" t="s">
        <v>687</v>
      </c>
      <c r="B418">
        <v>2</v>
      </c>
    </row>
    <row r="419" spans="1:2">
      <c r="A419" s="120" t="s">
        <v>686</v>
      </c>
      <c r="B419">
        <v>2</v>
      </c>
    </row>
    <row r="420" spans="1:2">
      <c r="A420" s="119" t="s">
        <v>714</v>
      </c>
      <c r="B420">
        <v>2</v>
      </c>
    </row>
    <row r="421" spans="1:2">
      <c r="A421" s="120" t="s">
        <v>713</v>
      </c>
      <c r="B421">
        <v>2</v>
      </c>
    </row>
    <row r="422" spans="1:2">
      <c r="A422" s="37">
        <v>2</v>
      </c>
      <c r="B422">
        <v>21</v>
      </c>
    </row>
    <row r="423" spans="1:2">
      <c r="A423" s="119" t="s">
        <v>348</v>
      </c>
      <c r="B423">
        <v>2</v>
      </c>
    </row>
    <row r="424" spans="1:2">
      <c r="A424" s="120" t="s">
        <v>640</v>
      </c>
      <c r="B424">
        <v>2</v>
      </c>
    </row>
    <row r="425" spans="1:2">
      <c r="A425" s="119" t="s">
        <v>6</v>
      </c>
      <c r="B425">
        <v>2</v>
      </c>
    </row>
    <row r="426" spans="1:2">
      <c r="A426" s="120" t="s">
        <v>584</v>
      </c>
      <c r="B426">
        <v>2</v>
      </c>
    </row>
    <row r="427" spans="1:2">
      <c r="A427" s="119" t="s">
        <v>323</v>
      </c>
      <c r="B427">
        <v>1</v>
      </c>
    </row>
    <row r="428" spans="1:2">
      <c r="A428" s="120" t="s">
        <v>505</v>
      </c>
      <c r="B428">
        <v>1</v>
      </c>
    </row>
    <row r="429" spans="1:2">
      <c r="A429" s="119" t="s">
        <v>144</v>
      </c>
      <c r="B429">
        <v>2</v>
      </c>
    </row>
    <row r="430" spans="1:2">
      <c r="A430" s="120" t="s">
        <v>536</v>
      </c>
      <c r="B430">
        <v>2</v>
      </c>
    </row>
    <row r="431" spans="1:2">
      <c r="A431" s="119" t="s">
        <v>378</v>
      </c>
      <c r="B431">
        <v>1</v>
      </c>
    </row>
    <row r="432" spans="1:2">
      <c r="A432" s="120" t="s">
        <v>446</v>
      </c>
      <c r="B432">
        <v>1</v>
      </c>
    </row>
    <row r="433" spans="1:2">
      <c r="A433" s="119" t="s">
        <v>219</v>
      </c>
      <c r="B433">
        <v>1</v>
      </c>
    </row>
    <row r="434" spans="1:2">
      <c r="A434" s="120" t="s">
        <v>558</v>
      </c>
      <c r="B434">
        <v>1</v>
      </c>
    </row>
    <row r="435" spans="1:2">
      <c r="A435" s="119" t="s">
        <v>30</v>
      </c>
      <c r="B435">
        <v>1</v>
      </c>
    </row>
    <row r="436" spans="1:2">
      <c r="A436" s="120" t="s">
        <v>726</v>
      </c>
      <c r="B436">
        <v>1</v>
      </c>
    </row>
    <row r="437" spans="1:2">
      <c r="A437" s="119" t="s">
        <v>31</v>
      </c>
      <c r="B437">
        <v>1</v>
      </c>
    </row>
    <row r="438" spans="1:2">
      <c r="A438" s="120" t="s">
        <v>616</v>
      </c>
      <c r="B438">
        <v>1</v>
      </c>
    </row>
    <row r="439" spans="1:2">
      <c r="A439" s="119" t="s">
        <v>372</v>
      </c>
      <c r="B439">
        <v>2</v>
      </c>
    </row>
    <row r="440" spans="1:2">
      <c r="A440" s="120" t="s">
        <v>551</v>
      </c>
      <c r="B440">
        <v>1</v>
      </c>
    </row>
    <row r="441" spans="1:2">
      <c r="A441" s="120" t="s">
        <v>552</v>
      </c>
      <c r="B441">
        <v>1</v>
      </c>
    </row>
    <row r="442" spans="1:2">
      <c r="A442" s="119" t="s">
        <v>345</v>
      </c>
      <c r="B442">
        <v>1</v>
      </c>
    </row>
    <row r="443" spans="1:2">
      <c r="A443" s="120" t="s">
        <v>440</v>
      </c>
      <c r="B443">
        <v>1</v>
      </c>
    </row>
    <row r="444" spans="1:2">
      <c r="A444" s="119" t="s">
        <v>371</v>
      </c>
      <c r="B444">
        <v>1</v>
      </c>
    </row>
    <row r="445" spans="1:2">
      <c r="A445" s="120" t="s">
        <v>544</v>
      </c>
      <c r="B445">
        <v>1</v>
      </c>
    </row>
    <row r="446" spans="1:2">
      <c r="A446" s="119" t="s">
        <v>592</v>
      </c>
      <c r="B446">
        <v>2</v>
      </c>
    </row>
    <row r="447" spans="1:2">
      <c r="A447" s="120" t="s">
        <v>594</v>
      </c>
      <c r="B447">
        <v>2</v>
      </c>
    </row>
    <row r="448" spans="1:2">
      <c r="A448" s="119" t="s">
        <v>452</v>
      </c>
      <c r="B448">
        <v>1</v>
      </c>
    </row>
    <row r="449" spans="1:2">
      <c r="A449" s="120" t="s">
        <v>639</v>
      </c>
      <c r="B449">
        <v>1</v>
      </c>
    </row>
    <row r="450" spans="1:2">
      <c r="A450" s="119" t="s">
        <v>45</v>
      </c>
      <c r="B450">
        <v>1</v>
      </c>
    </row>
    <row r="451" spans="1:2">
      <c r="A451" s="120" t="s">
        <v>553</v>
      </c>
      <c r="B451">
        <v>1</v>
      </c>
    </row>
    <row r="452" spans="1:2">
      <c r="A452" s="119" t="s">
        <v>159</v>
      </c>
      <c r="B452">
        <v>1</v>
      </c>
    </row>
    <row r="453" spans="1:2">
      <c r="A453" s="120" t="s">
        <v>421</v>
      </c>
      <c r="B453">
        <v>1</v>
      </c>
    </row>
    <row r="454" spans="1:2">
      <c r="A454" s="119" t="s">
        <v>210</v>
      </c>
      <c r="B454">
        <v>1</v>
      </c>
    </row>
    <row r="455" spans="1:2">
      <c r="A455" s="120" t="s">
        <v>729</v>
      </c>
      <c r="B455">
        <v>1</v>
      </c>
    </row>
    <row r="456" spans="1:2">
      <c r="A456" s="37">
        <v>3</v>
      </c>
      <c r="B456">
        <v>7</v>
      </c>
    </row>
    <row r="457" spans="1:2">
      <c r="A457" s="119" t="s">
        <v>30</v>
      </c>
      <c r="B457">
        <v>1</v>
      </c>
    </row>
    <row r="458" spans="1:2">
      <c r="A458" s="120" t="s">
        <v>532</v>
      </c>
      <c r="B458">
        <v>1</v>
      </c>
    </row>
    <row r="459" spans="1:2">
      <c r="A459" s="119" t="s">
        <v>381</v>
      </c>
      <c r="B459">
        <v>1</v>
      </c>
    </row>
    <row r="460" spans="1:2">
      <c r="A460" s="120" t="s">
        <v>420</v>
      </c>
      <c r="B460">
        <v>1</v>
      </c>
    </row>
    <row r="461" spans="1:2">
      <c r="A461" s="119" t="s">
        <v>45</v>
      </c>
      <c r="B461">
        <v>1</v>
      </c>
    </row>
    <row r="462" spans="1:2">
      <c r="A462" s="120" t="s">
        <v>556</v>
      </c>
      <c r="B462">
        <v>1</v>
      </c>
    </row>
    <row r="463" spans="1:2">
      <c r="A463" s="119" t="s">
        <v>369</v>
      </c>
      <c r="B463">
        <v>1</v>
      </c>
    </row>
    <row r="464" spans="1:2">
      <c r="A464" s="120" t="s">
        <v>515</v>
      </c>
      <c r="B464">
        <v>1</v>
      </c>
    </row>
    <row r="465" spans="1:2">
      <c r="A465" s="119" t="s">
        <v>159</v>
      </c>
      <c r="B465">
        <v>3</v>
      </c>
    </row>
    <row r="466" spans="1:2">
      <c r="A466" s="120" t="s">
        <v>402</v>
      </c>
      <c r="B466">
        <v>1</v>
      </c>
    </row>
    <row r="467" spans="1:2">
      <c r="A467" s="120" t="s">
        <v>461</v>
      </c>
      <c r="B467">
        <v>1</v>
      </c>
    </row>
    <row r="468" spans="1:2">
      <c r="A468" s="120" t="s">
        <v>541</v>
      </c>
      <c r="B468">
        <v>1</v>
      </c>
    </row>
    <row r="469" spans="1:2">
      <c r="A469" s="37">
        <v>4</v>
      </c>
      <c r="B469">
        <v>4</v>
      </c>
    </row>
    <row r="470" spans="1:2">
      <c r="A470" s="119" t="s">
        <v>119</v>
      </c>
      <c r="B470">
        <v>1</v>
      </c>
    </row>
    <row r="471" spans="1:2">
      <c r="A471" s="120" t="s">
        <v>478</v>
      </c>
      <c r="B471">
        <v>1</v>
      </c>
    </row>
    <row r="472" spans="1:2">
      <c r="A472" s="119" t="s">
        <v>372</v>
      </c>
      <c r="B472">
        <v>1</v>
      </c>
    </row>
    <row r="473" spans="1:2">
      <c r="A473" s="120" t="s">
        <v>549</v>
      </c>
      <c r="B473">
        <v>1</v>
      </c>
    </row>
    <row r="474" spans="1:2">
      <c r="A474" s="119" t="s">
        <v>561</v>
      </c>
      <c r="B474">
        <v>1</v>
      </c>
    </row>
    <row r="475" spans="1:2">
      <c r="A475" s="120" t="s">
        <v>560</v>
      </c>
      <c r="B475">
        <v>1</v>
      </c>
    </row>
    <row r="476" spans="1:2">
      <c r="A476" s="119" t="s">
        <v>169</v>
      </c>
      <c r="B476">
        <v>1</v>
      </c>
    </row>
    <row r="477" spans="1:2">
      <c r="A477" s="120" t="s">
        <v>555</v>
      </c>
      <c r="B477">
        <v>1</v>
      </c>
    </row>
    <row r="478" spans="1:2">
      <c r="A478" s="37">
        <v>5</v>
      </c>
      <c r="B478">
        <v>4</v>
      </c>
    </row>
    <row r="479" spans="1:2">
      <c r="A479" s="119" t="s">
        <v>6</v>
      </c>
      <c r="B479">
        <v>1</v>
      </c>
    </row>
    <row r="480" spans="1:2">
      <c r="A480" s="120" t="s">
        <v>436</v>
      </c>
      <c r="B480">
        <v>1</v>
      </c>
    </row>
    <row r="481" spans="1:2">
      <c r="A481" s="119" t="s">
        <v>144</v>
      </c>
      <c r="B481">
        <v>1</v>
      </c>
    </row>
    <row r="482" spans="1:2">
      <c r="A482" s="120" t="s">
        <v>697</v>
      </c>
      <c r="B482">
        <v>1</v>
      </c>
    </row>
    <row r="483" spans="1:2">
      <c r="A483" s="119" t="s">
        <v>355</v>
      </c>
      <c r="B483">
        <v>1</v>
      </c>
    </row>
    <row r="484" spans="1:2">
      <c r="A484" s="120" t="s">
        <v>655</v>
      </c>
      <c r="B484">
        <v>1</v>
      </c>
    </row>
    <row r="485" spans="1:2">
      <c r="A485" s="119" t="s">
        <v>30</v>
      </c>
      <c r="B485">
        <v>1</v>
      </c>
    </row>
    <row r="486" spans="1:2">
      <c r="A486" s="120" t="s">
        <v>629</v>
      </c>
      <c r="B486">
        <v>1</v>
      </c>
    </row>
    <row r="487" spans="1:2">
      <c r="A487" s="37">
        <v>6</v>
      </c>
      <c r="B487">
        <v>3</v>
      </c>
    </row>
    <row r="488" spans="1:2">
      <c r="A488" s="119" t="s">
        <v>181</v>
      </c>
      <c r="B488">
        <v>1</v>
      </c>
    </row>
    <row r="489" spans="1:2">
      <c r="A489" s="120" t="s">
        <v>447</v>
      </c>
      <c r="B489">
        <v>1</v>
      </c>
    </row>
    <row r="490" spans="1:2">
      <c r="A490" s="119" t="s">
        <v>148</v>
      </c>
      <c r="B490">
        <v>1</v>
      </c>
    </row>
    <row r="491" spans="1:2">
      <c r="A491" s="120" t="s">
        <v>617</v>
      </c>
      <c r="B491">
        <v>1</v>
      </c>
    </row>
    <row r="492" spans="1:2">
      <c r="A492" s="119" t="s">
        <v>30</v>
      </c>
      <c r="B492">
        <v>1</v>
      </c>
    </row>
    <row r="493" spans="1:2">
      <c r="A493" s="120" t="s">
        <v>533</v>
      </c>
      <c r="B493">
        <v>1</v>
      </c>
    </row>
    <row r="494" spans="1:2">
      <c r="A494" s="37">
        <v>7</v>
      </c>
      <c r="B494">
        <v>5</v>
      </c>
    </row>
    <row r="495" spans="1:2">
      <c r="A495" s="119" t="s">
        <v>30</v>
      </c>
      <c r="B495">
        <v>1</v>
      </c>
    </row>
    <row r="496" spans="1:2">
      <c r="A496" s="120" t="s">
        <v>491</v>
      </c>
      <c r="B496">
        <v>1</v>
      </c>
    </row>
    <row r="497" spans="1:2">
      <c r="A497" s="119" t="s">
        <v>157</v>
      </c>
      <c r="B497">
        <v>1</v>
      </c>
    </row>
    <row r="498" spans="1:2">
      <c r="A498" s="120" t="s">
        <v>557</v>
      </c>
      <c r="B498">
        <v>1</v>
      </c>
    </row>
    <row r="499" spans="1:2">
      <c r="A499" s="119" t="s">
        <v>154</v>
      </c>
      <c r="B499">
        <v>1</v>
      </c>
    </row>
    <row r="500" spans="1:2">
      <c r="A500" s="120" t="s">
        <v>487</v>
      </c>
      <c r="B500">
        <v>1</v>
      </c>
    </row>
    <row r="501" spans="1:2">
      <c r="A501" s="119" t="s">
        <v>409</v>
      </c>
      <c r="B501">
        <v>2</v>
      </c>
    </row>
    <row r="502" spans="1:2">
      <c r="A502" s="120" t="s">
        <v>678</v>
      </c>
      <c r="B502">
        <v>2</v>
      </c>
    </row>
    <row r="503" spans="1:2">
      <c r="A503" s="37">
        <v>9</v>
      </c>
      <c r="B503">
        <v>1</v>
      </c>
    </row>
    <row r="504" spans="1:2">
      <c r="A504" s="119" t="s">
        <v>30</v>
      </c>
      <c r="B504">
        <v>1</v>
      </c>
    </row>
    <row r="505" spans="1:2">
      <c r="A505" s="120" t="s">
        <v>564</v>
      </c>
      <c r="B505">
        <v>1</v>
      </c>
    </row>
    <row r="506" spans="1:2">
      <c r="A506" s="37">
        <v>11</v>
      </c>
      <c r="B506">
        <v>2</v>
      </c>
    </row>
    <row r="507" spans="1:2">
      <c r="A507" s="119" t="s">
        <v>409</v>
      </c>
      <c r="B507">
        <v>2</v>
      </c>
    </row>
    <row r="508" spans="1:2">
      <c r="A508" s="120" t="s">
        <v>411</v>
      </c>
      <c r="B508">
        <v>1</v>
      </c>
    </row>
    <row r="509" spans="1:2">
      <c r="A509" s="120" t="s">
        <v>410</v>
      </c>
      <c r="B509">
        <v>1</v>
      </c>
    </row>
    <row r="510" spans="1:2">
      <c r="A510" s="37">
        <v>13</v>
      </c>
      <c r="B510">
        <v>2</v>
      </c>
    </row>
    <row r="511" spans="1:2">
      <c r="A511" s="119" t="s">
        <v>52</v>
      </c>
      <c r="B511">
        <v>2</v>
      </c>
    </row>
    <row r="512" spans="1:2">
      <c r="A512" s="120" t="s">
        <v>546</v>
      </c>
      <c r="B512">
        <v>2</v>
      </c>
    </row>
    <row r="513" spans="1:2">
      <c r="A513" s="37">
        <v>14</v>
      </c>
      <c r="B513">
        <v>2</v>
      </c>
    </row>
    <row r="514" spans="1:2">
      <c r="A514" s="119" t="s">
        <v>144</v>
      </c>
      <c r="B514">
        <v>1</v>
      </c>
    </row>
    <row r="515" spans="1:2">
      <c r="A515" s="120" t="s">
        <v>536</v>
      </c>
      <c r="B515">
        <v>1</v>
      </c>
    </row>
    <row r="516" spans="1:2">
      <c r="A516" s="119" t="s">
        <v>409</v>
      </c>
      <c r="B516">
        <v>1</v>
      </c>
    </row>
    <row r="517" spans="1:2">
      <c r="A517" s="120" t="s">
        <v>540</v>
      </c>
      <c r="B517">
        <v>1</v>
      </c>
    </row>
    <row r="518" spans="1:2">
      <c r="A518" s="37">
        <v>8</v>
      </c>
      <c r="B518">
        <v>1</v>
      </c>
    </row>
    <row r="519" spans="1:2">
      <c r="A519" s="119" t="s">
        <v>159</v>
      </c>
      <c r="B519">
        <v>1</v>
      </c>
    </row>
    <row r="520" spans="1:2">
      <c r="A520" s="120" t="s">
        <v>455</v>
      </c>
      <c r="B520">
        <v>1</v>
      </c>
    </row>
    <row r="521" spans="1:2">
      <c r="A521" s="37" t="s">
        <v>67</v>
      </c>
      <c r="B521">
        <v>587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59"/>
  <sheetViews>
    <sheetView topLeftCell="A296" workbookViewId="0">
      <selection activeCell="H397" sqref="A397:H397"/>
    </sheetView>
  </sheetViews>
  <sheetFormatPr baseColWidth="10" defaultRowHeight="13"/>
  <sheetData>
    <row r="1" spans="1:11" ht="35" thickBot="1">
      <c r="A1" s="81" t="s">
        <v>68</v>
      </c>
      <c r="B1" s="82" t="s">
        <v>130</v>
      </c>
      <c r="C1" s="82" t="s">
        <v>69</v>
      </c>
      <c r="D1" s="82" t="s">
        <v>70</v>
      </c>
      <c r="E1" s="82" t="s">
        <v>71</v>
      </c>
      <c r="F1" s="82" t="s">
        <v>72</v>
      </c>
      <c r="G1" s="82" t="s">
        <v>73</v>
      </c>
      <c r="H1" s="83" t="s">
        <v>317</v>
      </c>
      <c r="I1" s="82" t="s">
        <v>74</v>
      </c>
      <c r="J1" s="83" t="s">
        <v>107</v>
      </c>
      <c r="K1" s="82" t="s">
        <v>131</v>
      </c>
    </row>
    <row r="2" spans="1:11" ht="70.5" hidden="1" thickBot="1">
      <c r="A2" s="84">
        <v>7000371676</v>
      </c>
      <c r="B2" s="39">
        <v>45329</v>
      </c>
      <c r="C2" s="40">
        <v>0.47499999999999998</v>
      </c>
      <c r="D2" s="38">
        <v>113780</v>
      </c>
      <c r="E2" s="38">
        <v>18163</v>
      </c>
      <c r="F2" s="39">
        <v>45408</v>
      </c>
      <c r="G2" s="38" t="s">
        <v>190</v>
      </c>
      <c r="H2" s="85" t="s">
        <v>133</v>
      </c>
      <c r="I2" s="38" t="s">
        <v>191</v>
      </c>
      <c r="J2" s="41" t="s">
        <v>134</v>
      </c>
      <c r="K2" s="38">
        <v>56</v>
      </c>
    </row>
    <row r="3" spans="1:11" ht="35" hidden="1" thickBot="1">
      <c r="A3" s="84">
        <v>5502137871</v>
      </c>
      <c r="B3" s="39">
        <v>45357</v>
      </c>
      <c r="C3" s="40">
        <v>0.38472222222222224</v>
      </c>
      <c r="D3" s="38">
        <v>113403</v>
      </c>
      <c r="E3" s="38">
        <v>18253</v>
      </c>
      <c r="F3" s="39">
        <v>45358</v>
      </c>
      <c r="G3" s="40">
        <v>0.47222222222222221</v>
      </c>
      <c r="H3" s="41" t="s">
        <v>52</v>
      </c>
      <c r="I3" s="38" t="s">
        <v>135</v>
      </c>
      <c r="J3" s="41" t="s">
        <v>136</v>
      </c>
      <c r="K3" s="38">
        <v>40</v>
      </c>
    </row>
    <row r="4" spans="1:11" ht="35" hidden="1" thickBot="1">
      <c r="A4" s="84">
        <v>4500306477</v>
      </c>
      <c r="B4" s="39">
        <v>45390</v>
      </c>
      <c r="C4" s="40">
        <v>0.64652777777777781</v>
      </c>
      <c r="D4" s="38">
        <v>113635</v>
      </c>
      <c r="E4" s="44">
        <v>18144</v>
      </c>
      <c r="F4" s="39">
        <v>45391</v>
      </c>
      <c r="G4" s="40">
        <v>0.36249999999999999</v>
      </c>
      <c r="H4" s="45" t="s">
        <v>159</v>
      </c>
      <c r="I4" s="38" t="s">
        <v>142</v>
      </c>
      <c r="J4" s="41" t="s">
        <v>156</v>
      </c>
      <c r="K4" s="38">
        <v>97</v>
      </c>
    </row>
    <row r="5" spans="1:11" ht="23.5" hidden="1" thickBot="1">
      <c r="A5" s="84">
        <v>4500069104</v>
      </c>
      <c r="B5" s="39">
        <v>45401</v>
      </c>
      <c r="C5" s="40">
        <v>0.375</v>
      </c>
      <c r="D5" s="38">
        <v>113722</v>
      </c>
      <c r="E5" s="38">
        <v>18114</v>
      </c>
      <c r="F5" s="39">
        <v>45401</v>
      </c>
      <c r="G5" s="40">
        <v>0.38194444444444442</v>
      </c>
      <c r="H5" s="41" t="s">
        <v>138</v>
      </c>
      <c r="I5" s="38" t="s">
        <v>139</v>
      </c>
      <c r="J5" s="41" t="s">
        <v>118</v>
      </c>
      <c r="K5" s="38">
        <v>160</v>
      </c>
    </row>
    <row r="6" spans="1:11" ht="23.5" hidden="1" thickBot="1">
      <c r="A6" s="84">
        <v>4500069104</v>
      </c>
      <c r="B6" s="39">
        <v>45401</v>
      </c>
      <c r="C6" s="40">
        <v>0.375</v>
      </c>
      <c r="D6" s="38">
        <v>113723</v>
      </c>
      <c r="E6" s="38">
        <v>18237</v>
      </c>
      <c r="F6" s="39">
        <v>45401</v>
      </c>
      <c r="G6" s="40">
        <v>0.38194444444444442</v>
      </c>
      <c r="H6" s="41" t="s">
        <v>138</v>
      </c>
      <c r="I6" s="38" t="s">
        <v>139</v>
      </c>
      <c r="J6" s="41" t="s">
        <v>118</v>
      </c>
      <c r="K6" s="38">
        <v>120</v>
      </c>
    </row>
    <row r="7" spans="1:11" ht="76" hidden="1" thickBot="1">
      <c r="A7" s="84" t="s">
        <v>192</v>
      </c>
      <c r="B7" s="43">
        <v>45405</v>
      </c>
      <c r="C7" s="47">
        <v>0.32847222222222222</v>
      </c>
      <c r="D7" s="38">
        <v>113744</v>
      </c>
      <c r="E7" s="38">
        <v>18141</v>
      </c>
      <c r="F7" s="39">
        <v>45405</v>
      </c>
      <c r="G7" s="40">
        <v>0.41458333333333336</v>
      </c>
      <c r="H7" s="46" t="s">
        <v>193</v>
      </c>
      <c r="I7" s="48" t="s">
        <v>141</v>
      </c>
      <c r="J7" s="41" t="s">
        <v>194</v>
      </c>
      <c r="K7" s="38">
        <v>20</v>
      </c>
    </row>
    <row r="8" spans="1:11" ht="46.5" hidden="1" thickBot="1">
      <c r="A8" s="84">
        <v>1001451962</v>
      </c>
      <c r="B8" s="43">
        <v>45405</v>
      </c>
      <c r="C8" s="47">
        <v>0.74097222222222225</v>
      </c>
      <c r="D8" s="38">
        <v>113773</v>
      </c>
      <c r="E8" s="38">
        <v>18120</v>
      </c>
      <c r="F8" s="39">
        <v>45407</v>
      </c>
      <c r="G8" s="40">
        <v>0.66666666666666663</v>
      </c>
      <c r="H8" s="46" t="s">
        <v>195</v>
      </c>
      <c r="I8" s="48" t="s">
        <v>141</v>
      </c>
      <c r="J8" s="41" t="s">
        <v>145</v>
      </c>
      <c r="K8" s="38">
        <v>20</v>
      </c>
    </row>
    <row r="9" spans="1:11" ht="38.5" hidden="1" thickBot="1">
      <c r="A9" s="86" t="s">
        <v>196</v>
      </c>
      <c r="B9" s="48" t="s">
        <v>197</v>
      </c>
      <c r="C9" s="47">
        <v>0.375</v>
      </c>
      <c r="D9" s="38">
        <v>113755</v>
      </c>
      <c r="E9" s="38">
        <v>18162</v>
      </c>
      <c r="F9" s="39">
        <v>45406</v>
      </c>
      <c r="G9" s="40">
        <v>0.41875000000000001</v>
      </c>
      <c r="H9" s="46" t="s">
        <v>146</v>
      </c>
      <c r="I9" s="48" t="s">
        <v>147</v>
      </c>
      <c r="J9" s="41" t="s">
        <v>140</v>
      </c>
      <c r="K9" s="38">
        <v>7</v>
      </c>
    </row>
    <row r="10" spans="1:11" ht="38.5" hidden="1" thickBot="1">
      <c r="A10" s="86" t="s">
        <v>196</v>
      </c>
      <c r="B10" s="48" t="s">
        <v>197</v>
      </c>
      <c r="C10" s="47">
        <v>0.375</v>
      </c>
      <c r="D10" s="38">
        <v>113756</v>
      </c>
      <c r="E10" s="38">
        <v>18272</v>
      </c>
      <c r="F10" s="39">
        <v>45406</v>
      </c>
      <c r="G10" s="40">
        <v>0.43680555555555556</v>
      </c>
      <c r="H10" s="46" t="s">
        <v>146</v>
      </c>
      <c r="I10" s="48" t="s">
        <v>147</v>
      </c>
      <c r="J10" s="41" t="s">
        <v>140</v>
      </c>
      <c r="K10" s="38">
        <v>5</v>
      </c>
    </row>
    <row r="11" spans="1:11" ht="46.5" hidden="1" thickBot="1">
      <c r="A11" s="86" t="s">
        <v>196</v>
      </c>
      <c r="B11" s="43">
        <v>45406</v>
      </c>
      <c r="C11" s="47">
        <v>0.375</v>
      </c>
      <c r="D11" s="38">
        <v>113756</v>
      </c>
      <c r="E11" s="38">
        <v>18272</v>
      </c>
      <c r="F11" s="39">
        <v>45406</v>
      </c>
      <c r="G11" s="40">
        <v>0.43680555555555556</v>
      </c>
      <c r="H11" s="46" t="s">
        <v>146</v>
      </c>
      <c r="I11" s="48" t="s">
        <v>147</v>
      </c>
      <c r="J11" s="41" t="s">
        <v>145</v>
      </c>
      <c r="K11" s="38">
        <v>80</v>
      </c>
    </row>
    <row r="12" spans="1:11" ht="76" hidden="1" thickBot="1">
      <c r="A12" s="84" t="s">
        <v>198</v>
      </c>
      <c r="B12" s="43">
        <v>45406</v>
      </c>
      <c r="C12" s="47">
        <v>0.68194444444444446</v>
      </c>
      <c r="D12" s="38">
        <v>113768</v>
      </c>
      <c r="E12" s="38">
        <v>18116</v>
      </c>
      <c r="F12" s="39">
        <v>45407</v>
      </c>
      <c r="G12" s="40">
        <v>0.52638888888888891</v>
      </c>
      <c r="H12" s="46" t="s">
        <v>154</v>
      </c>
      <c r="I12" s="48" t="s">
        <v>155</v>
      </c>
      <c r="J12" s="41" t="s">
        <v>115</v>
      </c>
      <c r="K12" s="38">
        <v>40</v>
      </c>
    </row>
    <row r="13" spans="1:11" ht="76" hidden="1" thickBot="1">
      <c r="A13" s="84" t="s">
        <v>199</v>
      </c>
      <c r="B13" s="43">
        <v>45406</v>
      </c>
      <c r="C13" s="47">
        <v>0.68194444444444446</v>
      </c>
      <c r="D13" s="38">
        <v>113767</v>
      </c>
      <c r="E13" s="38">
        <v>18210</v>
      </c>
      <c r="F13" s="39">
        <v>45407</v>
      </c>
      <c r="G13" s="40">
        <v>0.52638888888888891</v>
      </c>
      <c r="H13" s="46" t="s">
        <v>154</v>
      </c>
      <c r="I13" s="48" t="s">
        <v>155</v>
      </c>
      <c r="J13" s="41" t="s">
        <v>156</v>
      </c>
      <c r="K13" s="38">
        <v>400</v>
      </c>
    </row>
    <row r="14" spans="1:11" ht="76" hidden="1" thickBot="1">
      <c r="A14" s="84" t="s">
        <v>200</v>
      </c>
      <c r="B14" s="43">
        <v>45406</v>
      </c>
      <c r="C14" s="47">
        <v>0.68194444444444446</v>
      </c>
      <c r="D14" s="38">
        <v>113766</v>
      </c>
      <c r="E14" s="38">
        <v>18117</v>
      </c>
      <c r="F14" s="39">
        <v>45407</v>
      </c>
      <c r="G14" s="40">
        <v>0.52638888888888891</v>
      </c>
      <c r="H14" s="46" t="s">
        <v>154</v>
      </c>
      <c r="I14" s="48" t="s">
        <v>155</v>
      </c>
      <c r="J14" s="41" t="s">
        <v>194</v>
      </c>
      <c r="K14" s="38">
        <v>4</v>
      </c>
    </row>
    <row r="15" spans="1:11" ht="51" hidden="1" thickBot="1">
      <c r="A15" s="84">
        <v>5502282955</v>
      </c>
      <c r="B15" s="43">
        <v>45407</v>
      </c>
      <c r="C15" s="47">
        <v>0.63194444444444442</v>
      </c>
      <c r="D15" s="38">
        <v>113774</v>
      </c>
      <c r="E15" s="38">
        <v>18121</v>
      </c>
      <c r="F15" s="39">
        <v>45408</v>
      </c>
      <c r="G15" s="40">
        <v>0.37638888888888888</v>
      </c>
      <c r="H15" s="46" t="s">
        <v>52</v>
      </c>
      <c r="I15" s="48" t="s">
        <v>137</v>
      </c>
      <c r="J15" s="41" t="s">
        <v>194</v>
      </c>
      <c r="K15" s="38">
        <v>80</v>
      </c>
    </row>
    <row r="16" spans="1:11" ht="23.5" hidden="1" thickBot="1">
      <c r="A16" s="84">
        <v>933060</v>
      </c>
      <c r="B16" s="39">
        <v>45407</v>
      </c>
      <c r="C16" s="40">
        <v>0.72291666666666665</v>
      </c>
      <c r="D16" s="38">
        <v>113775</v>
      </c>
      <c r="E16" s="38">
        <v>18156</v>
      </c>
      <c r="F16" s="39">
        <v>45408</v>
      </c>
      <c r="G16" s="49">
        <v>0.37986111111111109</v>
      </c>
      <c r="H16" s="46" t="s">
        <v>38</v>
      </c>
      <c r="I16" s="38" t="s">
        <v>141</v>
      </c>
      <c r="J16" s="41" t="s">
        <v>113</v>
      </c>
      <c r="K16" s="38">
        <v>6</v>
      </c>
    </row>
    <row r="17" spans="1:11" ht="38.5" hidden="1" thickBot="1">
      <c r="A17" s="84" t="s">
        <v>201</v>
      </c>
      <c r="B17" s="39">
        <v>45408</v>
      </c>
      <c r="C17" s="40">
        <v>0.47430555555555554</v>
      </c>
      <c r="D17" s="38">
        <v>113782</v>
      </c>
      <c r="E17" s="38">
        <v>18126</v>
      </c>
      <c r="F17" s="39">
        <v>45408</v>
      </c>
      <c r="G17" s="40">
        <v>0.52430555555555558</v>
      </c>
      <c r="H17" s="46" t="s">
        <v>119</v>
      </c>
      <c r="I17" s="38" t="s">
        <v>180</v>
      </c>
      <c r="J17" s="41" t="s">
        <v>189</v>
      </c>
      <c r="K17" s="38">
        <v>200</v>
      </c>
    </row>
    <row r="18" spans="1:11" ht="23.5" hidden="1" thickBot="1">
      <c r="A18" s="84">
        <v>521</v>
      </c>
      <c r="B18" s="39">
        <v>45408</v>
      </c>
      <c r="C18" s="40">
        <v>0.66180555555555554</v>
      </c>
      <c r="D18" s="38">
        <v>113783</v>
      </c>
      <c r="E18" s="38">
        <v>18134</v>
      </c>
      <c r="F18" s="39">
        <v>45411</v>
      </c>
      <c r="G18" s="40">
        <v>0.39444444444444443</v>
      </c>
      <c r="H18" s="46" t="s">
        <v>163</v>
      </c>
      <c r="I18" s="38" t="s">
        <v>80</v>
      </c>
      <c r="J18" s="41" t="s">
        <v>202</v>
      </c>
      <c r="K18" s="48">
        <v>2</v>
      </c>
    </row>
    <row r="19" spans="1:11" ht="76" hidden="1" thickBot="1">
      <c r="A19" s="84" t="s">
        <v>203</v>
      </c>
      <c r="B19" s="39">
        <v>45408</v>
      </c>
      <c r="C19" s="40">
        <v>0.68263888888888891</v>
      </c>
      <c r="D19" s="38">
        <v>113785</v>
      </c>
      <c r="E19" s="38">
        <v>18140</v>
      </c>
      <c r="F19" s="39">
        <v>45411</v>
      </c>
      <c r="G19" s="40">
        <v>0.45763888888888887</v>
      </c>
      <c r="H19" s="46" t="s">
        <v>193</v>
      </c>
      <c r="I19" s="38" t="s">
        <v>76</v>
      </c>
      <c r="J19" s="41" t="s">
        <v>113</v>
      </c>
      <c r="K19" s="38">
        <v>2</v>
      </c>
    </row>
    <row r="20" spans="1:11" ht="38.5" hidden="1" thickBot="1">
      <c r="A20" s="84" t="s">
        <v>204</v>
      </c>
      <c r="B20" s="39">
        <v>45408</v>
      </c>
      <c r="C20" s="40">
        <v>0.78333333333333333</v>
      </c>
      <c r="D20" s="38">
        <v>113786</v>
      </c>
      <c r="E20" s="38">
        <v>18125</v>
      </c>
      <c r="F20" s="39">
        <v>45411</v>
      </c>
      <c r="G20" s="40">
        <v>0.45763888888888887</v>
      </c>
      <c r="H20" s="46" t="s">
        <v>119</v>
      </c>
      <c r="I20" s="38" t="s">
        <v>180</v>
      </c>
      <c r="J20" s="41" t="s">
        <v>158</v>
      </c>
      <c r="K20" s="38">
        <v>20</v>
      </c>
    </row>
    <row r="21" spans="1:11" ht="38.5" hidden="1" thickBot="1">
      <c r="A21" s="84">
        <v>41083</v>
      </c>
      <c r="B21" s="39">
        <v>45411</v>
      </c>
      <c r="C21" s="40">
        <v>0.60416666666666663</v>
      </c>
      <c r="D21" s="38">
        <v>113788</v>
      </c>
      <c r="E21" s="38">
        <v>18131</v>
      </c>
      <c r="F21" s="39">
        <v>45411</v>
      </c>
      <c r="G21" s="40">
        <v>0.62152777777777779</v>
      </c>
      <c r="H21" s="46" t="s">
        <v>205</v>
      </c>
      <c r="I21" s="38" t="s">
        <v>82</v>
      </c>
      <c r="J21" s="41" t="s">
        <v>206</v>
      </c>
      <c r="K21" s="48">
        <v>36</v>
      </c>
    </row>
    <row r="22" spans="1:11" ht="38.5" hidden="1" thickBot="1">
      <c r="A22" s="84">
        <v>41083</v>
      </c>
      <c r="B22" s="39">
        <v>45411</v>
      </c>
      <c r="C22" s="40">
        <v>0.60416666666666663</v>
      </c>
      <c r="D22" s="38">
        <v>113788</v>
      </c>
      <c r="E22" s="38">
        <v>18131</v>
      </c>
      <c r="F22" s="39">
        <v>45411</v>
      </c>
      <c r="G22" s="40">
        <v>0.62152777777777779</v>
      </c>
      <c r="H22" s="46" t="s">
        <v>205</v>
      </c>
      <c r="I22" s="38" t="s">
        <v>82</v>
      </c>
      <c r="J22" s="50" t="s">
        <v>112</v>
      </c>
      <c r="K22" s="48">
        <v>6</v>
      </c>
    </row>
    <row r="23" spans="1:11" ht="38.5" hidden="1" thickBot="1">
      <c r="A23" s="84">
        <v>41083</v>
      </c>
      <c r="B23" s="39">
        <v>45411</v>
      </c>
      <c r="C23" s="40">
        <v>0.60416666666666663</v>
      </c>
      <c r="D23" s="38">
        <v>113788</v>
      </c>
      <c r="E23" s="38">
        <v>18131</v>
      </c>
      <c r="F23" s="39">
        <v>45411</v>
      </c>
      <c r="G23" s="40">
        <v>0.62152777777777779</v>
      </c>
      <c r="H23" s="46" t="s">
        <v>205</v>
      </c>
      <c r="I23" s="38" t="s">
        <v>82</v>
      </c>
      <c r="J23" s="41" t="s">
        <v>207</v>
      </c>
      <c r="K23" s="48">
        <v>36</v>
      </c>
    </row>
    <row r="24" spans="1:11" ht="23.5" hidden="1" thickBot="1">
      <c r="A24" s="84">
        <v>523</v>
      </c>
      <c r="B24" s="39">
        <v>45412</v>
      </c>
      <c r="C24" s="40">
        <v>0.3125</v>
      </c>
      <c r="D24" s="38">
        <v>113789</v>
      </c>
      <c r="E24" s="38">
        <v>18135</v>
      </c>
      <c r="F24" s="39">
        <v>45412</v>
      </c>
      <c r="G24" s="40">
        <v>0.31666666666666665</v>
      </c>
      <c r="H24" s="46" t="s">
        <v>163</v>
      </c>
      <c r="I24" s="38" t="s">
        <v>80</v>
      </c>
      <c r="J24" s="41" t="s">
        <v>112</v>
      </c>
      <c r="K24" s="38">
        <v>30</v>
      </c>
    </row>
    <row r="25" spans="1:11" ht="23.5" hidden="1" thickBot="1">
      <c r="A25" s="84">
        <v>523</v>
      </c>
      <c r="B25" s="39">
        <v>45412</v>
      </c>
      <c r="C25" s="40">
        <v>0.3125</v>
      </c>
      <c r="D25" s="38">
        <v>113789</v>
      </c>
      <c r="E25" s="38">
        <v>18135</v>
      </c>
      <c r="F25" s="39">
        <v>45412</v>
      </c>
      <c r="G25" s="40">
        <v>0.31666666666666665</v>
      </c>
      <c r="H25" s="46" t="s">
        <v>163</v>
      </c>
      <c r="I25" s="38" t="s">
        <v>80</v>
      </c>
      <c r="J25" s="41" t="s">
        <v>151</v>
      </c>
      <c r="K25" s="38">
        <v>4</v>
      </c>
    </row>
    <row r="26" spans="1:11" ht="38.5" hidden="1" thickBot="1">
      <c r="A26" s="84" t="s">
        <v>208</v>
      </c>
      <c r="B26" s="39">
        <v>45411</v>
      </c>
      <c r="C26" s="40">
        <v>0.90972222222222221</v>
      </c>
      <c r="D26" s="38">
        <v>113790</v>
      </c>
      <c r="E26" s="38">
        <v>18130</v>
      </c>
      <c r="F26" s="39">
        <v>45412</v>
      </c>
      <c r="G26" s="40">
        <v>0.32777777777777778</v>
      </c>
      <c r="H26" s="46" t="s">
        <v>31</v>
      </c>
      <c r="I26" s="38" t="s">
        <v>82</v>
      </c>
      <c r="J26" s="41" t="s">
        <v>209</v>
      </c>
      <c r="K26" s="38">
        <v>10</v>
      </c>
    </row>
    <row r="27" spans="1:11" ht="35" hidden="1" thickBot="1">
      <c r="A27" s="84">
        <v>935595</v>
      </c>
      <c r="B27" s="39">
        <v>45411</v>
      </c>
      <c r="C27" s="40">
        <v>0.74305555555555558</v>
      </c>
      <c r="D27" s="38">
        <v>113791</v>
      </c>
      <c r="E27" s="38">
        <v>18164</v>
      </c>
      <c r="F27" s="39">
        <v>45412</v>
      </c>
      <c r="G27" s="40">
        <v>0.3298611111111111</v>
      </c>
      <c r="H27" s="46" t="s">
        <v>38</v>
      </c>
      <c r="I27" s="38" t="s">
        <v>141</v>
      </c>
      <c r="J27" s="41" t="s">
        <v>143</v>
      </c>
      <c r="K27" s="38">
        <v>4</v>
      </c>
    </row>
    <row r="28" spans="1:11" ht="35" thickBot="1">
      <c r="A28" s="87">
        <v>1</v>
      </c>
      <c r="B28" s="39">
        <v>45411</v>
      </c>
      <c r="C28" s="40">
        <v>0.70138888888888884</v>
      </c>
      <c r="D28" s="38">
        <v>113792</v>
      </c>
      <c r="E28" s="38">
        <v>18133</v>
      </c>
      <c r="F28" s="39">
        <v>45412</v>
      </c>
      <c r="G28" s="40">
        <v>0.33194444444444443</v>
      </c>
      <c r="H28" s="46" t="s">
        <v>210</v>
      </c>
      <c r="I28" s="38" t="s">
        <v>178</v>
      </c>
      <c r="J28" s="41" t="s">
        <v>207</v>
      </c>
      <c r="K28" s="38">
        <v>7</v>
      </c>
    </row>
    <row r="29" spans="1:11" ht="35" hidden="1" thickBot="1">
      <c r="A29" s="84">
        <v>935360</v>
      </c>
      <c r="B29" s="39">
        <v>45411</v>
      </c>
      <c r="C29" s="40">
        <v>0.6694444444444444</v>
      </c>
      <c r="D29" s="38">
        <v>113798</v>
      </c>
      <c r="E29" s="38">
        <v>18154</v>
      </c>
      <c r="F29" s="39">
        <v>45412</v>
      </c>
      <c r="G29" s="40">
        <v>0.43541666666666667</v>
      </c>
      <c r="H29" s="46" t="s">
        <v>30</v>
      </c>
      <c r="I29" s="38" t="s">
        <v>80</v>
      </c>
      <c r="J29" s="41" t="s">
        <v>143</v>
      </c>
      <c r="K29" s="38">
        <v>4</v>
      </c>
    </row>
    <row r="30" spans="1:11" ht="51" hidden="1" thickBot="1">
      <c r="A30" s="84">
        <v>4503305140</v>
      </c>
      <c r="B30" s="39">
        <v>45411</v>
      </c>
      <c r="C30" s="40">
        <v>0.64166666666666672</v>
      </c>
      <c r="D30" s="38">
        <v>113799</v>
      </c>
      <c r="E30" s="38">
        <v>18175</v>
      </c>
      <c r="F30" s="39">
        <v>45412</v>
      </c>
      <c r="G30" s="40">
        <v>0.43611111111111112</v>
      </c>
      <c r="H30" s="46" t="s">
        <v>174</v>
      </c>
      <c r="I30" s="38" t="s">
        <v>142</v>
      </c>
      <c r="J30" s="50" t="s">
        <v>145</v>
      </c>
      <c r="K30" s="38">
        <v>240</v>
      </c>
    </row>
    <row r="31" spans="1:11" ht="47" hidden="1" thickBot="1">
      <c r="A31" s="84" t="s">
        <v>211</v>
      </c>
      <c r="B31" s="39">
        <v>45411</v>
      </c>
      <c r="C31" s="40">
        <v>0.62847222222222221</v>
      </c>
      <c r="D31" s="38">
        <v>113793</v>
      </c>
      <c r="E31" s="38">
        <v>18137</v>
      </c>
      <c r="F31" s="39">
        <v>45412</v>
      </c>
      <c r="G31" s="40">
        <v>0.34027777777777779</v>
      </c>
      <c r="H31" s="46" t="s">
        <v>167</v>
      </c>
      <c r="I31" s="38" t="s">
        <v>168</v>
      </c>
      <c r="J31" s="50" t="s">
        <v>145</v>
      </c>
      <c r="K31" s="38">
        <v>24</v>
      </c>
    </row>
    <row r="32" spans="1:11" ht="23.5" hidden="1" thickBot="1">
      <c r="A32" s="84">
        <v>935170</v>
      </c>
      <c r="B32" s="39">
        <v>45411</v>
      </c>
      <c r="C32" s="40">
        <v>0.58611111111111114</v>
      </c>
      <c r="D32" s="38">
        <v>113794</v>
      </c>
      <c r="E32" s="38">
        <v>18182</v>
      </c>
      <c r="F32" s="39">
        <v>45412</v>
      </c>
      <c r="G32" s="40">
        <v>0.34166666666666667</v>
      </c>
      <c r="H32" s="46" t="s">
        <v>38</v>
      </c>
      <c r="I32" s="38" t="s">
        <v>142</v>
      </c>
      <c r="J32" s="41" t="s">
        <v>118</v>
      </c>
      <c r="K32" s="38">
        <v>1</v>
      </c>
    </row>
    <row r="33" spans="1:11" ht="35" hidden="1" thickBot="1">
      <c r="A33" s="84">
        <v>934396</v>
      </c>
      <c r="B33" s="39">
        <v>45409</v>
      </c>
      <c r="C33" s="40">
        <v>0.85486111111111107</v>
      </c>
      <c r="D33" s="38">
        <v>113795</v>
      </c>
      <c r="E33" s="38">
        <v>18132</v>
      </c>
      <c r="F33" s="39">
        <v>45412</v>
      </c>
      <c r="G33" s="40">
        <v>0.34652777777777777</v>
      </c>
      <c r="H33" s="46" t="s">
        <v>38</v>
      </c>
      <c r="I33" s="38" t="s">
        <v>141</v>
      </c>
      <c r="J33" s="41" t="s">
        <v>212</v>
      </c>
      <c r="K33" s="38">
        <v>4</v>
      </c>
    </row>
    <row r="34" spans="1:11" ht="38.5" hidden="1" thickBot="1">
      <c r="A34" s="84">
        <v>935018</v>
      </c>
      <c r="B34" s="39">
        <v>45411</v>
      </c>
      <c r="C34" s="40">
        <v>0.50486111111111109</v>
      </c>
      <c r="D34" s="38">
        <v>113796</v>
      </c>
      <c r="E34" s="38">
        <v>18118</v>
      </c>
      <c r="F34" s="39">
        <v>45412</v>
      </c>
      <c r="G34" s="40">
        <v>0.35</v>
      </c>
      <c r="H34" s="46" t="s">
        <v>51</v>
      </c>
      <c r="I34" s="38" t="s">
        <v>78</v>
      </c>
      <c r="J34" s="41" t="s">
        <v>112</v>
      </c>
      <c r="K34" s="38">
        <v>3</v>
      </c>
    </row>
    <row r="35" spans="1:11" ht="26" hidden="1" thickBot="1">
      <c r="A35" s="84">
        <v>935007</v>
      </c>
      <c r="B35" s="43">
        <v>45411</v>
      </c>
      <c r="C35" s="47">
        <v>0.49375000000000002</v>
      </c>
      <c r="D35" s="38">
        <v>113800</v>
      </c>
      <c r="E35" s="38">
        <v>18128</v>
      </c>
      <c r="F35" s="39">
        <v>45412</v>
      </c>
      <c r="G35" s="40">
        <v>0.43611111111111112</v>
      </c>
      <c r="H35" s="46" t="s">
        <v>30</v>
      </c>
      <c r="I35" s="48" t="s">
        <v>84</v>
      </c>
      <c r="J35" s="41" t="s">
        <v>140</v>
      </c>
      <c r="K35" s="38">
        <v>6</v>
      </c>
    </row>
    <row r="36" spans="1:11" ht="26" hidden="1" thickBot="1">
      <c r="A36" s="84">
        <v>935007</v>
      </c>
      <c r="B36" s="43">
        <v>45411</v>
      </c>
      <c r="C36" s="47">
        <v>0.49375000000000002</v>
      </c>
      <c r="D36" s="38">
        <v>113801</v>
      </c>
      <c r="E36" s="38">
        <v>18224</v>
      </c>
      <c r="F36" s="39">
        <v>45412</v>
      </c>
      <c r="G36" s="40">
        <v>0.43611111111111112</v>
      </c>
      <c r="H36" s="46" t="s">
        <v>30</v>
      </c>
      <c r="I36" s="48" t="s">
        <v>84</v>
      </c>
      <c r="J36" s="41" t="s">
        <v>113</v>
      </c>
      <c r="K36" s="38">
        <v>42</v>
      </c>
    </row>
    <row r="37" spans="1:11" ht="38.5" thickBot="1">
      <c r="A37" s="87">
        <v>2</v>
      </c>
      <c r="B37" s="39">
        <v>45412</v>
      </c>
      <c r="C37" s="40">
        <v>0.39861111111111114</v>
      </c>
      <c r="D37" s="38">
        <v>113807</v>
      </c>
      <c r="E37" s="38">
        <v>18138</v>
      </c>
      <c r="F37" s="39">
        <v>45412</v>
      </c>
      <c r="G37" s="40">
        <v>0.61805555555555558</v>
      </c>
      <c r="H37" s="46" t="s">
        <v>45</v>
      </c>
      <c r="I37" s="38" t="s">
        <v>78</v>
      </c>
      <c r="J37" s="41" t="s">
        <v>207</v>
      </c>
      <c r="K37" s="38">
        <v>4</v>
      </c>
    </row>
    <row r="38" spans="1:11" ht="38.5" hidden="1" thickBot="1">
      <c r="A38" s="84" t="s">
        <v>213</v>
      </c>
      <c r="B38" s="39">
        <v>45412</v>
      </c>
      <c r="C38" s="40">
        <v>0.4152777777777778</v>
      </c>
      <c r="D38" s="38">
        <v>113803</v>
      </c>
      <c r="E38" s="38">
        <v>18122</v>
      </c>
      <c r="F38" s="39">
        <v>45412</v>
      </c>
      <c r="G38" s="40">
        <v>0.46250000000000002</v>
      </c>
      <c r="H38" s="46" t="s">
        <v>54</v>
      </c>
      <c r="I38" s="38" t="s">
        <v>75</v>
      </c>
      <c r="J38" s="41" t="s">
        <v>214</v>
      </c>
      <c r="K38" s="38">
        <v>4</v>
      </c>
    </row>
    <row r="39" spans="1:11" ht="38.5" hidden="1" thickBot="1">
      <c r="A39" s="84" t="s">
        <v>213</v>
      </c>
      <c r="B39" s="39">
        <v>45412</v>
      </c>
      <c r="C39" s="40">
        <v>0.4152777777777778</v>
      </c>
      <c r="D39" s="38">
        <v>113803</v>
      </c>
      <c r="E39" s="38">
        <v>18122</v>
      </c>
      <c r="F39" s="39">
        <v>45412</v>
      </c>
      <c r="G39" s="40">
        <v>0.46250000000000002</v>
      </c>
      <c r="H39" s="46" t="s">
        <v>54</v>
      </c>
      <c r="I39" s="38" t="s">
        <v>75</v>
      </c>
      <c r="J39" s="41" t="s">
        <v>215</v>
      </c>
      <c r="K39" s="38">
        <v>10</v>
      </c>
    </row>
    <row r="40" spans="1:11" ht="38.5" hidden="1" thickBot="1">
      <c r="A40" s="84" t="s">
        <v>213</v>
      </c>
      <c r="B40" s="39">
        <v>45412</v>
      </c>
      <c r="C40" s="40">
        <v>0.4152777777777778</v>
      </c>
      <c r="D40" s="38">
        <v>113803</v>
      </c>
      <c r="E40" s="38">
        <v>18122</v>
      </c>
      <c r="F40" s="39">
        <v>45412</v>
      </c>
      <c r="G40" s="40">
        <v>0.46250000000000002</v>
      </c>
      <c r="H40" s="46" t="s">
        <v>54</v>
      </c>
      <c r="I40" s="38" t="s">
        <v>75</v>
      </c>
      <c r="J40" s="41" t="s">
        <v>112</v>
      </c>
      <c r="K40" s="38">
        <v>20</v>
      </c>
    </row>
    <row r="41" spans="1:11" ht="51" hidden="1" thickBot="1">
      <c r="A41" s="84" t="s">
        <v>216</v>
      </c>
      <c r="B41" s="39">
        <v>45412</v>
      </c>
      <c r="C41" s="40">
        <v>0.51458333333333328</v>
      </c>
      <c r="D41" s="38">
        <v>113805</v>
      </c>
      <c r="E41" s="38">
        <v>18136</v>
      </c>
      <c r="F41" s="39">
        <v>45412</v>
      </c>
      <c r="G41" s="40">
        <v>0.54097222222222219</v>
      </c>
      <c r="H41" s="46" t="s">
        <v>169</v>
      </c>
      <c r="I41" s="38" t="s">
        <v>147</v>
      </c>
      <c r="J41" s="41" t="s">
        <v>153</v>
      </c>
      <c r="K41" s="38">
        <v>4</v>
      </c>
    </row>
    <row r="42" spans="1:11" ht="26" hidden="1" thickBot="1">
      <c r="A42" s="88">
        <v>49287</v>
      </c>
      <c r="B42" s="39">
        <v>45412</v>
      </c>
      <c r="C42" s="47">
        <v>0.54027777777777775</v>
      </c>
      <c r="D42" s="48">
        <v>113806</v>
      </c>
      <c r="E42" s="48">
        <v>18124</v>
      </c>
      <c r="F42" s="39">
        <v>45412</v>
      </c>
      <c r="G42" s="40">
        <v>0.62361111111111112</v>
      </c>
      <c r="H42" s="46" t="s">
        <v>157</v>
      </c>
      <c r="I42" s="48" t="s">
        <v>78</v>
      </c>
      <c r="J42" s="50" t="s">
        <v>189</v>
      </c>
      <c r="K42" s="48">
        <v>10</v>
      </c>
    </row>
    <row r="43" spans="1:11" ht="38.5" hidden="1" thickBot="1">
      <c r="A43" s="88" t="s">
        <v>217</v>
      </c>
      <c r="B43" s="43">
        <v>45412</v>
      </c>
      <c r="C43" s="47">
        <v>0.61944444444444446</v>
      </c>
      <c r="D43" s="48">
        <v>113808</v>
      </c>
      <c r="E43" s="48">
        <v>18127</v>
      </c>
      <c r="F43" s="39">
        <v>45414</v>
      </c>
      <c r="G43" s="40">
        <v>0.41805555555555557</v>
      </c>
      <c r="H43" s="46" t="s">
        <v>144</v>
      </c>
      <c r="I43" s="48" t="s">
        <v>88</v>
      </c>
      <c r="J43" s="50" t="s">
        <v>209</v>
      </c>
      <c r="K43" s="48">
        <v>1</v>
      </c>
    </row>
    <row r="44" spans="1:11" ht="38.5" hidden="1" thickBot="1">
      <c r="A44" s="88" t="s">
        <v>217</v>
      </c>
      <c r="B44" s="43">
        <v>45412</v>
      </c>
      <c r="C44" s="47">
        <v>0.61944444444444446</v>
      </c>
      <c r="D44" s="48">
        <v>113808</v>
      </c>
      <c r="E44" s="48">
        <v>18127</v>
      </c>
      <c r="F44" s="39">
        <v>45414</v>
      </c>
      <c r="G44" s="40">
        <v>0.41805555555555557</v>
      </c>
      <c r="H44" s="46" t="s">
        <v>144</v>
      </c>
      <c r="I44" s="48" t="s">
        <v>88</v>
      </c>
      <c r="J44" s="41" t="s">
        <v>218</v>
      </c>
      <c r="K44" s="38">
        <v>10</v>
      </c>
    </row>
    <row r="45" spans="1:11" ht="24.5" hidden="1" thickBot="1">
      <c r="A45" s="89" t="s">
        <v>123</v>
      </c>
      <c r="B45" s="43">
        <v>45414</v>
      </c>
      <c r="C45" s="47">
        <v>0.4152777777777778</v>
      </c>
      <c r="D45" s="48">
        <v>113809</v>
      </c>
      <c r="E45" s="48">
        <v>18115</v>
      </c>
      <c r="F45" s="39">
        <v>45414</v>
      </c>
      <c r="G45" s="40">
        <v>0.45208333333333334</v>
      </c>
      <c r="H45" s="46" t="s">
        <v>219</v>
      </c>
      <c r="I45" s="48" t="s">
        <v>78</v>
      </c>
      <c r="J45" s="51" t="s">
        <v>189</v>
      </c>
      <c r="K45" s="38">
        <v>84</v>
      </c>
    </row>
    <row r="46" spans="1:11" ht="23.5" hidden="1" thickBot="1">
      <c r="A46" s="88">
        <v>4500069406</v>
      </c>
      <c r="B46" s="43">
        <v>45412</v>
      </c>
      <c r="C46" s="47">
        <v>0.68125000000000002</v>
      </c>
      <c r="D46" s="48">
        <v>113810</v>
      </c>
      <c r="E46" s="48">
        <v>18384</v>
      </c>
      <c r="F46" s="39">
        <v>45414</v>
      </c>
      <c r="G46" s="40">
        <v>0.45208333333333334</v>
      </c>
      <c r="H46" s="46" t="s">
        <v>57</v>
      </c>
      <c r="I46" s="48" t="s">
        <v>83</v>
      </c>
      <c r="J46" s="41" t="s">
        <v>215</v>
      </c>
      <c r="K46" s="38">
        <v>20</v>
      </c>
    </row>
    <row r="47" spans="1:11" ht="23.5" hidden="1" thickBot="1">
      <c r="A47" s="88">
        <v>4500069406</v>
      </c>
      <c r="B47" s="43">
        <v>45412</v>
      </c>
      <c r="C47" s="47">
        <v>0.68125000000000002</v>
      </c>
      <c r="D47" s="48">
        <v>113810</v>
      </c>
      <c r="E47" s="48">
        <v>18384</v>
      </c>
      <c r="F47" s="39">
        <v>45414</v>
      </c>
      <c r="G47" s="40">
        <v>0.45208333333333334</v>
      </c>
      <c r="H47" s="46" t="s">
        <v>57</v>
      </c>
      <c r="I47" s="48" t="s">
        <v>83</v>
      </c>
      <c r="J47" s="41" t="s">
        <v>115</v>
      </c>
      <c r="K47" s="38">
        <v>80</v>
      </c>
    </row>
    <row r="48" spans="1:11" ht="23.5" hidden="1" thickBot="1">
      <c r="A48" s="88">
        <v>4500069406</v>
      </c>
      <c r="B48" s="43">
        <v>45412</v>
      </c>
      <c r="C48" s="47">
        <v>0.68125000000000002</v>
      </c>
      <c r="D48" s="48">
        <v>113810</v>
      </c>
      <c r="E48" s="48">
        <v>18384</v>
      </c>
      <c r="F48" s="39">
        <v>45414</v>
      </c>
      <c r="G48" s="40">
        <v>0.45208333333333334</v>
      </c>
      <c r="H48" s="46" t="s">
        <v>57</v>
      </c>
      <c r="I48" s="48" t="s">
        <v>83</v>
      </c>
      <c r="J48" s="41" t="s">
        <v>110</v>
      </c>
      <c r="K48" s="38">
        <v>32</v>
      </c>
    </row>
    <row r="49" spans="1:11" ht="23.5" hidden="1" thickBot="1">
      <c r="A49" s="88">
        <v>4500069406</v>
      </c>
      <c r="B49" s="43">
        <v>45412</v>
      </c>
      <c r="C49" s="47">
        <v>0.68125000000000002</v>
      </c>
      <c r="D49" s="48">
        <v>113810</v>
      </c>
      <c r="E49" s="48">
        <v>18384</v>
      </c>
      <c r="F49" s="39">
        <v>45414</v>
      </c>
      <c r="G49" s="40">
        <v>0.45208333333333334</v>
      </c>
      <c r="H49" s="46" t="s">
        <v>57</v>
      </c>
      <c r="I49" s="48" t="s">
        <v>83</v>
      </c>
      <c r="J49" s="41" t="s">
        <v>118</v>
      </c>
      <c r="K49" s="38">
        <v>16</v>
      </c>
    </row>
    <row r="50" spans="1:11" ht="23.5" hidden="1" thickBot="1">
      <c r="A50" s="88">
        <v>4500069406</v>
      </c>
      <c r="B50" s="43">
        <v>45412</v>
      </c>
      <c r="C50" s="47">
        <v>0.68125000000000002</v>
      </c>
      <c r="D50" s="48">
        <v>113810</v>
      </c>
      <c r="E50" s="48">
        <v>18384</v>
      </c>
      <c r="F50" s="39">
        <v>45414</v>
      </c>
      <c r="G50" s="40">
        <v>0.45208333333333334</v>
      </c>
      <c r="H50" s="46" t="s">
        <v>57</v>
      </c>
      <c r="I50" s="48" t="s">
        <v>83</v>
      </c>
      <c r="J50" s="41" t="s">
        <v>118</v>
      </c>
      <c r="K50" s="38">
        <v>100</v>
      </c>
    </row>
    <row r="51" spans="1:11" ht="23.5" hidden="1" thickBot="1">
      <c r="A51" s="88">
        <v>4500069406</v>
      </c>
      <c r="B51" s="43">
        <v>45412</v>
      </c>
      <c r="C51" s="47">
        <v>0.68125000000000002</v>
      </c>
      <c r="D51" s="48">
        <v>113810</v>
      </c>
      <c r="E51" s="48">
        <v>18384</v>
      </c>
      <c r="F51" s="39">
        <v>45414</v>
      </c>
      <c r="G51" s="40">
        <v>0.45208333333333334</v>
      </c>
      <c r="H51" s="46" t="s">
        <v>57</v>
      </c>
      <c r="I51" s="48" t="s">
        <v>83</v>
      </c>
      <c r="J51" s="41" t="s">
        <v>194</v>
      </c>
      <c r="K51" s="38">
        <v>40</v>
      </c>
    </row>
    <row r="52" spans="1:11" ht="23.5" hidden="1" thickBot="1">
      <c r="A52" s="88">
        <v>4500069406</v>
      </c>
      <c r="B52" s="43">
        <v>45412</v>
      </c>
      <c r="C52" s="47">
        <v>0.68125000000000002</v>
      </c>
      <c r="D52" s="48">
        <v>113810</v>
      </c>
      <c r="E52" s="48">
        <v>18384</v>
      </c>
      <c r="F52" s="39">
        <v>45414</v>
      </c>
      <c r="G52" s="40">
        <v>0.45208333333333334</v>
      </c>
      <c r="H52" s="46" t="s">
        <v>57</v>
      </c>
      <c r="I52" s="48" t="s">
        <v>83</v>
      </c>
      <c r="J52" s="41" t="s">
        <v>220</v>
      </c>
      <c r="K52" s="38">
        <v>8</v>
      </c>
    </row>
    <row r="53" spans="1:11" ht="24" hidden="1" thickBot="1">
      <c r="A53" s="88">
        <v>4500069406</v>
      </c>
      <c r="B53" s="43">
        <v>45412</v>
      </c>
      <c r="C53" s="47">
        <v>0.68125000000000002</v>
      </c>
      <c r="D53" s="48">
        <v>113810</v>
      </c>
      <c r="E53" s="48">
        <v>18384</v>
      </c>
      <c r="F53" s="39">
        <v>45414</v>
      </c>
      <c r="G53" s="40">
        <v>0.45208333333333334</v>
      </c>
      <c r="H53" s="46" t="s">
        <v>57</v>
      </c>
      <c r="I53" s="48" t="s">
        <v>83</v>
      </c>
      <c r="J53" s="50" t="s">
        <v>209</v>
      </c>
      <c r="K53" s="48">
        <v>10</v>
      </c>
    </row>
    <row r="54" spans="1:11" ht="24" hidden="1" thickBot="1">
      <c r="A54" s="88">
        <v>4500069406</v>
      </c>
      <c r="B54" s="43">
        <v>45412</v>
      </c>
      <c r="C54" s="47">
        <v>0.68125000000000002</v>
      </c>
      <c r="D54" s="48">
        <v>113810</v>
      </c>
      <c r="E54" s="48">
        <v>18384</v>
      </c>
      <c r="F54" s="39">
        <v>45414</v>
      </c>
      <c r="G54" s="40">
        <v>0.45208333333333334</v>
      </c>
      <c r="H54" s="46" t="s">
        <v>57</v>
      </c>
      <c r="I54" s="48" t="s">
        <v>83</v>
      </c>
      <c r="J54" s="50" t="s">
        <v>151</v>
      </c>
      <c r="K54" s="48">
        <v>20</v>
      </c>
    </row>
    <row r="55" spans="1:11" ht="35" hidden="1" thickBot="1">
      <c r="A55" s="88">
        <v>4500069406</v>
      </c>
      <c r="B55" s="43">
        <v>45412</v>
      </c>
      <c r="C55" s="47">
        <v>0.68125000000000002</v>
      </c>
      <c r="D55" s="48">
        <v>113810</v>
      </c>
      <c r="E55" s="48">
        <v>18384</v>
      </c>
      <c r="F55" s="39">
        <v>45414</v>
      </c>
      <c r="G55" s="40">
        <v>0.45208333333333334</v>
      </c>
      <c r="H55" s="46" t="s">
        <v>57</v>
      </c>
      <c r="I55" s="48" t="s">
        <v>83</v>
      </c>
      <c r="J55" s="41" t="s">
        <v>156</v>
      </c>
      <c r="K55" s="38">
        <v>40</v>
      </c>
    </row>
    <row r="56" spans="1:11" ht="13.5" hidden="1" thickBot="1">
      <c r="A56" s="88">
        <v>4500069406</v>
      </c>
      <c r="B56" s="43">
        <v>45412</v>
      </c>
      <c r="C56" s="47">
        <v>0.68125000000000002</v>
      </c>
      <c r="D56" s="48">
        <v>113810</v>
      </c>
      <c r="E56" s="48">
        <v>18384</v>
      </c>
      <c r="F56" s="39">
        <v>45414</v>
      </c>
      <c r="G56" s="40">
        <v>0.45208333333333334</v>
      </c>
      <c r="H56" s="46" t="s">
        <v>57</v>
      </c>
      <c r="I56" s="48" t="s">
        <v>83</v>
      </c>
      <c r="J56" s="41" t="s">
        <v>134</v>
      </c>
      <c r="K56" s="38">
        <v>8</v>
      </c>
    </row>
    <row r="57" spans="1:11" ht="23.5" hidden="1" thickBot="1">
      <c r="A57" s="88">
        <v>4500069407</v>
      </c>
      <c r="B57" s="43">
        <v>45412</v>
      </c>
      <c r="C57" s="47">
        <v>0.68125000000000002</v>
      </c>
      <c r="D57" s="48">
        <v>113814</v>
      </c>
      <c r="E57" s="48">
        <v>18165</v>
      </c>
      <c r="F57" s="39">
        <v>45414</v>
      </c>
      <c r="G57" s="40">
        <v>0.59097222222222223</v>
      </c>
      <c r="H57" s="46" t="s">
        <v>57</v>
      </c>
      <c r="I57" s="48" t="s">
        <v>83</v>
      </c>
      <c r="J57" s="41" t="s">
        <v>115</v>
      </c>
      <c r="K57" s="38">
        <v>80</v>
      </c>
    </row>
    <row r="58" spans="1:11" ht="23.5" hidden="1" thickBot="1">
      <c r="A58" s="88">
        <v>4500069407</v>
      </c>
      <c r="B58" s="43">
        <v>45412</v>
      </c>
      <c r="C58" s="47">
        <v>0.68125000000000002</v>
      </c>
      <c r="D58" s="48">
        <v>113814</v>
      </c>
      <c r="E58" s="48">
        <v>18165</v>
      </c>
      <c r="F58" s="39">
        <v>45414</v>
      </c>
      <c r="G58" s="40">
        <v>0.59097222222222223</v>
      </c>
      <c r="H58" s="46" t="s">
        <v>57</v>
      </c>
      <c r="I58" s="48" t="s">
        <v>83</v>
      </c>
      <c r="J58" s="41" t="s">
        <v>110</v>
      </c>
      <c r="K58" s="38">
        <v>32</v>
      </c>
    </row>
    <row r="59" spans="1:11" ht="23.5" hidden="1" thickBot="1">
      <c r="A59" s="88">
        <v>4500069407</v>
      </c>
      <c r="B59" s="43">
        <v>45412</v>
      </c>
      <c r="C59" s="47">
        <v>0.68125000000000002</v>
      </c>
      <c r="D59" s="48">
        <v>113814</v>
      </c>
      <c r="E59" s="48">
        <v>18165</v>
      </c>
      <c r="F59" s="39">
        <v>45414</v>
      </c>
      <c r="G59" s="40">
        <v>0.59097222222222223</v>
      </c>
      <c r="H59" s="46" t="s">
        <v>57</v>
      </c>
      <c r="I59" s="48" t="s">
        <v>83</v>
      </c>
      <c r="J59" s="41" t="s">
        <v>118</v>
      </c>
      <c r="K59" s="38">
        <v>100</v>
      </c>
    </row>
    <row r="60" spans="1:11" ht="24" hidden="1" thickBot="1">
      <c r="A60" s="88">
        <v>4500069407</v>
      </c>
      <c r="B60" s="43">
        <v>45412</v>
      </c>
      <c r="C60" s="47">
        <v>0.68125000000000002</v>
      </c>
      <c r="D60" s="48">
        <v>113814</v>
      </c>
      <c r="E60" s="48">
        <v>18165</v>
      </c>
      <c r="F60" s="39">
        <v>45414</v>
      </c>
      <c r="G60" s="40">
        <v>0.59097222222222223</v>
      </c>
      <c r="H60" s="46" t="s">
        <v>57</v>
      </c>
      <c r="I60" s="48" t="s">
        <v>83</v>
      </c>
      <c r="J60" s="50" t="s">
        <v>194</v>
      </c>
      <c r="K60" s="48">
        <v>40</v>
      </c>
    </row>
    <row r="61" spans="1:11" ht="23.5" hidden="1" thickBot="1">
      <c r="A61" s="88">
        <v>4500069407</v>
      </c>
      <c r="B61" s="43">
        <v>45412</v>
      </c>
      <c r="C61" s="47">
        <v>0.68125000000000002</v>
      </c>
      <c r="D61" s="48">
        <v>113814</v>
      </c>
      <c r="E61" s="48">
        <v>18165</v>
      </c>
      <c r="F61" s="39">
        <v>45414</v>
      </c>
      <c r="G61" s="40">
        <v>0.59097222222222223</v>
      </c>
      <c r="H61" s="46" t="s">
        <v>57</v>
      </c>
      <c r="I61" s="48" t="s">
        <v>83</v>
      </c>
      <c r="J61" s="41" t="s">
        <v>220</v>
      </c>
      <c r="K61" s="38">
        <v>8</v>
      </c>
    </row>
    <row r="62" spans="1:11" ht="23.5" hidden="1" thickBot="1">
      <c r="A62" s="88">
        <v>4500069407</v>
      </c>
      <c r="B62" s="43">
        <v>45412</v>
      </c>
      <c r="C62" s="47">
        <v>0.68125000000000002</v>
      </c>
      <c r="D62" s="48">
        <v>113814</v>
      </c>
      <c r="E62" s="48">
        <v>18165</v>
      </c>
      <c r="F62" s="39">
        <v>45414</v>
      </c>
      <c r="G62" s="40">
        <v>0.59097222222222223</v>
      </c>
      <c r="H62" s="46" t="s">
        <v>57</v>
      </c>
      <c r="I62" s="48" t="s">
        <v>83</v>
      </c>
      <c r="J62" s="41" t="s">
        <v>209</v>
      </c>
      <c r="K62" s="38">
        <v>10</v>
      </c>
    </row>
    <row r="63" spans="1:11" ht="24" hidden="1" thickBot="1">
      <c r="A63" s="88">
        <v>4500069407</v>
      </c>
      <c r="B63" s="43">
        <v>45412</v>
      </c>
      <c r="C63" s="47">
        <v>0.68125000000000002</v>
      </c>
      <c r="D63" s="48">
        <v>113814</v>
      </c>
      <c r="E63" s="48">
        <v>18165</v>
      </c>
      <c r="F63" s="39">
        <v>45414</v>
      </c>
      <c r="G63" s="40">
        <v>0.59097222222222223</v>
      </c>
      <c r="H63" s="46" t="s">
        <v>57</v>
      </c>
      <c r="I63" s="48" t="s">
        <v>83</v>
      </c>
      <c r="J63" s="50" t="s">
        <v>221</v>
      </c>
      <c r="K63" s="38">
        <v>200</v>
      </c>
    </row>
    <row r="64" spans="1:11" ht="23.5" hidden="1" thickBot="1">
      <c r="A64" s="88">
        <v>4500069407</v>
      </c>
      <c r="B64" s="43">
        <v>45412</v>
      </c>
      <c r="C64" s="47">
        <v>0.68125000000000002</v>
      </c>
      <c r="D64" s="48">
        <v>113814</v>
      </c>
      <c r="E64" s="48">
        <v>18165</v>
      </c>
      <c r="F64" s="39">
        <v>45414</v>
      </c>
      <c r="G64" s="40">
        <v>0.59097222222222223</v>
      </c>
      <c r="H64" s="46" t="s">
        <v>57</v>
      </c>
      <c r="I64" s="48" t="s">
        <v>83</v>
      </c>
      <c r="J64" s="41" t="s">
        <v>113</v>
      </c>
      <c r="K64" s="38">
        <v>12</v>
      </c>
    </row>
    <row r="65" spans="1:11" ht="23.5" hidden="1" thickBot="1">
      <c r="A65" s="84">
        <v>4500069408</v>
      </c>
      <c r="B65" s="43">
        <v>45412</v>
      </c>
      <c r="C65" s="40">
        <v>0.68125000000000002</v>
      </c>
      <c r="D65" s="38">
        <v>113813</v>
      </c>
      <c r="E65" s="38">
        <v>18155</v>
      </c>
      <c r="F65" s="39">
        <v>45414</v>
      </c>
      <c r="G65" s="40">
        <v>0.58958333333333335</v>
      </c>
      <c r="H65" s="46" t="s">
        <v>57</v>
      </c>
      <c r="I65" s="38" t="s">
        <v>80</v>
      </c>
      <c r="J65" s="41" t="s">
        <v>165</v>
      </c>
      <c r="K65" s="38">
        <v>60</v>
      </c>
    </row>
    <row r="66" spans="1:11" ht="35" hidden="1" thickBot="1">
      <c r="A66" s="84">
        <v>4500069408</v>
      </c>
      <c r="B66" s="43">
        <v>45412</v>
      </c>
      <c r="C66" s="40">
        <v>0.68125000000000002</v>
      </c>
      <c r="D66" s="38">
        <v>113813</v>
      </c>
      <c r="E66" s="38">
        <v>18155</v>
      </c>
      <c r="F66" s="39">
        <v>45414</v>
      </c>
      <c r="G66" s="40">
        <v>0.58958333333333335</v>
      </c>
      <c r="H66" s="46" t="s">
        <v>57</v>
      </c>
      <c r="I66" s="38" t="s">
        <v>80</v>
      </c>
      <c r="J66" s="41" t="s">
        <v>156</v>
      </c>
      <c r="K66" s="38">
        <v>40</v>
      </c>
    </row>
    <row r="67" spans="1:11" ht="35" hidden="1" thickBot="1">
      <c r="A67" s="84">
        <v>4500069408</v>
      </c>
      <c r="B67" s="43">
        <v>45412</v>
      </c>
      <c r="C67" s="40">
        <v>0.68125000000000002</v>
      </c>
      <c r="D67" s="38">
        <v>113813</v>
      </c>
      <c r="E67" s="38">
        <v>18155</v>
      </c>
      <c r="F67" s="39">
        <v>45414</v>
      </c>
      <c r="G67" s="40">
        <v>0.58958333333333335</v>
      </c>
      <c r="H67" s="46" t="s">
        <v>57</v>
      </c>
      <c r="I67" s="38" t="s">
        <v>80</v>
      </c>
      <c r="J67" s="41" t="s">
        <v>136</v>
      </c>
      <c r="K67" s="38">
        <v>8</v>
      </c>
    </row>
    <row r="68" spans="1:11" ht="23.5" hidden="1" thickBot="1">
      <c r="A68" s="84">
        <v>4500069408</v>
      </c>
      <c r="B68" s="43">
        <v>45412</v>
      </c>
      <c r="C68" s="40">
        <v>0.68125000000000002</v>
      </c>
      <c r="D68" s="38">
        <v>113813</v>
      </c>
      <c r="E68" s="38">
        <v>18155</v>
      </c>
      <c r="F68" s="39">
        <v>45414</v>
      </c>
      <c r="G68" s="40">
        <v>0.58958333333333335</v>
      </c>
      <c r="H68" s="46" t="s">
        <v>57</v>
      </c>
      <c r="I68" s="38" t="s">
        <v>80</v>
      </c>
      <c r="J68" s="41" t="s">
        <v>162</v>
      </c>
      <c r="K68" s="38">
        <v>3</v>
      </c>
    </row>
    <row r="69" spans="1:11" ht="23.5" hidden="1" thickBot="1">
      <c r="A69" s="84">
        <v>4500069408</v>
      </c>
      <c r="B69" s="43">
        <v>45412</v>
      </c>
      <c r="C69" s="40">
        <v>0.68125000000000002</v>
      </c>
      <c r="D69" s="38">
        <v>113813</v>
      </c>
      <c r="E69" s="38">
        <v>18155</v>
      </c>
      <c r="F69" s="39">
        <v>45414</v>
      </c>
      <c r="G69" s="40">
        <v>0.58958333333333335</v>
      </c>
      <c r="H69" s="46" t="s">
        <v>57</v>
      </c>
      <c r="I69" s="38" t="s">
        <v>80</v>
      </c>
      <c r="J69" s="41" t="s">
        <v>110</v>
      </c>
      <c r="K69" s="38">
        <v>20</v>
      </c>
    </row>
    <row r="70" spans="1:11" ht="26" hidden="1" thickBot="1">
      <c r="A70" s="88">
        <v>936620</v>
      </c>
      <c r="B70" s="43">
        <v>45412</v>
      </c>
      <c r="C70" s="47">
        <v>0.68680555555555556</v>
      </c>
      <c r="D70" s="38">
        <v>113820</v>
      </c>
      <c r="E70" s="38">
        <v>18129</v>
      </c>
      <c r="F70" s="39">
        <v>45414</v>
      </c>
      <c r="G70" s="40">
        <v>0.58958333333333335</v>
      </c>
      <c r="H70" s="46" t="s">
        <v>30</v>
      </c>
      <c r="I70" s="48" t="s">
        <v>79</v>
      </c>
      <c r="J70" s="50" t="s">
        <v>206</v>
      </c>
      <c r="K70" s="48">
        <v>24</v>
      </c>
    </row>
    <row r="71" spans="1:11" ht="46.5" hidden="1" thickBot="1">
      <c r="A71" s="84">
        <v>1001459262</v>
      </c>
      <c r="B71" s="39">
        <v>45412</v>
      </c>
      <c r="C71" s="40">
        <v>0.70277777777777772</v>
      </c>
      <c r="D71" s="38">
        <v>113812</v>
      </c>
      <c r="E71" s="38">
        <v>18286</v>
      </c>
      <c r="F71" s="39">
        <v>45414</v>
      </c>
      <c r="G71" s="40">
        <v>0.58750000000000002</v>
      </c>
      <c r="H71" s="46" t="s">
        <v>195</v>
      </c>
      <c r="I71" s="38" t="s">
        <v>141</v>
      </c>
      <c r="J71" s="41" t="s">
        <v>145</v>
      </c>
      <c r="K71" s="38">
        <v>20</v>
      </c>
    </row>
    <row r="72" spans="1:11" ht="76" hidden="1" thickBot="1">
      <c r="A72" s="84" t="s">
        <v>222</v>
      </c>
      <c r="B72" s="39">
        <v>45414</v>
      </c>
      <c r="C72" s="40">
        <v>0.29375000000000001</v>
      </c>
      <c r="D72" s="38">
        <v>113815</v>
      </c>
      <c r="E72" s="38">
        <v>18142</v>
      </c>
      <c r="F72" s="39">
        <v>45414</v>
      </c>
      <c r="G72" s="40">
        <v>0.60347222222222219</v>
      </c>
      <c r="H72" s="46" t="s">
        <v>193</v>
      </c>
      <c r="I72" s="38" t="s">
        <v>79</v>
      </c>
      <c r="J72" s="41" t="s">
        <v>151</v>
      </c>
      <c r="K72" s="38">
        <v>8</v>
      </c>
    </row>
    <row r="73" spans="1:11" ht="76" hidden="1" thickBot="1">
      <c r="A73" s="84" t="s">
        <v>223</v>
      </c>
      <c r="B73" s="39">
        <v>45414</v>
      </c>
      <c r="C73" s="40">
        <v>0.29375000000000001</v>
      </c>
      <c r="D73" s="38">
        <v>113816</v>
      </c>
      <c r="E73" s="38">
        <v>18143</v>
      </c>
      <c r="F73" s="39">
        <v>45414</v>
      </c>
      <c r="G73" s="40">
        <v>0.60347222222222219</v>
      </c>
      <c r="H73" s="46" t="s">
        <v>193</v>
      </c>
      <c r="I73" s="38" t="s">
        <v>79</v>
      </c>
      <c r="J73" s="41" t="s">
        <v>194</v>
      </c>
      <c r="K73" s="38">
        <v>8</v>
      </c>
    </row>
    <row r="74" spans="1:11" ht="76" hidden="1" thickBot="1">
      <c r="A74" s="84" t="s">
        <v>224</v>
      </c>
      <c r="B74" s="39">
        <v>45414</v>
      </c>
      <c r="C74" s="40">
        <v>0.50138888888888888</v>
      </c>
      <c r="D74" s="38">
        <v>113817</v>
      </c>
      <c r="E74" s="38">
        <v>18145</v>
      </c>
      <c r="F74" s="39">
        <v>45414</v>
      </c>
      <c r="G74" s="40">
        <v>0.60347222222222219</v>
      </c>
      <c r="H74" s="46" t="s">
        <v>193</v>
      </c>
      <c r="I74" s="38" t="s">
        <v>79</v>
      </c>
      <c r="J74" s="41" t="s">
        <v>145</v>
      </c>
      <c r="K74" s="38">
        <v>80</v>
      </c>
    </row>
    <row r="75" spans="1:11" ht="44" hidden="1" thickBot="1">
      <c r="A75" s="90">
        <v>937355</v>
      </c>
      <c r="B75" s="39">
        <v>45414</v>
      </c>
      <c r="C75" s="40">
        <v>0.51180555555555551</v>
      </c>
      <c r="D75" s="38">
        <v>113818</v>
      </c>
      <c r="E75" s="38">
        <v>18153</v>
      </c>
      <c r="F75" s="39">
        <v>45414</v>
      </c>
      <c r="G75" s="40">
        <v>0.60347222222222219</v>
      </c>
      <c r="H75" s="46" t="s">
        <v>30</v>
      </c>
      <c r="I75" s="38" t="s">
        <v>225</v>
      </c>
      <c r="J75" s="51" t="s">
        <v>212</v>
      </c>
      <c r="K75" s="38">
        <v>40</v>
      </c>
    </row>
    <row r="76" spans="1:11" ht="35" thickBot="1">
      <c r="A76" s="87">
        <v>3</v>
      </c>
      <c r="B76" s="39">
        <v>45414</v>
      </c>
      <c r="C76" s="40">
        <v>0.4826388888888889</v>
      </c>
      <c r="D76" s="38">
        <v>113819</v>
      </c>
      <c r="E76" s="38">
        <v>18139</v>
      </c>
      <c r="F76" s="39">
        <v>45414</v>
      </c>
      <c r="G76" s="40">
        <v>0.60347222222222219</v>
      </c>
      <c r="H76" s="46" t="s">
        <v>177</v>
      </c>
      <c r="I76" s="38" t="s">
        <v>139</v>
      </c>
      <c r="J76" s="41" t="s">
        <v>143</v>
      </c>
      <c r="K76" s="38">
        <v>2</v>
      </c>
    </row>
    <row r="77" spans="1:11" ht="35" thickBot="1">
      <c r="A77" s="87">
        <v>3</v>
      </c>
      <c r="B77" s="39">
        <v>45414</v>
      </c>
      <c r="C77" s="40">
        <v>0.4826388888888889</v>
      </c>
      <c r="D77" s="38">
        <v>113819</v>
      </c>
      <c r="E77" s="38">
        <v>18139</v>
      </c>
      <c r="F77" s="39">
        <v>45414</v>
      </c>
      <c r="G77" s="40">
        <v>0.60347222222222219</v>
      </c>
      <c r="H77" s="46" t="s">
        <v>177</v>
      </c>
      <c r="I77" s="38" t="s">
        <v>139</v>
      </c>
      <c r="J77" s="41" t="s">
        <v>226</v>
      </c>
      <c r="K77" s="38">
        <v>4</v>
      </c>
    </row>
    <row r="78" spans="1:11" ht="35" hidden="1" thickBot="1">
      <c r="A78" s="84" t="s">
        <v>227</v>
      </c>
      <c r="B78" s="39">
        <v>45399</v>
      </c>
      <c r="C78" s="40">
        <v>0.6875</v>
      </c>
      <c r="D78" s="38">
        <v>113710</v>
      </c>
      <c r="E78" s="38">
        <v>18123</v>
      </c>
      <c r="F78" s="39">
        <v>45399</v>
      </c>
      <c r="G78" s="40">
        <v>0.6875</v>
      </c>
      <c r="H78" s="41" t="s">
        <v>185</v>
      </c>
      <c r="I78" s="38" t="s">
        <v>78</v>
      </c>
      <c r="J78" s="41" t="s">
        <v>207</v>
      </c>
      <c r="K78" s="38">
        <v>10</v>
      </c>
    </row>
    <row r="79" spans="1:11" ht="38.5" hidden="1" thickBot="1">
      <c r="A79" s="84">
        <v>937460</v>
      </c>
      <c r="B79" s="39">
        <v>45414</v>
      </c>
      <c r="C79" s="40">
        <v>0.62847222222222221</v>
      </c>
      <c r="D79" s="38">
        <v>113821</v>
      </c>
      <c r="E79" s="38">
        <v>18148</v>
      </c>
      <c r="F79" s="39">
        <v>45414</v>
      </c>
      <c r="G79" s="40">
        <v>0.67777777777777781</v>
      </c>
      <c r="H79" s="46" t="s">
        <v>51</v>
      </c>
      <c r="I79" s="38" t="s">
        <v>78</v>
      </c>
      <c r="J79" s="41" t="s">
        <v>112</v>
      </c>
      <c r="K79" s="38">
        <v>16</v>
      </c>
    </row>
    <row r="80" spans="1:11" ht="35" hidden="1" thickBot="1">
      <c r="A80" s="90">
        <v>937410</v>
      </c>
      <c r="B80" s="39">
        <v>45414</v>
      </c>
      <c r="C80" s="40">
        <v>0.59513888888888888</v>
      </c>
      <c r="D80" s="38">
        <v>113826</v>
      </c>
      <c r="E80" s="38">
        <v>18152</v>
      </c>
      <c r="F80" s="39">
        <v>45415</v>
      </c>
      <c r="G80" s="40">
        <v>0.34305555555555556</v>
      </c>
      <c r="H80" s="46" t="s">
        <v>30</v>
      </c>
      <c r="I80" s="38" t="s">
        <v>175</v>
      </c>
      <c r="J80" s="41" t="s">
        <v>212</v>
      </c>
      <c r="K80" s="38">
        <v>3</v>
      </c>
    </row>
    <row r="81" spans="1:11" ht="76" hidden="1" thickBot="1">
      <c r="A81" s="84" t="s">
        <v>228</v>
      </c>
      <c r="B81" s="39">
        <v>45414</v>
      </c>
      <c r="C81" s="40">
        <v>0.61319444444444449</v>
      </c>
      <c r="D81" s="38">
        <v>113827</v>
      </c>
      <c r="E81" s="38">
        <v>18187</v>
      </c>
      <c r="F81" s="39">
        <v>45415</v>
      </c>
      <c r="G81" s="40">
        <v>0.34305555555555556</v>
      </c>
      <c r="H81" s="46" t="s">
        <v>193</v>
      </c>
      <c r="I81" s="38" t="s">
        <v>76</v>
      </c>
      <c r="J81" s="41" t="s">
        <v>151</v>
      </c>
      <c r="K81" s="38">
        <v>4</v>
      </c>
    </row>
    <row r="82" spans="1:11" ht="76" hidden="1" thickBot="1">
      <c r="A82" s="84" t="s">
        <v>228</v>
      </c>
      <c r="B82" s="39">
        <v>45414</v>
      </c>
      <c r="C82" s="40">
        <v>0.61319444444444449</v>
      </c>
      <c r="D82" s="38">
        <v>113827</v>
      </c>
      <c r="E82" s="38">
        <v>18187</v>
      </c>
      <c r="F82" s="39">
        <v>45415</v>
      </c>
      <c r="G82" s="40">
        <v>0.34305555555555556</v>
      </c>
      <c r="H82" s="46" t="s">
        <v>193</v>
      </c>
      <c r="I82" s="38" t="s">
        <v>76</v>
      </c>
      <c r="J82" s="41" t="s">
        <v>145</v>
      </c>
      <c r="K82" s="38">
        <v>40</v>
      </c>
    </row>
    <row r="83" spans="1:11" ht="23.5" hidden="1" thickBot="1">
      <c r="A83" s="84">
        <v>937478</v>
      </c>
      <c r="B83" s="39">
        <v>45414</v>
      </c>
      <c r="C83" s="40">
        <v>0.62916666666666665</v>
      </c>
      <c r="D83" s="38">
        <v>113822</v>
      </c>
      <c r="E83" s="38">
        <v>18158</v>
      </c>
      <c r="F83" s="39">
        <v>45414</v>
      </c>
      <c r="G83" s="40">
        <v>0.68541666666666667</v>
      </c>
      <c r="H83" s="46" t="s">
        <v>38</v>
      </c>
      <c r="I83" s="38" t="s">
        <v>78</v>
      </c>
      <c r="J83" s="41" t="s">
        <v>113</v>
      </c>
      <c r="K83" s="38">
        <v>1</v>
      </c>
    </row>
    <row r="84" spans="1:11" ht="23.5" hidden="1" thickBot="1">
      <c r="A84" s="84">
        <v>937556</v>
      </c>
      <c r="B84" s="39">
        <v>45414</v>
      </c>
      <c r="C84" s="40">
        <v>0.66805555555555551</v>
      </c>
      <c r="D84" s="38">
        <v>113823</v>
      </c>
      <c r="E84" s="38">
        <v>18183</v>
      </c>
      <c r="F84" s="39">
        <v>45414</v>
      </c>
      <c r="G84" s="40">
        <v>0.68680555555555556</v>
      </c>
      <c r="H84" s="46" t="s">
        <v>38</v>
      </c>
      <c r="I84" s="38" t="s">
        <v>142</v>
      </c>
      <c r="J84" s="41" t="s">
        <v>113</v>
      </c>
      <c r="K84" s="38">
        <v>15</v>
      </c>
    </row>
    <row r="85" spans="1:11" ht="23.5" hidden="1" thickBot="1">
      <c r="A85" s="84">
        <v>538</v>
      </c>
      <c r="B85" s="39">
        <v>45414</v>
      </c>
      <c r="C85" s="40">
        <v>0.65138888888888891</v>
      </c>
      <c r="D85" s="38">
        <v>113828</v>
      </c>
      <c r="E85" s="38">
        <v>18146</v>
      </c>
      <c r="F85" s="39">
        <v>45415</v>
      </c>
      <c r="G85" s="40">
        <v>0.34375</v>
      </c>
      <c r="H85" s="46" t="s">
        <v>163</v>
      </c>
      <c r="I85" s="38" t="s">
        <v>80</v>
      </c>
      <c r="J85" s="41" t="s">
        <v>158</v>
      </c>
      <c r="K85" s="38">
        <v>5</v>
      </c>
    </row>
    <row r="86" spans="1:11" ht="35" hidden="1" thickBot="1">
      <c r="A86" s="84">
        <v>538</v>
      </c>
      <c r="B86" s="39">
        <v>45414</v>
      </c>
      <c r="C86" s="40">
        <v>0.65138888888888891</v>
      </c>
      <c r="D86" s="38">
        <v>113828</v>
      </c>
      <c r="E86" s="38">
        <v>18146</v>
      </c>
      <c r="F86" s="39">
        <v>45415</v>
      </c>
      <c r="G86" s="40">
        <v>0.34375</v>
      </c>
      <c r="H86" s="46" t="s">
        <v>163</v>
      </c>
      <c r="I86" s="38" t="s">
        <v>80</v>
      </c>
      <c r="J86" s="41" t="s">
        <v>207</v>
      </c>
      <c r="K86" s="38">
        <v>100</v>
      </c>
    </row>
    <row r="87" spans="1:11" ht="23.5" hidden="1" thickBot="1">
      <c r="A87" s="84">
        <v>538</v>
      </c>
      <c r="B87" s="39">
        <v>45414</v>
      </c>
      <c r="C87" s="40">
        <v>0.65138888888888891</v>
      </c>
      <c r="D87" s="38">
        <v>113828</v>
      </c>
      <c r="E87" s="38">
        <v>18146</v>
      </c>
      <c r="F87" s="39">
        <v>45415</v>
      </c>
      <c r="G87" s="40">
        <v>0.34375</v>
      </c>
      <c r="H87" s="46" t="s">
        <v>163</v>
      </c>
      <c r="I87" s="38" t="s">
        <v>80</v>
      </c>
      <c r="J87" s="41" t="s">
        <v>221</v>
      </c>
      <c r="K87" s="38">
        <v>20</v>
      </c>
    </row>
    <row r="88" spans="1:11" ht="51" hidden="1" thickBot="1">
      <c r="A88" s="91" t="s">
        <v>229</v>
      </c>
      <c r="B88" s="39">
        <v>45414</v>
      </c>
      <c r="C88" s="40">
        <v>0.65</v>
      </c>
      <c r="D88" s="38">
        <v>113824</v>
      </c>
      <c r="E88" s="38">
        <v>18151</v>
      </c>
      <c r="F88" s="39">
        <v>45414</v>
      </c>
      <c r="G88" s="40">
        <v>0.69305555555555554</v>
      </c>
      <c r="H88" s="46" t="s">
        <v>12</v>
      </c>
      <c r="I88" s="38" t="s">
        <v>176</v>
      </c>
      <c r="J88" s="41" t="s">
        <v>230</v>
      </c>
      <c r="K88" s="38">
        <v>15</v>
      </c>
    </row>
    <row r="89" spans="1:11" ht="51" hidden="1" thickBot="1">
      <c r="A89" s="91" t="s">
        <v>229</v>
      </c>
      <c r="B89" s="39">
        <v>45414</v>
      </c>
      <c r="C89" s="40">
        <v>0.65</v>
      </c>
      <c r="D89" s="38">
        <v>113824</v>
      </c>
      <c r="E89" s="38">
        <v>18151</v>
      </c>
      <c r="F89" s="39">
        <v>45414</v>
      </c>
      <c r="G89" s="40">
        <v>0.69305555555555554</v>
      </c>
      <c r="H89" s="46" t="s">
        <v>12</v>
      </c>
      <c r="I89" s="38" t="s">
        <v>176</v>
      </c>
      <c r="J89" s="41" t="s">
        <v>202</v>
      </c>
      <c r="K89" s="38">
        <v>1</v>
      </c>
    </row>
    <row r="90" spans="1:11" ht="38.5" hidden="1" thickBot="1">
      <c r="A90" s="92">
        <v>68000</v>
      </c>
      <c r="B90" s="39">
        <v>45414</v>
      </c>
      <c r="C90" s="40">
        <v>0.58402777777777781</v>
      </c>
      <c r="D90" s="38">
        <v>113829</v>
      </c>
      <c r="E90" s="38">
        <v>18179</v>
      </c>
      <c r="F90" s="39">
        <v>45415</v>
      </c>
      <c r="G90" s="40">
        <v>0.36249999999999999</v>
      </c>
      <c r="H90" s="46" t="s">
        <v>231</v>
      </c>
      <c r="I90" s="38" t="s">
        <v>142</v>
      </c>
      <c r="J90" s="41" t="s">
        <v>207</v>
      </c>
      <c r="K90" s="38">
        <v>223</v>
      </c>
    </row>
    <row r="91" spans="1:11" ht="38.5" hidden="1" thickBot="1">
      <c r="A91" s="92">
        <v>68000</v>
      </c>
      <c r="B91" s="39">
        <v>45414</v>
      </c>
      <c r="C91" s="40">
        <v>0.58402777777777781</v>
      </c>
      <c r="D91" s="38">
        <v>113829</v>
      </c>
      <c r="E91" s="38">
        <v>18179</v>
      </c>
      <c r="F91" s="39">
        <v>45415</v>
      </c>
      <c r="G91" s="40">
        <v>0.36249999999999999</v>
      </c>
      <c r="H91" s="46" t="s">
        <v>231</v>
      </c>
      <c r="I91" s="38" t="s">
        <v>142</v>
      </c>
      <c r="J91" s="41" t="s">
        <v>230</v>
      </c>
      <c r="K91" s="38">
        <v>2560</v>
      </c>
    </row>
    <row r="92" spans="1:11" ht="38.5" hidden="1" thickBot="1">
      <c r="A92" s="92">
        <v>68000</v>
      </c>
      <c r="B92" s="39">
        <v>45414</v>
      </c>
      <c r="C92" s="40">
        <v>0.58402777777777781</v>
      </c>
      <c r="D92" s="38">
        <v>113829</v>
      </c>
      <c r="E92" s="38">
        <v>18179</v>
      </c>
      <c r="F92" s="39">
        <v>45415</v>
      </c>
      <c r="G92" s="40">
        <v>0.36249999999999999</v>
      </c>
      <c r="H92" s="46" t="s">
        <v>231</v>
      </c>
      <c r="I92" s="38" t="s">
        <v>142</v>
      </c>
      <c r="J92" s="41" t="s">
        <v>232</v>
      </c>
      <c r="K92" s="38">
        <v>410</v>
      </c>
    </row>
    <row r="93" spans="1:11" ht="38.5" hidden="1" thickBot="1">
      <c r="A93" s="92">
        <v>68000</v>
      </c>
      <c r="B93" s="39">
        <v>45414</v>
      </c>
      <c r="C93" s="40">
        <v>0.58402777777777781</v>
      </c>
      <c r="D93" s="38">
        <v>113829</v>
      </c>
      <c r="E93" s="38">
        <v>18179</v>
      </c>
      <c r="F93" s="39">
        <v>45415</v>
      </c>
      <c r="G93" s="40">
        <v>0.36249999999999999</v>
      </c>
      <c r="H93" s="46" t="s">
        <v>231</v>
      </c>
      <c r="I93" s="38" t="s">
        <v>142</v>
      </c>
      <c r="J93" s="41" t="s">
        <v>206</v>
      </c>
      <c r="K93" s="38">
        <v>88</v>
      </c>
    </row>
    <row r="94" spans="1:11" ht="38.5" hidden="1" thickBot="1">
      <c r="A94" s="78">
        <v>68000</v>
      </c>
      <c r="B94" s="53">
        <v>45414</v>
      </c>
      <c r="C94" s="54">
        <v>0.58402777777777781</v>
      </c>
      <c r="D94" s="55">
        <v>113829</v>
      </c>
      <c r="E94" s="55">
        <v>18206</v>
      </c>
      <c r="F94" s="53">
        <v>45415</v>
      </c>
      <c r="G94" s="54">
        <v>0.36249999999999999</v>
      </c>
      <c r="H94" s="56" t="s">
        <v>231</v>
      </c>
      <c r="I94" s="55" t="s">
        <v>142</v>
      </c>
      <c r="J94" s="57" t="s">
        <v>206</v>
      </c>
      <c r="K94" s="55">
        <v>122</v>
      </c>
    </row>
    <row r="95" spans="1:11" ht="38.5" hidden="1" thickBot="1">
      <c r="A95" s="92">
        <v>68000</v>
      </c>
      <c r="B95" s="39">
        <v>45414</v>
      </c>
      <c r="C95" s="40">
        <v>0.58402777777777781</v>
      </c>
      <c r="D95" s="38">
        <v>113829</v>
      </c>
      <c r="E95" s="38">
        <v>18179</v>
      </c>
      <c r="F95" s="39">
        <v>45415</v>
      </c>
      <c r="G95" s="40">
        <v>0.36249999999999999</v>
      </c>
      <c r="H95" s="46" t="s">
        <v>231</v>
      </c>
      <c r="I95" s="38" t="s">
        <v>142</v>
      </c>
      <c r="J95" s="41" t="s">
        <v>202</v>
      </c>
      <c r="K95" s="38">
        <v>60</v>
      </c>
    </row>
    <row r="96" spans="1:11" ht="46.5" hidden="1" thickBot="1">
      <c r="A96" s="92">
        <v>68013</v>
      </c>
      <c r="B96" s="39">
        <v>45414</v>
      </c>
      <c r="C96" s="40">
        <v>0.58402777777777781</v>
      </c>
      <c r="D96" s="38">
        <v>113830</v>
      </c>
      <c r="E96" s="38">
        <v>18180</v>
      </c>
      <c r="F96" s="39">
        <v>45415</v>
      </c>
      <c r="G96" s="40">
        <v>0.36249999999999999</v>
      </c>
      <c r="H96" s="46" t="s">
        <v>231</v>
      </c>
      <c r="I96" s="38" t="s">
        <v>142</v>
      </c>
      <c r="J96" s="41" t="s">
        <v>145</v>
      </c>
      <c r="K96" s="38">
        <v>40</v>
      </c>
    </row>
    <row r="97" spans="1:11" ht="76" hidden="1" thickBot="1">
      <c r="A97" s="84" t="s">
        <v>233</v>
      </c>
      <c r="B97" s="39">
        <v>45414</v>
      </c>
      <c r="C97" s="40">
        <v>0.69305555555555554</v>
      </c>
      <c r="D97" s="38">
        <v>113825</v>
      </c>
      <c r="E97" s="38">
        <v>18147</v>
      </c>
      <c r="F97" s="39">
        <v>45415</v>
      </c>
      <c r="G97" s="40">
        <v>0.3263888888888889</v>
      </c>
      <c r="H97" s="46" t="s">
        <v>234</v>
      </c>
      <c r="I97" s="38" t="s">
        <v>235</v>
      </c>
      <c r="J97" s="41" t="s">
        <v>207</v>
      </c>
      <c r="K97" s="38">
        <v>30</v>
      </c>
    </row>
    <row r="98" spans="1:11" ht="23.5" hidden="1" thickBot="1">
      <c r="A98" s="90">
        <v>937669</v>
      </c>
      <c r="B98" s="39">
        <v>45414</v>
      </c>
      <c r="C98" s="40">
        <v>0.71388888888888891</v>
      </c>
      <c r="D98" s="38">
        <v>113831</v>
      </c>
      <c r="E98" s="38">
        <v>18157</v>
      </c>
      <c r="F98" s="39">
        <v>45415</v>
      </c>
      <c r="G98" s="40">
        <v>0.36319444444444443</v>
      </c>
      <c r="H98" s="46" t="s">
        <v>38</v>
      </c>
      <c r="I98" s="38" t="s">
        <v>85</v>
      </c>
      <c r="J98" s="41" t="s">
        <v>113</v>
      </c>
      <c r="K98" s="38">
        <v>4</v>
      </c>
    </row>
    <row r="99" spans="1:11" ht="35" hidden="1" thickBot="1">
      <c r="A99" s="84">
        <v>937723</v>
      </c>
      <c r="B99" s="39">
        <v>45414</v>
      </c>
      <c r="C99" s="40">
        <v>0.74305555555555558</v>
      </c>
      <c r="D99" s="38">
        <v>113832</v>
      </c>
      <c r="E99" s="38">
        <v>18209</v>
      </c>
      <c r="F99" s="39">
        <v>45415</v>
      </c>
      <c r="G99" s="40">
        <v>0.36319444444444443</v>
      </c>
      <c r="H99" s="46" t="s">
        <v>38</v>
      </c>
      <c r="I99" s="38" t="s">
        <v>141</v>
      </c>
      <c r="J99" s="41" t="s">
        <v>212</v>
      </c>
      <c r="K99" s="38">
        <v>2</v>
      </c>
    </row>
    <row r="100" spans="1:11" ht="23.5" hidden="1" thickBot="1">
      <c r="A100" s="90">
        <v>937723</v>
      </c>
      <c r="B100" s="39">
        <v>45414</v>
      </c>
      <c r="C100" s="40">
        <v>0.74305555555555558</v>
      </c>
      <c r="D100" s="38">
        <v>113832</v>
      </c>
      <c r="E100" s="38">
        <v>18209</v>
      </c>
      <c r="F100" s="39">
        <v>45415</v>
      </c>
      <c r="G100" s="40">
        <v>0.36319444444444443</v>
      </c>
      <c r="H100" s="46" t="s">
        <v>38</v>
      </c>
      <c r="I100" s="38" t="s">
        <v>141</v>
      </c>
      <c r="J100" s="41" t="s">
        <v>113</v>
      </c>
      <c r="K100" s="38">
        <v>4</v>
      </c>
    </row>
    <row r="101" spans="1:11" ht="51" hidden="1" thickBot="1">
      <c r="A101" s="84">
        <v>317249</v>
      </c>
      <c r="B101" s="39">
        <v>45415</v>
      </c>
      <c r="C101" s="40">
        <v>0.35486111111111113</v>
      </c>
      <c r="D101" s="38">
        <v>113833</v>
      </c>
      <c r="E101" s="38">
        <v>18161</v>
      </c>
      <c r="F101" s="39">
        <v>45415</v>
      </c>
      <c r="G101" s="40">
        <v>0.51875000000000004</v>
      </c>
      <c r="H101" s="46" t="s">
        <v>179</v>
      </c>
      <c r="I101" s="38" t="s">
        <v>78</v>
      </c>
      <c r="J101" s="41" t="s">
        <v>226</v>
      </c>
      <c r="K101" s="38">
        <v>7</v>
      </c>
    </row>
    <row r="102" spans="1:11" ht="51" hidden="1" thickBot="1">
      <c r="A102" s="84" t="s">
        <v>236</v>
      </c>
      <c r="B102" s="39">
        <v>45415</v>
      </c>
      <c r="C102" s="40">
        <v>0.44374999999999998</v>
      </c>
      <c r="D102" s="38">
        <v>113834</v>
      </c>
      <c r="E102" s="38">
        <v>18159</v>
      </c>
      <c r="F102" s="39">
        <v>45415</v>
      </c>
      <c r="G102" s="40">
        <v>0.51875000000000004</v>
      </c>
      <c r="H102" s="46" t="s">
        <v>237</v>
      </c>
      <c r="I102" s="38" t="s">
        <v>150</v>
      </c>
      <c r="J102" s="41" t="s">
        <v>214</v>
      </c>
      <c r="K102" s="38">
        <v>20</v>
      </c>
    </row>
    <row r="103" spans="1:11" ht="51" hidden="1" thickBot="1">
      <c r="A103" s="84" t="s">
        <v>238</v>
      </c>
      <c r="B103" s="39">
        <v>45415</v>
      </c>
      <c r="C103" s="40">
        <v>0.50555555555555554</v>
      </c>
      <c r="D103" s="38">
        <v>113835</v>
      </c>
      <c r="E103" s="38">
        <v>18200</v>
      </c>
      <c r="F103" s="39">
        <v>45415</v>
      </c>
      <c r="G103" s="40">
        <v>0.51944444444444449</v>
      </c>
      <c r="H103" s="46" t="s">
        <v>237</v>
      </c>
      <c r="I103" s="38" t="s">
        <v>150</v>
      </c>
      <c r="J103" s="41" t="s">
        <v>115</v>
      </c>
      <c r="K103" s="38">
        <v>4</v>
      </c>
    </row>
    <row r="104" spans="1:11" ht="51" hidden="1" thickBot="1">
      <c r="A104" s="84" t="s">
        <v>238</v>
      </c>
      <c r="B104" s="39">
        <v>45415</v>
      </c>
      <c r="C104" s="40">
        <v>0.50555555555555554</v>
      </c>
      <c r="D104" s="38">
        <v>113835</v>
      </c>
      <c r="E104" s="38">
        <v>18200</v>
      </c>
      <c r="F104" s="39">
        <v>45415</v>
      </c>
      <c r="G104" s="40">
        <v>0.51944444444444449</v>
      </c>
      <c r="H104" s="46" t="s">
        <v>237</v>
      </c>
      <c r="I104" s="38" t="s">
        <v>150</v>
      </c>
      <c r="J104" s="41" t="s">
        <v>136</v>
      </c>
      <c r="K104" s="38">
        <v>4</v>
      </c>
    </row>
    <row r="105" spans="1:11" ht="23.5" hidden="1" thickBot="1">
      <c r="A105" s="84">
        <v>4500069455</v>
      </c>
      <c r="B105" s="39">
        <v>45415</v>
      </c>
      <c r="C105" s="40">
        <v>0.5</v>
      </c>
      <c r="D105" s="38">
        <v>113836</v>
      </c>
      <c r="E105" s="38">
        <v>18166</v>
      </c>
      <c r="F105" s="39">
        <v>45415</v>
      </c>
      <c r="G105" s="40">
        <v>0.6118055555555556</v>
      </c>
      <c r="H105" s="46" t="s">
        <v>57</v>
      </c>
      <c r="I105" s="38" t="s">
        <v>83</v>
      </c>
      <c r="J105" s="41" t="s">
        <v>111</v>
      </c>
      <c r="K105" s="38">
        <v>20</v>
      </c>
    </row>
    <row r="106" spans="1:11" ht="23.5" hidden="1" thickBot="1">
      <c r="A106" s="84">
        <v>4500069455</v>
      </c>
      <c r="B106" s="39">
        <v>45415</v>
      </c>
      <c r="C106" s="40">
        <v>0.5</v>
      </c>
      <c r="D106" s="38">
        <v>113836</v>
      </c>
      <c r="E106" s="38">
        <v>18166</v>
      </c>
      <c r="F106" s="39">
        <v>45415</v>
      </c>
      <c r="G106" s="40">
        <v>0.6118055555555556</v>
      </c>
      <c r="H106" s="46" t="s">
        <v>57</v>
      </c>
      <c r="I106" s="38" t="s">
        <v>83</v>
      </c>
      <c r="J106" s="41" t="s">
        <v>218</v>
      </c>
      <c r="K106" s="38">
        <v>5</v>
      </c>
    </row>
    <row r="107" spans="1:11" ht="51" hidden="1" thickBot="1">
      <c r="A107" s="84" t="s">
        <v>239</v>
      </c>
      <c r="B107" s="39">
        <v>45415</v>
      </c>
      <c r="C107" s="40">
        <v>0.59027777777777779</v>
      </c>
      <c r="D107" s="38">
        <v>113837</v>
      </c>
      <c r="E107" s="38">
        <v>18160</v>
      </c>
      <c r="F107" s="39">
        <v>45415</v>
      </c>
      <c r="G107" s="40">
        <v>0.6118055555555556</v>
      </c>
      <c r="H107" s="46" t="s">
        <v>237</v>
      </c>
      <c r="I107" s="38" t="s">
        <v>240</v>
      </c>
      <c r="J107" s="41" t="s">
        <v>230</v>
      </c>
      <c r="K107" s="38">
        <v>120</v>
      </c>
    </row>
    <row r="108" spans="1:11" ht="23.5" hidden="1" thickBot="1">
      <c r="A108" s="84">
        <v>549</v>
      </c>
      <c r="B108" s="39">
        <v>45415</v>
      </c>
      <c r="C108" s="40">
        <v>0.6791666666666667</v>
      </c>
      <c r="D108" s="38">
        <v>113843</v>
      </c>
      <c r="E108" s="38">
        <v>18177</v>
      </c>
      <c r="F108" s="43">
        <v>45418</v>
      </c>
      <c r="G108" s="40">
        <v>0.41805555555555557</v>
      </c>
      <c r="H108" s="46" t="s">
        <v>163</v>
      </c>
      <c r="I108" s="38" t="s">
        <v>80</v>
      </c>
      <c r="J108" s="41" t="s">
        <v>166</v>
      </c>
      <c r="K108" s="38">
        <v>30</v>
      </c>
    </row>
    <row r="109" spans="1:11" ht="23.5" hidden="1" thickBot="1">
      <c r="A109" s="84">
        <v>549</v>
      </c>
      <c r="B109" s="39">
        <v>45415</v>
      </c>
      <c r="C109" s="40">
        <v>0.6791666666666667</v>
      </c>
      <c r="D109" s="38">
        <v>113843</v>
      </c>
      <c r="E109" s="38">
        <v>18177</v>
      </c>
      <c r="F109" s="43">
        <v>45418</v>
      </c>
      <c r="G109" s="40">
        <v>0.41805555555555557</v>
      </c>
      <c r="H109" s="46" t="s">
        <v>163</v>
      </c>
      <c r="I109" s="38" t="s">
        <v>80</v>
      </c>
      <c r="J109" s="41" t="s">
        <v>112</v>
      </c>
      <c r="K109" s="38">
        <v>30</v>
      </c>
    </row>
    <row r="110" spans="1:11" ht="51" hidden="1" thickBot="1">
      <c r="A110" s="76" t="s">
        <v>241</v>
      </c>
      <c r="B110" s="59">
        <v>45415</v>
      </c>
      <c r="C110" s="60">
        <v>0.68333333333333335</v>
      </c>
      <c r="D110" s="61"/>
      <c r="E110" s="58" t="s">
        <v>109</v>
      </c>
      <c r="F110" s="61"/>
      <c r="G110" s="61"/>
      <c r="H110" s="62" t="s">
        <v>148</v>
      </c>
      <c r="I110" s="58" t="s">
        <v>242</v>
      </c>
      <c r="J110" s="63" t="s">
        <v>207</v>
      </c>
      <c r="K110" s="58">
        <v>10</v>
      </c>
    </row>
    <row r="111" spans="1:11" ht="24" thickBot="1">
      <c r="A111" s="93">
        <v>4</v>
      </c>
      <c r="B111" s="39">
        <v>45415</v>
      </c>
      <c r="C111" s="47">
        <v>0.6958333333333333</v>
      </c>
      <c r="D111" s="38">
        <v>113844</v>
      </c>
      <c r="E111" s="38">
        <v>18342</v>
      </c>
      <c r="F111" s="43">
        <v>45418</v>
      </c>
      <c r="G111" s="40">
        <v>0.41805555555555557</v>
      </c>
      <c r="H111" s="46" t="s">
        <v>219</v>
      </c>
      <c r="I111" s="48" t="s">
        <v>78</v>
      </c>
      <c r="J111" s="50" t="s">
        <v>194</v>
      </c>
      <c r="K111" s="48">
        <v>20</v>
      </c>
    </row>
    <row r="112" spans="1:11" ht="26" hidden="1" thickBot="1">
      <c r="A112" s="84">
        <v>662</v>
      </c>
      <c r="B112" s="39">
        <v>45415</v>
      </c>
      <c r="C112" s="40">
        <v>0.7</v>
      </c>
      <c r="D112" s="38">
        <v>113839</v>
      </c>
      <c r="E112" s="38">
        <v>18176</v>
      </c>
      <c r="F112" s="43">
        <v>45418</v>
      </c>
      <c r="G112" s="40">
        <v>0.38263888888888886</v>
      </c>
      <c r="H112" s="46" t="s">
        <v>172</v>
      </c>
      <c r="I112" s="48" t="s">
        <v>75</v>
      </c>
      <c r="J112" s="41" t="s">
        <v>158</v>
      </c>
      <c r="K112" s="38">
        <v>4</v>
      </c>
    </row>
    <row r="113" spans="1:11" ht="51" hidden="1" thickBot="1">
      <c r="A113" s="84" t="s">
        <v>243</v>
      </c>
      <c r="B113" s="39">
        <v>45415</v>
      </c>
      <c r="C113" s="40">
        <v>0.77847222222222223</v>
      </c>
      <c r="D113" s="38">
        <v>113840</v>
      </c>
      <c r="E113" s="38">
        <v>18172</v>
      </c>
      <c r="F113" s="43">
        <v>45418</v>
      </c>
      <c r="G113" s="40">
        <v>0.40208333333333335</v>
      </c>
      <c r="H113" s="46" t="s">
        <v>12</v>
      </c>
      <c r="I113" s="48" t="s">
        <v>176</v>
      </c>
      <c r="J113" s="41" t="s">
        <v>207</v>
      </c>
      <c r="K113" s="38">
        <v>5</v>
      </c>
    </row>
    <row r="114" spans="1:11" ht="76" hidden="1" thickBot="1">
      <c r="A114" s="84" t="s">
        <v>244</v>
      </c>
      <c r="B114" s="39">
        <v>45416</v>
      </c>
      <c r="C114" s="40">
        <v>0.375</v>
      </c>
      <c r="D114" s="38">
        <v>113845</v>
      </c>
      <c r="E114" s="38">
        <v>18198</v>
      </c>
      <c r="F114" s="43">
        <v>45418</v>
      </c>
      <c r="G114" s="40">
        <v>0.41944444444444445</v>
      </c>
      <c r="H114" s="46" t="s">
        <v>193</v>
      </c>
      <c r="I114" s="48" t="s">
        <v>76</v>
      </c>
      <c r="J114" s="41" t="s">
        <v>153</v>
      </c>
      <c r="K114" s="38">
        <v>12</v>
      </c>
    </row>
    <row r="115" spans="1:11" ht="38.5" hidden="1" thickBot="1">
      <c r="A115" s="84">
        <v>4500064740</v>
      </c>
      <c r="B115" s="39">
        <v>45417</v>
      </c>
      <c r="C115" s="40">
        <v>0.75486111111111109</v>
      </c>
      <c r="D115" s="38">
        <v>113841</v>
      </c>
      <c r="E115" s="38">
        <v>18171</v>
      </c>
      <c r="F115" s="43">
        <v>45418</v>
      </c>
      <c r="G115" s="40">
        <v>0.40625</v>
      </c>
      <c r="H115" s="46" t="s">
        <v>181</v>
      </c>
      <c r="I115" s="48" t="s">
        <v>164</v>
      </c>
      <c r="J115" s="41" t="s">
        <v>230</v>
      </c>
      <c r="K115" s="38">
        <v>560</v>
      </c>
    </row>
    <row r="116" spans="1:11" ht="38.5" thickBot="1">
      <c r="A116" s="77">
        <v>5</v>
      </c>
      <c r="B116" s="65">
        <v>45418</v>
      </c>
      <c r="C116" s="66">
        <v>0.30694444444444446</v>
      </c>
      <c r="D116" s="67">
        <v>113857</v>
      </c>
      <c r="E116" s="67">
        <v>18186</v>
      </c>
      <c r="F116" s="68">
        <v>45419</v>
      </c>
      <c r="G116" s="66">
        <v>0.51597222222222228</v>
      </c>
      <c r="H116" s="69" t="s">
        <v>18</v>
      </c>
      <c r="I116" s="70" t="s">
        <v>77</v>
      </c>
      <c r="J116" s="71" t="s">
        <v>111</v>
      </c>
      <c r="K116" s="67">
        <v>20</v>
      </c>
    </row>
    <row r="117" spans="1:11" ht="23.5" hidden="1" thickBot="1">
      <c r="A117" s="84">
        <v>4500119910</v>
      </c>
      <c r="B117" s="39">
        <v>45418</v>
      </c>
      <c r="C117" s="40">
        <v>0.35486111111111113</v>
      </c>
      <c r="D117" s="38">
        <v>113842</v>
      </c>
      <c r="E117" s="38">
        <v>18169</v>
      </c>
      <c r="F117" s="43">
        <v>45418</v>
      </c>
      <c r="G117" s="40">
        <v>0.40972222222222221</v>
      </c>
      <c r="H117" s="46" t="s">
        <v>6</v>
      </c>
      <c r="I117" s="48" t="s">
        <v>85</v>
      </c>
      <c r="J117" s="41" t="s">
        <v>220</v>
      </c>
      <c r="K117" s="38">
        <v>3</v>
      </c>
    </row>
    <row r="118" spans="1:11" ht="23.5" hidden="1" thickBot="1">
      <c r="A118" s="84">
        <v>4500119910</v>
      </c>
      <c r="B118" s="39">
        <v>45418</v>
      </c>
      <c r="C118" s="40">
        <v>0.35486111111111113</v>
      </c>
      <c r="D118" s="38">
        <v>113842</v>
      </c>
      <c r="E118" s="38">
        <v>18169</v>
      </c>
      <c r="F118" s="43">
        <v>45418</v>
      </c>
      <c r="G118" s="40">
        <v>0.40972222222222221</v>
      </c>
      <c r="H118" s="46" t="s">
        <v>6</v>
      </c>
      <c r="I118" s="48" t="s">
        <v>85</v>
      </c>
      <c r="J118" s="41" t="s">
        <v>112</v>
      </c>
      <c r="K118" s="38">
        <v>4</v>
      </c>
    </row>
    <row r="119" spans="1:11" ht="35" hidden="1" thickBot="1">
      <c r="A119" s="84" t="s">
        <v>245</v>
      </c>
      <c r="B119" s="39">
        <v>45418</v>
      </c>
      <c r="C119" s="40">
        <v>0.39513888888888887</v>
      </c>
      <c r="D119" s="38">
        <v>113846</v>
      </c>
      <c r="E119" s="38">
        <v>18174</v>
      </c>
      <c r="F119" s="43">
        <v>45418</v>
      </c>
      <c r="G119" s="40">
        <v>0.4201388888888889</v>
      </c>
      <c r="H119" s="46" t="s">
        <v>160</v>
      </c>
      <c r="I119" s="38" t="s">
        <v>80</v>
      </c>
      <c r="J119" s="41" t="s">
        <v>207</v>
      </c>
      <c r="K119" s="38">
        <v>6</v>
      </c>
    </row>
    <row r="120" spans="1:11" ht="35" hidden="1" thickBot="1">
      <c r="A120" s="84">
        <v>939058</v>
      </c>
      <c r="B120" s="39">
        <v>45418</v>
      </c>
      <c r="C120" s="40">
        <v>0.40763888888888888</v>
      </c>
      <c r="D120" s="38">
        <v>113847</v>
      </c>
      <c r="E120" s="38">
        <v>18201</v>
      </c>
      <c r="F120" s="43">
        <v>45418</v>
      </c>
      <c r="G120" s="40">
        <v>0.48749999999999999</v>
      </c>
      <c r="H120" s="46" t="s">
        <v>38</v>
      </c>
      <c r="I120" s="38" t="s">
        <v>141</v>
      </c>
      <c r="J120" s="41" t="s">
        <v>212</v>
      </c>
      <c r="K120" s="38">
        <v>2</v>
      </c>
    </row>
    <row r="121" spans="1:11" ht="35" hidden="1" thickBot="1">
      <c r="A121" s="84">
        <v>939058</v>
      </c>
      <c r="B121" s="39">
        <v>45418</v>
      </c>
      <c r="C121" s="40">
        <v>0.40763888888888888</v>
      </c>
      <c r="D121" s="38">
        <v>113847</v>
      </c>
      <c r="E121" s="38">
        <v>18201</v>
      </c>
      <c r="F121" s="43">
        <v>45418</v>
      </c>
      <c r="G121" s="40">
        <v>0.48749999999999999</v>
      </c>
      <c r="H121" s="46" t="s">
        <v>38</v>
      </c>
      <c r="I121" s="38" t="s">
        <v>141</v>
      </c>
      <c r="J121" s="41" t="s">
        <v>143</v>
      </c>
      <c r="K121" s="38">
        <v>3</v>
      </c>
    </row>
    <row r="122" spans="1:11" ht="23.5" hidden="1" thickBot="1">
      <c r="A122" s="90">
        <v>939107</v>
      </c>
      <c r="B122" s="39">
        <v>45418</v>
      </c>
      <c r="C122" s="40">
        <v>0.44027777777777777</v>
      </c>
      <c r="D122" s="38">
        <v>113848</v>
      </c>
      <c r="E122" s="38">
        <v>18181</v>
      </c>
      <c r="F122" s="43">
        <v>45418</v>
      </c>
      <c r="G122" s="40">
        <v>0.48888888888888887</v>
      </c>
      <c r="H122" s="46" t="s">
        <v>38</v>
      </c>
      <c r="I122" s="38" t="s">
        <v>142</v>
      </c>
      <c r="J122" s="41" t="s">
        <v>140</v>
      </c>
      <c r="K122" s="38">
        <v>7</v>
      </c>
    </row>
    <row r="123" spans="1:11" ht="38.5" thickBot="1">
      <c r="A123" s="93">
        <v>6</v>
      </c>
      <c r="B123" s="39">
        <v>45418</v>
      </c>
      <c r="C123" s="40">
        <v>0.46458333333333335</v>
      </c>
      <c r="D123" s="38">
        <v>113849</v>
      </c>
      <c r="E123" s="38">
        <v>18170</v>
      </c>
      <c r="F123" s="43">
        <v>45418</v>
      </c>
      <c r="G123" s="40">
        <v>0.48888888888888887</v>
      </c>
      <c r="H123" s="46" t="s">
        <v>152</v>
      </c>
      <c r="I123" s="38" t="s">
        <v>75</v>
      </c>
      <c r="J123" s="41" t="s">
        <v>111</v>
      </c>
      <c r="K123" s="38">
        <v>1</v>
      </c>
    </row>
    <row r="124" spans="1:11" ht="38.5" hidden="1" thickBot="1">
      <c r="A124" s="84" t="s">
        <v>251</v>
      </c>
      <c r="B124" s="39">
        <v>45418</v>
      </c>
      <c r="C124" s="40">
        <v>0.46597222222222223</v>
      </c>
      <c r="D124" s="38">
        <v>113850</v>
      </c>
      <c r="E124" s="38">
        <v>18168</v>
      </c>
      <c r="F124" s="43">
        <v>45418</v>
      </c>
      <c r="G124" s="40">
        <v>0.48958333333333331</v>
      </c>
      <c r="H124" s="46" t="s">
        <v>119</v>
      </c>
      <c r="I124" s="38" t="s">
        <v>246</v>
      </c>
      <c r="J124" s="41" t="s">
        <v>226</v>
      </c>
      <c r="K124" s="38">
        <v>2</v>
      </c>
    </row>
    <row r="125" spans="1:11" ht="35" hidden="1" thickBot="1">
      <c r="A125" s="84" t="s">
        <v>247</v>
      </c>
      <c r="B125" s="39">
        <v>45418</v>
      </c>
      <c r="C125" s="40">
        <v>0.46736111111111112</v>
      </c>
      <c r="D125" s="38">
        <v>113851</v>
      </c>
      <c r="E125" s="38">
        <v>18173</v>
      </c>
      <c r="F125" s="43">
        <v>45418</v>
      </c>
      <c r="G125" s="40">
        <v>0.58819444444444446</v>
      </c>
      <c r="H125" s="41" t="s">
        <v>252</v>
      </c>
      <c r="I125" s="38" t="s">
        <v>86</v>
      </c>
      <c r="J125" s="41" t="s">
        <v>206</v>
      </c>
      <c r="K125" s="38">
        <v>40</v>
      </c>
    </row>
    <row r="126" spans="1:11" ht="38.5" thickBot="1">
      <c r="A126" s="94">
        <v>7</v>
      </c>
      <c r="B126" s="39">
        <v>45418</v>
      </c>
      <c r="C126" s="40">
        <v>0.55625000000000002</v>
      </c>
      <c r="D126" s="38">
        <v>113852</v>
      </c>
      <c r="E126" s="38">
        <v>18178</v>
      </c>
      <c r="F126" s="39">
        <v>45418</v>
      </c>
      <c r="G126" s="40">
        <v>0.59375</v>
      </c>
      <c r="H126" s="46" t="s">
        <v>146</v>
      </c>
      <c r="I126" s="38" t="s">
        <v>147</v>
      </c>
      <c r="J126" s="41" t="s">
        <v>202</v>
      </c>
      <c r="K126" s="38">
        <v>4</v>
      </c>
    </row>
    <row r="127" spans="1:11" ht="76" hidden="1" thickBot="1">
      <c r="A127" s="84" t="s">
        <v>248</v>
      </c>
      <c r="B127" s="39">
        <v>45418</v>
      </c>
      <c r="C127" s="40">
        <v>0.57013888888888886</v>
      </c>
      <c r="D127" s="38">
        <v>113855</v>
      </c>
      <c r="E127" s="38">
        <v>18196</v>
      </c>
      <c r="F127" s="39">
        <v>45419</v>
      </c>
      <c r="G127" s="40">
        <v>0.51458333333333328</v>
      </c>
      <c r="H127" s="46" t="s">
        <v>193</v>
      </c>
      <c r="I127" s="38" t="s">
        <v>141</v>
      </c>
      <c r="J127" s="41" t="s">
        <v>153</v>
      </c>
      <c r="K127" s="38">
        <v>8</v>
      </c>
    </row>
    <row r="128" spans="1:11" ht="76" hidden="1" thickBot="1">
      <c r="A128" s="84" t="s">
        <v>248</v>
      </c>
      <c r="B128" s="39">
        <v>45418</v>
      </c>
      <c r="C128" s="40">
        <v>0.57013888888888886</v>
      </c>
      <c r="D128" s="38">
        <v>113855</v>
      </c>
      <c r="E128" s="38">
        <v>18196</v>
      </c>
      <c r="F128" s="39">
        <v>45419</v>
      </c>
      <c r="G128" s="40">
        <v>0.51458333333333328</v>
      </c>
      <c r="H128" s="46" t="s">
        <v>193</v>
      </c>
      <c r="I128" s="38" t="s">
        <v>141</v>
      </c>
      <c r="J128" s="41" t="s">
        <v>194</v>
      </c>
      <c r="K128" s="38">
        <v>14</v>
      </c>
    </row>
    <row r="129" spans="1:11" ht="76" hidden="1" thickBot="1">
      <c r="A129" s="84" t="s">
        <v>249</v>
      </c>
      <c r="B129" s="39">
        <v>45418</v>
      </c>
      <c r="C129" s="40">
        <v>0.59027777777777779</v>
      </c>
      <c r="D129" s="38">
        <v>113856</v>
      </c>
      <c r="E129" s="38">
        <v>18199</v>
      </c>
      <c r="F129" s="39">
        <v>45419</v>
      </c>
      <c r="G129" s="40">
        <v>0.51527777777777772</v>
      </c>
      <c r="H129" s="46" t="s">
        <v>193</v>
      </c>
      <c r="I129" s="38" t="s">
        <v>79</v>
      </c>
      <c r="J129" s="41" t="s">
        <v>145</v>
      </c>
      <c r="K129" s="38">
        <v>40</v>
      </c>
    </row>
    <row r="130" spans="1:11" ht="76" hidden="1" thickBot="1">
      <c r="A130" s="84" t="s">
        <v>249</v>
      </c>
      <c r="B130" s="39">
        <v>45418</v>
      </c>
      <c r="C130" s="40">
        <v>0.59027777777777779</v>
      </c>
      <c r="D130" s="38">
        <v>113856</v>
      </c>
      <c r="E130" s="38">
        <v>18199</v>
      </c>
      <c r="F130" s="39">
        <v>45419</v>
      </c>
      <c r="G130" s="40">
        <v>0.51527777777777772</v>
      </c>
      <c r="H130" s="46" t="s">
        <v>193</v>
      </c>
      <c r="I130" s="38" t="s">
        <v>79</v>
      </c>
      <c r="J130" s="41" t="s">
        <v>153</v>
      </c>
      <c r="K130" s="38">
        <v>4</v>
      </c>
    </row>
    <row r="131" spans="1:11" ht="46.5" thickBot="1">
      <c r="A131" s="87">
        <v>8</v>
      </c>
      <c r="B131" s="39">
        <v>45418</v>
      </c>
      <c r="C131" s="42"/>
      <c r="D131" s="38">
        <v>113853</v>
      </c>
      <c r="E131" s="38">
        <v>18187</v>
      </c>
      <c r="F131" s="39">
        <v>45418</v>
      </c>
      <c r="G131" s="40">
        <v>0.63888888888888884</v>
      </c>
      <c r="H131" s="46" t="s">
        <v>182</v>
      </c>
      <c r="I131" s="38" t="s">
        <v>250</v>
      </c>
      <c r="J131" s="41" t="s">
        <v>145</v>
      </c>
      <c r="K131" s="38">
        <v>1</v>
      </c>
    </row>
    <row r="132" spans="1:11" ht="35" thickBot="1">
      <c r="A132" s="87">
        <v>8</v>
      </c>
      <c r="B132" s="39">
        <v>45418</v>
      </c>
      <c r="C132" s="42"/>
      <c r="D132" s="38">
        <v>113853</v>
      </c>
      <c r="E132" s="38">
        <v>18187</v>
      </c>
      <c r="F132" s="39">
        <v>45418</v>
      </c>
      <c r="G132" s="40">
        <v>0.63888888888888884</v>
      </c>
      <c r="H132" s="46" t="s">
        <v>182</v>
      </c>
      <c r="I132" s="38" t="s">
        <v>250</v>
      </c>
      <c r="J132" s="41" t="s">
        <v>143</v>
      </c>
      <c r="K132" s="38">
        <v>1</v>
      </c>
    </row>
    <row r="133" spans="1:11" ht="35" thickBot="1">
      <c r="A133" s="87">
        <v>8</v>
      </c>
      <c r="B133" s="39">
        <v>45418</v>
      </c>
      <c r="C133" s="42"/>
      <c r="D133" s="38">
        <v>113853</v>
      </c>
      <c r="E133" s="38">
        <v>18187</v>
      </c>
      <c r="F133" s="39">
        <v>45418</v>
      </c>
      <c r="G133" s="40">
        <v>0.63888888888888884</v>
      </c>
      <c r="H133" s="46" t="s">
        <v>182</v>
      </c>
      <c r="I133" s="38" t="s">
        <v>250</v>
      </c>
      <c r="J133" s="41" t="s">
        <v>226</v>
      </c>
      <c r="K133" s="38">
        <v>1</v>
      </c>
    </row>
    <row r="134" spans="1:11" ht="51" hidden="1" thickBot="1">
      <c r="A134" s="84">
        <v>317249</v>
      </c>
      <c r="B134" s="39">
        <v>45419</v>
      </c>
      <c r="C134" s="40">
        <v>0.48194444444444445</v>
      </c>
      <c r="D134" s="38">
        <v>113858</v>
      </c>
      <c r="E134" s="38">
        <v>18188</v>
      </c>
      <c r="F134" s="39">
        <v>45419</v>
      </c>
      <c r="G134" s="40">
        <v>0.56597222222222221</v>
      </c>
      <c r="H134" s="46" t="s">
        <v>179</v>
      </c>
      <c r="I134" s="38" t="s">
        <v>78</v>
      </c>
      <c r="J134" s="41" t="s">
        <v>226</v>
      </c>
      <c r="K134" s="38">
        <v>7</v>
      </c>
    </row>
    <row r="135" spans="1:11" ht="35" hidden="1" thickBot="1">
      <c r="A135" s="84">
        <v>4500069546</v>
      </c>
      <c r="B135" s="39">
        <v>45418</v>
      </c>
      <c r="C135" s="40">
        <v>0.65972222222222221</v>
      </c>
      <c r="D135" s="38">
        <v>113859</v>
      </c>
      <c r="E135" s="38">
        <v>18191</v>
      </c>
      <c r="F135" s="39">
        <v>45419</v>
      </c>
      <c r="G135" s="40">
        <v>0.55069444444444449</v>
      </c>
      <c r="H135" s="46" t="s">
        <v>57</v>
      </c>
      <c r="I135" s="38" t="s">
        <v>80</v>
      </c>
      <c r="J135" s="41" t="s">
        <v>136</v>
      </c>
      <c r="K135" s="38">
        <v>8</v>
      </c>
    </row>
    <row r="136" spans="1:11" ht="23.5" hidden="1" thickBot="1">
      <c r="A136" s="84">
        <v>4500069546</v>
      </c>
      <c r="B136" s="39">
        <v>45418</v>
      </c>
      <c r="C136" s="40">
        <v>0.65972222222222221</v>
      </c>
      <c r="D136" s="38">
        <v>113859</v>
      </c>
      <c r="E136" s="38">
        <v>18191</v>
      </c>
      <c r="F136" s="39">
        <v>45419</v>
      </c>
      <c r="G136" s="40">
        <v>0.55069444444444449</v>
      </c>
      <c r="H136" s="46" t="s">
        <v>57</v>
      </c>
      <c r="I136" s="38" t="s">
        <v>80</v>
      </c>
      <c r="J136" s="41" t="s">
        <v>110</v>
      </c>
      <c r="K136" s="38">
        <v>60</v>
      </c>
    </row>
    <row r="137" spans="1:11" ht="38.5" hidden="1" thickBot="1">
      <c r="A137" s="84" t="s">
        <v>253</v>
      </c>
      <c r="B137" s="39">
        <v>45418</v>
      </c>
      <c r="C137" s="40">
        <v>0.69861111111111107</v>
      </c>
      <c r="D137" s="38">
        <v>113860</v>
      </c>
      <c r="E137" s="38">
        <v>18190</v>
      </c>
      <c r="F137" s="39">
        <v>45419</v>
      </c>
      <c r="G137" s="40">
        <v>0.56944444444444442</v>
      </c>
      <c r="H137" s="46" t="s">
        <v>54</v>
      </c>
      <c r="I137" s="38" t="s">
        <v>75</v>
      </c>
      <c r="J137" s="41" t="s">
        <v>215</v>
      </c>
      <c r="K137" s="38">
        <v>15</v>
      </c>
    </row>
    <row r="138" spans="1:11" ht="38.5" hidden="1" thickBot="1">
      <c r="A138" s="84" t="s">
        <v>253</v>
      </c>
      <c r="B138" s="39">
        <v>45418</v>
      </c>
      <c r="C138" s="40">
        <v>0.69861111111111107</v>
      </c>
      <c r="D138" s="38">
        <v>113860</v>
      </c>
      <c r="E138" s="38">
        <v>18190</v>
      </c>
      <c r="F138" s="39">
        <v>45419</v>
      </c>
      <c r="G138" s="40">
        <v>0.56944444444444442</v>
      </c>
      <c r="H138" s="46" t="s">
        <v>54</v>
      </c>
      <c r="I138" s="38" t="s">
        <v>75</v>
      </c>
      <c r="J138" s="41" t="s">
        <v>218</v>
      </c>
      <c r="K138" s="38">
        <v>2</v>
      </c>
    </row>
    <row r="139" spans="1:11" ht="38.5" hidden="1" thickBot="1">
      <c r="A139" s="84" t="s">
        <v>253</v>
      </c>
      <c r="B139" s="39">
        <v>45418</v>
      </c>
      <c r="C139" s="40">
        <v>0.69861111111111107</v>
      </c>
      <c r="D139" s="38">
        <v>113860</v>
      </c>
      <c r="E139" s="38">
        <v>18190</v>
      </c>
      <c r="F139" s="39">
        <v>45419</v>
      </c>
      <c r="G139" s="40">
        <v>0.56944444444444442</v>
      </c>
      <c r="H139" s="46" t="s">
        <v>54</v>
      </c>
      <c r="I139" s="38" t="s">
        <v>75</v>
      </c>
      <c r="J139" s="41" t="s">
        <v>136</v>
      </c>
      <c r="K139" s="38">
        <v>1</v>
      </c>
    </row>
    <row r="140" spans="1:11" ht="38.5" hidden="1" thickBot="1">
      <c r="A140" s="84" t="s">
        <v>253</v>
      </c>
      <c r="B140" s="39">
        <v>45418</v>
      </c>
      <c r="C140" s="40">
        <v>0.69861111111111107</v>
      </c>
      <c r="D140" s="38">
        <v>113860</v>
      </c>
      <c r="E140" s="38">
        <v>18190</v>
      </c>
      <c r="F140" s="39">
        <v>45419</v>
      </c>
      <c r="G140" s="40">
        <v>0.56944444444444442</v>
      </c>
      <c r="H140" s="46" t="s">
        <v>54</v>
      </c>
      <c r="I140" s="38" t="s">
        <v>75</v>
      </c>
      <c r="J140" s="41" t="s">
        <v>214</v>
      </c>
      <c r="K140" s="38">
        <v>4</v>
      </c>
    </row>
    <row r="141" spans="1:11" ht="13.5" hidden="1" thickBot="1">
      <c r="A141" s="88">
        <v>5032</v>
      </c>
      <c r="B141" s="39">
        <v>45419</v>
      </c>
      <c r="C141" s="40">
        <v>0.3347222222222222</v>
      </c>
      <c r="D141" s="38">
        <v>113863</v>
      </c>
      <c r="E141" s="38">
        <v>18296</v>
      </c>
      <c r="F141" s="39">
        <v>45419</v>
      </c>
      <c r="G141" s="40">
        <v>0.61458333333333337</v>
      </c>
      <c r="H141" s="46" t="s">
        <v>219</v>
      </c>
      <c r="I141" s="38" t="s">
        <v>81</v>
      </c>
      <c r="J141" s="41" t="s">
        <v>189</v>
      </c>
      <c r="K141" s="38">
        <v>3</v>
      </c>
    </row>
    <row r="142" spans="1:11" ht="38.5" thickBot="1">
      <c r="A142" s="87">
        <v>9</v>
      </c>
      <c r="B142" s="39">
        <v>45419</v>
      </c>
      <c r="C142" s="40">
        <v>0.34861111111111109</v>
      </c>
      <c r="D142" s="38">
        <v>113864</v>
      </c>
      <c r="E142" s="38">
        <v>18211</v>
      </c>
      <c r="F142" s="39">
        <v>45419</v>
      </c>
      <c r="G142" s="40">
        <v>0.61527777777777781</v>
      </c>
      <c r="H142" s="46" t="s">
        <v>149</v>
      </c>
      <c r="I142" s="38" t="s">
        <v>82</v>
      </c>
      <c r="J142" s="41" t="s">
        <v>134</v>
      </c>
      <c r="K142" s="38">
        <v>4</v>
      </c>
    </row>
    <row r="143" spans="1:11" ht="38.5" hidden="1" thickBot="1">
      <c r="A143" s="84" t="s">
        <v>318</v>
      </c>
      <c r="B143" s="39">
        <v>45419</v>
      </c>
      <c r="C143" s="40">
        <v>0.36944444444444446</v>
      </c>
      <c r="D143" s="38">
        <v>113990</v>
      </c>
      <c r="E143" s="38">
        <v>18327</v>
      </c>
      <c r="F143" s="39">
        <v>45419</v>
      </c>
      <c r="G143" s="40">
        <v>0.5756944444444444</v>
      </c>
      <c r="H143" s="46" t="s">
        <v>319</v>
      </c>
      <c r="I143" s="38" t="s">
        <v>78</v>
      </c>
      <c r="J143" s="41" t="s">
        <v>112</v>
      </c>
      <c r="K143" s="38">
        <v>10</v>
      </c>
    </row>
    <row r="144" spans="1:11" ht="26.5" hidden="1" thickBot="1">
      <c r="A144" s="90">
        <v>940071</v>
      </c>
      <c r="B144" s="39">
        <v>45419</v>
      </c>
      <c r="C144" s="40">
        <v>0.39097222222222222</v>
      </c>
      <c r="D144" s="38">
        <v>113865</v>
      </c>
      <c r="E144" s="38">
        <v>18208</v>
      </c>
      <c r="F144" s="39">
        <v>45419</v>
      </c>
      <c r="G144" s="40">
        <v>0.61527777777777781</v>
      </c>
      <c r="H144" s="46" t="s">
        <v>30</v>
      </c>
      <c r="I144" s="38" t="s">
        <v>79</v>
      </c>
      <c r="J144" s="41" t="s">
        <v>206</v>
      </c>
      <c r="K144" s="38">
        <v>29</v>
      </c>
    </row>
    <row r="145" spans="1:11" ht="51" hidden="1" thickBot="1">
      <c r="A145" s="91" t="s">
        <v>254</v>
      </c>
      <c r="B145" s="39">
        <v>45419</v>
      </c>
      <c r="C145" s="40">
        <v>0.56041666666666667</v>
      </c>
      <c r="D145" s="38">
        <v>113862</v>
      </c>
      <c r="E145" s="38">
        <v>18185</v>
      </c>
      <c r="F145" s="39">
        <v>45419</v>
      </c>
      <c r="G145" s="40">
        <v>0.58194444444444449</v>
      </c>
      <c r="H145" s="46" t="s">
        <v>12</v>
      </c>
      <c r="I145" s="38" t="s">
        <v>176</v>
      </c>
      <c r="J145" s="41" t="s">
        <v>230</v>
      </c>
      <c r="K145" s="38">
        <v>20</v>
      </c>
    </row>
    <row r="146" spans="1:11" ht="51" hidden="1" thickBot="1">
      <c r="A146" s="84">
        <v>320</v>
      </c>
      <c r="B146" s="39">
        <v>45419</v>
      </c>
      <c r="C146" s="40">
        <v>0.32777777777777778</v>
      </c>
      <c r="D146" s="38">
        <v>113866</v>
      </c>
      <c r="E146" s="38">
        <v>18189</v>
      </c>
      <c r="F146" s="39">
        <v>45419</v>
      </c>
      <c r="G146" s="40">
        <v>0.61597222222222225</v>
      </c>
      <c r="H146" s="46" t="s">
        <v>53</v>
      </c>
      <c r="I146" s="38" t="s">
        <v>255</v>
      </c>
      <c r="J146" s="41" t="s">
        <v>226</v>
      </c>
      <c r="K146" s="38">
        <v>1</v>
      </c>
    </row>
    <row r="147" spans="1:11" ht="51" hidden="1" thickBot="1">
      <c r="A147" s="84">
        <v>320</v>
      </c>
      <c r="B147" s="39">
        <v>45419</v>
      </c>
      <c r="C147" s="40">
        <v>0.32777777777777778</v>
      </c>
      <c r="D147" s="38">
        <v>113866</v>
      </c>
      <c r="E147" s="38">
        <v>18189</v>
      </c>
      <c r="F147" s="39">
        <v>45419</v>
      </c>
      <c r="G147" s="40">
        <v>0.61597222222222225</v>
      </c>
      <c r="H147" s="46" t="s">
        <v>53</v>
      </c>
      <c r="I147" s="38" t="s">
        <v>255</v>
      </c>
      <c r="J147" s="41" t="s">
        <v>120</v>
      </c>
      <c r="K147" s="38">
        <v>6</v>
      </c>
    </row>
    <row r="148" spans="1:11" ht="51" hidden="1" thickBot="1">
      <c r="A148" s="84">
        <v>320</v>
      </c>
      <c r="B148" s="39">
        <v>45419</v>
      </c>
      <c r="C148" s="40">
        <v>0.32777777777777778</v>
      </c>
      <c r="D148" s="38">
        <v>113866</v>
      </c>
      <c r="E148" s="38">
        <v>18189</v>
      </c>
      <c r="F148" s="39">
        <v>45419</v>
      </c>
      <c r="G148" s="40">
        <v>0.61597222222222225</v>
      </c>
      <c r="H148" s="46" t="s">
        <v>53</v>
      </c>
      <c r="I148" s="38" t="s">
        <v>255</v>
      </c>
      <c r="J148" s="41" t="s">
        <v>206</v>
      </c>
      <c r="K148" s="38">
        <v>10</v>
      </c>
    </row>
    <row r="149" spans="1:11" ht="51" hidden="1" thickBot="1">
      <c r="A149" s="84">
        <v>320</v>
      </c>
      <c r="B149" s="39">
        <v>45419</v>
      </c>
      <c r="C149" s="40">
        <v>0.32777777777777778</v>
      </c>
      <c r="D149" s="38">
        <v>113866</v>
      </c>
      <c r="E149" s="38">
        <v>18189</v>
      </c>
      <c r="F149" s="39">
        <v>45419</v>
      </c>
      <c r="G149" s="40">
        <v>0.61597222222222225</v>
      </c>
      <c r="H149" s="46" t="s">
        <v>53</v>
      </c>
      <c r="I149" s="38" t="s">
        <v>255</v>
      </c>
      <c r="J149" s="41" t="s">
        <v>111</v>
      </c>
      <c r="K149" s="38">
        <v>12</v>
      </c>
    </row>
    <row r="150" spans="1:11" ht="51" hidden="1" thickBot="1">
      <c r="A150" s="84">
        <v>320</v>
      </c>
      <c r="B150" s="39">
        <v>45419</v>
      </c>
      <c r="C150" s="40">
        <v>0.32777777777777778</v>
      </c>
      <c r="D150" s="38">
        <v>113866</v>
      </c>
      <c r="E150" s="38">
        <v>18189</v>
      </c>
      <c r="F150" s="39">
        <v>45419</v>
      </c>
      <c r="G150" s="40">
        <v>0.61597222222222225</v>
      </c>
      <c r="H150" s="46" t="s">
        <v>53</v>
      </c>
      <c r="I150" s="38" t="s">
        <v>255</v>
      </c>
      <c r="J150" s="41" t="s">
        <v>136</v>
      </c>
      <c r="K150" s="38">
        <v>1</v>
      </c>
    </row>
    <row r="151" spans="1:11" ht="38.5" thickBot="1">
      <c r="A151" s="87">
        <v>10</v>
      </c>
      <c r="B151" s="39">
        <v>45419</v>
      </c>
      <c r="C151" s="40">
        <v>0.75694444444444442</v>
      </c>
      <c r="D151" s="38">
        <v>113867</v>
      </c>
      <c r="E151" s="38">
        <v>18192</v>
      </c>
      <c r="F151" s="39">
        <v>45420</v>
      </c>
      <c r="G151" s="40">
        <v>0.52430555555555558</v>
      </c>
      <c r="H151" s="72" t="s">
        <v>45</v>
      </c>
      <c r="I151" s="46" t="s">
        <v>78</v>
      </c>
      <c r="J151" s="41" t="s">
        <v>221</v>
      </c>
      <c r="K151" s="38">
        <v>3</v>
      </c>
    </row>
    <row r="152" spans="1:11" ht="26.5" hidden="1" thickBot="1">
      <c r="A152" s="90">
        <v>940903</v>
      </c>
      <c r="B152" s="39">
        <v>45419</v>
      </c>
      <c r="C152" s="40">
        <v>0.76111111111111107</v>
      </c>
      <c r="D152" s="38">
        <v>113876</v>
      </c>
      <c r="E152" s="38">
        <v>18227</v>
      </c>
      <c r="F152" s="39">
        <v>45420</v>
      </c>
      <c r="G152" s="40">
        <v>0.52708333333333335</v>
      </c>
      <c r="H152" s="46" t="s">
        <v>30</v>
      </c>
      <c r="I152" s="38" t="s">
        <v>80</v>
      </c>
      <c r="J152" s="41" t="s">
        <v>113</v>
      </c>
      <c r="K152" s="38">
        <v>7</v>
      </c>
    </row>
    <row r="153" spans="1:11" ht="23.5" hidden="1" thickBot="1">
      <c r="A153" s="84">
        <v>4500069587</v>
      </c>
      <c r="B153" s="39">
        <v>45419</v>
      </c>
      <c r="C153" s="40">
        <v>0.76458333333333328</v>
      </c>
      <c r="D153" s="38">
        <v>113875</v>
      </c>
      <c r="E153" s="38">
        <v>18243</v>
      </c>
      <c r="F153" s="39">
        <v>45420</v>
      </c>
      <c r="G153" s="40">
        <v>0.52708333333333335</v>
      </c>
      <c r="H153" s="46" t="s">
        <v>57</v>
      </c>
      <c r="I153" s="38" t="s">
        <v>83</v>
      </c>
      <c r="J153" s="41" t="s">
        <v>215</v>
      </c>
      <c r="K153" s="38">
        <v>40</v>
      </c>
    </row>
    <row r="154" spans="1:11" ht="13.5" hidden="1" thickBot="1">
      <c r="A154" s="84">
        <v>4500069587</v>
      </c>
      <c r="B154" s="39">
        <v>45419</v>
      </c>
      <c r="C154" s="40">
        <v>0.76458333333333328</v>
      </c>
      <c r="D154" s="38">
        <v>113875</v>
      </c>
      <c r="E154" s="38">
        <v>18243</v>
      </c>
      <c r="F154" s="39">
        <v>45420</v>
      </c>
      <c r="G154" s="40">
        <v>0.52708333333333335</v>
      </c>
      <c r="H154" s="46" t="s">
        <v>57</v>
      </c>
      <c r="I154" s="38" t="s">
        <v>83</v>
      </c>
      <c r="J154" s="41" t="s">
        <v>134</v>
      </c>
      <c r="K154" s="38">
        <v>40</v>
      </c>
    </row>
    <row r="155" spans="1:11" ht="23.5" hidden="1" thickBot="1">
      <c r="A155" s="84">
        <v>4500069587</v>
      </c>
      <c r="B155" s="39">
        <v>45419</v>
      </c>
      <c r="C155" s="40">
        <v>0.76458333333333328</v>
      </c>
      <c r="D155" s="38">
        <v>113875</v>
      </c>
      <c r="E155" s="38">
        <v>18194</v>
      </c>
      <c r="F155" s="39">
        <v>45420</v>
      </c>
      <c r="G155" s="40">
        <v>0.52708333333333335</v>
      </c>
      <c r="H155" s="46" t="s">
        <v>57</v>
      </c>
      <c r="I155" s="38" t="s">
        <v>83</v>
      </c>
      <c r="J155" s="41" t="s">
        <v>110</v>
      </c>
      <c r="K155" s="38">
        <v>120</v>
      </c>
    </row>
    <row r="156" spans="1:11" ht="23.5" hidden="1" thickBot="1">
      <c r="A156" s="84">
        <v>4500069587</v>
      </c>
      <c r="B156" s="39">
        <v>45419</v>
      </c>
      <c r="C156" s="40">
        <v>0.76458333333333328</v>
      </c>
      <c r="D156" s="38">
        <v>113875</v>
      </c>
      <c r="E156" s="38">
        <v>18243</v>
      </c>
      <c r="F156" s="39">
        <v>45420</v>
      </c>
      <c r="G156" s="40">
        <v>0.52708333333333335</v>
      </c>
      <c r="H156" s="46" t="s">
        <v>57</v>
      </c>
      <c r="I156" s="38" t="s">
        <v>83</v>
      </c>
      <c r="J156" s="41" t="s">
        <v>113</v>
      </c>
      <c r="K156" s="38">
        <v>20</v>
      </c>
    </row>
    <row r="157" spans="1:11" ht="35" hidden="1" thickBot="1">
      <c r="A157" s="84">
        <v>4500069587</v>
      </c>
      <c r="B157" s="39">
        <v>45419</v>
      </c>
      <c r="C157" s="40">
        <v>0.76458333333333328</v>
      </c>
      <c r="D157" s="38">
        <v>113875</v>
      </c>
      <c r="E157" s="38">
        <v>18243</v>
      </c>
      <c r="F157" s="39">
        <v>45420</v>
      </c>
      <c r="G157" s="40">
        <v>0.52708333333333335</v>
      </c>
      <c r="H157" s="46" t="s">
        <v>57</v>
      </c>
      <c r="I157" s="38" t="s">
        <v>83</v>
      </c>
      <c r="J157" s="41" t="s">
        <v>156</v>
      </c>
      <c r="K157" s="38">
        <v>80</v>
      </c>
    </row>
    <row r="158" spans="1:11" ht="23.5" hidden="1" thickBot="1">
      <c r="A158" s="84">
        <v>4500069587</v>
      </c>
      <c r="B158" s="39">
        <v>45419</v>
      </c>
      <c r="C158" s="40">
        <v>0.76458333333333328</v>
      </c>
      <c r="D158" s="38">
        <v>113875</v>
      </c>
      <c r="E158" s="38">
        <v>18243</v>
      </c>
      <c r="F158" s="39">
        <v>45420</v>
      </c>
      <c r="G158" s="40">
        <v>0.52708333333333335</v>
      </c>
      <c r="H158" s="46" t="s">
        <v>57</v>
      </c>
      <c r="I158" s="38" t="s">
        <v>83</v>
      </c>
      <c r="J158" s="41" t="s">
        <v>206</v>
      </c>
      <c r="K158" s="38">
        <v>200</v>
      </c>
    </row>
    <row r="159" spans="1:11" ht="23.5" hidden="1" thickBot="1">
      <c r="A159" s="84">
        <v>4500069587</v>
      </c>
      <c r="B159" s="39">
        <v>45419</v>
      </c>
      <c r="C159" s="40">
        <v>0.76458333333333328</v>
      </c>
      <c r="D159" s="38">
        <v>113875</v>
      </c>
      <c r="E159" s="38">
        <v>18194</v>
      </c>
      <c r="F159" s="39">
        <v>45420</v>
      </c>
      <c r="G159" s="40">
        <v>0.52708333333333335</v>
      </c>
      <c r="H159" s="46" t="s">
        <v>57</v>
      </c>
      <c r="I159" s="38" t="s">
        <v>83</v>
      </c>
      <c r="J159" s="41" t="s">
        <v>118</v>
      </c>
      <c r="K159" s="38">
        <v>20</v>
      </c>
    </row>
    <row r="160" spans="1:11" ht="23.5" hidden="1" thickBot="1">
      <c r="A160" s="84">
        <v>4500069587</v>
      </c>
      <c r="B160" s="39">
        <v>45419</v>
      </c>
      <c r="C160" s="40">
        <v>0.76458333333333328</v>
      </c>
      <c r="D160" s="38">
        <v>113875</v>
      </c>
      <c r="E160" s="38">
        <v>18243</v>
      </c>
      <c r="F160" s="39">
        <v>45420</v>
      </c>
      <c r="G160" s="40">
        <v>0.52708333333333335</v>
      </c>
      <c r="H160" s="46" t="s">
        <v>57</v>
      </c>
      <c r="I160" s="38" t="s">
        <v>83</v>
      </c>
      <c r="J160" s="41" t="s">
        <v>115</v>
      </c>
      <c r="K160" s="38">
        <v>100</v>
      </c>
    </row>
    <row r="161" spans="1:11" ht="23.5" hidden="1" thickBot="1">
      <c r="A161" s="84">
        <v>4500069587</v>
      </c>
      <c r="B161" s="39">
        <v>45419</v>
      </c>
      <c r="C161" s="40">
        <v>0.76458333333333328</v>
      </c>
      <c r="D161" s="38">
        <v>113875</v>
      </c>
      <c r="E161" s="38">
        <v>18194</v>
      </c>
      <c r="F161" s="39">
        <v>45420</v>
      </c>
      <c r="G161" s="40">
        <v>0.52708333333333335</v>
      </c>
      <c r="H161" s="46" t="s">
        <v>57</v>
      </c>
      <c r="I161" s="38" t="s">
        <v>83</v>
      </c>
      <c r="J161" s="41" t="s">
        <v>220</v>
      </c>
      <c r="K161" s="38">
        <v>60</v>
      </c>
    </row>
    <row r="162" spans="1:11" ht="23.5" hidden="1" thickBot="1">
      <c r="A162" s="84">
        <v>4500069587</v>
      </c>
      <c r="B162" s="39">
        <v>45419</v>
      </c>
      <c r="C162" s="40">
        <v>0.76458333333333328</v>
      </c>
      <c r="D162" s="38">
        <v>113875</v>
      </c>
      <c r="E162" s="38">
        <v>18194</v>
      </c>
      <c r="F162" s="39">
        <v>45420</v>
      </c>
      <c r="G162" s="40">
        <v>0.52708333333333335</v>
      </c>
      <c r="H162" s="46" t="s">
        <v>57</v>
      </c>
      <c r="I162" s="38" t="s">
        <v>83</v>
      </c>
      <c r="J162" s="41" t="s">
        <v>118</v>
      </c>
      <c r="K162" s="38">
        <v>80</v>
      </c>
    </row>
    <row r="163" spans="1:11" ht="23.5" hidden="1" thickBot="1">
      <c r="A163" s="84">
        <v>4500069587</v>
      </c>
      <c r="B163" s="39">
        <v>45419</v>
      </c>
      <c r="C163" s="40">
        <v>0.76458333333333328</v>
      </c>
      <c r="D163" s="38">
        <v>113875</v>
      </c>
      <c r="E163" s="38">
        <v>18243</v>
      </c>
      <c r="F163" s="39">
        <v>45420</v>
      </c>
      <c r="G163" s="40">
        <v>0.52708333333333335</v>
      </c>
      <c r="H163" s="46" t="s">
        <v>57</v>
      </c>
      <c r="I163" s="38" t="s">
        <v>83</v>
      </c>
      <c r="J163" s="41" t="s">
        <v>165</v>
      </c>
      <c r="K163" s="38">
        <v>100</v>
      </c>
    </row>
    <row r="164" spans="1:11" ht="23.5" hidden="1" thickBot="1">
      <c r="A164" s="84">
        <v>4500069587</v>
      </c>
      <c r="B164" s="39">
        <v>45419</v>
      </c>
      <c r="C164" s="40">
        <v>0.76458333333333328</v>
      </c>
      <c r="D164" s="38">
        <v>113875</v>
      </c>
      <c r="E164" s="38">
        <v>18243</v>
      </c>
      <c r="F164" s="39">
        <v>45420</v>
      </c>
      <c r="G164" s="40">
        <v>0.52708333333333335</v>
      </c>
      <c r="H164" s="46" t="s">
        <v>57</v>
      </c>
      <c r="I164" s="38" t="s">
        <v>83</v>
      </c>
      <c r="J164" s="41" t="s">
        <v>111</v>
      </c>
      <c r="K164" s="38">
        <v>28</v>
      </c>
    </row>
    <row r="165" spans="1:11" ht="23.5" hidden="1" thickBot="1">
      <c r="A165" s="84">
        <v>4500069587</v>
      </c>
      <c r="B165" s="39">
        <v>45419</v>
      </c>
      <c r="C165" s="40">
        <v>0.76458333333333328</v>
      </c>
      <c r="D165" s="38">
        <v>113875</v>
      </c>
      <c r="E165" s="38">
        <v>18243</v>
      </c>
      <c r="F165" s="39">
        <v>45420</v>
      </c>
      <c r="G165" s="40">
        <v>0.52708333333333335</v>
      </c>
      <c r="H165" s="46" t="s">
        <v>57</v>
      </c>
      <c r="I165" s="38" t="s">
        <v>83</v>
      </c>
      <c r="J165" s="41" t="s">
        <v>194</v>
      </c>
      <c r="K165" s="38">
        <v>40</v>
      </c>
    </row>
    <row r="166" spans="1:11" ht="26" hidden="1" thickBot="1">
      <c r="A166" s="84">
        <v>940954</v>
      </c>
      <c r="B166" s="39">
        <v>45419</v>
      </c>
      <c r="C166" s="40">
        <v>0.9291666666666667</v>
      </c>
      <c r="D166" s="38">
        <v>113874</v>
      </c>
      <c r="E166" s="38">
        <v>18226</v>
      </c>
      <c r="F166" s="39">
        <v>45420</v>
      </c>
      <c r="G166" s="40">
        <v>0.52708333333333335</v>
      </c>
      <c r="H166" s="46" t="s">
        <v>30</v>
      </c>
      <c r="I166" s="38" t="s">
        <v>80</v>
      </c>
      <c r="J166" s="41" t="s">
        <v>113</v>
      </c>
      <c r="K166" s="38">
        <v>7</v>
      </c>
    </row>
    <row r="167" spans="1:11" ht="26" hidden="1" thickBot="1">
      <c r="A167" s="84">
        <v>941055</v>
      </c>
      <c r="B167" s="39">
        <v>45420</v>
      </c>
      <c r="C167" s="40">
        <v>0.42152777777777778</v>
      </c>
      <c r="D167" s="38">
        <v>113873</v>
      </c>
      <c r="E167" s="38">
        <v>18218</v>
      </c>
      <c r="F167" s="39">
        <v>45420</v>
      </c>
      <c r="G167" s="40">
        <v>0.52708333333333335</v>
      </c>
      <c r="H167" s="46" t="s">
        <v>30</v>
      </c>
      <c r="I167" s="38" t="s">
        <v>79</v>
      </c>
      <c r="J167" s="41" t="s">
        <v>116</v>
      </c>
      <c r="K167" s="38">
        <v>2</v>
      </c>
    </row>
    <row r="168" spans="1:11" ht="23.5" hidden="1" thickBot="1">
      <c r="A168" s="84">
        <v>570</v>
      </c>
      <c r="B168" s="39">
        <v>45420</v>
      </c>
      <c r="C168" s="40">
        <v>0.48194444444444445</v>
      </c>
      <c r="D168" s="38">
        <v>113872</v>
      </c>
      <c r="E168" s="38">
        <v>18193</v>
      </c>
      <c r="F168" s="39">
        <v>45420</v>
      </c>
      <c r="G168" s="40">
        <v>0.52708333333333335</v>
      </c>
      <c r="H168" s="46" t="s">
        <v>163</v>
      </c>
      <c r="I168" s="38" t="s">
        <v>80</v>
      </c>
      <c r="J168" s="41" t="s">
        <v>256</v>
      </c>
      <c r="K168" s="38">
        <v>40</v>
      </c>
    </row>
    <row r="169" spans="1:11" ht="35" hidden="1" thickBot="1">
      <c r="A169" s="84">
        <v>570</v>
      </c>
      <c r="B169" s="39">
        <v>45420</v>
      </c>
      <c r="C169" s="40">
        <v>0.48194444444444445</v>
      </c>
      <c r="D169" s="38">
        <v>113872</v>
      </c>
      <c r="E169" s="38">
        <v>18193</v>
      </c>
      <c r="F169" s="39">
        <v>45420</v>
      </c>
      <c r="G169" s="40">
        <v>0.52708333333333335</v>
      </c>
      <c r="H169" s="46" t="s">
        <v>163</v>
      </c>
      <c r="I169" s="38" t="s">
        <v>80</v>
      </c>
      <c r="J169" s="41" t="s">
        <v>230</v>
      </c>
      <c r="K169" s="38">
        <v>60</v>
      </c>
    </row>
    <row r="170" spans="1:11" ht="23.5" hidden="1" thickBot="1">
      <c r="A170" s="90">
        <v>941150</v>
      </c>
      <c r="B170" s="39">
        <v>45420</v>
      </c>
      <c r="C170" s="40">
        <v>0.49027777777777776</v>
      </c>
      <c r="D170" s="38">
        <v>113871</v>
      </c>
      <c r="E170" s="38">
        <v>18220</v>
      </c>
      <c r="F170" s="39">
        <v>45420</v>
      </c>
      <c r="G170" s="40">
        <v>0.52708333333333335</v>
      </c>
      <c r="H170" s="46" t="s">
        <v>38</v>
      </c>
      <c r="I170" s="38" t="s">
        <v>141</v>
      </c>
      <c r="J170" s="41" t="s">
        <v>116</v>
      </c>
      <c r="K170" s="38">
        <v>3</v>
      </c>
    </row>
    <row r="171" spans="1:11" ht="23.5" hidden="1" thickBot="1">
      <c r="A171" s="90">
        <v>941151</v>
      </c>
      <c r="B171" s="39">
        <v>45420</v>
      </c>
      <c r="C171" s="40">
        <v>0.49027777777777776</v>
      </c>
      <c r="D171" s="38">
        <v>113870</v>
      </c>
      <c r="E171" s="38">
        <v>18259</v>
      </c>
      <c r="F171" s="39">
        <v>45420</v>
      </c>
      <c r="G171" s="40">
        <v>0.52708333333333335</v>
      </c>
      <c r="H171" s="46" t="s">
        <v>38</v>
      </c>
      <c r="I171" s="38" t="s">
        <v>142</v>
      </c>
      <c r="J171" s="41" t="s">
        <v>113</v>
      </c>
      <c r="K171" s="38">
        <v>12</v>
      </c>
    </row>
    <row r="172" spans="1:11" ht="38.5" thickBot="1">
      <c r="A172" s="87">
        <v>10</v>
      </c>
      <c r="B172" s="39">
        <v>45420</v>
      </c>
      <c r="C172" s="40">
        <v>0.50208333333333333</v>
      </c>
      <c r="D172" s="38">
        <v>113869</v>
      </c>
      <c r="E172" s="38">
        <v>18192</v>
      </c>
      <c r="F172" s="39">
        <v>45420</v>
      </c>
      <c r="G172" s="40">
        <v>0.52708333333333335</v>
      </c>
      <c r="H172" s="46" t="s">
        <v>45</v>
      </c>
      <c r="I172" s="38" t="s">
        <v>78</v>
      </c>
      <c r="J172" s="41" t="s">
        <v>166</v>
      </c>
      <c r="K172" s="38">
        <v>9</v>
      </c>
    </row>
    <row r="173" spans="1:11" ht="38.5" thickBot="1">
      <c r="A173" s="87">
        <v>10</v>
      </c>
      <c r="B173" s="39">
        <v>45420</v>
      </c>
      <c r="C173" s="40">
        <v>0.50208333333333333</v>
      </c>
      <c r="D173" s="38">
        <v>113869</v>
      </c>
      <c r="E173" s="38">
        <v>18192</v>
      </c>
      <c r="F173" s="39">
        <v>45420</v>
      </c>
      <c r="G173" s="40">
        <v>0.52708333333333335</v>
      </c>
      <c r="H173" s="46" t="s">
        <v>45</v>
      </c>
      <c r="I173" s="38" t="s">
        <v>78</v>
      </c>
      <c r="J173" s="41" t="s">
        <v>232</v>
      </c>
      <c r="K173" s="38">
        <v>11</v>
      </c>
    </row>
    <row r="174" spans="1:11" ht="23.5" hidden="1" thickBot="1">
      <c r="A174" s="84" t="s">
        <v>257</v>
      </c>
      <c r="B174" s="39">
        <v>45420</v>
      </c>
      <c r="C174" s="40">
        <v>0.50972222222222219</v>
      </c>
      <c r="D174" s="38">
        <v>113868</v>
      </c>
      <c r="E174" s="38">
        <v>18212</v>
      </c>
      <c r="F174" s="39">
        <v>45420</v>
      </c>
      <c r="G174" s="40">
        <v>0.52500000000000002</v>
      </c>
      <c r="H174" s="46" t="s">
        <v>114</v>
      </c>
      <c r="I174" s="38" t="s">
        <v>176</v>
      </c>
      <c r="J174" s="41" t="s">
        <v>134</v>
      </c>
      <c r="K174" s="38">
        <v>4</v>
      </c>
    </row>
    <row r="175" spans="1:11" ht="23.5" hidden="1" thickBot="1">
      <c r="A175" s="84" t="s">
        <v>257</v>
      </c>
      <c r="B175" s="39">
        <v>45420</v>
      </c>
      <c r="C175" s="40">
        <v>0.50972222222222219</v>
      </c>
      <c r="D175" s="38">
        <v>113868</v>
      </c>
      <c r="E175" s="38">
        <v>18212</v>
      </c>
      <c r="F175" s="39">
        <v>45420</v>
      </c>
      <c r="G175" s="40">
        <v>0.52500000000000002</v>
      </c>
      <c r="H175" s="46" t="s">
        <v>114</v>
      </c>
      <c r="I175" s="38" t="s">
        <v>176</v>
      </c>
      <c r="J175" s="41" t="s">
        <v>115</v>
      </c>
      <c r="K175" s="38">
        <v>8</v>
      </c>
    </row>
    <row r="176" spans="1:11" ht="23.5" hidden="1" thickBot="1">
      <c r="A176" s="84">
        <v>4500119651</v>
      </c>
      <c r="B176" s="39">
        <v>45411</v>
      </c>
      <c r="C176" s="40">
        <v>0.49166666666666664</v>
      </c>
      <c r="D176" s="38">
        <v>113797</v>
      </c>
      <c r="E176" s="38">
        <v>18184</v>
      </c>
      <c r="F176" s="39">
        <v>45412</v>
      </c>
      <c r="G176" s="40">
        <v>0.375</v>
      </c>
      <c r="H176" s="46" t="s">
        <v>6</v>
      </c>
      <c r="I176" s="38" t="s">
        <v>85</v>
      </c>
      <c r="J176" s="41" t="s">
        <v>220</v>
      </c>
      <c r="K176" s="38">
        <v>3</v>
      </c>
    </row>
    <row r="177" spans="1:11" ht="38.5" thickBot="1">
      <c r="A177" s="87">
        <v>10</v>
      </c>
      <c r="B177" s="39">
        <v>45420</v>
      </c>
      <c r="C177" s="40">
        <v>0.58333333333333337</v>
      </c>
      <c r="D177" s="38">
        <v>113877</v>
      </c>
      <c r="E177" s="38">
        <v>18195</v>
      </c>
      <c r="F177" s="39">
        <v>45420</v>
      </c>
      <c r="G177" s="40">
        <v>0.60763888888888884</v>
      </c>
      <c r="H177" s="46" t="s">
        <v>45</v>
      </c>
      <c r="I177" s="38" t="s">
        <v>78</v>
      </c>
      <c r="J177" s="41" t="s">
        <v>112</v>
      </c>
      <c r="K177" s="38">
        <v>1</v>
      </c>
    </row>
    <row r="178" spans="1:11" ht="23.5" hidden="1" thickBot="1">
      <c r="A178" s="84">
        <v>4500069616</v>
      </c>
      <c r="B178" s="39">
        <v>45420</v>
      </c>
      <c r="C178" s="40">
        <v>0.68055555555555558</v>
      </c>
      <c r="D178" s="38">
        <v>113878</v>
      </c>
      <c r="E178" s="38">
        <v>18242</v>
      </c>
      <c r="F178" s="39">
        <v>45421</v>
      </c>
      <c r="G178" s="40">
        <v>0.50069444444444444</v>
      </c>
      <c r="H178" s="46" t="s">
        <v>57</v>
      </c>
      <c r="I178" s="38" t="s">
        <v>83</v>
      </c>
      <c r="J178" s="41" t="s">
        <v>218</v>
      </c>
      <c r="K178" s="38">
        <v>10</v>
      </c>
    </row>
    <row r="179" spans="1:11" ht="23.5" hidden="1" thickBot="1">
      <c r="A179" s="84">
        <v>4500069616</v>
      </c>
      <c r="B179" s="39">
        <v>45420</v>
      </c>
      <c r="C179" s="40">
        <v>0.68055555555555558</v>
      </c>
      <c r="D179" s="38">
        <v>113878</v>
      </c>
      <c r="E179" s="38">
        <v>18242</v>
      </c>
      <c r="F179" s="39">
        <v>45421</v>
      </c>
      <c r="G179" s="40">
        <v>0.50069444444444444</v>
      </c>
      <c r="H179" s="46" t="s">
        <v>57</v>
      </c>
      <c r="I179" s="38" t="s">
        <v>83</v>
      </c>
      <c r="J179" s="41" t="s">
        <v>151</v>
      </c>
      <c r="K179" s="38">
        <v>16</v>
      </c>
    </row>
    <row r="180" spans="1:11" ht="35" hidden="1" thickBot="1">
      <c r="A180" s="84">
        <v>4500069616</v>
      </c>
      <c r="B180" s="39">
        <v>45420</v>
      </c>
      <c r="C180" s="40">
        <v>0.68055555555555558</v>
      </c>
      <c r="D180" s="38">
        <v>113878</v>
      </c>
      <c r="E180" s="38">
        <v>18242</v>
      </c>
      <c r="F180" s="39">
        <v>45421</v>
      </c>
      <c r="G180" s="40">
        <v>0.50069444444444444</v>
      </c>
      <c r="H180" s="46" t="s">
        <v>57</v>
      </c>
      <c r="I180" s="38" t="s">
        <v>83</v>
      </c>
      <c r="J180" s="41" t="s">
        <v>143</v>
      </c>
      <c r="K180" s="38">
        <v>14</v>
      </c>
    </row>
    <row r="181" spans="1:11" ht="23.5" hidden="1" thickBot="1">
      <c r="A181" s="52">
        <v>941584</v>
      </c>
      <c r="B181" s="39">
        <v>45420</v>
      </c>
      <c r="C181" s="40">
        <v>0.74097222222222225</v>
      </c>
      <c r="D181" s="38">
        <v>113879</v>
      </c>
      <c r="E181" s="38">
        <v>18221</v>
      </c>
      <c r="F181" s="39">
        <v>45421</v>
      </c>
      <c r="G181" s="40">
        <v>0.50069444444444444</v>
      </c>
      <c r="H181" s="46" t="s">
        <v>38</v>
      </c>
      <c r="I181" s="38" t="s">
        <v>85</v>
      </c>
      <c r="J181" s="41" t="s">
        <v>116</v>
      </c>
      <c r="K181" s="38">
        <v>1</v>
      </c>
    </row>
    <row r="182" spans="1:11" ht="35" thickBot="1">
      <c r="A182" s="87">
        <v>11</v>
      </c>
      <c r="B182" s="39">
        <v>45421</v>
      </c>
      <c r="C182" s="40">
        <v>0.25694444444444442</v>
      </c>
      <c r="D182" s="38">
        <v>113880</v>
      </c>
      <c r="E182" s="38">
        <v>18342</v>
      </c>
      <c r="F182" s="39">
        <v>45421</v>
      </c>
      <c r="G182" s="40">
        <v>0.50069444444444444</v>
      </c>
      <c r="H182" s="46" t="s">
        <v>219</v>
      </c>
      <c r="I182" s="38" t="s">
        <v>78</v>
      </c>
      <c r="J182" s="41" t="s">
        <v>214</v>
      </c>
      <c r="K182" s="38">
        <v>1</v>
      </c>
    </row>
    <row r="183" spans="1:11" ht="23.5" hidden="1" thickBot="1">
      <c r="A183" s="73">
        <v>941974</v>
      </c>
      <c r="B183" s="53">
        <v>45421</v>
      </c>
      <c r="C183" s="54">
        <v>0.4284722222222222</v>
      </c>
      <c r="D183" s="55">
        <v>113881</v>
      </c>
      <c r="E183" s="55">
        <v>18219</v>
      </c>
      <c r="F183" s="53">
        <v>45421</v>
      </c>
      <c r="G183" s="54">
        <v>0.50069444444444444</v>
      </c>
      <c r="H183" s="56" t="s">
        <v>38</v>
      </c>
      <c r="I183" s="55" t="s">
        <v>142</v>
      </c>
      <c r="J183" s="57" t="s">
        <v>116</v>
      </c>
      <c r="K183" s="55">
        <v>4</v>
      </c>
    </row>
    <row r="184" spans="1:11" ht="26" thickBot="1">
      <c r="A184" s="87">
        <v>12</v>
      </c>
      <c r="B184" s="39">
        <v>45421</v>
      </c>
      <c r="C184" s="40">
        <v>0.49375000000000002</v>
      </c>
      <c r="D184" s="38">
        <v>113882</v>
      </c>
      <c r="E184" s="38">
        <v>18207</v>
      </c>
      <c r="F184" s="39">
        <v>45421</v>
      </c>
      <c r="G184" s="40">
        <v>0.50069444444444444</v>
      </c>
      <c r="H184" s="46" t="s">
        <v>30</v>
      </c>
      <c r="I184" s="38" t="s">
        <v>79</v>
      </c>
      <c r="J184" s="41" t="s">
        <v>161</v>
      </c>
      <c r="K184" s="38">
        <v>3</v>
      </c>
    </row>
    <row r="185" spans="1:11" ht="26" thickBot="1">
      <c r="A185" s="87">
        <v>12</v>
      </c>
      <c r="B185" s="39">
        <v>45421</v>
      </c>
      <c r="C185" s="40">
        <v>0.49375000000000002</v>
      </c>
      <c r="D185" s="38">
        <v>113882</v>
      </c>
      <c r="E185" s="38">
        <v>18207</v>
      </c>
      <c r="F185" s="39">
        <v>45421</v>
      </c>
      <c r="G185" s="40">
        <v>0.50069444444444444</v>
      </c>
      <c r="H185" s="46" t="s">
        <v>30</v>
      </c>
      <c r="I185" s="38" t="s">
        <v>79</v>
      </c>
      <c r="J185" s="41" t="s">
        <v>111</v>
      </c>
      <c r="K185" s="38">
        <v>2</v>
      </c>
    </row>
    <row r="186" spans="1:11" ht="35" hidden="1" thickBot="1">
      <c r="A186" s="84">
        <v>104</v>
      </c>
      <c r="B186" s="39">
        <v>45421</v>
      </c>
      <c r="C186" s="40">
        <v>0.47013888888888888</v>
      </c>
      <c r="D186" s="38">
        <v>113883</v>
      </c>
      <c r="E186" s="38">
        <v>18363</v>
      </c>
      <c r="F186" s="39">
        <v>45421</v>
      </c>
      <c r="G186" s="40">
        <v>0.50069444444444444</v>
      </c>
      <c r="H186" s="46" t="s">
        <v>258</v>
      </c>
      <c r="I186" s="38" t="s">
        <v>78</v>
      </c>
      <c r="J186" s="41" t="s">
        <v>207</v>
      </c>
      <c r="K186" s="38">
        <v>6</v>
      </c>
    </row>
    <row r="187" spans="1:11" ht="35" hidden="1" thickBot="1">
      <c r="A187" s="84">
        <v>104</v>
      </c>
      <c r="B187" s="39">
        <v>45421</v>
      </c>
      <c r="C187" s="40">
        <v>0.47013888888888888</v>
      </c>
      <c r="D187" s="38">
        <v>113883</v>
      </c>
      <c r="E187" s="38">
        <v>18363</v>
      </c>
      <c r="F187" s="39">
        <v>45421</v>
      </c>
      <c r="G187" s="40">
        <v>0.50069444444444444</v>
      </c>
      <c r="H187" s="46" t="s">
        <v>258</v>
      </c>
      <c r="I187" s="38" t="s">
        <v>78</v>
      </c>
      <c r="J187" s="41" t="s">
        <v>230</v>
      </c>
      <c r="K187" s="38">
        <v>3</v>
      </c>
    </row>
    <row r="188" spans="1:11" ht="35" hidden="1" thickBot="1">
      <c r="A188" s="52">
        <v>942360</v>
      </c>
      <c r="B188" s="39">
        <v>45421</v>
      </c>
      <c r="C188" s="40">
        <v>0.65694444444444444</v>
      </c>
      <c r="D188" s="38">
        <v>113887</v>
      </c>
      <c r="E188" s="38">
        <v>18228</v>
      </c>
      <c r="F188" s="39">
        <v>45422</v>
      </c>
      <c r="G188" s="40">
        <v>0.45694444444444443</v>
      </c>
      <c r="H188" s="46" t="s">
        <v>30</v>
      </c>
      <c r="I188" s="38" t="s">
        <v>84</v>
      </c>
      <c r="J188" s="41" t="s">
        <v>143</v>
      </c>
      <c r="K188" s="38">
        <v>20</v>
      </c>
    </row>
    <row r="189" spans="1:11" ht="76" hidden="1" thickBot="1">
      <c r="A189" s="84" t="s">
        <v>259</v>
      </c>
      <c r="B189" s="39">
        <v>45421</v>
      </c>
      <c r="C189" s="40">
        <v>0.68125000000000002</v>
      </c>
      <c r="D189" s="38">
        <v>113888</v>
      </c>
      <c r="E189" s="38">
        <v>18239</v>
      </c>
      <c r="F189" s="39">
        <v>45422</v>
      </c>
      <c r="G189" s="40">
        <v>0.45763888888888887</v>
      </c>
      <c r="H189" s="46" t="s">
        <v>193</v>
      </c>
      <c r="I189" s="38" t="s">
        <v>141</v>
      </c>
      <c r="J189" s="41" t="s">
        <v>153</v>
      </c>
      <c r="K189" s="38">
        <v>6</v>
      </c>
    </row>
    <row r="190" spans="1:11" ht="76" hidden="1" thickBot="1">
      <c r="A190" s="84" t="s">
        <v>259</v>
      </c>
      <c r="B190" s="39">
        <v>45421</v>
      </c>
      <c r="C190" s="40">
        <v>0.68125000000000002</v>
      </c>
      <c r="D190" s="38">
        <v>113888</v>
      </c>
      <c r="E190" s="38">
        <v>18239</v>
      </c>
      <c r="F190" s="39">
        <v>45422</v>
      </c>
      <c r="G190" s="40">
        <v>0.45763888888888887</v>
      </c>
      <c r="H190" s="46" t="s">
        <v>193</v>
      </c>
      <c r="I190" s="38" t="s">
        <v>141</v>
      </c>
      <c r="J190" s="41" t="s">
        <v>145</v>
      </c>
      <c r="K190" s="38">
        <v>28</v>
      </c>
    </row>
    <row r="191" spans="1:11" ht="76" hidden="1" thickBot="1">
      <c r="A191" s="84" t="s">
        <v>259</v>
      </c>
      <c r="B191" s="39">
        <v>45421</v>
      </c>
      <c r="C191" s="40">
        <v>0.68125000000000002</v>
      </c>
      <c r="D191" s="38">
        <v>113888</v>
      </c>
      <c r="E191" s="38">
        <v>18239</v>
      </c>
      <c r="F191" s="39">
        <v>45422</v>
      </c>
      <c r="G191" s="40">
        <v>0.45763888888888887</v>
      </c>
      <c r="H191" s="46" t="s">
        <v>193</v>
      </c>
      <c r="I191" s="38" t="s">
        <v>141</v>
      </c>
      <c r="J191" s="41" t="s">
        <v>194</v>
      </c>
      <c r="K191" s="38">
        <v>8</v>
      </c>
    </row>
    <row r="192" spans="1:11" ht="51" hidden="1" thickBot="1">
      <c r="A192" s="84" t="s">
        <v>260</v>
      </c>
      <c r="B192" s="39">
        <v>45421</v>
      </c>
      <c r="C192" s="40">
        <v>0.6479166666666667</v>
      </c>
      <c r="D192" s="38">
        <v>113884</v>
      </c>
      <c r="E192" s="38">
        <v>18223</v>
      </c>
      <c r="F192" s="39">
        <v>45422</v>
      </c>
      <c r="G192" s="40">
        <v>0.34375</v>
      </c>
      <c r="H192" s="46" t="s">
        <v>169</v>
      </c>
      <c r="I192" s="38" t="s">
        <v>170</v>
      </c>
      <c r="J192" s="41" t="s">
        <v>140</v>
      </c>
      <c r="K192" s="38">
        <v>10</v>
      </c>
    </row>
    <row r="193" spans="1:11" ht="51" hidden="1" thickBot="1">
      <c r="A193" s="84" t="s">
        <v>260</v>
      </c>
      <c r="B193" s="39">
        <v>45421</v>
      </c>
      <c r="C193" s="40">
        <v>0.6479166666666667</v>
      </c>
      <c r="D193" s="38">
        <v>113884</v>
      </c>
      <c r="E193" s="38">
        <v>18223</v>
      </c>
      <c r="F193" s="39">
        <v>45422</v>
      </c>
      <c r="G193" s="40">
        <v>0.34375</v>
      </c>
      <c r="H193" s="46" t="s">
        <v>169</v>
      </c>
      <c r="I193" s="38" t="s">
        <v>170</v>
      </c>
      <c r="J193" s="41" t="s">
        <v>111</v>
      </c>
      <c r="K193" s="38">
        <v>1</v>
      </c>
    </row>
    <row r="194" spans="1:11" ht="38.5" hidden="1" thickBot="1">
      <c r="A194" s="84">
        <v>135</v>
      </c>
      <c r="B194" s="39">
        <v>45422</v>
      </c>
      <c r="C194" s="40">
        <v>0.36805555555555558</v>
      </c>
      <c r="D194" s="38">
        <v>113889</v>
      </c>
      <c r="E194" s="38">
        <v>18241</v>
      </c>
      <c r="F194" s="39">
        <v>45422</v>
      </c>
      <c r="G194" s="40">
        <v>0.45833333333333331</v>
      </c>
      <c r="H194" s="46" t="s">
        <v>173</v>
      </c>
      <c r="I194" s="38" t="s">
        <v>80</v>
      </c>
      <c r="J194" s="41" t="s">
        <v>112</v>
      </c>
      <c r="K194" s="38">
        <v>7</v>
      </c>
    </row>
    <row r="195" spans="1:11" ht="38.5" hidden="1" thickBot="1">
      <c r="A195" s="84">
        <v>135</v>
      </c>
      <c r="B195" s="39">
        <v>45422</v>
      </c>
      <c r="C195" s="40">
        <v>0.36805555555555558</v>
      </c>
      <c r="D195" s="38">
        <v>113889</v>
      </c>
      <c r="E195" s="38">
        <v>18241</v>
      </c>
      <c r="F195" s="39">
        <v>45422</v>
      </c>
      <c r="G195" s="40">
        <v>0.45833333333333331</v>
      </c>
      <c r="H195" s="46" t="s">
        <v>173</v>
      </c>
      <c r="I195" s="38" t="s">
        <v>80</v>
      </c>
      <c r="J195" s="41" t="s">
        <v>194</v>
      </c>
      <c r="K195" s="38">
        <v>1</v>
      </c>
    </row>
    <row r="196" spans="1:11" ht="38.5" hidden="1" thickBot="1">
      <c r="A196" s="84">
        <v>135</v>
      </c>
      <c r="B196" s="39">
        <v>45422</v>
      </c>
      <c r="C196" s="40">
        <v>0.36805555555555558</v>
      </c>
      <c r="D196" s="38">
        <v>113889</v>
      </c>
      <c r="E196" s="38">
        <v>18241</v>
      </c>
      <c r="F196" s="39">
        <v>45422</v>
      </c>
      <c r="G196" s="40">
        <v>0.45833333333333331</v>
      </c>
      <c r="H196" s="46" t="s">
        <v>173</v>
      </c>
      <c r="I196" s="38" t="s">
        <v>80</v>
      </c>
      <c r="J196" s="41" t="s">
        <v>261</v>
      </c>
      <c r="K196" s="38">
        <v>35</v>
      </c>
    </row>
    <row r="197" spans="1:11" ht="38.5" hidden="1" thickBot="1">
      <c r="A197" s="79" t="s">
        <v>262</v>
      </c>
      <c r="B197" s="95">
        <v>45421</v>
      </c>
      <c r="C197" s="96">
        <v>0.92083333333333328</v>
      </c>
      <c r="D197" s="80">
        <v>113886</v>
      </c>
      <c r="E197" s="80">
        <v>18256</v>
      </c>
      <c r="F197" s="95">
        <v>45422</v>
      </c>
      <c r="G197" s="96">
        <v>0.40416666666666667</v>
      </c>
      <c r="H197" s="97" t="s">
        <v>31</v>
      </c>
      <c r="I197" s="80" t="s">
        <v>82</v>
      </c>
      <c r="J197" s="98" t="s">
        <v>112</v>
      </c>
      <c r="K197" s="80">
        <v>160</v>
      </c>
    </row>
    <row r="198" spans="1:11" ht="38.5" hidden="1" thickBot="1">
      <c r="A198" s="79" t="s">
        <v>262</v>
      </c>
      <c r="B198" s="95">
        <v>45421</v>
      </c>
      <c r="C198" s="96">
        <v>0.92083333333333328</v>
      </c>
      <c r="D198" s="80">
        <v>113886</v>
      </c>
      <c r="E198" s="80">
        <v>18256</v>
      </c>
      <c r="F198" s="95">
        <v>45422</v>
      </c>
      <c r="G198" s="96">
        <v>0.40416666666666667</v>
      </c>
      <c r="H198" s="97" t="s">
        <v>31</v>
      </c>
      <c r="I198" s="80" t="s">
        <v>82</v>
      </c>
      <c r="J198" s="98" t="s">
        <v>209</v>
      </c>
      <c r="K198" s="80">
        <v>20</v>
      </c>
    </row>
    <row r="199" spans="1:11" ht="38.5" hidden="1" thickBot="1">
      <c r="A199" s="79" t="s">
        <v>262</v>
      </c>
      <c r="B199" s="95">
        <v>45421</v>
      </c>
      <c r="C199" s="96">
        <v>0.92083333333333328</v>
      </c>
      <c r="D199" s="80">
        <v>113886</v>
      </c>
      <c r="E199" s="80">
        <v>18256</v>
      </c>
      <c r="F199" s="95">
        <v>45422</v>
      </c>
      <c r="G199" s="96">
        <v>0.40416666666666667</v>
      </c>
      <c r="H199" s="97" t="s">
        <v>31</v>
      </c>
      <c r="I199" s="80" t="s">
        <v>82</v>
      </c>
      <c r="J199" s="98" t="s">
        <v>263</v>
      </c>
      <c r="K199" s="80">
        <v>3</v>
      </c>
    </row>
    <row r="200" spans="1:11" ht="38.5" hidden="1" thickBot="1">
      <c r="A200" s="79" t="s">
        <v>262</v>
      </c>
      <c r="B200" s="95">
        <v>45421</v>
      </c>
      <c r="C200" s="96">
        <v>0.92083333333333328</v>
      </c>
      <c r="D200" s="80">
        <v>113886</v>
      </c>
      <c r="E200" s="80">
        <v>18256</v>
      </c>
      <c r="F200" s="95">
        <v>45422</v>
      </c>
      <c r="G200" s="96">
        <v>0.40416666666666667</v>
      </c>
      <c r="H200" s="97" t="s">
        <v>31</v>
      </c>
      <c r="I200" s="80" t="s">
        <v>82</v>
      </c>
      <c r="J200" s="98" t="s">
        <v>115</v>
      </c>
      <c r="K200" s="80">
        <v>16</v>
      </c>
    </row>
    <row r="201" spans="1:11" ht="38.5" hidden="1" thickBot="1">
      <c r="A201" s="79" t="s">
        <v>262</v>
      </c>
      <c r="B201" s="95">
        <v>45421</v>
      </c>
      <c r="C201" s="96">
        <v>0.92083333333333328</v>
      </c>
      <c r="D201" s="80">
        <v>113886</v>
      </c>
      <c r="E201" s="80">
        <v>18256</v>
      </c>
      <c r="F201" s="95">
        <v>45422</v>
      </c>
      <c r="G201" s="96">
        <v>0.40416666666666667</v>
      </c>
      <c r="H201" s="97" t="s">
        <v>31</v>
      </c>
      <c r="I201" s="80" t="s">
        <v>82</v>
      </c>
      <c r="J201" s="98" t="s">
        <v>110</v>
      </c>
      <c r="K201" s="80">
        <v>100</v>
      </c>
    </row>
    <row r="202" spans="1:11" ht="46.5" hidden="1" thickBot="1">
      <c r="A202" s="84">
        <v>4500120228</v>
      </c>
      <c r="B202" s="39">
        <v>45422</v>
      </c>
      <c r="C202" s="40">
        <v>0.40972222222222221</v>
      </c>
      <c r="D202" s="38">
        <v>113890</v>
      </c>
      <c r="E202" s="38">
        <v>18215</v>
      </c>
      <c r="F202" s="39">
        <v>45422</v>
      </c>
      <c r="G202" s="40">
        <v>0.58263888888888893</v>
      </c>
      <c r="H202" s="46" t="s">
        <v>6</v>
      </c>
      <c r="I202" s="38" t="s">
        <v>85</v>
      </c>
      <c r="J202" s="41" t="s">
        <v>145</v>
      </c>
      <c r="K202" s="38">
        <v>24</v>
      </c>
    </row>
    <row r="203" spans="1:11" ht="76" hidden="1" thickBot="1">
      <c r="A203" s="84" t="s">
        <v>264</v>
      </c>
      <c r="B203" s="39">
        <v>45422</v>
      </c>
      <c r="C203" s="40">
        <v>0.51041666666666663</v>
      </c>
      <c r="D203" s="38">
        <v>113892</v>
      </c>
      <c r="E203" s="38">
        <v>18222</v>
      </c>
      <c r="F203" s="39">
        <v>45422</v>
      </c>
      <c r="G203" s="40">
        <v>0.58611111111111114</v>
      </c>
      <c r="H203" s="46" t="s">
        <v>234</v>
      </c>
      <c r="I203" s="38" t="s">
        <v>235</v>
      </c>
      <c r="J203" s="41" t="s">
        <v>207</v>
      </c>
      <c r="K203" s="38">
        <v>24</v>
      </c>
    </row>
    <row r="204" spans="1:11" ht="51" hidden="1" thickBot="1">
      <c r="A204" s="84" t="s">
        <v>265</v>
      </c>
      <c r="B204" s="39">
        <v>45422</v>
      </c>
      <c r="C204" s="40">
        <v>0.53888888888888886</v>
      </c>
      <c r="D204" s="38">
        <v>113891</v>
      </c>
      <c r="E204" s="38">
        <v>18216</v>
      </c>
      <c r="F204" s="39">
        <v>45422</v>
      </c>
      <c r="G204" s="40">
        <v>0.58263888888888893</v>
      </c>
      <c r="H204" s="46" t="s">
        <v>12</v>
      </c>
      <c r="I204" s="38" t="s">
        <v>176</v>
      </c>
      <c r="J204" s="41" t="s">
        <v>230</v>
      </c>
      <c r="K204" s="38">
        <v>15</v>
      </c>
    </row>
    <row r="205" spans="1:11" ht="76" hidden="1" thickBot="1">
      <c r="A205" s="84" t="s">
        <v>266</v>
      </c>
      <c r="B205" s="39">
        <v>45422</v>
      </c>
      <c r="C205" s="40">
        <v>0.62013888888888891</v>
      </c>
      <c r="D205" s="38">
        <v>113896</v>
      </c>
      <c r="E205" s="38">
        <v>18249</v>
      </c>
      <c r="F205" s="39">
        <v>45422</v>
      </c>
      <c r="G205" s="40">
        <v>0.42708333333333331</v>
      </c>
      <c r="H205" s="46" t="s">
        <v>193</v>
      </c>
      <c r="I205" s="38" t="s">
        <v>76</v>
      </c>
      <c r="J205" s="41" t="s">
        <v>263</v>
      </c>
      <c r="K205" s="38">
        <v>1</v>
      </c>
    </row>
    <row r="206" spans="1:11" ht="76" hidden="1" thickBot="1">
      <c r="A206" s="84" t="s">
        <v>266</v>
      </c>
      <c r="B206" s="39">
        <v>45422</v>
      </c>
      <c r="C206" s="40">
        <v>0.62013888888888891</v>
      </c>
      <c r="D206" s="38">
        <v>113896</v>
      </c>
      <c r="E206" s="38">
        <v>18249</v>
      </c>
      <c r="F206" s="39">
        <v>45422</v>
      </c>
      <c r="G206" s="40">
        <v>0.42708333333333331</v>
      </c>
      <c r="H206" s="46" t="s">
        <v>193</v>
      </c>
      <c r="I206" s="38" t="s">
        <v>76</v>
      </c>
      <c r="J206" s="41" t="s">
        <v>151</v>
      </c>
      <c r="K206" s="38">
        <v>7</v>
      </c>
    </row>
    <row r="207" spans="1:11" ht="76" hidden="1" thickBot="1">
      <c r="A207" s="84" t="s">
        <v>266</v>
      </c>
      <c r="B207" s="39">
        <v>45422</v>
      </c>
      <c r="C207" s="40">
        <v>0.62013888888888891</v>
      </c>
      <c r="D207" s="38">
        <v>113896</v>
      </c>
      <c r="E207" s="38">
        <v>18249</v>
      </c>
      <c r="F207" s="39">
        <v>45422</v>
      </c>
      <c r="G207" s="40">
        <v>0.42708333333333331</v>
      </c>
      <c r="H207" s="46" t="s">
        <v>193</v>
      </c>
      <c r="I207" s="38" t="s">
        <v>76</v>
      </c>
      <c r="J207" s="41" t="s">
        <v>145</v>
      </c>
      <c r="K207" s="38">
        <v>60</v>
      </c>
    </row>
    <row r="208" spans="1:11" ht="76" hidden="1" thickBot="1">
      <c r="A208" s="84" t="s">
        <v>266</v>
      </c>
      <c r="B208" s="39">
        <v>45422</v>
      </c>
      <c r="C208" s="40">
        <v>0.62013888888888891</v>
      </c>
      <c r="D208" s="38">
        <v>113896</v>
      </c>
      <c r="E208" s="38">
        <v>18249</v>
      </c>
      <c r="F208" s="39">
        <v>45422</v>
      </c>
      <c r="G208" s="40">
        <v>0.42708333333333331</v>
      </c>
      <c r="H208" s="46" t="s">
        <v>193</v>
      </c>
      <c r="I208" s="38" t="s">
        <v>76</v>
      </c>
      <c r="J208" s="41" t="s">
        <v>194</v>
      </c>
      <c r="K208" s="38">
        <v>24</v>
      </c>
    </row>
    <row r="209" spans="1:11" ht="46.5" hidden="1" thickBot="1">
      <c r="A209" s="92">
        <v>68551</v>
      </c>
      <c r="B209" s="39">
        <v>45422</v>
      </c>
      <c r="C209" s="40">
        <v>0.66736111111111107</v>
      </c>
      <c r="D209" s="38">
        <v>113897</v>
      </c>
      <c r="E209" s="38">
        <v>18238</v>
      </c>
      <c r="F209" s="39">
        <v>45422</v>
      </c>
      <c r="G209" s="40">
        <v>0.42708333333333331</v>
      </c>
      <c r="H209" s="46" t="s">
        <v>231</v>
      </c>
      <c r="I209" s="38" t="s">
        <v>142</v>
      </c>
      <c r="J209" s="41" t="s">
        <v>145</v>
      </c>
      <c r="K209" s="38">
        <v>40</v>
      </c>
    </row>
    <row r="210" spans="1:11" ht="38.5" thickBot="1">
      <c r="A210" s="87">
        <v>14</v>
      </c>
      <c r="B210" s="39">
        <v>45422</v>
      </c>
      <c r="C210" s="40">
        <v>0.72361111111111109</v>
      </c>
      <c r="D210" s="38">
        <v>113899</v>
      </c>
      <c r="E210" s="38">
        <v>18230</v>
      </c>
      <c r="F210" s="39">
        <v>45422</v>
      </c>
      <c r="G210" s="40">
        <v>0.42708333333333331</v>
      </c>
      <c r="H210" s="46" t="s">
        <v>152</v>
      </c>
      <c r="I210" s="38" t="s">
        <v>75</v>
      </c>
      <c r="J210" s="41" t="s">
        <v>151</v>
      </c>
      <c r="K210" s="38">
        <v>6</v>
      </c>
    </row>
    <row r="211" spans="1:11" ht="38.5" hidden="1" thickBot="1">
      <c r="A211" s="84">
        <v>4500309792</v>
      </c>
      <c r="B211" s="39">
        <v>45422</v>
      </c>
      <c r="C211" s="40">
        <v>0.74722222222222223</v>
      </c>
      <c r="D211" s="38">
        <v>113894</v>
      </c>
      <c r="E211" s="38">
        <v>18231</v>
      </c>
      <c r="F211" s="39">
        <v>45426</v>
      </c>
      <c r="G211" s="40">
        <v>0.37708333333333333</v>
      </c>
      <c r="H211" s="46" t="s">
        <v>186</v>
      </c>
      <c r="I211" s="38" t="s">
        <v>187</v>
      </c>
      <c r="J211" s="41" t="s">
        <v>112</v>
      </c>
      <c r="K211" s="38">
        <v>8</v>
      </c>
    </row>
    <row r="212" spans="1:11" ht="26.5" hidden="1" thickBot="1">
      <c r="A212" s="52">
        <v>943326</v>
      </c>
      <c r="B212" s="39">
        <v>45422</v>
      </c>
      <c r="C212" s="40">
        <v>0.81388888888888888</v>
      </c>
      <c r="D212" s="38">
        <v>113900</v>
      </c>
      <c r="E212" s="38">
        <v>18229</v>
      </c>
      <c r="F212" s="39">
        <v>45426</v>
      </c>
      <c r="G212" s="40">
        <v>0.43333333333333335</v>
      </c>
      <c r="H212" s="46" t="s">
        <v>30</v>
      </c>
      <c r="I212" s="38" t="s">
        <v>80</v>
      </c>
      <c r="J212" s="41" t="s">
        <v>140</v>
      </c>
      <c r="K212" s="38">
        <v>15</v>
      </c>
    </row>
    <row r="213" spans="1:11" ht="51" hidden="1" thickBot="1">
      <c r="A213" s="84" t="s">
        <v>267</v>
      </c>
      <c r="B213" s="39">
        <v>45425</v>
      </c>
      <c r="C213" s="40">
        <v>0.41736111111111113</v>
      </c>
      <c r="D213" s="38">
        <v>113895</v>
      </c>
      <c r="E213" s="38">
        <v>18233</v>
      </c>
      <c r="F213" s="39">
        <v>45426</v>
      </c>
      <c r="G213" s="40">
        <v>0.38124999999999998</v>
      </c>
      <c r="H213" s="46" t="s">
        <v>169</v>
      </c>
      <c r="I213" s="38" t="s">
        <v>170</v>
      </c>
      <c r="J213" s="41" t="s">
        <v>140</v>
      </c>
      <c r="K213" s="38">
        <v>13</v>
      </c>
    </row>
    <row r="214" spans="1:11" ht="51" hidden="1" thickBot="1">
      <c r="A214" s="84" t="s">
        <v>267</v>
      </c>
      <c r="B214" s="39">
        <v>45425</v>
      </c>
      <c r="C214" s="40">
        <v>0.41736111111111113</v>
      </c>
      <c r="D214" s="38">
        <v>113895</v>
      </c>
      <c r="E214" s="38">
        <v>18233</v>
      </c>
      <c r="F214" s="39">
        <v>45426</v>
      </c>
      <c r="G214" s="40">
        <v>0.38124999999999998</v>
      </c>
      <c r="H214" s="46" t="s">
        <v>169</v>
      </c>
      <c r="I214" s="38" t="s">
        <v>170</v>
      </c>
      <c r="J214" s="41" t="s">
        <v>111</v>
      </c>
      <c r="K214" s="38">
        <v>4</v>
      </c>
    </row>
    <row r="215" spans="1:11" ht="38.5" thickBot="1">
      <c r="A215" s="87">
        <v>13</v>
      </c>
      <c r="B215" s="39">
        <v>45426</v>
      </c>
      <c r="C215" s="40">
        <v>0.37013888888888891</v>
      </c>
      <c r="D215" s="38">
        <v>113908</v>
      </c>
      <c r="E215" s="38">
        <v>18234</v>
      </c>
      <c r="F215" s="39">
        <v>45426</v>
      </c>
      <c r="G215" s="40">
        <v>0.6381944444444444</v>
      </c>
      <c r="H215" s="46" t="s">
        <v>45</v>
      </c>
      <c r="I215" s="38" t="s">
        <v>78</v>
      </c>
      <c r="J215" s="41" t="s">
        <v>166</v>
      </c>
      <c r="K215" s="38">
        <v>31</v>
      </c>
    </row>
    <row r="216" spans="1:11" ht="38.5" thickBot="1">
      <c r="A216" s="87">
        <v>13</v>
      </c>
      <c r="B216" s="39">
        <v>45426</v>
      </c>
      <c r="C216" s="40">
        <v>0.37013888888888891</v>
      </c>
      <c r="D216" s="38">
        <v>113908</v>
      </c>
      <c r="E216" s="38">
        <v>18234</v>
      </c>
      <c r="F216" s="39">
        <v>45426</v>
      </c>
      <c r="G216" s="40">
        <v>0.6381944444444444</v>
      </c>
      <c r="H216" s="46" t="s">
        <v>45</v>
      </c>
      <c r="I216" s="38" t="s">
        <v>78</v>
      </c>
      <c r="J216" s="41" t="s">
        <v>232</v>
      </c>
      <c r="K216" s="38">
        <v>38</v>
      </c>
    </row>
    <row r="217" spans="1:11" ht="46.5" thickBot="1">
      <c r="A217" s="87">
        <v>15</v>
      </c>
      <c r="B217" s="39">
        <v>45426</v>
      </c>
      <c r="C217" s="40">
        <v>0.44374999999999998</v>
      </c>
      <c r="D217" s="38">
        <v>113904</v>
      </c>
      <c r="E217" s="38">
        <v>18266</v>
      </c>
      <c r="F217" s="39">
        <v>45426</v>
      </c>
      <c r="G217" s="40">
        <v>0.5180555555555556</v>
      </c>
      <c r="H217" s="46" t="s">
        <v>268</v>
      </c>
      <c r="I217" s="38" t="s">
        <v>176</v>
      </c>
      <c r="J217" s="41" t="s">
        <v>145</v>
      </c>
      <c r="K217" s="38">
        <v>20</v>
      </c>
    </row>
    <row r="218" spans="1:11" ht="38.5" hidden="1" thickBot="1">
      <c r="A218" s="84" t="s">
        <v>269</v>
      </c>
      <c r="B218" s="39">
        <v>45426</v>
      </c>
      <c r="C218" s="40">
        <v>0.45763888888888887</v>
      </c>
      <c r="D218" s="38">
        <v>113902</v>
      </c>
      <c r="E218" s="38">
        <v>18235</v>
      </c>
      <c r="F218" s="39">
        <v>45426</v>
      </c>
      <c r="G218" s="40">
        <v>0.51249999999999996</v>
      </c>
      <c r="H218" s="46" t="s">
        <v>54</v>
      </c>
      <c r="I218" s="38" t="s">
        <v>75</v>
      </c>
      <c r="J218" s="41" t="s">
        <v>221</v>
      </c>
      <c r="K218" s="38">
        <v>20</v>
      </c>
    </row>
    <row r="219" spans="1:11" ht="38.5" hidden="1" thickBot="1">
      <c r="A219" s="84" t="s">
        <v>269</v>
      </c>
      <c r="B219" s="39">
        <v>45426</v>
      </c>
      <c r="C219" s="40">
        <v>0.45763888888888887</v>
      </c>
      <c r="D219" s="38">
        <v>113902</v>
      </c>
      <c r="E219" s="38">
        <v>18235</v>
      </c>
      <c r="F219" s="39">
        <v>45426</v>
      </c>
      <c r="G219" s="40">
        <v>0.51249999999999996</v>
      </c>
      <c r="H219" s="46" t="s">
        <v>54</v>
      </c>
      <c r="I219" s="38" t="s">
        <v>75</v>
      </c>
      <c r="J219" s="41" t="s">
        <v>113</v>
      </c>
      <c r="K219" s="38">
        <v>3</v>
      </c>
    </row>
    <row r="220" spans="1:11" ht="38.5" hidden="1" thickBot="1">
      <c r="A220" s="84" t="s">
        <v>269</v>
      </c>
      <c r="B220" s="39">
        <v>45426</v>
      </c>
      <c r="C220" s="40">
        <v>0.45763888888888887</v>
      </c>
      <c r="D220" s="38">
        <v>113902</v>
      </c>
      <c r="E220" s="38">
        <v>18235</v>
      </c>
      <c r="F220" s="39">
        <v>45426</v>
      </c>
      <c r="G220" s="40">
        <v>0.51249999999999996</v>
      </c>
      <c r="H220" s="46" t="s">
        <v>54</v>
      </c>
      <c r="I220" s="38" t="s">
        <v>75</v>
      </c>
      <c r="J220" s="41" t="s">
        <v>194</v>
      </c>
      <c r="K220" s="38">
        <v>5</v>
      </c>
    </row>
    <row r="221" spans="1:11" ht="38.5" hidden="1" thickBot="1">
      <c r="A221" s="84" t="s">
        <v>269</v>
      </c>
      <c r="B221" s="39">
        <v>45426</v>
      </c>
      <c r="C221" s="40">
        <v>0.45763888888888887</v>
      </c>
      <c r="D221" s="38">
        <v>113902</v>
      </c>
      <c r="E221" s="38">
        <v>18235</v>
      </c>
      <c r="F221" s="39">
        <v>45426</v>
      </c>
      <c r="G221" s="40">
        <v>0.51249999999999996</v>
      </c>
      <c r="H221" s="46" t="s">
        <v>54</v>
      </c>
      <c r="I221" s="38" t="s">
        <v>75</v>
      </c>
      <c r="J221" s="41" t="s">
        <v>112</v>
      </c>
      <c r="K221" s="38">
        <v>20</v>
      </c>
    </row>
    <row r="222" spans="1:11" ht="76" hidden="1" thickBot="1">
      <c r="A222" s="84" t="s">
        <v>270</v>
      </c>
      <c r="B222" s="39">
        <v>45426</v>
      </c>
      <c r="C222" s="40">
        <v>0.49444444444444446</v>
      </c>
      <c r="D222" s="38">
        <v>113905</v>
      </c>
      <c r="E222" s="38">
        <v>18248</v>
      </c>
      <c r="F222" s="39">
        <v>45426</v>
      </c>
      <c r="G222" s="40">
        <v>0.51875000000000004</v>
      </c>
      <c r="H222" s="46" t="s">
        <v>193</v>
      </c>
      <c r="I222" s="38" t="s">
        <v>76</v>
      </c>
      <c r="J222" s="41" t="s">
        <v>158</v>
      </c>
      <c r="K222" s="38">
        <v>1</v>
      </c>
    </row>
    <row r="223" spans="1:11" ht="38.5" hidden="1" thickBot="1">
      <c r="A223" s="79" t="s">
        <v>320</v>
      </c>
      <c r="B223" s="95">
        <v>45426</v>
      </c>
      <c r="C223" s="96">
        <v>0.36249999999999999</v>
      </c>
      <c r="D223" s="80">
        <v>113903</v>
      </c>
      <c r="E223" s="80">
        <v>18322</v>
      </c>
      <c r="F223" s="95">
        <v>45426</v>
      </c>
      <c r="G223" s="96">
        <v>0.51666666666666672</v>
      </c>
      <c r="H223" s="97" t="s">
        <v>319</v>
      </c>
      <c r="I223" s="80" t="s">
        <v>271</v>
      </c>
      <c r="J223" s="98" t="s">
        <v>112</v>
      </c>
      <c r="K223" s="80">
        <v>80</v>
      </c>
    </row>
    <row r="224" spans="1:11" ht="35" thickBot="1">
      <c r="A224" s="87">
        <v>16</v>
      </c>
      <c r="B224" s="39">
        <v>45426</v>
      </c>
      <c r="C224" s="40">
        <v>0.51111111111111107</v>
      </c>
      <c r="D224" s="38">
        <v>113906</v>
      </c>
      <c r="E224" s="38">
        <v>18270</v>
      </c>
      <c r="F224" s="39">
        <v>45426</v>
      </c>
      <c r="G224" s="40">
        <v>0.59791666666666665</v>
      </c>
      <c r="H224" s="46" t="s">
        <v>177</v>
      </c>
      <c r="I224" s="38" t="s">
        <v>139</v>
      </c>
      <c r="J224" s="41" t="s">
        <v>226</v>
      </c>
      <c r="K224" s="38">
        <v>2</v>
      </c>
    </row>
    <row r="225" spans="1:11" ht="76" hidden="1" thickBot="1">
      <c r="A225" s="84" t="s">
        <v>272</v>
      </c>
      <c r="B225" s="39">
        <v>45426</v>
      </c>
      <c r="C225" s="40">
        <v>0.58888888888888891</v>
      </c>
      <c r="D225" s="38">
        <v>113907</v>
      </c>
      <c r="E225" s="38">
        <v>18244</v>
      </c>
      <c r="F225" s="39">
        <v>45426</v>
      </c>
      <c r="G225" s="40">
        <v>0.60347222222222219</v>
      </c>
      <c r="H225" s="46" t="s">
        <v>193</v>
      </c>
      <c r="I225" s="38" t="s">
        <v>141</v>
      </c>
      <c r="J225" s="41" t="s">
        <v>113</v>
      </c>
      <c r="K225" s="38">
        <v>15</v>
      </c>
    </row>
    <row r="226" spans="1:11" ht="38.5" thickBot="1">
      <c r="A226" s="87">
        <v>17</v>
      </c>
      <c r="B226" s="39">
        <v>45426</v>
      </c>
      <c r="C226" s="40">
        <v>0.64513888888888893</v>
      </c>
      <c r="D226" s="38">
        <v>113909</v>
      </c>
      <c r="E226" s="38">
        <v>18234</v>
      </c>
      <c r="F226" s="39">
        <v>45426</v>
      </c>
      <c r="G226" s="40">
        <v>0.66041666666666665</v>
      </c>
      <c r="H226" s="46" t="s">
        <v>45</v>
      </c>
      <c r="I226" s="38" t="s">
        <v>78</v>
      </c>
      <c r="J226" s="41" t="s">
        <v>166</v>
      </c>
      <c r="K226" s="38">
        <v>12</v>
      </c>
    </row>
    <row r="227" spans="1:11" ht="38.5" thickBot="1">
      <c r="A227" s="87">
        <v>18</v>
      </c>
      <c r="B227" s="39">
        <v>45426</v>
      </c>
      <c r="C227" s="40">
        <v>0.64513888888888893</v>
      </c>
      <c r="D227" s="38">
        <v>113909</v>
      </c>
      <c r="E227" s="38">
        <v>18234</v>
      </c>
      <c r="F227" s="39">
        <v>45426</v>
      </c>
      <c r="G227" s="40">
        <v>0.66041666666666665</v>
      </c>
      <c r="H227" s="46" t="s">
        <v>45</v>
      </c>
      <c r="I227" s="38" t="s">
        <v>78</v>
      </c>
      <c r="J227" s="41" t="s">
        <v>232</v>
      </c>
      <c r="K227" s="38">
        <v>8</v>
      </c>
    </row>
    <row r="228" spans="1:11" ht="46.5" hidden="1" thickBot="1">
      <c r="A228" s="84">
        <v>4500309919</v>
      </c>
      <c r="B228" s="39">
        <v>45426</v>
      </c>
      <c r="C228" s="40">
        <v>0.66805555555555551</v>
      </c>
      <c r="D228" s="38">
        <v>113910</v>
      </c>
      <c r="E228" s="38">
        <v>18328</v>
      </c>
      <c r="F228" s="39">
        <v>45427</v>
      </c>
      <c r="G228" s="40">
        <v>0.38263888888888886</v>
      </c>
      <c r="H228" s="46" t="s">
        <v>159</v>
      </c>
      <c r="I228" s="38" t="s">
        <v>142</v>
      </c>
      <c r="J228" s="41" t="s">
        <v>145</v>
      </c>
      <c r="K228" s="38">
        <v>40</v>
      </c>
    </row>
    <row r="229" spans="1:11" ht="26" hidden="1" thickBot="1">
      <c r="A229" s="76">
        <v>944280</v>
      </c>
      <c r="B229" s="59">
        <v>45426</v>
      </c>
      <c r="C229" s="60">
        <v>0.71875</v>
      </c>
      <c r="D229" s="58">
        <v>113914</v>
      </c>
      <c r="E229" s="58">
        <v>18251</v>
      </c>
      <c r="F229" s="59">
        <v>45427</v>
      </c>
      <c r="G229" s="60">
        <v>0.48194444444444445</v>
      </c>
      <c r="H229" s="62" t="s">
        <v>30</v>
      </c>
      <c r="I229" s="58" t="s">
        <v>84</v>
      </c>
      <c r="J229" s="63" t="s">
        <v>116</v>
      </c>
      <c r="K229" s="58">
        <v>1</v>
      </c>
    </row>
    <row r="230" spans="1:11" ht="38.5" hidden="1" thickBot="1">
      <c r="A230" s="84" t="s">
        <v>273</v>
      </c>
      <c r="B230" s="39">
        <v>45426</v>
      </c>
      <c r="C230" s="40">
        <v>0.74722222222222223</v>
      </c>
      <c r="D230" s="38">
        <v>113915</v>
      </c>
      <c r="E230" s="38">
        <v>18245</v>
      </c>
      <c r="F230" s="39">
        <v>45427</v>
      </c>
      <c r="G230" s="40">
        <v>0.48194444444444445</v>
      </c>
      <c r="H230" s="46" t="s">
        <v>119</v>
      </c>
      <c r="I230" s="38" t="s">
        <v>246</v>
      </c>
      <c r="J230" s="41" t="s">
        <v>226</v>
      </c>
      <c r="K230" s="38">
        <v>4</v>
      </c>
    </row>
    <row r="231" spans="1:11" ht="38.5" hidden="1" thickBot="1">
      <c r="A231" s="84" t="s">
        <v>273</v>
      </c>
      <c r="B231" s="39">
        <v>45426</v>
      </c>
      <c r="C231" s="40">
        <v>0.74722222222222223</v>
      </c>
      <c r="D231" s="38">
        <v>113915</v>
      </c>
      <c r="E231" s="38">
        <v>18245</v>
      </c>
      <c r="F231" s="39">
        <v>45427</v>
      </c>
      <c r="G231" s="40">
        <v>0.48194444444444445</v>
      </c>
      <c r="H231" s="46" t="s">
        <v>119</v>
      </c>
      <c r="I231" s="38" t="s">
        <v>246</v>
      </c>
      <c r="J231" s="41" t="s">
        <v>153</v>
      </c>
      <c r="K231" s="38">
        <v>4</v>
      </c>
    </row>
    <row r="232" spans="1:11" ht="38.5" hidden="1" thickBot="1">
      <c r="A232" s="84" t="s">
        <v>274</v>
      </c>
      <c r="B232" s="39">
        <v>45426</v>
      </c>
      <c r="C232" s="40">
        <v>0.74722222222222223</v>
      </c>
      <c r="D232" s="38">
        <v>113911</v>
      </c>
      <c r="E232" s="38">
        <v>18263</v>
      </c>
      <c r="F232" s="39">
        <v>45427</v>
      </c>
      <c r="G232" s="40">
        <v>0.38819444444444445</v>
      </c>
      <c r="H232" s="46" t="s">
        <v>183</v>
      </c>
      <c r="I232" s="38" t="s">
        <v>82</v>
      </c>
      <c r="J232" s="41" t="s">
        <v>194</v>
      </c>
      <c r="K232" s="38">
        <v>6</v>
      </c>
    </row>
    <row r="233" spans="1:11" ht="46.5" hidden="1" thickBot="1">
      <c r="A233" s="84" t="s">
        <v>275</v>
      </c>
      <c r="B233" s="39">
        <v>45426</v>
      </c>
      <c r="C233" s="40">
        <v>0.77569444444444446</v>
      </c>
      <c r="D233" s="38">
        <v>113916</v>
      </c>
      <c r="E233" s="38">
        <v>18246</v>
      </c>
      <c r="F233" s="39">
        <v>45427</v>
      </c>
      <c r="G233" s="40">
        <v>0.4826388888888889</v>
      </c>
      <c r="H233" s="46" t="s">
        <v>119</v>
      </c>
      <c r="I233" s="38" t="s">
        <v>246</v>
      </c>
      <c r="J233" s="41" t="s">
        <v>145</v>
      </c>
      <c r="K233" s="38">
        <v>10</v>
      </c>
    </row>
    <row r="234" spans="1:11" ht="46.5" hidden="1" thickBot="1">
      <c r="A234" s="84" t="s">
        <v>276</v>
      </c>
      <c r="B234" s="39">
        <v>45427</v>
      </c>
      <c r="C234" s="40">
        <v>0.30208333333333331</v>
      </c>
      <c r="D234" s="38">
        <v>113912</v>
      </c>
      <c r="E234" s="38">
        <v>18247</v>
      </c>
      <c r="F234" s="39">
        <v>45427</v>
      </c>
      <c r="G234" s="40">
        <v>0.39444444444444443</v>
      </c>
      <c r="H234" s="46" t="s">
        <v>144</v>
      </c>
      <c r="I234" s="38" t="s">
        <v>88</v>
      </c>
      <c r="J234" s="41" t="s">
        <v>145</v>
      </c>
      <c r="K234" s="38">
        <v>8</v>
      </c>
    </row>
    <row r="235" spans="1:11" ht="76" hidden="1" thickBot="1">
      <c r="A235" s="84" t="s">
        <v>277</v>
      </c>
      <c r="B235" s="39">
        <v>45427</v>
      </c>
      <c r="C235" s="40">
        <v>0.31736111111111109</v>
      </c>
      <c r="D235" s="38">
        <v>113924</v>
      </c>
      <c r="E235" s="38">
        <v>18250</v>
      </c>
      <c r="F235" s="39">
        <v>45427</v>
      </c>
      <c r="G235" s="40">
        <v>0.58333333333333337</v>
      </c>
      <c r="H235" s="46" t="s">
        <v>193</v>
      </c>
      <c r="I235" s="38" t="s">
        <v>79</v>
      </c>
      <c r="J235" s="41" t="s">
        <v>153</v>
      </c>
      <c r="K235" s="38">
        <v>4</v>
      </c>
    </row>
    <row r="236" spans="1:11" ht="23.5" hidden="1" thickBot="1">
      <c r="A236" s="84">
        <v>944590</v>
      </c>
      <c r="B236" s="39">
        <v>45427</v>
      </c>
      <c r="C236" s="40">
        <v>0.32361111111111113</v>
      </c>
      <c r="D236" s="38">
        <v>113923</v>
      </c>
      <c r="E236" s="38">
        <v>18258</v>
      </c>
      <c r="F236" s="39">
        <v>45427</v>
      </c>
      <c r="G236" s="40">
        <v>0.59305555555555556</v>
      </c>
      <c r="H236" s="41" t="s">
        <v>38</v>
      </c>
      <c r="I236" s="38" t="s">
        <v>82</v>
      </c>
      <c r="J236" s="41" t="s">
        <v>116</v>
      </c>
      <c r="K236" s="38">
        <v>4</v>
      </c>
    </row>
    <row r="237" spans="1:11" ht="23.5" hidden="1" thickBot="1">
      <c r="A237" s="84">
        <v>607</v>
      </c>
      <c r="B237" s="39">
        <v>45427</v>
      </c>
      <c r="C237" s="40">
        <v>0.35069444444444442</v>
      </c>
      <c r="D237" s="38">
        <v>113922</v>
      </c>
      <c r="E237" s="38">
        <v>18262</v>
      </c>
      <c r="F237" s="39">
        <v>45427</v>
      </c>
      <c r="G237" s="40">
        <v>0.59305555555555556</v>
      </c>
      <c r="H237" s="41" t="s">
        <v>163</v>
      </c>
      <c r="I237" s="38" t="s">
        <v>83</v>
      </c>
      <c r="J237" s="41" t="s">
        <v>151</v>
      </c>
      <c r="K237" s="38">
        <v>3</v>
      </c>
    </row>
    <row r="238" spans="1:11" ht="23.5" hidden="1" thickBot="1">
      <c r="A238" s="84">
        <v>944666</v>
      </c>
      <c r="B238" s="39">
        <v>45427</v>
      </c>
      <c r="C238" s="40">
        <v>0.36875000000000002</v>
      </c>
      <c r="D238" s="38">
        <v>113921</v>
      </c>
      <c r="E238" s="38">
        <v>18255</v>
      </c>
      <c r="F238" s="39">
        <v>45427</v>
      </c>
      <c r="G238" s="40">
        <v>0.59305555555555556</v>
      </c>
      <c r="H238" s="41" t="s">
        <v>30</v>
      </c>
      <c r="I238" s="38" t="s">
        <v>79</v>
      </c>
      <c r="J238" s="41" t="s">
        <v>112</v>
      </c>
      <c r="K238" s="38">
        <v>12</v>
      </c>
    </row>
    <row r="239" spans="1:11" ht="23.5" hidden="1" thickBot="1">
      <c r="A239" s="84">
        <v>944666</v>
      </c>
      <c r="B239" s="39">
        <v>45427</v>
      </c>
      <c r="C239" s="40">
        <v>0.36875000000000002</v>
      </c>
      <c r="D239" s="38">
        <v>113921</v>
      </c>
      <c r="E239" s="38">
        <v>18255</v>
      </c>
      <c r="F239" s="39">
        <v>45427</v>
      </c>
      <c r="G239" s="40">
        <v>0.59305555555555556</v>
      </c>
      <c r="H239" s="41" t="s">
        <v>30</v>
      </c>
      <c r="I239" s="38" t="s">
        <v>79</v>
      </c>
      <c r="J239" s="41" t="s">
        <v>113</v>
      </c>
      <c r="K239" s="38">
        <v>5</v>
      </c>
    </row>
    <row r="240" spans="1:11" ht="23.5" hidden="1" thickBot="1">
      <c r="A240" s="84">
        <v>944673</v>
      </c>
      <c r="B240" s="39">
        <v>45427</v>
      </c>
      <c r="C240" s="40">
        <v>0.37638888888888888</v>
      </c>
      <c r="D240" s="38">
        <v>113920</v>
      </c>
      <c r="E240" s="38">
        <v>18254</v>
      </c>
      <c r="F240" s="39">
        <v>45427</v>
      </c>
      <c r="G240" s="40">
        <v>0.59305555555555556</v>
      </c>
      <c r="H240" s="41" t="s">
        <v>30</v>
      </c>
      <c r="I240" s="38" t="s">
        <v>79</v>
      </c>
      <c r="J240" s="41" t="s">
        <v>112</v>
      </c>
      <c r="K240" s="38">
        <v>8</v>
      </c>
    </row>
    <row r="241" spans="1:11" ht="23.5" hidden="1" thickBot="1">
      <c r="A241" s="84">
        <v>4500069720</v>
      </c>
      <c r="B241" s="39">
        <v>45427</v>
      </c>
      <c r="C241" s="40">
        <v>0.38263888888888886</v>
      </c>
      <c r="D241" s="38">
        <v>113919</v>
      </c>
      <c r="E241" s="38">
        <v>18267</v>
      </c>
      <c r="F241" s="39">
        <v>45427</v>
      </c>
      <c r="G241" s="40">
        <v>0.59305555555555556</v>
      </c>
      <c r="H241" s="41" t="s">
        <v>57</v>
      </c>
      <c r="I241" s="38" t="s">
        <v>80</v>
      </c>
      <c r="J241" s="41" t="s">
        <v>194</v>
      </c>
      <c r="K241" s="38">
        <v>4</v>
      </c>
    </row>
    <row r="242" spans="1:11" ht="23.5" hidden="1" thickBot="1">
      <c r="A242" s="84">
        <v>4500069720</v>
      </c>
      <c r="B242" s="39">
        <v>45427</v>
      </c>
      <c r="C242" s="40">
        <v>0.38263888888888886</v>
      </c>
      <c r="D242" s="38">
        <v>113919</v>
      </c>
      <c r="E242" s="38">
        <v>18267</v>
      </c>
      <c r="F242" s="39">
        <v>45427</v>
      </c>
      <c r="G242" s="40">
        <v>0.59305555555555556</v>
      </c>
      <c r="H242" s="41" t="s">
        <v>57</v>
      </c>
      <c r="I242" s="38" t="s">
        <v>80</v>
      </c>
      <c r="J242" s="41" t="s">
        <v>115</v>
      </c>
      <c r="K242" s="38">
        <v>20</v>
      </c>
    </row>
    <row r="243" spans="1:11" ht="23.5" hidden="1" thickBot="1">
      <c r="A243" s="84">
        <v>4500069720</v>
      </c>
      <c r="B243" s="39">
        <v>45427</v>
      </c>
      <c r="C243" s="40">
        <v>0.38263888888888886</v>
      </c>
      <c r="D243" s="38">
        <v>113919</v>
      </c>
      <c r="E243" s="38">
        <v>18267</v>
      </c>
      <c r="F243" s="39">
        <v>45427</v>
      </c>
      <c r="G243" s="40">
        <v>0.59305555555555556</v>
      </c>
      <c r="H243" s="41" t="s">
        <v>57</v>
      </c>
      <c r="I243" s="38" t="s">
        <v>80</v>
      </c>
      <c r="J243" s="41" t="s">
        <v>209</v>
      </c>
      <c r="K243" s="38">
        <v>8</v>
      </c>
    </row>
    <row r="244" spans="1:11" ht="35" hidden="1" thickBot="1">
      <c r="A244" s="84">
        <v>4500069720</v>
      </c>
      <c r="B244" s="39">
        <v>45427</v>
      </c>
      <c r="C244" s="40">
        <v>0.38263888888888886</v>
      </c>
      <c r="D244" s="38">
        <v>113919</v>
      </c>
      <c r="E244" s="38">
        <v>18267</v>
      </c>
      <c r="F244" s="39">
        <v>45427</v>
      </c>
      <c r="G244" s="40">
        <v>0.59305555555555556</v>
      </c>
      <c r="H244" s="41" t="s">
        <v>57</v>
      </c>
      <c r="I244" s="38" t="s">
        <v>80</v>
      </c>
      <c r="J244" s="41" t="s">
        <v>136</v>
      </c>
      <c r="K244" s="38">
        <v>16</v>
      </c>
    </row>
    <row r="245" spans="1:11" ht="23.5" hidden="1" thickBot="1">
      <c r="A245" s="84">
        <v>4500069720</v>
      </c>
      <c r="B245" s="39">
        <v>45427</v>
      </c>
      <c r="C245" s="40">
        <v>0.38263888888888886</v>
      </c>
      <c r="D245" s="38">
        <v>113919</v>
      </c>
      <c r="E245" s="38">
        <v>18267</v>
      </c>
      <c r="F245" s="39">
        <v>45427</v>
      </c>
      <c r="G245" s="40">
        <v>0.59305555555555556</v>
      </c>
      <c r="H245" s="41" t="s">
        <v>57</v>
      </c>
      <c r="I245" s="38" t="s">
        <v>80</v>
      </c>
      <c r="J245" s="41" t="s">
        <v>220</v>
      </c>
      <c r="K245" s="38">
        <v>8</v>
      </c>
    </row>
    <row r="246" spans="1:11" ht="23.5" hidden="1" thickBot="1">
      <c r="A246" s="84">
        <v>4500069720</v>
      </c>
      <c r="B246" s="39">
        <v>45427</v>
      </c>
      <c r="C246" s="40">
        <v>0.38263888888888886</v>
      </c>
      <c r="D246" s="38">
        <v>113919</v>
      </c>
      <c r="E246" s="38">
        <v>18267</v>
      </c>
      <c r="F246" s="39">
        <v>45427</v>
      </c>
      <c r="G246" s="40">
        <v>0.59305555555555556</v>
      </c>
      <c r="H246" s="41" t="s">
        <v>57</v>
      </c>
      <c r="I246" s="38" t="s">
        <v>80</v>
      </c>
      <c r="J246" s="41" t="s">
        <v>118</v>
      </c>
      <c r="K246" s="38">
        <v>20</v>
      </c>
    </row>
    <row r="247" spans="1:11" ht="23.5" hidden="1" thickBot="1">
      <c r="A247" s="84">
        <v>4500069720</v>
      </c>
      <c r="B247" s="39">
        <v>45427</v>
      </c>
      <c r="C247" s="40">
        <v>0.38263888888888886</v>
      </c>
      <c r="D247" s="38">
        <v>113919</v>
      </c>
      <c r="E247" s="38">
        <v>18267</v>
      </c>
      <c r="F247" s="39">
        <v>45427</v>
      </c>
      <c r="G247" s="40">
        <v>0.59305555555555556</v>
      </c>
      <c r="H247" s="41" t="s">
        <v>57</v>
      </c>
      <c r="I247" s="38" t="s">
        <v>80</v>
      </c>
      <c r="J247" s="41" t="s">
        <v>111</v>
      </c>
      <c r="K247" s="38">
        <v>28</v>
      </c>
    </row>
    <row r="248" spans="1:11" ht="23.5" hidden="1" thickBot="1">
      <c r="A248" s="84">
        <v>4500069720</v>
      </c>
      <c r="B248" s="39">
        <v>45427</v>
      </c>
      <c r="C248" s="40">
        <v>0.38263888888888886</v>
      </c>
      <c r="D248" s="38">
        <v>113919</v>
      </c>
      <c r="E248" s="38">
        <v>18267</v>
      </c>
      <c r="F248" s="39">
        <v>45427</v>
      </c>
      <c r="G248" s="40">
        <v>0.59305555555555556</v>
      </c>
      <c r="H248" s="41" t="s">
        <v>57</v>
      </c>
      <c r="I248" s="38" t="s">
        <v>80</v>
      </c>
      <c r="J248" s="41" t="s">
        <v>110</v>
      </c>
      <c r="K248" s="38">
        <v>80</v>
      </c>
    </row>
    <row r="249" spans="1:11" ht="46.5" hidden="1" thickBot="1">
      <c r="A249" s="84" t="s">
        <v>278</v>
      </c>
      <c r="B249" s="39">
        <v>45427</v>
      </c>
      <c r="C249" s="40">
        <v>0.43819444444444444</v>
      </c>
      <c r="D249" s="38">
        <v>113913</v>
      </c>
      <c r="E249" s="38">
        <v>18264</v>
      </c>
      <c r="F249" s="39">
        <v>45427</v>
      </c>
      <c r="G249" s="40">
        <v>0.48194444444444445</v>
      </c>
      <c r="H249" s="41" t="s">
        <v>167</v>
      </c>
      <c r="I249" s="38" t="s">
        <v>168</v>
      </c>
      <c r="J249" s="41" t="s">
        <v>145</v>
      </c>
      <c r="K249" s="38">
        <v>16</v>
      </c>
    </row>
    <row r="250" spans="1:11" ht="23.5" hidden="1" thickBot="1">
      <c r="A250" s="84">
        <v>944930</v>
      </c>
      <c r="B250" s="39">
        <v>45427</v>
      </c>
      <c r="C250" s="40">
        <v>0.48125000000000001</v>
      </c>
      <c r="D250" s="38">
        <v>113918</v>
      </c>
      <c r="E250" s="38">
        <v>18252</v>
      </c>
      <c r="F250" s="39">
        <v>45427</v>
      </c>
      <c r="G250" s="40">
        <v>0.59305555555555556</v>
      </c>
      <c r="H250" s="41" t="s">
        <v>30</v>
      </c>
      <c r="I250" s="38" t="s">
        <v>84</v>
      </c>
      <c r="J250" s="41" t="s">
        <v>140</v>
      </c>
      <c r="K250" s="38">
        <v>12</v>
      </c>
    </row>
    <row r="251" spans="1:11" ht="23.5" hidden="1" thickBot="1">
      <c r="A251" s="84">
        <v>105</v>
      </c>
      <c r="B251" s="39">
        <v>45427</v>
      </c>
      <c r="C251" s="40">
        <v>0.49236111111111114</v>
      </c>
      <c r="D251" s="38">
        <v>113917</v>
      </c>
      <c r="E251" s="38">
        <v>18358</v>
      </c>
      <c r="F251" s="39">
        <v>45427</v>
      </c>
      <c r="G251" s="40">
        <v>0.59305555555555556</v>
      </c>
      <c r="H251" s="41" t="s">
        <v>258</v>
      </c>
      <c r="I251" s="38" t="s">
        <v>78</v>
      </c>
      <c r="J251" s="41" t="s">
        <v>112</v>
      </c>
      <c r="K251" s="38">
        <v>1</v>
      </c>
    </row>
    <row r="252" spans="1:11" ht="23.5" hidden="1" thickBot="1">
      <c r="A252" s="84">
        <v>49539</v>
      </c>
      <c r="B252" s="39">
        <v>45427</v>
      </c>
      <c r="C252" s="40">
        <v>0.55069444444444449</v>
      </c>
      <c r="D252" s="38">
        <v>113926</v>
      </c>
      <c r="E252" s="38">
        <v>18336</v>
      </c>
      <c r="F252" s="39">
        <v>45427</v>
      </c>
      <c r="G252" s="40">
        <v>0.59722222222222221</v>
      </c>
      <c r="H252" s="41" t="s">
        <v>157</v>
      </c>
      <c r="I252" s="38" t="s">
        <v>78</v>
      </c>
      <c r="J252" s="41" t="s">
        <v>189</v>
      </c>
      <c r="K252" s="38">
        <v>27</v>
      </c>
    </row>
    <row r="253" spans="1:11" ht="23.5" thickBot="1">
      <c r="A253" s="87">
        <v>18</v>
      </c>
      <c r="B253" s="39">
        <v>45427</v>
      </c>
      <c r="C253" s="40">
        <v>0.55208333333333337</v>
      </c>
      <c r="D253" s="38">
        <v>113925</v>
      </c>
      <c r="E253" s="38">
        <v>18261</v>
      </c>
      <c r="F253" s="39">
        <v>45427</v>
      </c>
      <c r="G253" s="40">
        <v>0.60069444444444442</v>
      </c>
      <c r="H253" s="41" t="s">
        <v>210</v>
      </c>
      <c r="I253" s="38" t="s">
        <v>78</v>
      </c>
      <c r="J253" s="41" t="s">
        <v>221</v>
      </c>
      <c r="K253" s="38">
        <v>10</v>
      </c>
    </row>
    <row r="254" spans="1:11" ht="23.5" hidden="1" thickBot="1">
      <c r="A254" s="84">
        <v>4500069748</v>
      </c>
      <c r="B254" s="39">
        <v>45427</v>
      </c>
      <c r="C254" s="40">
        <v>0.68055555555555558</v>
      </c>
      <c r="D254" s="38">
        <v>113927</v>
      </c>
      <c r="E254" s="38">
        <v>18268</v>
      </c>
      <c r="F254" s="39">
        <v>45427</v>
      </c>
      <c r="G254" s="40">
        <v>0.70486111111111116</v>
      </c>
      <c r="H254" s="41" t="s">
        <v>57</v>
      </c>
      <c r="I254" s="38" t="s">
        <v>83</v>
      </c>
      <c r="J254" s="41" t="s">
        <v>110</v>
      </c>
      <c r="K254" s="38">
        <v>100</v>
      </c>
    </row>
    <row r="255" spans="1:11" ht="23.5" hidden="1" thickBot="1">
      <c r="A255" s="84">
        <v>4500069748</v>
      </c>
      <c r="B255" s="39">
        <v>45427</v>
      </c>
      <c r="C255" s="40">
        <v>0.68055555555555558</v>
      </c>
      <c r="D255" s="38">
        <v>113927</v>
      </c>
      <c r="E255" s="38">
        <v>18268</v>
      </c>
      <c r="F255" s="39">
        <v>45427</v>
      </c>
      <c r="G255" s="40">
        <v>0.70486111111111116</v>
      </c>
      <c r="H255" s="41" t="s">
        <v>57</v>
      </c>
      <c r="I255" s="38" t="s">
        <v>83</v>
      </c>
      <c r="J255" s="41" t="s">
        <v>209</v>
      </c>
      <c r="K255" s="38">
        <v>16</v>
      </c>
    </row>
    <row r="256" spans="1:11" ht="23.5" hidden="1" thickBot="1">
      <c r="A256" s="84">
        <v>4500069748</v>
      </c>
      <c r="B256" s="39">
        <v>45427</v>
      </c>
      <c r="C256" s="40">
        <v>0.68055555555555558</v>
      </c>
      <c r="D256" s="38">
        <v>113927</v>
      </c>
      <c r="E256" s="38">
        <v>18268</v>
      </c>
      <c r="F256" s="39">
        <v>45427</v>
      </c>
      <c r="G256" s="40">
        <v>0.70486111111111116</v>
      </c>
      <c r="H256" s="41" t="s">
        <v>57</v>
      </c>
      <c r="I256" s="38" t="s">
        <v>83</v>
      </c>
      <c r="J256" s="41" t="s">
        <v>215</v>
      </c>
      <c r="K256" s="38">
        <v>32</v>
      </c>
    </row>
    <row r="257" spans="1:11" ht="23.5" hidden="1" thickBot="1">
      <c r="A257" s="84">
        <v>4500069748</v>
      </c>
      <c r="B257" s="39">
        <v>45427</v>
      </c>
      <c r="C257" s="40">
        <v>0.68055555555555558</v>
      </c>
      <c r="D257" s="38">
        <v>113927</v>
      </c>
      <c r="E257" s="38">
        <v>18268</v>
      </c>
      <c r="F257" s="39">
        <v>45427</v>
      </c>
      <c r="G257" s="40">
        <v>0.70486111111111116</v>
      </c>
      <c r="H257" s="41" t="s">
        <v>57</v>
      </c>
      <c r="I257" s="38" t="s">
        <v>83</v>
      </c>
      <c r="J257" s="41" t="s">
        <v>151</v>
      </c>
      <c r="K257" s="38">
        <v>20</v>
      </c>
    </row>
    <row r="258" spans="1:11" ht="23.5" hidden="1" thickBot="1">
      <c r="A258" s="84">
        <v>4500069748</v>
      </c>
      <c r="B258" s="39">
        <v>45427</v>
      </c>
      <c r="C258" s="40">
        <v>0.68055555555555558</v>
      </c>
      <c r="D258" s="38">
        <v>113927</v>
      </c>
      <c r="E258" s="38">
        <v>18268</v>
      </c>
      <c r="F258" s="39">
        <v>45427</v>
      </c>
      <c r="G258" s="40">
        <v>0.70486111111111116</v>
      </c>
      <c r="H258" s="41" t="s">
        <v>57</v>
      </c>
      <c r="I258" s="38" t="s">
        <v>83</v>
      </c>
      <c r="J258" s="41" t="s">
        <v>140</v>
      </c>
      <c r="K258" s="38">
        <v>70</v>
      </c>
    </row>
    <row r="259" spans="1:11" ht="23.5" hidden="1" thickBot="1">
      <c r="A259" s="84">
        <v>4500069748</v>
      </c>
      <c r="B259" s="39">
        <v>45427</v>
      </c>
      <c r="C259" s="40">
        <v>0.68055555555555558</v>
      </c>
      <c r="D259" s="38">
        <v>113927</v>
      </c>
      <c r="E259" s="38">
        <v>18268</v>
      </c>
      <c r="F259" s="39">
        <v>45427</v>
      </c>
      <c r="G259" s="40">
        <v>0.70486111111111116</v>
      </c>
      <c r="H259" s="41" t="s">
        <v>57</v>
      </c>
      <c r="I259" s="38" t="s">
        <v>83</v>
      </c>
      <c r="J259" s="41" t="s">
        <v>118</v>
      </c>
      <c r="K259" s="38">
        <v>80</v>
      </c>
    </row>
    <row r="260" spans="1:11" ht="23.5" hidden="1" thickBot="1">
      <c r="A260" s="84">
        <v>4500069748</v>
      </c>
      <c r="B260" s="39">
        <v>45427</v>
      </c>
      <c r="C260" s="40">
        <v>0.68055555555555558</v>
      </c>
      <c r="D260" s="38">
        <v>113927</v>
      </c>
      <c r="E260" s="38">
        <v>18268</v>
      </c>
      <c r="F260" s="39">
        <v>45427</v>
      </c>
      <c r="G260" s="40">
        <v>0.70486111111111116</v>
      </c>
      <c r="H260" s="41" t="s">
        <v>57</v>
      </c>
      <c r="I260" s="38" t="s">
        <v>83</v>
      </c>
      <c r="J260" s="41" t="s">
        <v>115</v>
      </c>
      <c r="K260" s="38">
        <v>40</v>
      </c>
    </row>
    <row r="261" spans="1:11" ht="23.5" hidden="1" thickBot="1">
      <c r="A261" s="84">
        <v>4500069748</v>
      </c>
      <c r="B261" s="39">
        <v>45427</v>
      </c>
      <c r="C261" s="40">
        <v>0.68055555555555558</v>
      </c>
      <c r="D261" s="38">
        <v>113927</v>
      </c>
      <c r="E261" s="38">
        <v>18268</v>
      </c>
      <c r="F261" s="39">
        <v>45427</v>
      </c>
      <c r="G261" s="40">
        <v>0.70486111111111116</v>
      </c>
      <c r="H261" s="41" t="s">
        <v>57</v>
      </c>
      <c r="I261" s="38" t="s">
        <v>83</v>
      </c>
      <c r="J261" s="41" t="s">
        <v>111</v>
      </c>
      <c r="K261" s="38">
        <v>8</v>
      </c>
    </row>
    <row r="262" spans="1:11" ht="23.5" hidden="1" thickBot="1">
      <c r="A262" s="84">
        <v>4500069748</v>
      </c>
      <c r="B262" s="39">
        <v>45427</v>
      </c>
      <c r="C262" s="40">
        <v>0.68055555555555558</v>
      </c>
      <c r="D262" s="38">
        <v>113927</v>
      </c>
      <c r="E262" s="38">
        <v>18268</v>
      </c>
      <c r="F262" s="39">
        <v>45427</v>
      </c>
      <c r="G262" s="40">
        <v>0.70486111111111116</v>
      </c>
      <c r="H262" s="41" t="s">
        <v>57</v>
      </c>
      <c r="I262" s="38" t="s">
        <v>83</v>
      </c>
      <c r="J262" s="41" t="s">
        <v>194</v>
      </c>
      <c r="K262" s="38">
        <v>60</v>
      </c>
    </row>
    <row r="263" spans="1:11" ht="23.5" hidden="1" thickBot="1">
      <c r="A263" s="84">
        <v>4500069750</v>
      </c>
      <c r="B263" s="39">
        <v>45427</v>
      </c>
      <c r="C263" s="40">
        <v>0.68055555555555558</v>
      </c>
      <c r="D263" s="38">
        <v>113929</v>
      </c>
      <c r="E263" s="38">
        <v>18287</v>
      </c>
      <c r="F263" s="39">
        <v>45428</v>
      </c>
      <c r="G263" s="40">
        <v>0.40069444444444446</v>
      </c>
      <c r="H263" s="41" t="s">
        <v>57</v>
      </c>
      <c r="I263" s="38" t="s">
        <v>83</v>
      </c>
      <c r="J263" s="41" t="s">
        <v>110</v>
      </c>
      <c r="K263" s="38">
        <v>80</v>
      </c>
    </row>
    <row r="264" spans="1:11" ht="23.5" hidden="1" thickBot="1">
      <c r="A264" s="84">
        <v>4500069750</v>
      </c>
      <c r="B264" s="39">
        <v>45427</v>
      </c>
      <c r="C264" s="40">
        <v>0.68055555555555558</v>
      </c>
      <c r="D264" s="38">
        <v>113929</v>
      </c>
      <c r="E264" s="38">
        <v>18287</v>
      </c>
      <c r="F264" s="39">
        <v>45428</v>
      </c>
      <c r="G264" s="40">
        <v>0.40069444444444446</v>
      </c>
      <c r="H264" s="41" t="s">
        <v>57</v>
      </c>
      <c r="I264" s="38" t="s">
        <v>83</v>
      </c>
      <c r="J264" s="41" t="s">
        <v>118</v>
      </c>
      <c r="K264" s="38">
        <v>80</v>
      </c>
    </row>
    <row r="265" spans="1:11" ht="23.5" hidden="1" thickBot="1">
      <c r="A265" s="84">
        <v>4500069750</v>
      </c>
      <c r="B265" s="39">
        <v>45427</v>
      </c>
      <c r="C265" s="40">
        <v>0.68055555555555558</v>
      </c>
      <c r="D265" s="38">
        <v>113929</v>
      </c>
      <c r="E265" s="38">
        <v>18287</v>
      </c>
      <c r="F265" s="39">
        <v>45428</v>
      </c>
      <c r="G265" s="40">
        <v>0.40069444444444446</v>
      </c>
      <c r="H265" s="41" t="s">
        <v>57</v>
      </c>
      <c r="I265" s="38" t="s">
        <v>83</v>
      </c>
      <c r="J265" s="41" t="s">
        <v>115</v>
      </c>
      <c r="K265" s="38">
        <v>40</v>
      </c>
    </row>
    <row r="266" spans="1:11" ht="23.5" hidden="1" thickBot="1">
      <c r="A266" s="84">
        <v>4500069750</v>
      </c>
      <c r="B266" s="39">
        <v>45427</v>
      </c>
      <c r="C266" s="40">
        <v>0.68055555555555558</v>
      </c>
      <c r="D266" s="38">
        <v>113929</v>
      </c>
      <c r="E266" s="38">
        <v>18287</v>
      </c>
      <c r="F266" s="39">
        <v>45428</v>
      </c>
      <c r="G266" s="40">
        <v>0.40069444444444446</v>
      </c>
      <c r="H266" s="41" t="s">
        <v>57</v>
      </c>
      <c r="I266" s="38" t="s">
        <v>83</v>
      </c>
      <c r="J266" s="41" t="s">
        <v>209</v>
      </c>
      <c r="K266" s="38">
        <v>16</v>
      </c>
    </row>
    <row r="267" spans="1:11" ht="23.5" hidden="1" thickBot="1">
      <c r="A267" s="84">
        <v>4500069750</v>
      </c>
      <c r="B267" s="39">
        <v>45427</v>
      </c>
      <c r="C267" s="40">
        <v>0.68055555555555558</v>
      </c>
      <c r="D267" s="38">
        <v>113929</v>
      </c>
      <c r="E267" s="38">
        <v>18287</v>
      </c>
      <c r="F267" s="39">
        <v>45428</v>
      </c>
      <c r="G267" s="40">
        <v>0.40069444444444446</v>
      </c>
      <c r="H267" s="41" t="s">
        <v>57</v>
      </c>
      <c r="I267" s="38" t="s">
        <v>83</v>
      </c>
      <c r="J267" s="41" t="s">
        <v>111</v>
      </c>
      <c r="K267" s="38">
        <v>12</v>
      </c>
    </row>
    <row r="268" spans="1:11" ht="13.5" hidden="1" thickBot="1">
      <c r="A268" s="84">
        <v>4500069750</v>
      </c>
      <c r="B268" s="39">
        <v>45427</v>
      </c>
      <c r="C268" s="40">
        <v>0.68055555555555558</v>
      </c>
      <c r="D268" s="38">
        <v>113929</v>
      </c>
      <c r="E268" s="38">
        <v>18287</v>
      </c>
      <c r="F268" s="39">
        <v>45428</v>
      </c>
      <c r="G268" s="40">
        <v>0.40069444444444446</v>
      </c>
      <c r="H268" s="41" t="s">
        <v>57</v>
      </c>
      <c r="I268" s="38" t="s">
        <v>83</v>
      </c>
      <c r="J268" s="41" t="s">
        <v>134</v>
      </c>
      <c r="K268" s="38">
        <v>8</v>
      </c>
    </row>
    <row r="269" spans="1:11" ht="35" hidden="1" thickBot="1">
      <c r="A269" s="84">
        <v>4500069750</v>
      </c>
      <c r="B269" s="39">
        <v>45427</v>
      </c>
      <c r="C269" s="40">
        <v>0.68055555555555558</v>
      </c>
      <c r="D269" s="38">
        <v>113929</v>
      </c>
      <c r="E269" s="38">
        <v>18287</v>
      </c>
      <c r="F269" s="39">
        <v>45428</v>
      </c>
      <c r="G269" s="40">
        <v>0.40069444444444446</v>
      </c>
      <c r="H269" s="41" t="s">
        <v>57</v>
      </c>
      <c r="I269" s="38" t="s">
        <v>83</v>
      </c>
      <c r="J269" s="41" t="s">
        <v>143</v>
      </c>
      <c r="K269" s="38">
        <v>8</v>
      </c>
    </row>
    <row r="270" spans="1:11" ht="23.5" hidden="1" thickBot="1">
      <c r="A270" s="84">
        <v>4500069750</v>
      </c>
      <c r="B270" s="39">
        <v>45427</v>
      </c>
      <c r="C270" s="40">
        <v>0.68055555555555558</v>
      </c>
      <c r="D270" s="38">
        <v>113929</v>
      </c>
      <c r="E270" s="38">
        <v>18287</v>
      </c>
      <c r="F270" s="39">
        <v>45428</v>
      </c>
      <c r="G270" s="40">
        <v>0.40069444444444446</v>
      </c>
      <c r="H270" s="41" t="s">
        <v>57</v>
      </c>
      <c r="I270" s="38" t="s">
        <v>83</v>
      </c>
      <c r="J270" s="41" t="s">
        <v>194</v>
      </c>
      <c r="K270" s="38">
        <v>20</v>
      </c>
    </row>
    <row r="271" spans="1:11" ht="35" hidden="1" thickBot="1">
      <c r="A271" s="84">
        <v>4500069750</v>
      </c>
      <c r="B271" s="39">
        <v>45427</v>
      </c>
      <c r="C271" s="40">
        <v>0.68055555555555558</v>
      </c>
      <c r="D271" s="38">
        <v>113929</v>
      </c>
      <c r="E271" s="38">
        <v>18287</v>
      </c>
      <c r="F271" s="39">
        <v>45428</v>
      </c>
      <c r="G271" s="40">
        <v>0.40069444444444446</v>
      </c>
      <c r="H271" s="41" t="s">
        <v>57</v>
      </c>
      <c r="I271" s="38" t="s">
        <v>83</v>
      </c>
      <c r="J271" s="41" t="s">
        <v>156</v>
      </c>
      <c r="K271" s="38">
        <v>40</v>
      </c>
    </row>
    <row r="272" spans="1:11" ht="23.5" hidden="1" thickBot="1">
      <c r="A272" s="84">
        <v>4500069752</v>
      </c>
      <c r="B272" s="39">
        <v>45427</v>
      </c>
      <c r="C272" s="40">
        <v>0.70138888888888884</v>
      </c>
      <c r="D272" s="38">
        <v>113930</v>
      </c>
      <c r="E272" s="38">
        <v>18269</v>
      </c>
      <c r="F272" s="39">
        <v>45428</v>
      </c>
      <c r="G272" s="40">
        <v>0.40069444444444446</v>
      </c>
      <c r="H272" s="41" t="s">
        <v>57</v>
      </c>
      <c r="I272" s="38" t="s">
        <v>83</v>
      </c>
      <c r="J272" s="41" t="s">
        <v>279</v>
      </c>
      <c r="K272" s="38">
        <v>250</v>
      </c>
    </row>
    <row r="273" spans="1:11" ht="46.5" hidden="1" thickBot="1">
      <c r="A273" s="84" t="s">
        <v>280</v>
      </c>
      <c r="B273" s="39">
        <v>45427</v>
      </c>
      <c r="C273" s="40">
        <v>0.72916666666666663</v>
      </c>
      <c r="D273" s="38">
        <v>113933</v>
      </c>
      <c r="E273" s="38">
        <v>18257</v>
      </c>
      <c r="F273" s="39">
        <v>45428</v>
      </c>
      <c r="G273" s="40">
        <v>0.55694444444444446</v>
      </c>
      <c r="H273" s="41" t="s">
        <v>237</v>
      </c>
      <c r="I273" s="38" t="s">
        <v>150</v>
      </c>
      <c r="J273" s="41" t="s">
        <v>214</v>
      </c>
      <c r="K273" s="38">
        <v>60</v>
      </c>
    </row>
    <row r="274" spans="1:11" ht="46.5" hidden="1" thickBot="1">
      <c r="A274" s="84" t="s">
        <v>280</v>
      </c>
      <c r="B274" s="39">
        <v>45427</v>
      </c>
      <c r="C274" s="40">
        <v>0.72916666666666663</v>
      </c>
      <c r="D274" s="38">
        <v>113933</v>
      </c>
      <c r="E274" s="38">
        <v>18257</v>
      </c>
      <c r="F274" s="39">
        <v>45428</v>
      </c>
      <c r="G274" s="40">
        <v>0.55694444444444446</v>
      </c>
      <c r="H274" s="41" t="s">
        <v>237</v>
      </c>
      <c r="I274" s="38" t="s">
        <v>150</v>
      </c>
      <c r="J274" s="41" t="s">
        <v>115</v>
      </c>
      <c r="K274" s="38">
        <v>12</v>
      </c>
    </row>
    <row r="275" spans="1:11" ht="23.5" hidden="1" thickBot="1">
      <c r="A275" s="99">
        <v>5502351549</v>
      </c>
      <c r="B275" s="100">
        <v>45428</v>
      </c>
      <c r="C275" s="101">
        <v>0.43055555555555558</v>
      </c>
      <c r="D275" s="102">
        <v>113932</v>
      </c>
      <c r="E275" s="102">
        <v>18314</v>
      </c>
      <c r="F275" s="100">
        <v>45428</v>
      </c>
      <c r="G275" s="101">
        <v>0.47916666666666669</v>
      </c>
      <c r="H275" s="103" t="s">
        <v>52</v>
      </c>
      <c r="I275" s="102" t="s">
        <v>78</v>
      </c>
      <c r="J275" s="103" t="s">
        <v>281</v>
      </c>
      <c r="K275" s="102">
        <v>24</v>
      </c>
    </row>
    <row r="276" spans="1:11" ht="46.5" hidden="1" thickBot="1">
      <c r="A276" s="84" t="s">
        <v>282</v>
      </c>
      <c r="B276" s="39">
        <v>45428</v>
      </c>
      <c r="C276" s="40">
        <v>0.50694444444444442</v>
      </c>
      <c r="D276" s="38">
        <v>113934</v>
      </c>
      <c r="E276" s="38">
        <v>18265</v>
      </c>
      <c r="F276" s="39">
        <v>45428</v>
      </c>
      <c r="G276" s="40">
        <v>0.60416666666666663</v>
      </c>
      <c r="H276" s="41" t="s">
        <v>167</v>
      </c>
      <c r="I276" s="38" t="s">
        <v>168</v>
      </c>
      <c r="J276" s="41" t="s">
        <v>145</v>
      </c>
      <c r="K276" s="38">
        <v>12</v>
      </c>
    </row>
    <row r="277" spans="1:11" ht="23.5" hidden="1" thickBot="1">
      <c r="A277" s="52">
        <v>945661</v>
      </c>
      <c r="B277" s="39">
        <v>45428</v>
      </c>
      <c r="C277" s="40">
        <v>0.52222222222222225</v>
      </c>
      <c r="D277" s="38">
        <v>113935</v>
      </c>
      <c r="E277" s="38">
        <v>18305</v>
      </c>
      <c r="F277" s="39">
        <v>45428</v>
      </c>
      <c r="G277" s="40">
        <v>0.60416666666666663</v>
      </c>
      <c r="H277" s="41" t="s">
        <v>38</v>
      </c>
      <c r="I277" s="38" t="s">
        <v>141</v>
      </c>
      <c r="J277" s="41" t="s">
        <v>206</v>
      </c>
      <c r="K277" s="38">
        <v>40</v>
      </c>
    </row>
    <row r="278" spans="1:11" ht="35" hidden="1" thickBot="1">
      <c r="A278" s="76">
        <v>945796</v>
      </c>
      <c r="B278" s="59">
        <v>45428</v>
      </c>
      <c r="C278" s="60">
        <v>0.59027777777777779</v>
      </c>
      <c r="D278" s="58">
        <v>113936</v>
      </c>
      <c r="E278" s="58">
        <v>18260</v>
      </c>
      <c r="F278" s="59">
        <v>45428</v>
      </c>
      <c r="G278" s="60">
        <v>0.62222222222222223</v>
      </c>
      <c r="H278" s="63" t="s">
        <v>38</v>
      </c>
      <c r="I278" s="58" t="s">
        <v>85</v>
      </c>
      <c r="J278" s="63" t="s">
        <v>226</v>
      </c>
      <c r="K278" s="58">
        <v>1</v>
      </c>
    </row>
    <row r="279" spans="1:11" ht="35" hidden="1" thickBot="1">
      <c r="A279" s="52">
        <v>945779</v>
      </c>
      <c r="B279" s="39">
        <v>45428</v>
      </c>
      <c r="C279" s="40">
        <v>0.59652777777777777</v>
      </c>
      <c r="D279" s="38">
        <v>113939</v>
      </c>
      <c r="E279" s="38">
        <v>18281</v>
      </c>
      <c r="F279" s="39">
        <v>45429</v>
      </c>
      <c r="G279" s="40">
        <v>0.47499999999999998</v>
      </c>
      <c r="H279" s="41" t="s">
        <v>38</v>
      </c>
      <c r="I279" s="38" t="s">
        <v>78</v>
      </c>
      <c r="J279" s="41" t="s">
        <v>212</v>
      </c>
      <c r="K279" s="38">
        <v>3</v>
      </c>
    </row>
    <row r="280" spans="1:11" ht="35" hidden="1" thickBot="1">
      <c r="A280" s="84">
        <v>945880</v>
      </c>
      <c r="B280" s="39">
        <v>45428</v>
      </c>
      <c r="C280" s="40">
        <v>0.65972222222222221</v>
      </c>
      <c r="D280" s="38">
        <v>113940</v>
      </c>
      <c r="E280" s="38">
        <v>18279</v>
      </c>
      <c r="F280" s="39">
        <v>45429</v>
      </c>
      <c r="G280" s="40">
        <v>0.47499999999999998</v>
      </c>
      <c r="H280" s="41" t="s">
        <v>30</v>
      </c>
      <c r="I280" s="38" t="s">
        <v>79</v>
      </c>
      <c r="J280" s="41" t="s">
        <v>143</v>
      </c>
      <c r="K280" s="38">
        <v>2</v>
      </c>
    </row>
    <row r="281" spans="1:11" ht="23.5" hidden="1" thickBot="1">
      <c r="A281" s="52">
        <v>945880</v>
      </c>
      <c r="B281" s="39">
        <v>45428</v>
      </c>
      <c r="C281" s="40">
        <v>0.65972222222222221</v>
      </c>
      <c r="D281" s="38">
        <v>113940</v>
      </c>
      <c r="E281" s="38">
        <v>18279</v>
      </c>
      <c r="F281" s="39">
        <v>45429</v>
      </c>
      <c r="G281" s="40">
        <v>0.47499999999999998</v>
      </c>
      <c r="H281" s="41" t="s">
        <v>30</v>
      </c>
      <c r="I281" s="38" t="s">
        <v>79</v>
      </c>
      <c r="J281" s="41" t="s">
        <v>112</v>
      </c>
      <c r="K281" s="38">
        <v>16</v>
      </c>
    </row>
    <row r="282" spans="1:11" ht="23.5" hidden="1" thickBot="1">
      <c r="A282" s="84">
        <v>4500069801</v>
      </c>
      <c r="B282" s="39">
        <v>45428</v>
      </c>
      <c r="C282" s="40">
        <v>0.70833333333333337</v>
      </c>
      <c r="D282" s="38">
        <v>113941</v>
      </c>
      <c r="E282" s="38">
        <v>18285</v>
      </c>
      <c r="F282" s="39">
        <v>45429</v>
      </c>
      <c r="G282" s="40">
        <v>0.47499999999999998</v>
      </c>
      <c r="H282" s="41" t="s">
        <v>57</v>
      </c>
      <c r="I282" s="38" t="s">
        <v>83</v>
      </c>
      <c r="J282" s="41" t="s">
        <v>220</v>
      </c>
      <c r="K282" s="38">
        <v>40</v>
      </c>
    </row>
    <row r="283" spans="1:11" ht="35" thickBot="1">
      <c r="A283" s="87">
        <v>19</v>
      </c>
      <c r="B283" s="39">
        <v>45428</v>
      </c>
      <c r="C283" s="40">
        <v>0.76597222222222228</v>
      </c>
      <c r="D283" s="38">
        <v>113942</v>
      </c>
      <c r="E283" s="38">
        <v>18273</v>
      </c>
      <c r="F283" s="39">
        <v>45429</v>
      </c>
      <c r="G283" s="40">
        <v>0.47499999999999998</v>
      </c>
      <c r="H283" s="41" t="s">
        <v>152</v>
      </c>
      <c r="I283" s="38" t="s">
        <v>75</v>
      </c>
      <c r="J283" s="41" t="s">
        <v>143</v>
      </c>
      <c r="K283" s="38">
        <v>4</v>
      </c>
    </row>
    <row r="284" spans="1:11" ht="35" hidden="1" thickBot="1">
      <c r="A284" s="84" t="s">
        <v>283</v>
      </c>
      <c r="B284" s="39">
        <v>45429</v>
      </c>
      <c r="C284" s="40">
        <v>0.31458333333333333</v>
      </c>
      <c r="D284" s="38">
        <v>113937</v>
      </c>
      <c r="E284" s="38">
        <v>18276</v>
      </c>
      <c r="F284" s="39">
        <v>45429</v>
      </c>
      <c r="G284" s="40">
        <v>0.33680555555555558</v>
      </c>
      <c r="H284" s="41" t="s">
        <v>160</v>
      </c>
      <c r="I284" s="38" t="s">
        <v>80</v>
      </c>
      <c r="J284" s="41" t="s">
        <v>207</v>
      </c>
      <c r="K284" s="38">
        <v>10</v>
      </c>
    </row>
    <row r="285" spans="1:11" ht="35" hidden="1" thickBot="1">
      <c r="A285" s="84" t="s">
        <v>284</v>
      </c>
      <c r="B285" s="39">
        <v>45429</v>
      </c>
      <c r="C285" s="40">
        <v>0.39305555555555555</v>
      </c>
      <c r="D285" s="38">
        <v>113938</v>
      </c>
      <c r="E285" s="38">
        <v>18275</v>
      </c>
      <c r="F285" s="39">
        <v>45429</v>
      </c>
      <c r="G285" s="40">
        <v>0.40347222222222223</v>
      </c>
      <c r="H285" s="41" t="s">
        <v>252</v>
      </c>
      <c r="I285" s="38" t="s">
        <v>86</v>
      </c>
      <c r="J285" s="41" t="s">
        <v>151</v>
      </c>
      <c r="K285" s="38">
        <v>1</v>
      </c>
    </row>
    <row r="286" spans="1:11" ht="35" hidden="1" thickBot="1">
      <c r="A286" s="84" t="s">
        <v>284</v>
      </c>
      <c r="B286" s="39">
        <v>45429</v>
      </c>
      <c r="C286" s="40">
        <v>0.39305555555555555</v>
      </c>
      <c r="D286" s="38">
        <v>113938</v>
      </c>
      <c r="E286" s="38">
        <v>18275</v>
      </c>
      <c r="F286" s="39">
        <v>45429</v>
      </c>
      <c r="G286" s="40">
        <v>0.40347222222222223</v>
      </c>
      <c r="H286" s="41" t="s">
        <v>252</v>
      </c>
      <c r="I286" s="38" t="s">
        <v>86</v>
      </c>
      <c r="J286" s="41" t="s">
        <v>202</v>
      </c>
      <c r="K286" s="38">
        <v>10</v>
      </c>
    </row>
    <row r="287" spans="1:11" ht="35" hidden="1" thickBot="1">
      <c r="A287" s="84" t="s">
        <v>284</v>
      </c>
      <c r="B287" s="39">
        <v>45429</v>
      </c>
      <c r="C287" s="40">
        <v>0.39305555555555555</v>
      </c>
      <c r="D287" s="38">
        <v>113938</v>
      </c>
      <c r="E287" s="38">
        <v>18275</v>
      </c>
      <c r="F287" s="39">
        <v>45429</v>
      </c>
      <c r="G287" s="40">
        <v>0.40347222222222223</v>
      </c>
      <c r="H287" s="41" t="s">
        <v>252</v>
      </c>
      <c r="I287" s="38" t="s">
        <v>86</v>
      </c>
      <c r="J287" s="41" t="s">
        <v>121</v>
      </c>
      <c r="K287" s="38">
        <v>2</v>
      </c>
    </row>
    <row r="288" spans="1:11" ht="35" hidden="1" thickBot="1">
      <c r="A288" s="84" t="s">
        <v>284</v>
      </c>
      <c r="B288" s="39">
        <v>45429</v>
      </c>
      <c r="C288" s="40">
        <v>0.39305555555555555</v>
      </c>
      <c r="D288" s="38">
        <v>113938</v>
      </c>
      <c r="E288" s="38">
        <v>18275</v>
      </c>
      <c r="F288" s="39">
        <v>45429</v>
      </c>
      <c r="G288" s="40">
        <v>0.40347222222222223</v>
      </c>
      <c r="H288" s="41" t="s">
        <v>252</v>
      </c>
      <c r="I288" s="38" t="s">
        <v>86</v>
      </c>
      <c r="J288" s="41" t="s">
        <v>230</v>
      </c>
      <c r="K288" s="38">
        <v>40</v>
      </c>
    </row>
    <row r="289" spans="1:11" ht="35" hidden="1" thickBot="1">
      <c r="A289" s="75">
        <v>21217</v>
      </c>
      <c r="B289" s="65">
        <v>45429</v>
      </c>
      <c r="C289" s="66">
        <v>0.35833333333333334</v>
      </c>
      <c r="D289" s="67">
        <v>113952</v>
      </c>
      <c r="E289" s="67">
        <v>18277</v>
      </c>
      <c r="F289" s="65">
        <v>45429</v>
      </c>
      <c r="G289" s="66">
        <v>0.65277777777777779</v>
      </c>
      <c r="H289" s="71" t="s">
        <v>148</v>
      </c>
      <c r="I289" s="67" t="s">
        <v>285</v>
      </c>
      <c r="J289" s="71" t="s">
        <v>221</v>
      </c>
      <c r="K289" s="67">
        <v>25</v>
      </c>
    </row>
    <row r="290" spans="1:11" ht="23.5" hidden="1" thickBot="1">
      <c r="A290" s="84">
        <v>106</v>
      </c>
      <c r="B290" s="39">
        <v>45429</v>
      </c>
      <c r="C290" s="40">
        <v>0.46111111111111114</v>
      </c>
      <c r="D290" s="38">
        <v>113948</v>
      </c>
      <c r="E290" s="38">
        <v>18359</v>
      </c>
      <c r="F290" s="39">
        <v>45429</v>
      </c>
      <c r="G290" s="40">
        <v>0.58194444444444449</v>
      </c>
      <c r="H290" s="41" t="s">
        <v>294</v>
      </c>
      <c r="I290" s="38" t="s">
        <v>78</v>
      </c>
      <c r="J290" s="41" t="s">
        <v>189</v>
      </c>
      <c r="K290" s="38">
        <v>2</v>
      </c>
    </row>
    <row r="291" spans="1:11" ht="46.5" hidden="1" thickBot="1">
      <c r="A291" s="84" t="s">
        <v>286</v>
      </c>
      <c r="B291" s="39">
        <v>45429</v>
      </c>
      <c r="C291" s="40">
        <v>0.46111111111111114</v>
      </c>
      <c r="D291" s="38">
        <v>113945</v>
      </c>
      <c r="E291" s="38">
        <v>18274</v>
      </c>
      <c r="F291" s="39">
        <v>45429</v>
      </c>
      <c r="G291" s="40">
        <v>0.58194444444444449</v>
      </c>
      <c r="H291" s="41" t="s">
        <v>12</v>
      </c>
      <c r="I291" s="38" t="s">
        <v>176</v>
      </c>
      <c r="J291" s="41" t="s">
        <v>230</v>
      </c>
      <c r="K291" s="38">
        <v>10</v>
      </c>
    </row>
    <row r="292" spans="1:11" ht="46.5" hidden="1" thickBot="1">
      <c r="A292" s="84" t="s">
        <v>286</v>
      </c>
      <c r="B292" s="39">
        <v>45429</v>
      </c>
      <c r="C292" s="40">
        <v>0.46111111111111114</v>
      </c>
      <c r="D292" s="38">
        <v>113945</v>
      </c>
      <c r="E292" s="38">
        <v>18274</v>
      </c>
      <c r="F292" s="39">
        <v>45429</v>
      </c>
      <c r="G292" s="40">
        <v>0.58194444444444449</v>
      </c>
      <c r="H292" s="41" t="s">
        <v>12</v>
      </c>
      <c r="I292" s="38" t="s">
        <v>176</v>
      </c>
      <c r="J292" s="41" t="s">
        <v>207</v>
      </c>
      <c r="K292" s="38">
        <v>10</v>
      </c>
    </row>
    <row r="293" spans="1:11" ht="23.5" hidden="1" thickBot="1">
      <c r="A293" s="84">
        <v>946469</v>
      </c>
      <c r="B293" s="39">
        <v>45429</v>
      </c>
      <c r="C293" s="40">
        <v>0.46944444444444444</v>
      </c>
      <c r="D293" s="38">
        <v>113946</v>
      </c>
      <c r="E293" s="38">
        <v>18292</v>
      </c>
      <c r="F293" s="39">
        <v>45429</v>
      </c>
      <c r="G293" s="40">
        <v>0.58194444444444449</v>
      </c>
      <c r="H293" s="41" t="s">
        <v>38</v>
      </c>
      <c r="I293" s="38" t="s">
        <v>85</v>
      </c>
      <c r="J293" s="41" t="s">
        <v>113</v>
      </c>
      <c r="K293" s="38">
        <v>4</v>
      </c>
    </row>
    <row r="294" spans="1:11" ht="23.5" thickBot="1">
      <c r="A294" s="87">
        <v>20</v>
      </c>
      <c r="B294" s="39">
        <v>45429</v>
      </c>
      <c r="C294" s="40">
        <v>0.47430555555555554</v>
      </c>
      <c r="D294" s="38">
        <v>113943</v>
      </c>
      <c r="E294" s="38">
        <v>18284</v>
      </c>
      <c r="F294" s="39">
        <v>45429</v>
      </c>
      <c r="G294" s="40">
        <v>0.47708333333333336</v>
      </c>
      <c r="H294" s="41" t="s">
        <v>287</v>
      </c>
      <c r="I294" s="38" t="s">
        <v>288</v>
      </c>
      <c r="J294" s="41" t="s">
        <v>189</v>
      </c>
      <c r="K294" s="38">
        <v>12</v>
      </c>
    </row>
    <row r="295" spans="1:11" ht="23.5" hidden="1" thickBot="1">
      <c r="A295" s="84">
        <v>631</v>
      </c>
      <c r="B295" s="39">
        <v>45429</v>
      </c>
      <c r="C295" s="40">
        <v>0.49652777777777779</v>
      </c>
      <c r="D295" s="38">
        <v>113947</v>
      </c>
      <c r="E295" s="38">
        <v>18283</v>
      </c>
      <c r="F295" s="39">
        <v>45429</v>
      </c>
      <c r="G295" s="40">
        <v>0.58194444444444449</v>
      </c>
      <c r="H295" s="41" t="s">
        <v>163</v>
      </c>
      <c r="I295" s="38" t="s">
        <v>80</v>
      </c>
      <c r="J295" s="41" t="s">
        <v>151</v>
      </c>
      <c r="K295" s="38">
        <v>1</v>
      </c>
    </row>
    <row r="296" spans="1:11" ht="35" thickBot="1">
      <c r="A296" s="87">
        <v>21</v>
      </c>
      <c r="B296" s="39">
        <v>45429</v>
      </c>
      <c r="C296" s="40">
        <v>0.54166666666666663</v>
      </c>
      <c r="D296" s="38">
        <v>113944</v>
      </c>
      <c r="E296" s="38">
        <v>18278</v>
      </c>
      <c r="F296" s="39">
        <v>45429</v>
      </c>
      <c r="G296" s="40">
        <v>0.58194444444444449</v>
      </c>
      <c r="H296" s="41" t="s">
        <v>184</v>
      </c>
      <c r="I296" s="38" t="s">
        <v>142</v>
      </c>
      <c r="J296" s="41" t="s">
        <v>171</v>
      </c>
      <c r="K296" s="38">
        <v>8</v>
      </c>
    </row>
    <row r="297" spans="1:11" ht="46.5" thickBot="1">
      <c r="A297" s="87">
        <v>22</v>
      </c>
      <c r="B297" s="39">
        <v>45429</v>
      </c>
      <c r="C297" s="40">
        <v>0.54166666666666663</v>
      </c>
      <c r="D297" s="38">
        <v>113944</v>
      </c>
      <c r="E297" s="38">
        <v>18278</v>
      </c>
      <c r="F297" s="39">
        <v>45429</v>
      </c>
      <c r="G297" s="40">
        <v>0.58194444444444449</v>
      </c>
      <c r="H297" s="41" t="s">
        <v>184</v>
      </c>
      <c r="I297" s="38" t="s">
        <v>142</v>
      </c>
      <c r="J297" s="41" t="s">
        <v>145</v>
      </c>
      <c r="K297" s="38">
        <v>5</v>
      </c>
    </row>
    <row r="298" spans="1:11" ht="35" hidden="1" thickBot="1">
      <c r="A298" s="84" t="s">
        <v>289</v>
      </c>
      <c r="B298" s="39">
        <v>45429</v>
      </c>
      <c r="C298" s="40">
        <v>0.59097222222222223</v>
      </c>
      <c r="D298" s="38">
        <v>113949</v>
      </c>
      <c r="E298" s="38">
        <v>18271</v>
      </c>
      <c r="F298" s="39">
        <v>45429</v>
      </c>
      <c r="G298" s="40">
        <v>0.60347222222222219</v>
      </c>
      <c r="H298" s="41" t="s">
        <v>119</v>
      </c>
      <c r="I298" s="38" t="s">
        <v>176</v>
      </c>
      <c r="J298" s="41" t="s">
        <v>206</v>
      </c>
      <c r="K298" s="38">
        <v>60</v>
      </c>
    </row>
    <row r="299" spans="1:11" ht="35" hidden="1" thickBot="1">
      <c r="A299" s="84" t="s">
        <v>289</v>
      </c>
      <c r="B299" s="39">
        <v>45429</v>
      </c>
      <c r="C299" s="40">
        <v>0.59861111111111109</v>
      </c>
      <c r="D299" s="38">
        <v>113949</v>
      </c>
      <c r="E299" s="38">
        <v>18271</v>
      </c>
      <c r="F299" s="39">
        <v>45429</v>
      </c>
      <c r="G299" s="40">
        <v>0.60347222222222219</v>
      </c>
      <c r="H299" s="41" t="s">
        <v>119</v>
      </c>
      <c r="I299" s="38" t="s">
        <v>176</v>
      </c>
      <c r="J299" s="41" t="s">
        <v>112</v>
      </c>
      <c r="K299" s="38">
        <v>4</v>
      </c>
    </row>
    <row r="300" spans="1:11" ht="35" hidden="1" thickBot="1">
      <c r="A300" s="84" t="s">
        <v>289</v>
      </c>
      <c r="B300" s="39">
        <v>45429</v>
      </c>
      <c r="C300" s="40">
        <v>0.59861111111111109</v>
      </c>
      <c r="D300" s="38">
        <v>113949</v>
      </c>
      <c r="E300" s="38">
        <v>18271</v>
      </c>
      <c r="F300" s="39">
        <v>45429</v>
      </c>
      <c r="G300" s="40">
        <v>0.60347222222222219</v>
      </c>
      <c r="H300" s="41" t="s">
        <v>119</v>
      </c>
      <c r="I300" s="38" t="s">
        <v>176</v>
      </c>
      <c r="J300" s="41" t="s">
        <v>261</v>
      </c>
      <c r="K300" s="38">
        <v>20</v>
      </c>
    </row>
    <row r="301" spans="1:11" ht="23.5" hidden="1" thickBot="1">
      <c r="A301" s="52">
        <v>946629</v>
      </c>
      <c r="B301" s="39">
        <v>45429</v>
      </c>
      <c r="C301" s="40">
        <v>0.59375</v>
      </c>
      <c r="D301" s="38">
        <v>113950</v>
      </c>
      <c r="E301" s="38">
        <v>18280</v>
      </c>
      <c r="F301" s="39">
        <v>45429</v>
      </c>
      <c r="G301" s="40">
        <v>0.60347222222222219</v>
      </c>
      <c r="H301" s="41" t="s">
        <v>30</v>
      </c>
      <c r="I301" s="38" t="s">
        <v>79</v>
      </c>
      <c r="J301" s="41" t="s">
        <v>111</v>
      </c>
      <c r="K301" s="38">
        <v>4</v>
      </c>
    </row>
    <row r="302" spans="1:11" ht="35" hidden="1" thickBot="1">
      <c r="A302" s="84">
        <v>633</v>
      </c>
      <c r="B302" s="39">
        <v>45429</v>
      </c>
      <c r="C302" s="40">
        <v>0.6</v>
      </c>
      <c r="D302" s="38">
        <v>113951</v>
      </c>
      <c r="E302" s="38">
        <v>18282</v>
      </c>
      <c r="F302" s="39">
        <v>45429</v>
      </c>
      <c r="G302" s="40">
        <v>0.60347222222222219</v>
      </c>
      <c r="H302" s="41" t="s">
        <v>163</v>
      </c>
      <c r="I302" s="38" t="s">
        <v>80</v>
      </c>
      <c r="J302" s="41" t="s">
        <v>230</v>
      </c>
      <c r="K302" s="38">
        <v>100</v>
      </c>
    </row>
    <row r="303" spans="1:11" ht="23.5" hidden="1" thickBot="1">
      <c r="A303" s="84">
        <v>633</v>
      </c>
      <c r="B303" s="39">
        <v>45429</v>
      </c>
      <c r="C303" s="40">
        <v>0.6</v>
      </c>
      <c r="D303" s="38">
        <v>113951</v>
      </c>
      <c r="E303" s="38">
        <v>18282</v>
      </c>
      <c r="F303" s="39">
        <v>45429</v>
      </c>
      <c r="G303" s="40">
        <v>0.60347222222222219</v>
      </c>
      <c r="H303" s="41" t="s">
        <v>163</v>
      </c>
      <c r="I303" s="38" t="s">
        <v>80</v>
      </c>
      <c r="J303" s="41" t="s">
        <v>151</v>
      </c>
      <c r="K303" s="38">
        <v>1</v>
      </c>
    </row>
    <row r="304" spans="1:11" ht="23.5" hidden="1" thickBot="1">
      <c r="A304" s="84">
        <v>633</v>
      </c>
      <c r="B304" s="39">
        <v>45429</v>
      </c>
      <c r="C304" s="40">
        <v>0.6</v>
      </c>
      <c r="D304" s="38">
        <v>113951</v>
      </c>
      <c r="E304" s="38">
        <v>18282</v>
      </c>
      <c r="F304" s="39">
        <v>45429</v>
      </c>
      <c r="G304" s="40">
        <v>0.60347222222222219</v>
      </c>
      <c r="H304" s="41" t="s">
        <v>163</v>
      </c>
      <c r="I304" s="38" t="s">
        <v>80</v>
      </c>
      <c r="J304" s="41" t="s">
        <v>158</v>
      </c>
      <c r="K304" s="38">
        <v>16</v>
      </c>
    </row>
    <row r="305" spans="1:11" ht="23.5" hidden="1" thickBot="1">
      <c r="A305" s="84">
        <v>633</v>
      </c>
      <c r="B305" s="39">
        <v>45429</v>
      </c>
      <c r="C305" s="40">
        <v>0.6</v>
      </c>
      <c r="D305" s="38">
        <v>113951</v>
      </c>
      <c r="E305" s="38">
        <v>18282</v>
      </c>
      <c r="F305" s="39">
        <v>45429</v>
      </c>
      <c r="G305" s="40">
        <v>0.60347222222222219</v>
      </c>
      <c r="H305" s="41" t="s">
        <v>163</v>
      </c>
      <c r="I305" s="38" t="s">
        <v>80</v>
      </c>
      <c r="J305" s="41" t="s">
        <v>112</v>
      </c>
      <c r="K305" s="38">
        <v>20</v>
      </c>
    </row>
    <row r="306" spans="1:11" ht="69.5" hidden="1" thickBot="1">
      <c r="A306" s="84" t="s">
        <v>290</v>
      </c>
      <c r="B306" s="39">
        <v>45429</v>
      </c>
      <c r="C306" s="40">
        <v>0.62152777777777779</v>
      </c>
      <c r="D306" s="38">
        <v>113961</v>
      </c>
      <c r="E306" s="38">
        <v>18291</v>
      </c>
      <c r="F306" s="39">
        <v>45432</v>
      </c>
      <c r="G306" s="40">
        <v>0.48680555555555555</v>
      </c>
      <c r="H306" s="41" t="s">
        <v>193</v>
      </c>
      <c r="I306" s="38" t="s">
        <v>79</v>
      </c>
      <c r="J306" s="41" t="s">
        <v>153</v>
      </c>
      <c r="K306" s="38">
        <v>8</v>
      </c>
    </row>
    <row r="307" spans="1:11" ht="69.5" hidden="1" thickBot="1">
      <c r="A307" s="84" t="s">
        <v>291</v>
      </c>
      <c r="B307" s="39">
        <v>45429</v>
      </c>
      <c r="C307" s="40">
        <v>0.6381944444444444</v>
      </c>
      <c r="D307" s="38">
        <v>113960</v>
      </c>
      <c r="E307" s="38">
        <v>18297</v>
      </c>
      <c r="F307" s="39">
        <v>45432</v>
      </c>
      <c r="G307" s="40">
        <v>0.48680555555555555</v>
      </c>
      <c r="H307" s="41" t="s">
        <v>193</v>
      </c>
      <c r="I307" s="38" t="s">
        <v>76</v>
      </c>
      <c r="J307" s="41" t="s">
        <v>113</v>
      </c>
      <c r="K307" s="38">
        <v>2</v>
      </c>
    </row>
    <row r="308" spans="1:11" ht="69.5" hidden="1" thickBot="1">
      <c r="A308" s="84" t="s">
        <v>291</v>
      </c>
      <c r="B308" s="39">
        <v>45429</v>
      </c>
      <c r="C308" s="40">
        <v>0.6381944444444444</v>
      </c>
      <c r="D308" s="38">
        <v>113960</v>
      </c>
      <c r="E308" s="38">
        <v>18297</v>
      </c>
      <c r="F308" s="39">
        <v>45432</v>
      </c>
      <c r="G308" s="40">
        <v>0.48680555555555555</v>
      </c>
      <c r="H308" s="41" t="s">
        <v>193</v>
      </c>
      <c r="I308" s="38" t="s">
        <v>76</v>
      </c>
      <c r="J308" s="41" t="s">
        <v>153</v>
      </c>
      <c r="K308" s="38">
        <v>20</v>
      </c>
    </row>
    <row r="309" spans="1:11" ht="69.5" hidden="1" thickBot="1">
      <c r="A309" s="84" t="s">
        <v>291</v>
      </c>
      <c r="B309" s="39">
        <v>45429</v>
      </c>
      <c r="C309" s="40">
        <v>0.6381944444444444</v>
      </c>
      <c r="D309" s="38">
        <v>113960</v>
      </c>
      <c r="E309" s="38">
        <v>18297</v>
      </c>
      <c r="F309" s="39">
        <v>45432</v>
      </c>
      <c r="G309" s="40">
        <v>0.48680555555555555</v>
      </c>
      <c r="H309" s="41" t="s">
        <v>193</v>
      </c>
      <c r="I309" s="38" t="s">
        <v>76</v>
      </c>
      <c r="J309" s="41" t="s">
        <v>263</v>
      </c>
      <c r="K309" s="38">
        <v>1</v>
      </c>
    </row>
    <row r="310" spans="1:11" ht="69.5" hidden="1" thickBot="1">
      <c r="A310" s="84" t="s">
        <v>291</v>
      </c>
      <c r="B310" s="39">
        <v>45429</v>
      </c>
      <c r="C310" s="40">
        <v>0.6381944444444444</v>
      </c>
      <c r="D310" s="38">
        <v>113960</v>
      </c>
      <c r="E310" s="38">
        <v>18297</v>
      </c>
      <c r="F310" s="39">
        <v>45432</v>
      </c>
      <c r="G310" s="40">
        <v>0.48680555555555555</v>
      </c>
      <c r="H310" s="41" t="s">
        <v>193</v>
      </c>
      <c r="I310" s="38" t="s">
        <v>76</v>
      </c>
      <c r="J310" s="41" t="s">
        <v>194</v>
      </c>
      <c r="K310" s="38">
        <v>20</v>
      </c>
    </row>
    <row r="311" spans="1:11" ht="35" hidden="1" thickBot="1">
      <c r="A311" s="84" t="s">
        <v>292</v>
      </c>
      <c r="B311" s="39">
        <v>45429</v>
      </c>
      <c r="C311" s="40">
        <v>0.69374999999999998</v>
      </c>
      <c r="D311" s="38">
        <v>113959</v>
      </c>
      <c r="E311" s="38">
        <v>18289</v>
      </c>
      <c r="F311" s="39">
        <v>45432</v>
      </c>
      <c r="G311" s="40">
        <v>0.48680555555555555</v>
      </c>
      <c r="H311" s="41" t="s">
        <v>119</v>
      </c>
      <c r="I311" s="38" t="s">
        <v>246</v>
      </c>
      <c r="J311" s="41" t="s">
        <v>153</v>
      </c>
      <c r="K311" s="38">
        <v>8</v>
      </c>
    </row>
    <row r="312" spans="1:11" ht="35" hidden="1" thickBot="1">
      <c r="A312" s="84" t="s">
        <v>292</v>
      </c>
      <c r="B312" s="39">
        <v>45429</v>
      </c>
      <c r="C312" s="40">
        <v>0.69374999999999998</v>
      </c>
      <c r="D312" s="38">
        <v>113959</v>
      </c>
      <c r="E312" s="38">
        <v>18289</v>
      </c>
      <c r="F312" s="39">
        <v>45432</v>
      </c>
      <c r="G312" s="40">
        <v>0.48680555555555555</v>
      </c>
      <c r="H312" s="41" t="s">
        <v>119</v>
      </c>
      <c r="I312" s="38" t="s">
        <v>246</v>
      </c>
      <c r="J312" s="41" t="s">
        <v>220</v>
      </c>
      <c r="K312" s="38">
        <v>8</v>
      </c>
    </row>
    <row r="313" spans="1:11" ht="35" hidden="1" thickBot="1">
      <c r="A313" s="84" t="s">
        <v>292</v>
      </c>
      <c r="B313" s="39">
        <v>45429</v>
      </c>
      <c r="C313" s="40">
        <v>0.69374999999999998</v>
      </c>
      <c r="D313" s="38">
        <v>113959</v>
      </c>
      <c r="E313" s="38" t="s">
        <v>321</v>
      </c>
      <c r="F313" s="39">
        <v>45432</v>
      </c>
      <c r="G313" s="40">
        <v>0.48680555555555555</v>
      </c>
      <c r="H313" s="41" t="s">
        <v>119</v>
      </c>
      <c r="I313" s="38" t="s">
        <v>246</v>
      </c>
      <c r="J313" s="41" t="s">
        <v>226</v>
      </c>
      <c r="K313" s="38">
        <v>4</v>
      </c>
    </row>
    <row r="314" spans="1:11" ht="46.5" hidden="1" thickBot="1">
      <c r="A314" s="84" t="s">
        <v>292</v>
      </c>
      <c r="B314" s="39">
        <v>45429</v>
      </c>
      <c r="C314" s="40">
        <v>0.69374999999999998</v>
      </c>
      <c r="D314" s="38">
        <v>113959</v>
      </c>
      <c r="E314" s="38">
        <v>18289</v>
      </c>
      <c r="F314" s="39">
        <v>45432</v>
      </c>
      <c r="G314" s="40">
        <v>0.48680555555555555</v>
      </c>
      <c r="H314" s="41" t="s">
        <v>119</v>
      </c>
      <c r="I314" s="38" t="s">
        <v>246</v>
      </c>
      <c r="J314" s="41" t="s">
        <v>145</v>
      </c>
      <c r="K314" s="38">
        <v>8</v>
      </c>
    </row>
    <row r="315" spans="1:11" ht="23.5" hidden="1" thickBot="1">
      <c r="A315" s="84">
        <v>4500067176</v>
      </c>
      <c r="B315" s="39">
        <v>45429</v>
      </c>
      <c r="C315" s="40">
        <v>0.70763888888888893</v>
      </c>
      <c r="D315" s="38">
        <v>113954</v>
      </c>
      <c r="E315" s="38">
        <v>18290</v>
      </c>
      <c r="F315" s="39">
        <v>45432</v>
      </c>
      <c r="G315" s="40">
        <v>0.3888888888888889</v>
      </c>
      <c r="H315" s="41" t="s">
        <v>181</v>
      </c>
      <c r="I315" s="38" t="s">
        <v>293</v>
      </c>
      <c r="J315" s="41" t="s">
        <v>209</v>
      </c>
      <c r="K315" s="38">
        <v>30</v>
      </c>
    </row>
    <row r="316" spans="1:11" ht="35" hidden="1" thickBot="1">
      <c r="A316" s="84">
        <v>947055</v>
      </c>
      <c r="B316" s="39">
        <v>45432</v>
      </c>
      <c r="C316" s="40">
        <v>0.3034722222222222</v>
      </c>
      <c r="D316" s="38">
        <v>113958</v>
      </c>
      <c r="E316" s="38">
        <v>18288</v>
      </c>
      <c r="F316" s="39">
        <v>45432</v>
      </c>
      <c r="G316" s="40">
        <v>0.48680555555555555</v>
      </c>
      <c r="H316" s="41" t="s">
        <v>30</v>
      </c>
      <c r="I316" s="38" t="s">
        <v>80</v>
      </c>
      <c r="J316" s="41" t="s">
        <v>212</v>
      </c>
      <c r="K316" s="38">
        <v>4</v>
      </c>
    </row>
    <row r="317" spans="1:11" ht="23.5" hidden="1" thickBot="1">
      <c r="A317" s="84">
        <v>5502346404</v>
      </c>
      <c r="B317" s="39">
        <v>45432</v>
      </c>
      <c r="C317" s="40">
        <v>0.37916666666666665</v>
      </c>
      <c r="D317" s="38">
        <v>113957</v>
      </c>
      <c r="E317" s="38">
        <v>18298</v>
      </c>
      <c r="F317" s="39">
        <v>45432</v>
      </c>
      <c r="G317" s="40">
        <v>0.48055555555555557</v>
      </c>
      <c r="H317" s="41" t="s">
        <v>52</v>
      </c>
      <c r="I317" s="38" t="s">
        <v>135</v>
      </c>
      <c r="J317" s="41" t="s">
        <v>194</v>
      </c>
      <c r="K317" s="38">
        <v>200</v>
      </c>
    </row>
    <row r="318" spans="1:11" ht="35" hidden="1" thickBot="1">
      <c r="A318" s="84">
        <v>107</v>
      </c>
      <c r="B318" s="39">
        <v>45432</v>
      </c>
      <c r="C318" s="40">
        <v>0.41180555555555554</v>
      </c>
      <c r="D318" s="38">
        <v>113956</v>
      </c>
      <c r="E318" s="38">
        <v>18360</v>
      </c>
      <c r="F318" s="39">
        <v>45432</v>
      </c>
      <c r="G318" s="40">
        <v>0.48055555555555557</v>
      </c>
      <c r="H318" s="41" t="s">
        <v>294</v>
      </c>
      <c r="I318" s="38" t="s">
        <v>78</v>
      </c>
      <c r="J318" s="41" t="s">
        <v>230</v>
      </c>
      <c r="K318" s="38">
        <v>15</v>
      </c>
    </row>
    <row r="319" spans="1:11" ht="23.5" hidden="1" thickBot="1">
      <c r="A319" s="84">
        <v>107</v>
      </c>
      <c r="B319" s="39">
        <v>45432</v>
      </c>
      <c r="C319" s="40">
        <v>0.41180555555555554</v>
      </c>
      <c r="D319" s="38">
        <v>113956</v>
      </c>
      <c r="E319" s="38">
        <v>18360</v>
      </c>
      <c r="F319" s="39">
        <v>45432</v>
      </c>
      <c r="G319" s="40">
        <v>0.48055555555555557</v>
      </c>
      <c r="H319" s="41" t="s">
        <v>294</v>
      </c>
      <c r="I319" s="38" t="s">
        <v>78</v>
      </c>
      <c r="J319" s="41" t="s">
        <v>295</v>
      </c>
      <c r="K319" s="38">
        <v>2</v>
      </c>
    </row>
    <row r="320" spans="1:11" ht="23.5" thickBot="1">
      <c r="A320" s="77">
        <v>23</v>
      </c>
      <c r="B320" s="65">
        <v>45432</v>
      </c>
      <c r="C320" s="66">
        <v>0.3972222222222222</v>
      </c>
      <c r="D320" s="67">
        <v>113984</v>
      </c>
      <c r="E320" s="67">
        <v>18323</v>
      </c>
      <c r="F320" s="65">
        <v>45434</v>
      </c>
      <c r="G320" s="66">
        <v>0.5180555555555556</v>
      </c>
      <c r="H320" s="71" t="s">
        <v>18</v>
      </c>
      <c r="I320" s="67" t="s">
        <v>77</v>
      </c>
      <c r="J320" s="71" t="s">
        <v>111</v>
      </c>
      <c r="K320" s="67">
        <v>20</v>
      </c>
    </row>
    <row r="321" spans="1:11" ht="23.5" hidden="1" thickBot="1">
      <c r="A321" s="84" t="s">
        <v>322</v>
      </c>
      <c r="B321" s="39">
        <v>45432</v>
      </c>
      <c r="C321" s="40">
        <v>0.40208333333333335</v>
      </c>
      <c r="D321" s="38">
        <v>113955</v>
      </c>
      <c r="E321" s="38">
        <v>18335</v>
      </c>
      <c r="F321" s="39">
        <v>45432</v>
      </c>
      <c r="G321" s="40">
        <v>0.47986111111111113</v>
      </c>
      <c r="H321" s="41" t="s">
        <v>296</v>
      </c>
      <c r="I321" s="38" t="s">
        <v>141</v>
      </c>
      <c r="J321" s="41" t="s">
        <v>220</v>
      </c>
      <c r="K321" s="38">
        <v>12</v>
      </c>
    </row>
    <row r="322" spans="1:11" ht="46.5" hidden="1" thickBot="1">
      <c r="A322" s="84" t="s">
        <v>297</v>
      </c>
      <c r="B322" s="39">
        <v>45432</v>
      </c>
      <c r="C322" s="40">
        <v>0.4236111111111111</v>
      </c>
      <c r="D322" s="38">
        <v>113964</v>
      </c>
      <c r="E322" s="38">
        <v>18293</v>
      </c>
      <c r="F322" s="39">
        <v>45432</v>
      </c>
      <c r="G322" s="40">
        <v>0.49444444444444446</v>
      </c>
      <c r="H322" s="41" t="s">
        <v>169</v>
      </c>
      <c r="I322" s="38" t="s">
        <v>147</v>
      </c>
      <c r="J322" s="41" t="s">
        <v>194</v>
      </c>
      <c r="K322" s="38">
        <v>12</v>
      </c>
    </row>
    <row r="323" spans="1:11" ht="13.5" hidden="1" thickBot="1">
      <c r="A323" s="84">
        <v>5158</v>
      </c>
      <c r="B323" s="39">
        <v>45432</v>
      </c>
      <c r="C323" s="40">
        <v>0.4465277777777778</v>
      </c>
      <c r="D323" s="38">
        <v>113963</v>
      </c>
      <c r="E323" s="38">
        <v>18295</v>
      </c>
      <c r="F323" s="39">
        <v>45432</v>
      </c>
      <c r="G323" s="40">
        <v>0.49444444444444446</v>
      </c>
      <c r="H323" s="41" t="s">
        <v>219</v>
      </c>
      <c r="I323" s="38" t="s">
        <v>81</v>
      </c>
      <c r="J323" s="41" t="s">
        <v>189</v>
      </c>
      <c r="K323" s="38">
        <v>84</v>
      </c>
    </row>
    <row r="324" spans="1:11" ht="35" thickBot="1">
      <c r="A324" s="87">
        <v>24</v>
      </c>
      <c r="B324" s="39">
        <v>45426</v>
      </c>
      <c r="C324" s="40">
        <v>0.64513888888888893</v>
      </c>
      <c r="D324" s="38">
        <v>113909</v>
      </c>
      <c r="E324" s="42"/>
      <c r="F324" s="39">
        <v>45426</v>
      </c>
      <c r="G324" s="40">
        <v>0.66041666666666665</v>
      </c>
      <c r="H324" s="41" t="s">
        <v>45</v>
      </c>
      <c r="I324" s="38" t="s">
        <v>78</v>
      </c>
      <c r="J324" s="41" t="s">
        <v>232</v>
      </c>
      <c r="K324" s="38">
        <v>9</v>
      </c>
    </row>
    <row r="325" spans="1:11" ht="35" thickBot="1">
      <c r="A325" s="87">
        <v>24</v>
      </c>
      <c r="B325" s="39">
        <v>45432</v>
      </c>
      <c r="C325" s="40">
        <v>0.44791666666666669</v>
      </c>
      <c r="D325" s="38">
        <v>113962</v>
      </c>
      <c r="E325" s="38">
        <v>18383</v>
      </c>
      <c r="F325" s="39">
        <v>45432</v>
      </c>
      <c r="G325" s="40">
        <v>0.49444444444444446</v>
      </c>
      <c r="H325" s="41" t="s">
        <v>45</v>
      </c>
      <c r="I325" s="38" t="s">
        <v>78</v>
      </c>
      <c r="J325" s="41" t="s">
        <v>188</v>
      </c>
      <c r="K325" s="38">
        <v>14</v>
      </c>
    </row>
    <row r="326" spans="1:11" ht="23.5" hidden="1" thickBot="1">
      <c r="A326" s="84">
        <v>947933</v>
      </c>
      <c r="B326" s="39">
        <v>45432</v>
      </c>
      <c r="C326" s="40">
        <v>0.51527777777777772</v>
      </c>
      <c r="D326" s="38">
        <v>113969</v>
      </c>
      <c r="E326" s="38">
        <v>18304</v>
      </c>
      <c r="F326" s="39">
        <v>45432</v>
      </c>
      <c r="G326" s="40">
        <v>0.62708333333333333</v>
      </c>
      <c r="H326" s="41" t="s">
        <v>30</v>
      </c>
      <c r="I326" s="38" t="s">
        <v>80</v>
      </c>
      <c r="J326" s="41" t="s">
        <v>140</v>
      </c>
      <c r="K326" s="38">
        <v>10</v>
      </c>
    </row>
    <row r="327" spans="1:11" ht="35" hidden="1" thickBot="1">
      <c r="A327" s="84" t="s">
        <v>298</v>
      </c>
      <c r="B327" s="39">
        <v>45432</v>
      </c>
      <c r="C327" s="40">
        <v>0.60624999999999996</v>
      </c>
      <c r="D327" s="38">
        <v>113968</v>
      </c>
      <c r="E327" s="38">
        <v>18294</v>
      </c>
      <c r="F327" s="39">
        <v>45432</v>
      </c>
      <c r="G327" s="40">
        <v>0.62708333333333333</v>
      </c>
      <c r="H327" s="41" t="s">
        <v>323</v>
      </c>
      <c r="I327" s="38" t="s">
        <v>170</v>
      </c>
      <c r="J327" s="41" t="s">
        <v>221</v>
      </c>
      <c r="K327" s="38">
        <v>53</v>
      </c>
    </row>
    <row r="328" spans="1:11" ht="35" hidden="1" thickBot="1">
      <c r="A328" s="84">
        <v>108</v>
      </c>
      <c r="B328" s="39">
        <v>45432</v>
      </c>
      <c r="C328" s="40">
        <v>0.66319444444444442</v>
      </c>
      <c r="D328" s="38">
        <v>113969</v>
      </c>
      <c r="E328" s="38">
        <v>18362</v>
      </c>
      <c r="F328" s="39">
        <v>45433</v>
      </c>
      <c r="G328" s="40">
        <v>0.43333333333333335</v>
      </c>
      <c r="H328" s="41" t="s">
        <v>294</v>
      </c>
      <c r="I328" s="38" t="s">
        <v>78</v>
      </c>
      <c r="J328" s="41" t="s">
        <v>207</v>
      </c>
      <c r="K328" s="38">
        <v>20</v>
      </c>
    </row>
    <row r="329" spans="1:11" ht="23.5" hidden="1" thickBot="1">
      <c r="A329" s="84">
        <v>4500069852</v>
      </c>
      <c r="B329" s="39">
        <v>45432</v>
      </c>
      <c r="C329" s="40">
        <v>0.52083333333333337</v>
      </c>
      <c r="D329" s="38">
        <v>113970</v>
      </c>
      <c r="E329" s="38">
        <v>18324</v>
      </c>
      <c r="F329" s="39">
        <v>45433</v>
      </c>
      <c r="G329" s="40">
        <v>0.43333333333333335</v>
      </c>
      <c r="H329" s="41" t="s">
        <v>57</v>
      </c>
      <c r="I329" s="38" t="s">
        <v>80</v>
      </c>
      <c r="J329" s="41" t="s">
        <v>165</v>
      </c>
      <c r="K329" s="38">
        <v>100</v>
      </c>
    </row>
    <row r="330" spans="1:11" ht="35" hidden="1" thickBot="1">
      <c r="A330" s="84">
        <v>4500069852</v>
      </c>
      <c r="B330" s="39">
        <v>45432</v>
      </c>
      <c r="C330" s="40">
        <v>0.52083333333333337</v>
      </c>
      <c r="D330" s="38">
        <v>113970</v>
      </c>
      <c r="E330" s="38">
        <v>18324</v>
      </c>
      <c r="F330" s="39">
        <v>45433</v>
      </c>
      <c r="G330" s="40">
        <v>0.43333333333333335</v>
      </c>
      <c r="H330" s="41" t="s">
        <v>57</v>
      </c>
      <c r="I330" s="38" t="s">
        <v>80</v>
      </c>
      <c r="J330" s="41" t="s">
        <v>156</v>
      </c>
      <c r="K330" s="38">
        <v>40</v>
      </c>
    </row>
    <row r="331" spans="1:11" ht="23.5" hidden="1" thickBot="1">
      <c r="A331" s="84">
        <v>4500069852</v>
      </c>
      <c r="B331" s="39">
        <v>45432</v>
      </c>
      <c r="C331" s="40">
        <v>0.52083333333333337</v>
      </c>
      <c r="D331" s="38">
        <v>113970</v>
      </c>
      <c r="E331" s="38">
        <v>18324</v>
      </c>
      <c r="F331" s="39">
        <v>45433</v>
      </c>
      <c r="G331" s="40">
        <v>0.43333333333333335</v>
      </c>
      <c r="H331" s="41" t="s">
        <v>57</v>
      </c>
      <c r="I331" s="38" t="s">
        <v>80</v>
      </c>
      <c r="J331" s="41" t="s">
        <v>115</v>
      </c>
      <c r="K331" s="38">
        <v>20</v>
      </c>
    </row>
    <row r="332" spans="1:11" ht="23.5" hidden="1" thickBot="1">
      <c r="A332" s="84">
        <v>4500069852</v>
      </c>
      <c r="B332" s="39">
        <v>45432</v>
      </c>
      <c r="C332" s="40">
        <v>0.52083333333333337</v>
      </c>
      <c r="D332" s="38">
        <v>113970</v>
      </c>
      <c r="E332" s="38">
        <v>18324</v>
      </c>
      <c r="F332" s="39">
        <v>45433</v>
      </c>
      <c r="G332" s="40">
        <v>0.43333333333333335</v>
      </c>
      <c r="H332" s="41" t="s">
        <v>57</v>
      </c>
      <c r="I332" s="38" t="s">
        <v>80</v>
      </c>
      <c r="J332" s="41" t="s">
        <v>209</v>
      </c>
      <c r="K332" s="38">
        <v>4</v>
      </c>
    </row>
    <row r="333" spans="1:11" ht="23.5" hidden="1" thickBot="1">
      <c r="A333" s="84">
        <v>4500069852</v>
      </c>
      <c r="B333" s="39">
        <v>45432</v>
      </c>
      <c r="C333" s="40">
        <v>0.52083333333333337</v>
      </c>
      <c r="D333" s="38">
        <v>113970</v>
      </c>
      <c r="E333" s="38">
        <v>18324</v>
      </c>
      <c r="F333" s="39">
        <v>45433</v>
      </c>
      <c r="G333" s="40">
        <v>0.43333333333333335</v>
      </c>
      <c r="H333" s="41" t="s">
        <v>57</v>
      </c>
      <c r="I333" s="38" t="s">
        <v>80</v>
      </c>
      <c r="J333" s="41" t="s">
        <v>220</v>
      </c>
      <c r="K333" s="38">
        <v>20</v>
      </c>
    </row>
    <row r="334" spans="1:11" ht="23.5" hidden="1" thickBot="1">
      <c r="A334" s="84">
        <v>4500069852</v>
      </c>
      <c r="B334" s="39">
        <v>45432</v>
      </c>
      <c r="C334" s="40">
        <v>0.52083333333333337</v>
      </c>
      <c r="D334" s="38">
        <v>113970</v>
      </c>
      <c r="E334" s="38">
        <v>18324</v>
      </c>
      <c r="F334" s="39">
        <v>45433</v>
      </c>
      <c r="G334" s="40">
        <v>0.43333333333333335</v>
      </c>
      <c r="H334" s="41" t="s">
        <v>57</v>
      </c>
      <c r="I334" s="38" t="s">
        <v>80</v>
      </c>
      <c r="J334" s="41" t="s">
        <v>118</v>
      </c>
      <c r="K334" s="38">
        <v>12</v>
      </c>
    </row>
    <row r="335" spans="1:11" ht="23.5" hidden="1" thickBot="1">
      <c r="A335" s="84">
        <v>4500069852</v>
      </c>
      <c r="B335" s="39">
        <v>45432</v>
      </c>
      <c r="C335" s="40">
        <v>0.52083333333333337</v>
      </c>
      <c r="D335" s="38">
        <v>113970</v>
      </c>
      <c r="E335" s="38">
        <v>18324</v>
      </c>
      <c r="F335" s="39">
        <v>45433</v>
      </c>
      <c r="G335" s="40">
        <v>0.43333333333333335</v>
      </c>
      <c r="H335" s="41" t="s">
        <v>57</v>
      </c>
      <c r="I335" s="38" t="s">
        <v>80</v>
      </c>
      <c r="J335" s="41" t="s">
        <v>162</v>
      </c>
      <c r="K335" s="38">
        <v>4</v>
      </c>
    </row>
    <row r="336" spans="1:11" ht="23.5" hidden="1" thickBot="1">
      <c r="A336" s="84">
        <v>4500069852</v>
      </c>
      <c r="B336" s="39">
        <v>45432</v>
      </c>
      <c r="C336" s="40">
        <v>0.52083333333333337</v>
      </c>
      <c r="D336" s="38">
        <v>113970</v>
      </c>
      <c r="E336" s="38">
        <v>18324</v>
      </c>
      <c r="F336" s="39">
        <v>45433</v>
      </c>
      <c r="G336" s="40">
        <v>0.43333333333333335</v>
      </c>
      <c r="H336" s="41" t="s">
        <v>57</v>
      </c>
      <c r="I336" s="38" t="s">
        <v>80</v>
      </c>
      <c r="J336" s="41" t="s">
        <v>111</v>
      </c>
      <c r="K336" s="38">
        <v>12</v>
      </c>
    </row>
    <row r="337" spans="1:11" ht="23.5" hidden="1" thickBot="1">
      <c r="A337" s="84">
        <v>4500069852</v>
      </c>
      <c r="B337" s="39">
        <v>45432</v>
      </c>
      <c r="C337" s="40">
        <v>0.52083333333333337</v>
      </c>
      <c r="D337" s="38">
        <v>113970</v>
      </c>
      <c r="E337" s="38">
        <v>18324</v>
      </c>
      <c r="F337" s="39">
        <v>45433</v>
      </c>
      <c r="G337" s="40">
        <v>0.43333333333333335</v>
      </c>
      <c r="H337" s="41" t="s">
        <v>57</v>
      </c>
      <c r="I337" s="38" t="s">
        <v>80</v>
      </c>
      <c r="J337" s="41" t="s">
        <v>110</v>
      </c>
      <c r="K337" s="38">
        <v>80</v>
      </c>
    </row>
    <row r="338" spans="1:11" ht="23.5" hidden="1" thickBot="1">
      <c r="A338" s="84">
        <v>49685</v>
      </c>
      <c r="B338" s="39">
        <v>45432</v>
      </c>
      <c r="C338" s="40">
        <v>0.62291666666666667</v>
      </c>
      <c r="D338" s="38">
        <v>113971</v>
      </c>
      <c r="E338" s="38">
        <v>18337</v>
      </c>
      <c r="F338" s="39">
        <v>45433</v>
      </c>
      <c r="G338" s="40">
        <v>0.43333333333333335</v>
      </c>
      <c r="H338" s="41" t="s">
        <v>157</v>
      </c>
      <c r="I338" s="38" t="s">
        <v>78</v>
      </c>
      <c r="J338" s="41" t="s">
        <v>215</v>
      </c>
      <c r="K338" s="38">
        <v>28</v>
      </c>
    </row>
    <row r="339" spans="1:11" ht="23.5" hidden="1" thickBot="1">
      <c r="A339" s="84">
        <v>948280</v>
      </c>
      <c r="B339" s="39">
        <v>45432</v>
      </c>
      <c r="C339" s="40">
        <v>0.65694444444444444</v>
      </c>
      <c r="D339" s="38">
        <v>113972</v>
      </c>
      <c r="E339" s="38">
        <v>18306</v>
      </c>
      <c r="F339" s="39">
        <v>45433</v>
      </c>
      <c r="G339" s="40">
        <v>0.43333333333333335</v>
      </c>
      <c r="H339" s="41" t="s">
        <v>38</v>
      </c>
      <c r="I339" s="38" t="s">
        <v>142</v>
      </c>
      <c r="J339" s="41" t="s">
        <v>113</v>
      </c>
      <c r="K339" s="38">
        <v>10</v>
      </c>
    </row>
    <row r="340" spans="1:11" ht="23.5" hidden="1" thickBot="1">
      <c r="A340" s="92">
        <v>68867</v>
      </c>
      <c r="B340" s="39">
        <v>45432</v>
      </c>
      <c r="C340" s="40">
        <v>0.65763888888888888</v>
      </c>
      <c r="D340" s="38">
        <v>113973</v>
      </c>
      <c r="E340" s="38">
        <v>18302</v>
      </c>
      <c r="F340" s="39">
        <v>45433</v>
      </c>
      <c r="G340" s="40">
        <v>0.43333333333333335</v>
      </c>
      <c r="H340" s="41" t="s">
        <v>231</v>
      </c>
      <c r="I340" s="38" t="s">
        <v>142</v>
      </c>
      <c r="J340" s="41" t="s">
        <v>221</v>
      </c>
      <c r="K340" s="38">
        <v>50</v>
      </c>
    </row>
    <row r="341" spans="1:11" ht="46.5" hidden="1" thickBot="1">
      <c r="A341" s="92">
        <v>68866</v>
      </c>
      <c r="B341" s="39">
        <v>45432</v>
      </c>
      <c r="C341" s="40">
        <v>0.65763888888888888</v>
      </c>
      <c r="D341" s="38">
        <v>113974</v>
      </c>
      <c r="E341" s="38">
        <v>18301</v>
      </c>
      <c r="F341" s="39">
        <v>45433</v>
      </c>
      <c r="G341" s="40">
        <v>0.43333333333333335</v>
      </c>
      <c r="H341" s="41" t="s">
        <v>231</v>
      </c>
      <c r="I341" s="38" t="s">
        <v>142</v>
      </c>
      <c r="J341" s="41" t="s">
        <v>145</v>
      </c>
      <c r="K341" s="38">
        <v>40</v>
      </c>
    </row>
    <row r="342" spans="1:11" ht="23.5" hidden="1" thickBot="1">
      <c r="A342" s="84" t="s">
        <v>324</v>
      </c>
      <c r="B342" s="39">
        <v>45432</v>
      </c>
      <c r="C342" s="40">
        <v>0.69652777777777775</v>
      </c>
      <c r="D342" s="38">
        <v>113975</v>
      </c>
      <c r="E342" s="38">
        <v>18300</v>
      </c>
      <c r="F342" s="39">
        <v>45433</v>
      </c>
      <c r="G342" s="40">
        <v>0.43333333333333335</v>
      </c>
      <c r="H342" s="41" t="s">
        <v>144</v>
      </c>
      <c r="I342" s="38" t="s">
        <v>88</v>
      </c>
      <c r="J342" s="41" t="s">
        <v>218</v>
      </c>
      <c r="K342" s="38">
        <v>10</v>
      </c>
    </row>
    <row r="343" spans="1:11" ht="69.5" hidden="1" thickBot="1">
      <c r="A343" s="84" t="s">
        <v>325</v>
      </c>
      <c r="B343" s="39">
        <v>45433</v>
      </c>
      <c r="C343" s="40">
        <v>0.3215277777777778</v>
      </c>
      <c r="D343" s="38">
        <v>113976</v>
      </c>
      <c r="E343" s="38">
        <v>18303</v>
      </c>
      <c r="F343" s="39">
        <v>45433</v>
      </c>
      <c r="G343" s="40">
        <v>0.43333333333333335</v>
      </c>
      <c r="H343" s="41" t="s">
        <v>193</v>
      </c>
      <c r="I343" s="38" t="s">
        <v>79</v>
      </c>
      <c r="J343" s="41" t="s">
        <v>151</v>
      </c>
      <c r="K343" s="38">
        <v>8</v>
      </c>
    </row>
    <row r="344" spans="1:11" ht="69.5" hidden="1" thickBot="1">
      <c r="A344" s="84" t="s">
        <v>325</v>
      </c>
      <c r="B344" s="39">
        <v>45433</v>
      </c>
      <c r="C344" s="40">
        <v>0.3215277777777778</v>
      </c>
      <c r="D344" s="38">
        <v>113976</v>
      </c>
      <c r="E344" s="38">
        <v>18303</v>
      </c>
      <c r="F344" s="39">
        <v>45433</v>
      </c>
      <c r="G344" s="40">
        <v>0.43333333333333335</v>
      </c>
      <c r="H344" s="41" t="s">
        <v>193</v>
      </c>
      <c r="I344" s="38" t="s">
        <v>79</v>
      </c>
      <c r="J344" s="41" t="s">
        <v>145</v>
      </c>
      <c r="K344" s="38">
        <v>40</v>
      </c>
    </row>
    <row r="345" spans="1:11" ht="69.5" hidden="1" thickBot="1">
      <c r="A345" s="84" t="s">
        <v>325</v>
      </c>
      <c r="B345" s="39">
        <v>45433</v>
      </c>
      <c r="C345" s="40">
        <v>0.3215277777777778</v>
      </c>
      <c r="D345" s="38">
        <v>113976</v>
      </c>
      <c r="E345" s="38">
        <v>18303</v>
      </c>
      <c r="F345" s="39">
        <v>45433</v>
      </c>
      <c r="G345" s="40">
        <v>0.43333333333333335</v>
      </c>
      <c r="H345" s="41" t="s">
        <v>193</v>
      </c>
      <c r="I345" s="38" t="s">
        <v>79</v>
      </c>
      <c r="J345" s="41" t="s">
        <v>194</v>
      </c>
      <c r="K345" s="38">
        <v>12</v>
      </c>
    </row>
    <row r="346" spans="1:11" ht="23.5" hidden="1" thickBot="1">
      <c r="A346" s="84">
        <v>4500069876</v>
      </c>
      <c r="B346" s="39">
        <v>45433</v>
      </c>
      <c r="C346" s="40">
        <v>0.36805555555555558</v>
      </c>
      <c r="D346" s="38">
        <v>113977</v>
      </c>
      <c r="E346" s="38">
        <v>18308</v>
      </c>
      <c r="F346" s="39">
        <v>45433</v>
      </c>
      <c r="G346" s="40">
        <v>0.43333333333333335</v>
      </c>
      <c r="H346" s="41" t="s">
        <v>57</v>
      </c>
      <c r="I346" s="38" t="s">
        <v>83</v>
      </c>
      <c r="J346" s="41" t="s">
        <v>140</v>
      </c>
      <c r="K346" s="38">
        <v>300</v>
      </c>
    </row>
    <row r="347" spans="1:11" ht="23.5" hidden="1" thickBot="1">
      <c r="A347" s="84">
        <v>4500069876</v>
      </c>
      <c r="B347" s="39">
        <v>45433</v>
      </c>
      <c r="C347" s="40">
        <v>0.36805555555555558</v>
      </c>
      <c r="D347" s="38">
        <v>113977</v>
      </c>
      <c r="E347" s="38">
        <v>18308</v>
      </c>
      <c r="F347" s="39">
        <v>45433</v>
      </c>
      <c r="G347" s="40">
        <v>0.43333333333333335</v>
      </c>
      <c r="H347" s="41" t="s">
        <v>57</v>
      </c>
      <c r="I347" s="38" t="s">
        <v>83</v>
      </c>
      <c r="J347" s="41" t="s">
        <v>113</v>
      </c>
      <c r="K347" s="38">
        <v>28</v>
      </c>
    </row>
    <row r="348" spans="1:11" ht="13.5" hidden="1" thickBot="1">
      <c r="A348" s="84">
        <v>4500069876</v>
      </c>
      <c r="B348" s="39">
        <v>45433</v>
      </c>
      <c r="C348" s="40">
        <v>0.36805555555555558</v>
      </c>
      <c r="D348" s="38">
        <v>113977</v>
      </c>
      <c r="E348" s="38">
        <v>18308</v>
      </c>
      <c r="F348" s="39">
        <v>45433</v>
      </c>
      <c r="G348" s="40">
        <v>0.43333333333333335</v>
      </c>
      <c r="H348" s="41" t="s">
        <v>57</v>
      </c>
      <c r="I348" s="38" t="s">
        <v>83</v>
      </c>
      <c r="J348" s="41" t="s">
        <v>134</v>
      </c>
      <c r="K348" s="38">
        <v>28</v>
      </c>
    </row>
    <row r="349" spans="1:11" ht="23.5" hidden="1" thickBot="1">
      <c r="A349" s="84">
        <v>4500069876</v>
      </c>
      <c r="B349" s="39">
        <v>45433</v>
      </c>
      <c r="C349" s="40">
        <v>0.36805555555555558</v>
      </c>
      <c r="D349" s="38">
        <v>113977</v>
      </c>
      <c r="E349" s="38">
        <v>18308</v>
      </c>
      <c r="F349" s="39">
        <v>45433</v>
      </c>
      <c r="G349" s="40">
        <v>0.43333333333333335</v>
      </c>
      <c r="H349" s="41" t="s">
        <v>57</v>
      </c>
      <c r="I349" s="38" t="s">
        <v>83</v>
      </c>
      <c r="J349" s="41" t="s">
        <v>209</v>
      </c>
      <c r="K349" s="38">
        <v>28</v>
      </c>
    </row>
    <row r="350" spans="1:11" ht="23.5" hidden="1" thickBot="1">
      <c r="A350" s="84">
        <v>4500069876</v>
      </c>
      <c r="B350" s="39">
        <v>45433</v>
      </c>
      <c r="C350" s="40">
        <v>0.36805555555555558</v>
      </c>
      <c r="D350" s="38">
        <v>113977</v>
      </c>
      <c r="E350" s="38">
        <v>18308</v>
      </c>
      <c r="F350" s="39">
        <v>45433</v>
      </c>
      <c r="G350" s="40">
        <v>0.43333333333333335</v>
      </c>
      <c r="H350" s="41" t="s">
        <v>57</v>
      </c>
      <c r="I350" s="38" t="s">
        <v>83</v>
      </c>
      <c r="J350" s="41" t="s">
        <v>115</v>
      </c>
      <c r="K350" s="38">
        <v>120</v>
      </c>
    </row>
    <row r="351" spans="1:11" ht="23.5" hidden="1" thickBot="1">
      <c r="A351" s="84">
        <v>4500069876</v>
      </c>
      <c r="B351" s="39">
        <v>45433</v>
      </c>
      <c r="C351" s="40">
        <v>0.36805555555555558</v>
      </c>
      <c r="D351" s="38">
        <v>113977</v>
      </c>
      <c r="E351" s="38">
        <v>18308</v>
      </c>
      <c r="F351" s="39">
        <v>45433</v>
      </c>
      <c r="G351" s="40">
        <v>0.43333333333333335</v>
      </c>
      <c r="H351" s="41" t="s">
        <v>57</v>
      </c>
      <c r="I351" s="38" t="s">
        <v>83</v>
      </c>
      <c r="J351" s="41" t="s">
        <v>151</v>
      </c>
      <c r="K351" s="38">
        <v>24</v>
      </c>
    </row>
    <row r="352" spans="1:11" ht="23.5" hidden="1" thickBot="1">
      <c r="A352" s="84">
        <v>4500069876</v>
      </c>
      <c r="B352" s="39">
        <v>45433</v>
      </c>
      <c r="C352" s="40">
        <v>0.36805555555555558</v>
      </c>
      <c r="D352" s="38">
        <v>113977</v>
      </c>
      <c r="E352" s="38">
        <v>18308</v>
      </c>
      <c r="F352" s="39">
        <v>45433</v>
      </c>
      <c r="G352" s="40">
        <v>0.43333333333333335</v>
      </c>
      <c r="H352" s="41" t="s">
        <v>57</v>
      </c>
      <c r="I352" s="38" t="s">
        <v>83</v>
      </c>
      <c r="J352" s="41" t="s">
        <v>206</v>
      </c>
      <c r="K352" s="38">
        <v>200</v>
      </c>
    </row>
    <row r="353" spans="1:11" ht="23.5" hidden="1" thickBot="1">
      <c r="A353" s="84">
        <v>4500069876</v>
      </c>
      <c r="B353" s="39">
        <v>45433</v>
      </c>
      <c r="C353" s="40">
        <v>0.36805555555555558</v>
      </c>
      <c r="D353" s="38">
        <v>113977</v>
      </c>
      <c r="E353" s="38">
        <v>18308</v>
      </c>
      <c r="F353" s="39">
        <v>45433</v>
      </c>
      <c r="G353" s="40">
        <v>0.43333333333333335</v>
      </c>
      <c r="H353" s="41" t="s">
        <v>57</v>
      </c>
      <c r="I353" s="38" t="s">
        <v>83</v>
      </c>
      <c r="J353" s="41" t="s">
        <v>218</v>
      </c>
      <c r="K353" s="38">
        <v>10</v>
      </c>
    </row>
    <row r="354" spans="1:11" ht="23.5" hidden="1" thickBot="1">
      <c r="A354" s="84">
        <v>4500069876</v>
      </c>
      <c r="B354" s="39">
        <v>45433</v>
      </c>
      <c r="C354" s="40">
        <v>0.36805555555555558</v>
      </c>
      <c r="D354" s="38">
        <v>113977</v>
      </c>
      <c r="E354" s="38">
        <v>18308</v>
      </c>
      <c r="F354" s="39">
        <v>45433</v>
      </c>
      <c r="G354" s="40">
        <v>0.43333333333333335</v>
      </c>
      <c r="H354" s="41" t="s">
        <v>57</v>
      </c>
      <c r="I354" s="38" t="s">
        <v>83</v>
      </c>
      <c r="J354" s="41" t="s">
        <v>279</v>
      </c>
      <c r="K354" s="38">
        <v>150</v>
      </c>
    </row>
    <row r="355" spans="1:11" ht="35" thickBot="1">
      <c r="A355" s="87">
        <v>25</v>
      </c>
      <c r="B355" s="39">
        <v>45433</v>
      </c>
      <c r="C355" s="40">
        <v>0.38194444444444442</v>
      </c>
      <c r="D355" s="38">
        <v>113979</v>
      </c>
      <c r="E355" s="38">
        <v>18299</v>
      </c>
      <c r="F355" s="39">
        <v>45433</v>
      </c>
      <c r="G355" s="40">
        <v>0.4826388888888889</v>
      </c>
      <c r="H355" s="41" t="s">
        <v>152</v>
      </c>
      <c r="I355" s="38" t="s">
        <v>75</v>
      </c>
      <c r="J355" s="41" t="s">
        <v>151</v>
      </c>
      <c r="K355" s="38">
        <v>6</v>
      </c>
    </row>
    <row r="356" spans="1:11" ht="23.5" hidden="1" thickBot="1">
      <c r="A356" s="84" t="s">
        <v>326</v>
      </c>
      <c r="B356" s="39">
        <v>45433</v>
      </c>
      <c r="C356" s="40">
        <v>0.40902777777777777</v>
      </c>
      <c r="D356" s="38">
        <v>113978</v>
      </c>
      <c r="E356" s="38">
        <v>18307</v>
      </c>
      <c r="F356" s="39">
        <v>45433</v>
      </c>
      <c r="G356" s="40">
        <v>0.43333333333333335</v>
      </c>
      <c r="H356" s="41" t="s">
        <v>54</v>
      </c>
      <c r="I356" s="38" t="s">
        <v>75</v>
      </c>
      <c r="J356" s="41" t="s">
        <v>215</v>
      </c>
      <c r="K356" s="38">
        <v>10</v>
      </c>
    </row>
    <row r="357" spans="1:11" ht="35" thickBot="1">
      <c r="A357" s="87">
        <v>26</v>
      </c>
      <c r="B357" s="39">
        <v>45433</v>
      </c>
      <c r="C357" s="40">
        <v>0.45208333333333334</v>
      </c>
      <c r="D357" s="38">
        <v>113980</v>
      </c>
      <c r="E357" s="38">
        <v>18309</v>
      </c>
      <c r="F357" s="39">
        <v>45433</v>
      </c>
      <c r="G357" s="40">
        <v>0.6</v>
      </c>
      <c r="H357" s="41" t="s">
        <v>327</v>
      </c>
      <c r="I357" s="38" t="s">
        <v>178</v>
      </c>
      <c r="J357" s="41" t="s">
        <v>207</v>
      </c>
      <c r="K357" s="38">
        <v>30</v>
      </c>
    </row>
    <row r="358" spans="1:11" ht="24" hidden="1" thickBot="1">
      <c r="A358" s="48" t="s">
        <v>328</v>
      </c>
      <c r="B358" s="39">
        <v>45433</v>
      </c>
      <c r="C358" s="40">
        <v>0.61527777777777781</v>
      </c>
      <c r="D358" s="38">
        <v>113981</v>
      </c>
      <c r="E358" s="38">
        <v>18311</v>
      </c>
      <c r="F358" s="39">
        <v>45433</v>
      </c>
      <c r="G358" s="40">
        <v>0.61944444444444446</v>
      </c>
      <c r="H358" s="41" t="s">
        <v>44</v>
      </c>
      <c r="I358" s="38" t="s">
        <v>137</v>
      </c>
      <c r="J358" s="41" t="s">
        <v>194</v>
      </c>
      <c r="K358" s="38">
        <v>12</v>
      </c>
    </row>
    <row r="359" spans="1:11" ht="69.5" hidden="1" thickBot="1">
      <c r="A359" s="84" t="s">
        <v>329</v>
      </c>
      <c r="B359" s="39">
        <v>45433</v>
      </c>
      <c r="C359" s="40">
        <v>0.69027777777777777</v>
      </c>
      <c r="D359" s="38">
        <v>113985</v>
      </c>
      <c r="E359" s="38">
        <v>18318</v>
      </c>
      <c r="F359" s="39">
        <v>45434</v>
      </c>
      <c r="G359" s="40">
        <v>0.51875000000000004</v>
      </c>
      <c r="H359" s="41" t="s">
        <v>193</v>
      </c>
      <c r="I359" s="38" t="s">
        <v>141</v>
      </c>
      <c r="J359" s="41" t="s">
        <v>151</v>
      </c>
      <c r="K359" s="38">
        <v>4</v>
      </c>
    </row>
    <row r="360" spans="1:11" ht="35" hidden="1" thickBot="1">
      <c r="A360" s="84" t="s">
        <v>330</v>
      </c>
      <c r="B360" s="39">
        <v>45433</v>
      </c>
      <c r="C360" s="40">
        <v>0.72083333333333333</v>
      </c>
      <c r="D360" s="38">
        <v>113986</v>
      </c>
      <c r="E360" s="38">
        <v>18315</v>
      </c>
      <c r="F360" s="39">
        <v>45434</v>
      </c>
      <c r="G360" s="40">
        <v>0.51944444444444449</v>
      </c>
      <c r="H360" s="41" t="s">
        <v>323</v>
      </c>
      <c r="I360" s="38" t="s">
        <v>78</v>
      </c>
      <c r="J360" s="41" t="s">
        <v>194</v>
      </c>
      <c r="K360" s="38">
        <v>100</v>
      </c>
    </row>
    <row r="361" spans="1:11" ht="35" hidden="1" thickBot="1">
      <c r="A361" s="84">
        <v>949357</v>
      </c>
      <c r="B361" s="39">
        <v>45433</v>
      </c>
      <c r="C361" s="40">
        <v>0.73055555555555551</v>
      </c>
      <c r="D361" s="38">
        <v>113982</v>
      </c>
      <c r="E361" s="38">
        <v>18344</v>
      </c>
      <c r="F361" s="39">
        <v>45434</v>
      </c>
      <c r="G361" s="40">
        <v>0.50555555555555554</v>
      </c>
      <c r="H361" s="41" t="s">
        <v>51</v>
      </c>
      <c r="I361" s="38" t="s">
        <v>331</v>
      </c>
      <c r="J361" s="41" t="s">
        <v>230</v>
      </c>
      <c r="K361" s="38">
        <v>160</v>
      </c>
    </row>
    <row r="362" spans="1:11" ht="23.5" hidden="1" thickBot="1">
      <c r="A362" s="75" t="s">
        <v>332</v>
      </c>
      <c r="B362" s="65">
        <v>45433</v>
      </c>
      <c r="C362" s="66">
        <v>0.73958333333333337</v>
      </c>
      <c r="D362" s="67">
        <v>113999</v>
      </c>
      <c r="E362" s="67">
        <v>18339</v>
      </c>
      <c r="F362" s="65">
        <v>45436</v>
      </c>
      <c r="G362" s="66">
        <v>0.63888888888888884</v>
      </c>
      <c r="H362" s="71" t="s">
        <v>114</v>
      </c>
      <c r="I362" s="67" t="s">
        <v>333</v>
      </c>
      <c r="J362" s="71" t="s">
        <v>115</v>
      </c>
      <c r="K362" s="67">
        <v>10</v>
      </c>
    </row>
    <row r="363" spans="1:11" ht="23.5" hidden="1" thickBot="1">
      <c r="A363" s="75" t="s">
        <v>332</v>
      </c>
      <c r="B363" s="65">
        <v>45433</v>
      </c>
      <c r="C363" s="66">
        <v>0.73958333333333337</v>
      </c>
      <c r="D363" s="67">
        <v>113999</v>
      </c>
      <c r="E363" s="67">
        <v>18339</v>
      </c>
      <c r="F363" s="65">
        <v>45436</v>
      </c>
      <c r="G363" s="66">
        <v>0.63888888888888884</v>
      </c>
      <c r="H363" s="71" t="s">
        <v>114</v>
      </c>
      <c r="I363" s="67" t="s">
        <v>333</v>
      </c>
      <c r="J363" s="71" t="s">
        <v>194</v>
      </c>
      <c r="K363" s="67">
        <v>2</v>
      </c>
    </row>
    <row r="364" spans="1:11" ht="23.5" hidden="1" thickBot="1">
      <c r="A364" s="75" t="s">
        <v>332</v>
      </c>
      <c r="B364" s="65">
        <v>45433</v>
      </c>
      <c r="C364" s="66">
        <v>0.73958333333333337</v>
      </c>
      <c r="D364" s="67">
        <v>113999</v>
      </c>
      <c r="E364" s="67">
        <v>18339</v>
      </c>
      <c r="F364" s="65">
        <v>45436</v>
      </c>
      <c r="G364" s="66">
        <v>0.63888888888888884</v>
      </c>
      <c r="H364" s="71" t="s">
        <v>114</v>
      </c>
      <c r="I364" s="67" t="s">
        <v>333</v>
      </c>
      <c r="J364" s="71" t="s">
        <v>111</v>
      </c>
      <c r="K364" s="67">
        <v>4</v>
      </c>
    </row>
    <row r="365" spans="1:11" ht="23.5" hidden="1" thickBot="1">
      <c r="A365" s="75" t="s">
        <v>332</v>
      </c>
      <c r="B365" s="65">
        <v>45433</v>
      </c>
      <c r="C365" s="66">
        <v>0.73958333333333337</v>
      </c>
      <c r="D365" s="67">
        <v>113999</v>
      </c>
      <c r="E365" s="67">
        <v>18339</v>
      </c>
      <c r="F365" s="65">
        <v>45436</v>
      </c>
      <c r="G365" s="66">
        <v>0.63888888888888884</v>
      </c>
      <c r="H365" s="71" t="s">
        <v>114</v>
      </c>
      <c r="I365" s="67" t="s">
        <v>333</v>
      </c>
      <c r="J365" s="71" t="s">
        <v>218</v>
      </c>
      <c r="K365" s="67">
        <v>1</v>
      </c>
    </row>
    <row r="366" spans="1:11" ht="46.5" hidden="1" thickBot="1">
      <c r="A366" s="84" t="s">
        <v>334</v>
      </c>
      <c r="B366" s="39">
        <v>45434</v>
      </c>
      <c r="C366" s="40">
        <v>0.41597222222222224</v>
      </c>
      <c r="D366" s="38">
        <v>113983</v>
      </c>
      <c r="E366" s="38">
        <v>18320</v>
      </c>
      <c r="F366" s="39">
        <v>45434</v>
      </c>
      <c r="G366" s="40">
        <v>0.51666666666666672</v>
      </c>
      <c r="H366" s="41" t="s">
        <v>169</v>
      </c>
      <c r="I366" s="38" t="s">
        <v>170</v>
      </c>
      <c r="J366" s="41" t="s">
        <v>112</v>
      </c>
      <c r="K366" s="38">
        <v>20</v>
      </c>
    </row>
    <row r="367" spans="1:11" ht="23.5" hidden="1" thickBot="1">
      <c r="A367" s="84" t="s">
        <v>335</v>
      </c>
      <c r="B367" s="39">
        <v>45434</v>
      </c>
      <c r="C367" s="40">
        <v>0.46180555555555558</v>
      </c>
      <c r="D367" s="38">
        <v>113987</v>
      </c>
      <c r="E367" s="38">
        <v>18317</v>
      </c>
      <c r="F367" s="39">
        <v>45434</v>
      </c>
      <c r="G367" s="40">
        <v>0.53402777777777777</v>
      </c>
      <c r="H367" s="41" t="s">
        <v>144</v>
      </c>
      <c r="I367" s="38" t="s">
        <v>88</v>
      </c>
      <c r="J367" s="41" t="s">
        <v>151</v>
      </c>
      <c r="K367" s="38">
        <v>2</v>
      </c>
    </row>
    <row r="368" spans="1:11" ht="23.5" thickBot="1">
      <c r="A368" s="87">
        <v>27</v>
      </c>
      <c r="B368" s="42"/>
      <c r="C368" s="42"/>
      <c r="D368" s="38">
        <v>113988</v>
      </c>
      <c r="E368" s="38">
        <v>18325</v>
      </c>
      <c r="F368" s="39">
        <v>45434</v>
      </c>
      <c r="G368" s="40">
        <v>0.64583333333333337</v>
      </c>
      <c r="H368" s="41" t="s">
        <v>336</v>
      </c>
      <c r="I368" s="38" t="s">
        <v>80</v>
      </c>
      <c r="J368" s="41" t="s">
        <v>161</v>
      </c>
      <c r="K368" s="38">
        <v>6</v>
      </c>
    </row>
    <row r="369" spans="1:11" ht="23.5" hidden="1" thickBot="1">
      <c r="A369" s="84" t="s">
        <v>337</v>
      </c>
      <c r="B369" s="39">
        <v>45434</v>
      </c>
      <c r="C369" s="40">
        <v>0.66874999999999996</v>
      </c>
      <c r="D369" s="38">
        <v>113989</v>
      </c>
      <c r="E369" s="38">
        <v>18333</v>
      </c>
      <c r="F369" s="39">
        <v>45434</v>
      </c>
      <c r="G369" s="40">
        <v>0.68055555555555558</v>
      </c>
      <c r="H369" s="41" t="s">
        <v>160</v>
      </c>
      <c r="I369" s="38" t="s">
        <v>80</v>
      </c>
      <c r="J369" s="41" t="s">
        <v>189</v>
      </c>
      <c r="K369" s="38">
        <v>24</v>
      </c>
    </row>
    <row r="370" spans="1:11" ht="35" hidden="1" thickBot="1">
      <c r="A370" s="84" t="s">
        <v>338</v>
      </c>
      <c r="B370" s="39">
        <v>45429</v>
      </c>
      <c r="C370" s="40">
        <v>0.6430555555555556</v>
      </c>
      <c r="D370" s="38">
        <v>113992</v>
      </c>
      <c r="E370" s="38">
        <v>18330</v>
      </c>
      <c r="F370" s="39">
        <v>45435</v>
      </c>
      <c r="G370" s="40">
        <v>0.37986111111111109</v>
      </c>
      <c r="H370" s="41" t="s">
        <v>252</v>
      </c>
      <c r="I370" s="38" t="s">
        <v>114</v>
      </c>
      <c r="J370" s="41" t="s">
        <v>111</v>
      </c>
      <c r="K370" s="38">
        <v>8</v>
      </c>
    </row>
    <row r="371" spans="1:11" ht="35" hidden="1" thickBot="1">
      <c r="A371" s="84" t="s">
        <v>338</v>
      </c>
      <c r="B371" s="39">
        <v>45429</v>
      </c>
      <c r="C371" s="40">
        <v>0.6430555555555556</v>
      </c>
      <c r="D371" s="38">
        <v>113992</v>
      </c>
      <c r="E371" s="38">
        <v>18330</v>
      </c>
      <c r="F371" s="39">
        <v>45435</v>
      </c>
      <c r="G371" s="40">
        <v>0.37986111111111109</v>
      </c>
      <c r="H371" s="41" t="s">
        <v>252</v>
      </c>
      <c r="I371" s="38" t="s">
        <v>114</v>
      </c>
      <c r="J371" s="41" t="s">
        <v>115</v>
      </c>
      <c r="K371" s="38">
        <v>1</v>
      </c>
    </row>
    <row r="372" spans="1:11" ht="35" hidden="1" thickBot="1">
      <c r="A372" s="52">
        <v>950011</v>
      </c>
      <c r="B372" s="39">
        <v>45434</v>
      </c>
      <c r="C372" s="40">
        <v>0.55347222222222225</v>
      </c>
      <c r="D372" s="38">
        <v>113991</v>
      </c>
      <c r="E372" s="38">
        <v>18345</v>
      </c>
      <c r="F372" s="39">
        <v>45435</v>
      </c>
      <c r="G372" s="40">
        <v>0.37222222222222223</v>
      </c>
      <c r="H372" s="41" t="s">
        <v>51</v>
      </c>
      <c r="I372" s="38" t="s">
        <v>78</v>
      </c>
      <c r="J372" s="41" t="s">
        <v>207</v>
      </c>
      <c r="K372" s="38">
        <v>20</v>
      </c>
    </row>
    <row r="373" spans="1:11" ht="23.5" hidden="1" thickBot="1">
      <c r="A373" s="84">
        <v>4500069918</v>
      </c>
      <c r="B373" s="39">
        <v>45434</v>
      </c>
      <c r="C373" s="40">
        <v>0.57638888888888884</v>
      </c>
      <c r="D373" s="38">
        <v>113992</v>
      </c>
      <c r="E373" s="38">
        <v>18340</v>
      </c>
      <c r="F373" s="39">
        <v>45435</v>
      </c>
      <c r="G373" s="40">
        <v>0.37986111111111109</v>
      </c>
      <c r="H373" s="41" t="s">
        <v>57</v>
      </c>
      <c r="I373" s="38" t="s">
        <v>83</v>
      </c>
      <c r="J373" s="41" t="s">
        <v>161</v>
      </c>
      <c r="K373" s="38">
        <v>70</v>
      </c>
    </row>
    <row r="374" spans="1:11" ht="23.5" hidden="1" thickBot="1">
      <c r="A374" s="84">
        <v>4500069918</v>
      </c>
      <c r="B374" s="39">
        <v>45434</v>
      </c>
      <c r="C374" s="40">
        <v>0.57638888888888884</v>
      </c>
      <c r="D374" s="38">
        <v>113992</v>
      </c>
      <c r="E374" s="38">
        <v>18340</v>
      </c>
      <c r="F374" s="39">
        <v>45435</v>
      </c>
      <c r="G374" s="40">
        <v>0.37986111111111109</v>
      </c>
      <c r="H374" s="41" t="s">
        <v>57</v>
      </c>
      <c r="I374" s="38" t="s">
        <v>83</v>
      </c>
      <c r="J374" s="41" t="s">
        <v>110</v>
      </c>
      <c r="K374" s="38">
        <v>120</v>
      </c>
    </row>
    <row r="375" spans="1:11" ht="23.5" hidden="1" thickBot="1">
      <c r="A375" s="84">
        <v>4500069918</v>
      </c>
      <c r="B375" s="39">
        <v>45434</v>
      </c>
      <c r="C375" s="40">
        <v>0.57638888888888884</v>
      </c>
      <c r="D375" s="38">
        <v>113992</v>
      </c>
      <c r="E375" s="38">
        <v>18340</v>
      </c>
      <c r="F375" s="39">
        <v>45435</v>
      </c>
      <c r="G375" s="40">
        <v>0.37986111111111109</v>
      </c>
      <c r="H375" s="41" t="s">
        <v>57</v>
      </c>
      <c r="I375" s="38" t="s">
        <v>83</v>
      </c>
      <c r="J375" s="41" t="s">
        <v>220</v>
      </c>
      <c r="K375" s="38">
        <v>80</v>
      </c>
    </row>
    <row r="376" spans="1:11" ht="23.5" hidden="1" thickBot="1">
      <c r="A376" s="84">
        <v>4500069918</v>
      </c>
      <c r="B376" s="39">
        <v>45434</v>
      </c>
      <c r="C376" s="40">
        <v>0.57638888888888884</v>
      </c>
      <c r="D376" s="38">
        <v>113992</v>
      </c>
      <c r="E376" s="38">
        <v>18340</v>
      </c>
      <c r="F376" s="39">
        <v>45435</v>
      </c>
      <c r="G376" s="40">
        <v>0.37986111111111109</v>
      </c>
      <c r="H376" s="41" t="s">
        <v>57</v>
      </c>
      <c r="I376" s="38" t="s">
        <v>83</v>
      </c>
      <c r="J376" s="41" t="s">
        <v>118</v>
      </c>
      <c r="K376" s="38">
        <v>16</v>
      </c>
    </row>
    <row r="377" spans="1:11" ht="35" hidden="1" thickBot="1">
      <c r="A377" s="84">
        <v>4500069918</v>
      </c>
      <c r="B377" s="39">
        <v>45434</v>
      </c>
      <c r="C377" s="40">
        <v>0.57638888888888884</v>
      </c>
      <c r="D377" s="38">
        <v>113992</v>
      </c>
      <c r="E377" s="38">
        <v>18340</v>
      </c>
      <c r="F377" s="39">
        <v>45435</v>
      </c>
      <c r="G377" s="40">
        <v>0.37986111111111109</v>
      </c>
      <c r="H377" s="41" t="s">
        <v>57</v>
      </c>
      <c r="I377" s="38" t="s">
        <v>83</v>
      </c>
      <c r="J377" s="41" t="s">
        <v>339</v>
      </c>
      <c r="K377" s="38">
        <v>4</v>
      </c>
    </row>
    <row r="378" spans="1:11" ht="23.5" hidden="1" thickBot="1">
      <c r="A378" s="84">
        <v>4500069918</v>
      </c>
      <c r="B378" s="39">
        <v>45434</v>
      </c>
      <c r="C378" s="40">
        <v>0.57638888888888884</v>
      </c>
      <c r="D378" s="38">
        <v>113992</v>
      </c>
      <c r="E378" s="38">
        <v>18340</v>
      </c>
      <c r="F378" s="39">
        <v>45435</v>
      </c>
      <c r="G378" s="40">
        <v>0.37986111111111109</v>
      </c>
      <c r="H378" s="41" t="s">
        <v>57</v>
      </c>
      <c r="I378" s="38" t="s">
        <v>83</v>
      </c>
      <c r="J378" s="41" t="s">
        <v>118</v>
      </c>
      <c r="K378" s="38">
        <v>80</v>
      </c>
    </row>
    <row r="379" spans="1:11" ht="23.5" hidden="1" thickBot="1">
      <c r="A379" s="84">
        <v>4500069918</v>
      </c>
      <c r="B379" s="39">
        <v>45434</v>
      </c>
      <c r="C379" s="40">
        <v>0.57638888888888884</v>
      </c>
      <c r="D379" s="38">
        <v>113992</v>
      </c>
      <c r="E379" s="38">
        <v>18340</v>
      </c>
      <c r="F379" s="39">
        <v>45435</v>
      </c>
      <c r="G379" s="40">
        <v>0.37986111111111109</v>
      </c>
      <c r="H379" s="41" t="s">
        <v>57</v>
      </c>
      <c r="I379" s="38" t="s">
        <v>83</v>
      </c>
      <c r="J379" s="41" t="s">
        <v>194</v>
      </c>
      <c r="K379" s="38">
        <v>20</v>
      </c>
    </row>
    <row r="380" spans="1:11" ht="35" hidden="1" thickBot="1">
      <c r="A380" s="84">
        <v>4500069918</v>
      </c>
      <c r="B380" s="39">
        <v>45434</v>
      </c>
      <c r="C380" s="40">
        <v>0.57638888888888884</v>
      </c>
      <c r="D380" s="38">
        <v>113992</v>
      </c>
      <c r="E380" s="38">
        <v>18340</v>
      </c>
      <c r="F380" s="39">
        <v>45435</v>
      </c>
      <c r="G380" s="40">
        <v>0.37986111111111109</v>
      </c>
      <c r="H380" s="41" t="s">
        <v>57</v>
      </c>
      <c r="I380" s="38" t="s">
        <v>83</v>
      </c>
      <c r="J380" s="41" t="s">
        <v>156</v>
      </c>
      <c r="K380" s="38">
        <v>40</v>
      </c>
    </row>
    <row r="381" spans="1:11" ht="35" hidden="1" thickBot="1">
      <c r="A381" s="84" t="s">
        <v>340</v>
      </c>
      <c r="B381" s="39">
        <v>45429</v>
      </c>
      <c r="C381" s="40">
        <v>0.6430555555555556</v>
      </c>
      <c r="D381" s="38">
        <v>113994</v>
      </c>
      <c r="E381" s="38">
        <v>18332</v>
      </c>
      <c r="F381" s="39">
        <v>45435</v>
      </c>
      <c r="G381" s="40">
        <v>0.46250000000000002</v>
      </c>
      <c r="H381" s="41" t="s">
        <v>252</v>
      </c>
      <c r="I381" s="38" t="s">
        <v>114</v>
      </c>
      <c r="J381" s="41" t="s">
        <v>111</v>
      </c>
      <c r="K381" s="38">
        <v>8</v>
      </c>
    </row>
    <row r="382" spans="1:11" ht="69.5" hidden="1" thickBot="1">
      <c r="A382" s="84" t="s">
        <v>341</v>
      </c>
      <c r="B382" s="39">
        <v>45434</v>
      </c>
      <c r="C382" s="40">
        <v>0.65625</v>
      </c>
      <c r="D382" s="38">
        <v>113997</v>
      </c>
      <c r="E382" s="38">
        <v>18367</v>
      </c>
      <c r="F382" s="39">
        <v>45435</v>
      </c>
      <c r="G382" s="40">
        <v>0.46250000000000002</v>
      </c>
      <c r="H382" s="41" t="s">
        <v>193</v>
      </c>
      <c r="I382" s="38" t="s">
        <v>76</v>
      </c>
      <c r="J382" s="41" t="s">
        <v>113</v>
      </c>
      <c r="K382" s="38">
        <v>2</v>
      </c>
    </row>
    <row r="383" spans="1:11" ht="69.5" hidden="1" thickBot="1">
      <c r="A383" s="84" t="s">
        <v>341</v>
      </c>
      <c r="B383" s="39">
        <v>45434</v>
      </c>
      <c r="C383" s="40">
        <v>0.65625</v>
      </c>
      <c r="D383" s="38">
        <v>113997</v>
      </c>
      <c r="E383" s="38">
        <v>18367</v>
      </c>
      <c r="F383" s="39">
        <v>45435</v>
      </c>
      <c r="G383" s="40">
        <v>0.46250000000000002</v>
      </c>
      <c r="H383" s="41" t="s">
        <v>193</v>
      </c>
      <c r="I383" s="38" t="s">
        <v>76</v>
      </c>
      <c r="J383" s="41" t="s">
        <v>112</v>
      </c>
      <c r="K383" s="38">
        <v>1</v>
      </c>
    </row>
    <row r="384" spans="1:11" ht="69.5" hidden="1" thickBot="1">
      <c r="A384" s="84" t="s">
        <v>341</v>
      </c>
      <c r="B384" s="39">
        <v>45434</v>
      </c>
      <c r="C384" s="40">
        <v>0.65625</v>
      </c>
      <c r="D384" s="38">
        <v>113997</v>
      </c>
      <c r="E384" s="38">
        <v>18367</v>
      </c>
      <c r="F384" s="39">
        <v>45435</v>
      </c>
      <c r="G384" s="40">
        <v>0.46250000000000002</v>
      </c>
      <c r="H384" s="41" t="s">
        <v>193</v>
      </c>
      <c r="I384" s="38" t="s">
        <v>76</v>
      </c>
      <c r="J384" s="41" t="s">
        <v>145</v>
      </c>
      <c r="K384" s="38">
        <v>40</v>
      </c>
    </row>
    <row r="385" spans="1:11" ht="23.5" hidden="1" thickBot="1">
      <c r="A385" s="84">
        <v>671</v>
      </c>
      <c r="B385" s="39">
        <v>45435</v>
      </c>
      <c r="C385" s="40">
        <v>0.3576388888888889</v>
      </c>
      <c r="D385" s="38">
        <v>113996</v>
      </c>
      <c r="E385" s="38">
        <v>18334</v>
      </c>
      <c r="F385" s="39">
        <v>45435</v>
      </c>
      <c r="G385" s="40">
        <v>0.46250000000000002</v>
      </c>
      <c r="H385" s="41" t="s">
        <v>163</v>
      </c>
      <c r="I385" s="38" t="s">
        <v>80</v>
      </c>
      <c r="J385" s="41" t="s">
        <v>151</v>
      </c>
      <c r="K385" s="38">
        <v>2</v>
      </c>
    </row>
    <row r="386" spans="1:11" ht="23.5" hidden="1" thickBot="1">
      <c r="A386" s="84">
        <v>671</v>
      </c>
      <c r="B386" s="39">
        <v>45435</v>
      </c>
      <c r="C386" s="40">
        <v>0.3576388888888889</v>
      </c>
      <c r="D386" s="38">
        <v>113996</v>
      </c>
      <c r="E386" s="38">
        <v>18334</v>
      </c>
      <c r="F386" s="39">
        <v>45435</v>
      </c>
      <c r="G386" s="40">
        <v>0.46250000000000002</v>
      </c>
      <c r="H386" s="41" t="s">
        <v>163</v>
      </c>
      <c r="I386" s="38" t="s">
        <v>80</v>
      </c>
      <c r="J386" s="41" t="s">
        <v>166</v>
      </c>
      <c r="K386" s="38">
        <v>15</v>
      </c>
    </row>
    <row r="387" spans="1:11" ht="35" hidden="1" thickBot="1">
      <c r="A387" s="84" t="s">
        <v>342</v>
      </c>
      <c r="B387" s="39">
        <v>45435</v>
      </c>
      <c r="C387" s="40">
        <v>0.44444444444444442</v>
      </c>
      <c r="D387" s="38">
        <v>113995</v>
      </c>
      <c r="E387" s="38">
        <v>18338</v>
      </c>
      <c r="F387" s="39">
        <v>45435</v>
      </c>
      <c r="G387" s="40">
        <v>0.46250000000000002</v>
      </c>
      <c r="H387" s="41" t="s">
        <v>252</v>
      </c>
      <c r="I387" s="38" t="s">
        <v>150</v>
      </c>
      <c r="J387" s="41" t="s">
        <v>120</v>
      </c>
      <c r="K387" s="38">
        <v>6</v>
      </c>
    </row>
    <row r="388" spans="1:11" ht="35" hidden="1" thickBot="1">
      <c r="A388" s="84" t="s">
        <v>342</v>
      </c>
      <c r="B388" s="39">
        <v>45435</v>
      </c>
      <c r="C388" s="40">
        <v>0.44444444444444442</v>
      </c>
      <c r="D388" s="38">
        <v>113995</v>
      </c>
      <c r="E388" s="38">
        <v>18338</v>
      </c>
      <c r="F388" s="39">
        <v>45435</v>
      </c>
      <c r="G388" s="40">
        <v>0.46250000000000002</v>
      </c>
      <c r="H388" s="41" t="s">
        <v>252</v>
      </c>
      <c r="I388" s="38" t="s">
        <v>150</v>
      </c>
      <c r="J388" s="41" t="s">
        <v>111</v>
      </c>
      <c r="K388" s="38">
        <v>1</v>
      </c>
    </row>
    <row r="389" spans="1:11" ht="23.5" hidden="1" thickBot="1">
      <c r="A389" s="84">
        <v>950769</v>
      </c>
      <c r="B389" s="39">
        <v>45435</v>
      </c>
      <c r="C389" s="40">
        <v>0.46527777777777779</v>
      </c>
      <c r="D389" s="38">
        <v>113998</v>
      </c>
      <c r="E389" s="38">
        <v>18346</v>
      </c>
      <c r="F389" s="39">
        <v>45435</v>
      </c>
      <c r="G389" s="40">
        <v>0.46250000000000002</v>
      </c>
      <c r="H389" s="41" t="s">
        <v>51</v>
      </c>
      <c r="I389" s="38" t="s">
        <v>343</v>
      </c>
      <c r="J389" s="41" t="s">
        <v>189</v>
      </c>
      <c r="K389" s="38">
        <v>84</v>
      </c>
    </row>
    <row r="390" spans="1:11" ht="35" hidden="1" thickBot="1">
      <c r="A390" s="84">
        <v>950769</v>
      </c>
      <c r="B390" s="39">
        <v>45435</v>
      </c>
      <c r="C390" s="40">
        <v>0.46527777777777779</v>
      </c>
      <c r="D390" s="38">
        <v>113998</v>
      </c>
      <c r="E390" s="38">
        <v>18346</v>
      </c>
      <c r="F390" s="39">
        <v>45435</v>
      </c>
      <c r="G390" s="40">
        <v>0.46250000000000002</v>
      </c>
      <c r="H390" s="41" t="s">
        <v>51</v>
      </c>
      <c r="I390" s="38" t="s">
        <v>343</v>
      </c>
      <c r="J390" s="41" t="s">
        <v>207</v>
      </c>
      <c r="K390" s="38">
        <v>80</v>
      </c>
    </row>
    <row r="391" spans="1:11" ht="23.5" hidden="1" thickBot="1">
      <c r="A391" s="84">
        <v>951278</v>
      </c>
      <c r="B391" s="39">
        <v>45435</v>
      </c>
      <c r="C391" s="40">
        <v>0.74097222222222225</v>
      </c>
      <c r="D391" s="38">
        <v>114000</v>
      </c>
      <c r="E391" s="38">
        <v>18348</v>
      </c>
      <c r="F391" s="39">
        <v>45436</v>
      </c>
      <c r="G391" s="40">
        <v>0.35416666666666669</v>
      </c>
      <c r="H391" s="41" t="s">
        <v>38</v>
      </c>
      <c r="I391" s="38" t="s">
        <v>141</v>
      </c>
      <c r="J391" s="41" t="s">
        <v>113</v>
      </c>
      <c r="K391" s="38">
        <v>6</v>
      </c>
    </row>
    <row r="392" spans="1:11" ht="23.5" hidden="1" thickBot="1">
      <c r="A392" s="84">
        <v>951277</v>
      </c>
      <c r="B392" s="39">
        <v>45435</v>
      </c>
      <c r="C392" s="40">
        <v>0.74097222222222225</v>
      </c>
      <c r="D392" s="38">
        <v>114001</v>
      </c>
      <c r="E392" s="38">
        <v>18341</v>
      </c>
      <c r="F392" s="39">
        <v>45436</v>
      </c>
      <c r="G392" s="40">
        <v>0.35416666666666669</v>
      </c>
      <c r="H392" s="41" t="s">
        <v>38</v>
      </c>
      <c r="I392" s="38" t="s">
        <v>141</v>
      </c>
      <c r="J392" s="41" t="s">
        <v>161</v>
      </c>
      <c r="K392" s="38">
        <v>5</v>
      </c>
    </row>
    <row r="393" spans="1:11" ht="23.5" hidden="1" thickBot="1">
      <c r="A393" s="84">
        <v>951550</v>
      </c>
      <c r="B393" s="39">
        <v>45436</v>
      </c>
      <c r="C393" s="40">
        <v>0.34513888888888888</v>
      </c>
      <c r="D393" s="38">
        <v>114007</v>
      </c>
      <c r="E393" s="38">
        <v>18349</v>
      </c>
      <c r="F393" s="39">
        <v>45436</v>
      </c>
      <c r="G393" s="40">
        <v>0.3923611111111111</v>
      </c>
      <c r="H393" s="41" t="s">
        <v>38</v>
      </c>
      <c r="I393" s="38" t="s">
        <v>142</v>
      </c>
      <c r="J393" s="41" t="s">
        <v>140</v>
      </c>
      <c r="K393" s="38">
        <v>5</v>
      </c>
    </row>
    <row r="394" spans="1:11" ht="69.5" hidden="1" thickBot="1">
      <c r="A394" s="84" t="s">
        <v>344</v>
      </c>
      <c r="B394" s="39">
        <v>45435</v>
      </c>
      <c r="C394" s="40">
        <v>0.625</v>
      </c>
      <c r="D394" s="38">
        <v>114008</v>
      </c>
      <c r="E394" s="38">
        <v>18351</v>
      </c>
      <c r="F394" s="39">
        <v>45436</v>
      </c>
      <c r="G394" s="40">
        <v>0.39374999999999999</v>
      </c>
      <c r="H394" s="41" t="s">
        <v>193</v>
      </c>
      <c r="I394" s="38" t="s">
        <v>79</v>
      </c>
      <c r="J394" s="41" t="s">
        <v>194</v>
      </c>
      <c r="K394" s="38">
        <v>10</v>
      </c>
    </row>
    <row r="395" spans="1:11" ht="23.5" hidden="1" thickBot="1">
      <c r="A395" s="84">
        <v>4500120640</v>
      </c>
      <c r="B395" s="39">
        <v>45436</v>
      </c>
      <c r="C395" s="40">
        <v>0.36805555555555558</v>
      </c>
      <c r="D395" s="38">
        <v>114006</v>
      </c>
      <c r="E395" s="38">
        <v>18347</v>
      </c>
      <c r="F395" s="39">
        <v>45436</v>
      </c>
      <c r="G395" s="40">
        <v>0.37083333333333335</v>
      </c>
      <c r="H395" s="41" t="s">
        <v>6</v>
      </c>
      <c r="I395" s="38" t="s">
        <v>85</v>
      </c>
      <c r="J395" s="41" t="s">
        <v>206</v>
      </c>
      <c r="K395" s="38">
        <v>10</v>
      </c>
    </row>
    <row r="396" spans="1:11" ht="46.5" hidden="1" thickBot="1">
      <c r="A396" s="84">
        <v>4500120640</v>
      </c>
      <c r="B396" s="39">
        <v>45436</v>
      </c>
      <c r="C396" s="40">
        <v>0.36805555555555558</v>
      </c>
      <c r="D396" s="38">
        <v>114006</v>
      </c>
      <c r="E396" s="38">
        <v>18347</v>
      </c>
      <c r="F396" s="39">
        <v>45436</v>
      </c>
      <c r="G396" s="40">
        <v>0.37083333333333335</v>
      </c>
      <c r="H396" s="41" t="s">
        <v>6</v>
      </c>
      <c r="I396" s="38" t="s">
        <v>85</v>
      </c>
      <c r="J396" s="41" t="s">
        <v>145</v>
      </c>
      <c r="K396" s="38">
        <v>20</v>
      </c>
    </row>
    <row r="397" spans="1:11" ht="23.5" thickBot="1">
      <c r="A397" s="77">
        <v>28</v>
      </c>
      <c r="B397" s="65">
        <v>45436</v>
      </c>
      <c r="C397" s="66">
        <v>0.40208333333333335</v>
      </c>
      <c r="D397" s="64"/>
      <c r="E397" s="64"/>
      <c r="F397" s="64"/>
      <c r="G397" s="64"/>
      <c r="H397" s="71" t="s">
        <v>345</v>
      </c>
      <c r="I397" s="67" t="s">
        <v>170</v>
      </c>
      <c r="J397" s="71" t="s">
        <v>221</v>
      </c>
      <c r="K397" s="67">
        <v>25</v>
      </c>
    </row>
    <row r="398" spans="1:11" ht="23.5" hidden="1" thickBot="1">
      <c r="A398" s="84">
        <v>4500069963</v>
      </c>
      <c r="B398" s="39">
        <v>45436</v>
      </c>
      <c r="C398" s="40">
        <v>0.40347222222222223</v>
      </c>
      <c r="D398" s="38">
        <v>114010</v>
      </c>
      <c r="E398" s="38">
        <v>18365</v>
      </c>
      <c r="F398" s="39">
        <v>45436</v>
      </c>
      <c r="G398" s="40">
        <v>0.59722222222222221</v>
      </c>
      <c r="H398" s="41" t="s">
        <v>57</v>
      </c>
      <c r="I398" s="38" t="s">
        <v>83</v>
      </c>
      <c r="J398" s="41" t="s">
        <v>140</v>
      </c>
      <c r="K398" s="38">
        <v>300</v>
      </c>
    </row>
    <row r="399" spans="1:11" ht="23.5" hidden="1" thickBot="1">
      <c r="A399" s="84">
        <v>4500069963</v>
      </c>
      <c r="B399" s="39">
        <v>45436</v>
      </c>
      <c r="C399" s="40">
        <v>0.40347222222222223</v>
      </c>
      <c r="D399" s="38">
        <v>114010</v>
      </c>
      <c r="E399" s="38">
        <v>18365</v>
      </c>
      <c r="F399" s="39">
        <v>45436</v>
      </c>
      <c r="G399" s="40">
        <v>0.59722222222222221</v>
      </c>
      <c r="H399" s="41" t="s">
        <v>57</v>
      </c>
      <c r="I399" s="38" t="s">
        <v>83</v>
      </c>
      <c r="J399" s="41" t="s">
        <v>116</v>
      </c>
      <c r="K399" s="38">
        <v>120</v>
      </c>
    </row>
    <row r="400" spans="1:11" ht="23.5" hidden="1" thickBot="1">
      <c r="A400" s="84">
        <v>4500069963</v>
      </c>
      <c r="B400" s="39">
        <v>45436</v>
      </c>
      <c r="C400" s="40">
        <v>0.40347222222222223</v>
      </c>
      <c r="D400" s="38">
        <v>114010</v>
      </c>
      <c r="E400" s="38">
        <v>18365</v>
      </c>
      <c r="F400" s="39">
        <v>45436</v>
      </c>
      <c r="G400" s="40">
        <v>0.59722222222222221</v>
      </c>
      <c r="H400" s="41" t="s">
        <v>57</v>
      </c>
      <c r="I400" s="38" t="s">
        <v>83</v>
      </c>
      <c r="J400" s="41" t="s">
        <v>115</v>
      </c>
      <c r="K400" s="38">
        <v>40</v>
      </c>
    </row>
    <row r="401" spans="1:11" ht="23.5" hidden="1" thickBot="1">
      <c r="A401" s="104">
        <v>4500069963</v>
      </c>
      <c r="B401" s="105">
        <v>45436</v>
      </c>
      <c r="C401" s="106">
        <v>0.40347222222222223</v>
      </c>
      <c r="D401" s="107">
        <v>114010</v>
      </c>
      <c r="E401" s="107">
        <v>18387</v>
      </c>
      <c r="F401" s="105">
        <v>45436</v>
      </c>
      <c r="G401" s="106">
        <v>0.59722222222222221</v>
      </c>
      <c r="H401" s="108" t="s">
        <v>57</v>
      </c>
      <c r="I401" s="107" t="s">
        <v>83</v>
      </c>
      <c r="J401" s="108" t="s">
        <v>115</v>
      </c>
      <c r="K401" s="107">
        <v>40</v>
      </c>
    </row>
    <row r="402" spans="1:11" ht="23.5" hidden="1" thickBot="1">
      <c r="A402" s="84">
        <v>4500069963</v>
      </c>
      <c r="B402" s="39">
        <v>45436</v>
      </c>
      <c r="C402" s="40">
        <v>0.40347222222222223</v>
      </c>
      <c r="D402" s="38">
        <v>114010</v>
      </c>
      <c r="E402" s="38">
        <v>18365</v>
      </c>
      <c r="F402" s="39">
        <v>45436</v>
      </c>
      <c r="G402" s="40">
        <v>0.59722222222222221</v>
      </c>
      <c r="H402" s="41" t="s">
        <v>57</v>
      </c>
      <c r="I402" s="38" t="s">
        <v>83</v>
      </c>
      <c r="J402" s="41" t="s">
        <v>209</v>
      </c>
      <c r="K402" s="38">
        <v>12</v>
      </c>
    </row>
    <row r="403" spans="1:11" ht="23.5" hidden="1" thickBot="1">
      <c r="A403" s="84">
        <v>4500069963</v>
      </c>
      <c r="B403" s="39">
        <v>45436</v>
      </c>
      <c r="C403" s="40">
        <v>0.40347222222222223</v>
      </c>
      <c r="D403" s="38">
        <v>114010</v>
      </c>
      <c r="E403" s="38">
        <v>18365</v>
      </c>
      <c r="F403" s="39">
        <v>45436</v>
      </c>
      <c r="G403" s="40">
        <v>0.59722222222222221</v>
      </c>
      <c r="H403" s="41" t="s">
        <v>57</v>
      </c>
      <c r="I403" s="38" t="s">
        <v>83</v>
      </c>
      <c r="J403" s="41" t="s">
        <v>206</v>
      </c>
      <c r="K403" s="38">
        <v>200</v>
      </c>
    </row>
    <row r="404" spans="1:11" ht="23.5" hidden="1" thickBot="1">
      <c r="A404" s="84">
        <v>4500069963</v>
      </c>
      <c r="B404" s="39">
        <v>45436</v>
      </c>
      <c r="C404" s="40">
        <v>0.40347222222222223</v>
      </c>
      <c r="D404" s="38">
        <v>114010</v>
      </c>
      <c r="E404" s="38">
        <v>18365</v>
      </c>
      <c r="F404" s="39">
        <v>45436</v>
      </c>
      <c r="G404" s="40">
        <v>0.59722222222222221</v>
      </c>
      <c r="H404" s="41" t="s">
        <v>57</v>
      </c>
      <c r="I404" s="38" t="s">
        <v>83</v>
      </c>
      <c r="J404" s="41" t="s">
        <v>194</v>
      </c>
      <c r="K404" s="38">
        <v>40</v>
      </c>
    </row>
    <row r="405" spans="1:11" ht="23.5" hidden="1" thickBot="1">
      <c r="A405" s="84">
        <v>4500069963</v>
      </c>
      <c r="B405" s="39">
        <v>45436</v>
      </c>
      <c r="C405" s="40">
        <v>0.40347222222222223</v>
      </c>
      <c r="D405" s="38">
        <v>114010</v>
      </c>
      <c r="E405" s="38">
        <v>18365</v>
      </c>
      <c r="F405" s="39">
        <v>45436</v>
      </c>
      <c r="G405" s="40">
        <v>0.59722222222222221</v>
      </c>
      <c r="H405" s="41" t="s">
        <v>57</v>
      </c>
      <c r="I405" s="38" t="s">
        <v>83</v>
      </c>
      <c r="J405" s="41" t="s">
        <v>118</v>
      </c>
      <c r="K405" s="38">
        <v>80</v>
      </c>
    </row>
    <row r="406" spans="1:11" ht="23.5" hidden="1" thickBot="1">
      <c r="A406" s="84">
        <v>4500069963</v>
      </c>
      <c r="B406" s="39">
        <v>45436</v>
      </c>
      <c r="C406" s="40">
        <v>0.40347222222222223</v>
      </c>
      <c r="D406" s="38">
        <v>114010</v>
      </c>
      <c r="E406" s="38">
        <v>18365</v>
      </c>
      <c r="F406" s="39">
        <v>45436</v>
      </c>
      <c r="G406" s="40">
        <v>0.59722222222222221</v>
      </c>
      <c r="H406" s="41" t="s">
        <v>57</v>
      </c>
      <c r="I406" s="38" t="s">
        <v>83</v>
      </c>
      <c r="J406" s="41" t="s">
        <v>151</v>
      </c>
      <c r="K406" s="38">
        <v>12</v>
      </c>
    </row>
    <row r="407" spans="1:11" ht="35" hidden="1" thickBot="1">
      <c r="A407" s="84">
        <v>951721</v>
      </c>
      <c r="B407" s="39">
        <v>45436</v>
      </c>
      <c r="C407" s="40">
        <v>0.44861111111111113</v>
      </c>
      <c r="D407" s="38">
        <v>114011</v>
      </c>
      <c r="E407" s="38">
        <v>18350</v>
      </c>
      <c r="F407" s="39">
        <v>45436</v>
      </c>
      <c r="G407" s="40">
        <v>0.59722222222222221</v>
      </c>
      <c r="H407" s="41" t="s">
        <v>38</v>
      </c>
      <c r="I407" s="38" t="s">
        <v>78</v>
      </c>
      <c r="J407" s="41" t="s">
        <v>212</v>
      </c>
      <c r="K407" s="38">
        <v>2</v>
      </c>
    </row>
    <row r="408" spans="1:11" ht="23.5" hidden="1" thickBot="1">
      <c r="A408" s="84" t="s">
        <v>346</v>
      </c>
      <c r="B408" s="39">
        <v>45436</v>
      </c>
      <c r="C408" s="40">
        <v>0.45</v>
      </c>
      <c r="D408" s="38">
        <v>114009</v>
      </c>
      <c r="E408" s="38">
        <v>18343</v>
      </c>
      <c r="F408" s="39">
        <v>45436</v>
      </c>
      <c r="G408" s="40">
        <v>0.52430555555555558</v>
      </c>
      <c r="H408" s="41" t="s">
        <v>347</v>
      </c>
      <c r="I408" s="38" t="s">
        <v>333</v>
      </c>
      <c r="J408" s="41" t="s">
        <v>189</v>
      </c>
      <c r="K408" s="38">
        <v>200</v>
      </c>
    </row>
    <row r="409" spans="1:11" ht="23.5" hidden="1" thickBot="1">
      <c r="A409" s="84">
        <v>41440</v>
      </c>
      <c r="B409" s="39">
        <v>45436</v>
      </c>
      <c r="C409" s="40">
        <v>0.59097222222222223</v>
      </c>
      <c r="D409" s="38">
        <v>114013</v>
      </c>
      <c r="E409" s="38">
        <v>18352</v>
      </c>
      <c r="F409" s="39">
        <v>45436</v>
      </c>
      <c r="G409" s="40">
        <v>0.625</v>
      </c>
      <c r="H409" s="41" t="s">
        <v>348</v>
      </c>
      <c r="I409" s="38" t="s">
        <v>82</v>
      </c>
      <c r="J409" s="41" t="s">
        <v>206</v>
      </c>
      <c r="K409" s="38">
        <v>24</v>
      </c>
    </row>
    <row r="410" spans="1:11" ht="35" hidden="1" thickBot="1">
      <c r="A410" s="84">
        <v>41440</v>
      </c>
      <c r="B410" s="39">
        <v>45436</v>
      </c>
      <c r="C410" s="40">
        <v>0.59097222222222223</v>
      </c>
      <c r="D410" s="38">
        <v>114013</v>
      </c>
      <c r="E410" s="38">
        <v>18352</v>
      </c>
      <c r="F410" s="39">
        <v>45436</v>
      </c>
      <c r="G410" s="40">
        <v>0.625</v>
      </c>
      <c r="H410" s="41" t="s">
        <v>348</v>
      </c>
      <c r="I410" s="38" t="s">
        <v>82</v>
      </c>
      <c r="J410" s="41" t="s">
        <v>230</v>
      </c>
      <c r="K410" s="38">
        <v>30</v>
      </c>
    </row>
    <row r="411" spans="1:11" ht="35" hidden="1" thickBot="1">
      <c r="A411" s="84">
        <v>41440</v>
      </c>
      <c r="B411" s="39">
        <v>45436</v>
      </c>
      <c r="C411" s="40">
        <v>0.59097222222222223</v>
      </c>
      <c r="D411" s="38">
        <v>114013</v>
      </c>
      <c r="E411" s="38">
        <v>18352</v>
      </c>
      <c r="F411" s="39">
        <v>45436</v>
      </c>
      <c r="G411" s="40">
        <v>0.625</v>
      </c>
      <c r="H411" s="41" t="s">
        <v>348</v>
      </c>
      <c r="I411" s="38" t="s">
        <v>82</v>
      </c>
      <c r="J411" s="41" t="s">
        <v>207</v>
      </c>
      <c r="K411" s="38">
        <v>60</v>
      </c>
    </row>
    <row r="412" spans="1:11" ht="23.5" hidden="1" thickBot="1">
      <c r="A412" s="84">
        <v>41440</v>
      </c>
      <c r="B412" s="39">
        <v>45436</v>
      </c>
      <c r="C412" s="40">
        <v>0.59097222222222223</v>
      </c>
      <c r="D412" s="38">
        <v>114013</v>
      </c>
      <c r="E412" s="38">
        <v>18352</v>
      </c>
      <c r="F412" s="39">
        <v>45436</v>
      </c>
      <c r="G412" s="40">
        <v>0.625</v>
      </c>
      <c r="H412" s="41" t="s">
        <v>348</v>
      </c>
      <c r="I412" s="38" t="s">
        <v>82</v>
      </c>
      <c r="J412" s="41" t="s">
        <v>295</v>
      </c>
      <c r="K412" s="38">
        <v>36</v>
      </c>
    </row>
    <row r="413" spans="1:11" ht="69.5" hidden="1" thickBot="1">
      <c r="A413" s="84" t="s">
        <v>349</v>
      </c>
      <c r="B413" s="39">
        <v>45436</v>
      </c>
      <c r="C413" s="40">
        <v>0.52777777777777779</v>
      </c>
      <c r="D413" s="38">
        <v>114014</v>
      </c>
      <c r="E413" s="38">
        <v>18366</v>
      </c>
      <c r="F413" s="39">
        <v>45439</v>
      </c>
      <c r="G413" s="40">
        <v>0.60833333333333328</v>
      </c>
      <c r="H413" s="41" t="s">
        <v>193</v>
      </c>
      <c r="I413" s="38" t="s">
        <v>76</v>
      </c>
      <c r="J413" s="41" t="s">
        <v>112</v>
      </c>
      <c r="K413" s="38">
        <v>2</v>
      </c>
    </row>
    <row r="414" spans="1:11" ht="69.5" hidden="1" thickBot="1">
      <c r="A414" s="84" t="s">
        <v>349</v>
      </c>
      <c r="B414" s="39">
        <v>45436</v>
      </c>
      <c r="C414" s="40">
        <v>0.52777777777777779</v>
      </c>
      <c r="D414" s="38">
        <v>114014</v>
      </c>
      <c r="E414" s="38">
        <v>18366</v>
      </c>
      <c r="F414" s="39">
        <v>45439</v>
      </c>
      <c r="G414" s="40">
        <v>0.60833333333333328</v>
      </c>
      <c r="H414" s="41" t="s">
        <v>193</v>
      </c>
      <c r="I414" s="38" t="s">
        <v>76</v>
      </c>
      <c r="J414" s="41" t="s">
        <v>194</v>
      </c>
      <c r="K414" s="38">
        <v>20</v>
      </c>
    </row>
    <row r="415" spans="1:11" ht="35" hidden="1" thickBot="1">
      <c r="A415" s="84" t="s">
        <v>350</v>
      </c>
      <c r="B415" s="39">
        <v>45436</v>
      </c>
      <c r="C415" s="40">
        <v>0.72361111111111109</v>
      </c>
      <c r="D415" s="38">
        <v>114015</v>
      </c>
      <c r="E415" s="38">
        <v>18368</v>
      </c>
      <c r="F415" s="39">
        <v>45439</v>
      </c>
      <c r="G415" s="40">
        <v>0.60833333333333328</v>
      </c>
      <c r="H415" s="41" t="s">
        <v>351</v>
      </c>
      <c r="I415" s="38" t="s">
        <v>235</v>
      </c>
      <c r="J415" s="41" t="s">
        <v>352</v>
      </c>
      <c r="K415" s="38">
        <v>94</v>
      </c>
    </row>
    <row r="416" spans="1:11" ht="23.5" hidden="1" thickBot="1">
      <c r="A416" s="92">
        <v>69199</v>
      </c>
      <c r="B416" s="39">
        <v>45439</v>
      </c>
      <c r="C416" s="40">
        <v>0.46319444444444446</v>
      </c>
      <c r="D416" s="38">
        <v>114019</v>
      </c>
      <c r="E416" s="38">
        <v>18369</v>
      </c>
      <c r="F416" s="39">
        <v>45439</v>
      </c>
      <c r="G416" s="40">
        <v>0.60833333333333328</v>
      </c>
      <c r="H416" s="41" t="s">
        <v>231</v>
      </c>
      <c r="I416" s="38" t="s">
        <v>142</v>
      </c>
      <c r="J416" s="41" t="s">
        <v>151</v>
      </c>
      <c r="K416" s="38">
        <v>4</v>
      </c>
    </row>
    <row r="417" spans="1:11" ht="23.5" hidden="1" thickBot="1">
      <c r="A417" s="84">
        <v>4500070015</v>
      </c>
      <c r="B417" s="39">
        <v>45439</v>
      </c>
      <c r="C417" s="40">
        <v>0.55625000000000002</v>
      </c>
      <c r="D417" s="38">
        <v>114018</v>
      </c>
      <c r="E417" s="38">
        <v>18377</v>
      </c>
      <c r="F417" s="39">
        <v>45439</v>
      </c>
      <c r="G417" s="40">
        <v>0.60833333333333328</v>
      </c>
      <c r="H417" s="41" t="s">
        <v>57</v>
      </c>
      <c r="I417" s="38" t="s">
        <v>80</v>
      </c>
      <c r="J417" s="41" t="s">
        <v>194</v>
      </c>
      <c r="K417" s="38">
        <v>8</v>
      </c>
    </row>
    <row r="418" spans="1:11" ht="23.5" hidden="1" thickBot="1">
      <c r="A418" s="84">
        <v>4500070015</v>
      </c>
      <c r="B418" s="39">
        <v>45439</v>
      </c>
      <c r="C418" s="40">
        <v>0.55625000000000002</v>
      </c>
      <c r="D418" s="38">
        <v>114018</v>
      </c>
      <c r="E418" s="38">
        <v>18377</v>
      </c>
      <c r="F418" s="39">
        <v>45439</v>
      </c>
      <c r="G418" s="40">
        <v>0.60833333333333328</v>
      </c>
      <c r="H418" s="41" t="s">
        <v>57</v>
      </c>
      <c r="I418" s="38" t="s">
        <v>80</v>
      </c>
      <c r="J418" s="41" t="s">
        <v>113</v>
      </c>
      <c r="K418" s="38">
        <v>4</v>
      </c>
    </row>
    <row r="419" spans="1:11" ht="23.5" hidden="1" thickBot="1">
      <c r="A419" s="104">
        <v>4500070015</v>
      </c>
      <c r="B419" s="105">
        <v>45439</v>
      </c>
      <c r="C419" s="106">
        <v>0.55625000000000002</v>
      </c>
      <c r="D419" s="107">
        <v>114018</v>
      </c>
      <c r="E419" s="107">
        <v>18385</v>
      </c>
      <c r="F419" s="105">
        <v>45439</v>
      </c>
      <c r="G419" s="106">
        <v>0.60833333333333328</v>
      </c>
      <c r="H419" s="108" t="s">
        <v>57</v>
      </c>
      <c r="I419" s="107" t="s">
        <v>80</v>
      </c>
      <c r="J419" s="108" t="s">
        <v>115</v>
      </c>
      <c r="K419" s="107">
        <v>40</v>
      </c>
    </row>
    <row r="420" spans="1:11" ht="23.5" hidden="1" thickBot="1">
      <c r="A420" s="84">
        <v>4500070015</v>
      </c>
      <c r="B420" s="39">
        <v>45439</v>
      </c>
      <c r="C420" s="40">
        <v>0.55625000000000002</v>
      </c>
      <c r="D420" s="38">
        <v>114018</v>
      </c>
      <c r="E420" s="38">
        <v>18377</v>
      </c>
      <c r="F420" s="39">
        <v>45439</v>
      </c>
      <c r="G420" s="40">
        <v>0.60833333333333328</v>
      </c>
      <c r="H420" s="41" t="s">
        <v>57</v>
      </c>
      <c r="I420" s="38" t="s">
        <v>80</v>
      </c>
      <c r="J420" s="41" t="s">
        <v>209</v>
      </c>
      <c r="K420" s="38">
        <v>8</v>
      </c>
    </row>
    <row r="421" spans="1:11" ht="35" hidden="1" thickBot="1">
      <c r="A421" s="84">
        <v>4500070015</v>
      </c>
      <c r="B421" s="39">
        <v>45439</v>
      </c>
      <c r="C421" s="40">
        <v>0.55625000000000002</v>
      </c>
      <c r="D421" s="38">
        <v>114018</v>
      </c>
      <c r="E421" s="38">
        <v>18377</v>
      </c>
      <c r="F421" s="39">
        <v>45439</v>
      </c>
      <c r="G421" s="40">
        <v>0.60833333333333328</v>
      </c>
      <c r="H421" s="41" t="s">
        <v>57</v>
      </c>
      <c r="I421" s="38" t="s">
        <v>80</v>
      </c>
      <c r="J421" s="41" t="s">
        <v>136</v>
      </c>
      <c r="K421" s="38">
        <v>8</v>
      </c>
    </row>
    <row r="422" spans="1:11" ht="23.5" hidden="1" thickBot="1">
      <c r="A422" s="84">
        <v>4500070015</v>
      </c>
      <c r="B422" s="39">
        <v>45439</v>
      </c>
      <c r="C422" s="40">
        <v>0.55625000000000002</v>
      </c>
      <c r="D422" s="38">
        <v>114018</v>
      </c>
      <c r="E422" s="38">
        <v>18377</v>
      </c>
      <c r="F422" s="39">
        <v>45439</v>
      </c>
      <c r="G422" s="40">
        <v>0.60833333333333328</v>
      </c>
      <c r="H422" s="41" t="s">
        <v>57</v>
      </c>
      <c r="I422" s="38" t="s">
        <v>80</v>
      </c>
      <c r="J422" s="41" t="s">
        <v>118</v>
      </c>
      <c r="K422" s="38">
        <v>16</v>
      </c>
    </row>
    <row r="423" spans="1:11" ht="23.5" hidden="1" thickBot="1">
      <c r="A423" s="92">
        <v>69225</v>
      </c>
      <c r="B423" s="39">
        <v>45439</v>
      </c>
      <c r="C423" s="40">
        <v>0.60416666666666663</v>
      </c>
      <c r="D423" s="38">
        <v>114019</v>
      </c>
      <c r="E423" s="38">
        <v>18370</v>
      </c>
      <c r="F423" s="39">
        <v>45439</v>
      </c>
      <c r="G423" s="40">
        <v>0.60833333333333328</v>
      </c>
      <c r="H423" s="41" t="s">
        <v>231</v>
      </c>
      <c r="I423" s="38" t="s">
        <v>142</v>
      </c>
      <c r="J423" s="41" t="s">
        <v>295</v>
      </c>
      <c r="K423" s="38">
        <v>7</v>
      </c>
    </row>
    <row r="424" spans="1:11" ht="23.5" hidden="1" thickBot="1">
      <c r="A424" s="92">
        <v>69225</v>
      </c>
      <c r="B424" s="39">
        <v>45439</v>
      </c>
      <c r="C424" s="40">
        <v>0.60416666666666663</v>
      </c>
      <c r="D424" s="38">
        <v>114019</v>
      </c>
      <c r="E424" s="38">
        <v>18370</v>
      </c>
      <c r="F424" s="39">
        <v>45439</v>
      </c>
      <c r="G424" s="40">
        <v>0.60833333333333328</v>
      </c>
      <c r="H424" s="41" t="s">
        <v>231</v>
      </c>
      <c r="I424" s="38" t="s">
        <v>142</v>
      </c>
      <c r="J424" s="41" t="s">
        <v>261</v>
      </c>
      <c r="K424" s="38">
        <v>7</v>
      </c>
    </row>
    <row r="425" spans="1:11" ht="23.5" hidden="1" thickBot="1">
      <c r="A425" s="84" t="s">
        <v>353</v>
      </c>
      <c r="B425" s="39">
        <v>45439</v>
      </c>
      <c r="C425" s="40">
        <v>0.67777777777777781</v>
      </c>
      <c r="D425" s="38">
        <v>114022</v>
      </c>
      <c r="E425" s="38">
        <v>18372</v>
      </c>
      <c r="F425" s="39">
        <v>45440</v>
      </c>
      <c r="G425" s="40">
        <v>0.37847222222222221</v>
      </c>
      <c r="H425" s="41" t="s">
        <v>54</v>
      </c>
      <c r="I425" s="38" t="s">
        <v>75</v>
      </c>
      <c r="J425" s="41" t="s">
        <v>112</v>
      </c>
      <c r="K425" s="38">
        <v>20</v>
      </c>
    </row>
    <row r="426" spans="1:11" ht="23.5" hidden="1" thickBot="1">
      <c r="A426" s="84" t="s">
        <v>353</v>
      </c>
      <c r="B426" s="39">
        <v>45439</v>
      </c>
      <c r="C426" s="40">
        <v>0.67777777777777781</v>
      </c>
      <c r="D426" s="38">
        <v>114022</v>
      </c>
      <c r="E426" s="38">
        <v>18372</v>
      </c>
      <c r="F426" s="39">
        <v>45440</v>
      </c>
      <c r="G426" s="40">
        <v>0.37847222222222221</v>
      </c>
      <c r="H426" s="41" t="s">
        <v>54</v>
      </c>
      <c r="I426" s="38" t="s">
        <v>75</v>
      </c>
      <c r="J426" s="41" t="s">
        <v>221</v>
      </c>
      <c r="K426" s="38">
        <v>20</v>
      </c>
    </row>
    <row r="427" spans="1:11" ht="23.5" hidden="1" thickBot="1">
      <c r="A427" s="84" t="s">
        <v>353</v>
      </c>
      <c r="B427" s="39">
        <v>45439</v>
      </c>
      <c r="C427" s="40">
        <v>0.67777777777777781</v>
      </c>
      <c r="D427" s="38">
        <v>114022</v>
      </c>
      <c r="E427" s="38">
        <v>18372</v>
      </c>
      <c r="F427" s="39">
        <v>45440</v>
      </c>
      <c r="G427" s="40">
        <v>0.37847222222222221</v>
      </c>
      <c r="H427" s="41" t="s">
        <v>54</v>
      </c>
      <c r="I427" s="38" t="s">
        <v>75</v>
      </c>
      <c r="J427" s="41" t="s">
        <v>215</v>
      </c>
      <c r="K427" s="38">
        <v>10</v>
      </c>
    </row>
    <row r="428" spans="1:11" ht="23.5" hidden="1" thickBot="1">
      <c r="A428" s="84" t="s">
        <v>353</v>
      </c>
      <c r="B428" s="39">
        <v>45439</v>
      </c>
      <c r="C428" s="40">
        <v>0.67777777777777781</v>
      </c>
      <c r="D428" s="38">
        <v>114022</v>
      </c>
      <c r="E428" s="38">
        <v>18372</v>
      </c>
      <c r="F428" s="39">
        <v>45440</v>
      </c>
      <c r="G428" s="40">
        <v>0.37847222222222221</v>
      </c>
      <c r="H428" s="41" t="s">
        <v>54</v>
      </c>
      <c r="I428" s="38" t="s">
        <v>75</v>
      </c>
      <c r="J428" s="41" t="s">
        <v>113</v>
      </c>
      <c r="K428" s="38">
        <v>2</v>
      </c>
    </row>
    <row r="429" spans="1:11" ht="23.5" hidden="1" thickBot="1">
      <c r="A429" s="84" t="s">
        <v>353</v>
      </c>
      <c r="B429" s="39">
        <v>45439</v>
      </c>
      <c r="C429" s="40">
        <v>0.67777777777777781</v>
      </c>
      <c r="D429" s="38">
        <v>114022</v>
      </c>
      <c r="E429" s="38">
        <v>18372</v>
      </c>
      <c r="F429" s="39">
        <v>45440</v>
      </c>
      <c r="G429" s="40">
        <v>0.37847222222222221</v>
      </c>
      <c r="H429" s="41" t="s">
        <v>54</v>
      </c>
      <c r="I429" s="38" t="s">
        <v>75</v>
      </c>
      <c r="J429" s="41" t="s">
        <v>153</v>
      </c>
      <c r="K429" s="38">
        <v>3</v>
      </c>
    </row>
    <row r="430" spans="1:11" ht="23.5" hidden="1" thickBot="1">
      <c r="A430" s="84" t="s">
        <v>353</v>
      </c>
      <c r="B430" s="39">
        <v>45439</v>
      </c>
      <c r="C430" s="40">
        <v>0.67777777777777781</v>
      </c>
      <c r="D430" s="38">
        <v>114022</v>
      </c>
      <c r="E430" s="38">
        <v>18372</v>
      </c>
      <c r="F430" s="39">
        <v>45440</v>
      </c>
      <c r="G430" s="40">
        <v>0.37847222222222221</v>
      </c>
      <c r="H430" s="41" t="s">
        <v>54</v>
      </c>
      <c r="I430" s="38" t="s">
        <v>75</v>
      </c>
      <c r="J430" s="41" t="s">
        <v>194</v>
      </c>
      <c r="K430" s="38">
        <v>10</v>
      </c>
    </row>
    <row r="431" spans="1:11" ht="35" hidden="1" thickBot="1">
      <c r="A431" s="84" t="s">
        <v>353</v>
      </c>
      <c r="B431" s="39">
        <v>45439</v>
      </c>
      <c r="C431" s="40">
        <v>0.67777777777777781</v>
      </c>
      <c r="D431" s="38">
        <v>114022</v>
      </c>
      <c r="E431" s="38">
        <v>18372</v>
      </c>
      <c r="F431" s="39">
        <v>45440</v>
      </c>
      <c r="G431" s="40">
        <v>0.37847222222222221</v>
      </c>
      <c r="H431" s="41" t="s">
        <v>54</v>
      </c>
      <c r="I431" s="38" t="s">
        <v>75</v>
      </c>
      <c r="J431" s="41" t="s">
        <v>214</v>
      </c>
      <c r="K431" s="38">
        <v>5</v>
      </c>
    </row>
    <row r="432" spans="1:11" ht="35" hidden="1" thickBot="1">
      <c r="A432" s="84">
        <v>4500070045</v>
      </c>
      <c r="B432" s="39">
        <v>45440</v>
      </c>
      <c r="C432" s="40">
        <v>0.38263888888888886</v>
      </c>
      <c r="D432" s="38">
        <v>114031</v>
      </c>
      <c r="E432" s="38">
        <v>18378</v>
      </c>
      <c r="F432" s="39">
        <v>45440</v>
      </c>
      <c r="G432" s="40">
        <v>0.39791666666666664</v>
      </c>
      <c r="H432" s="41" t="s">
        <v>57</v>
      </c>
      <c r="I432" s="38" t="s">
        <v>83</v>
      </c>
      <c r="J432" s="41" t="s">
        <v>143</v>
      </c>
      <c r="K432" s="38">
        <v>12</v>
      </c>
    </row>
    <row r="433" spans="1:11" ht="23.5" hidden="1" thickBot="1">
      <c r="A433" s="84">
        <v>4500070045</v>
      </c>
      <c r="B433" s="39">
        <v>45440</v>
      </c>
      <c r="C433" s="40">
        <v>0.38263888888888886</v>
      </c>
      <c r="D433" s="38">
        <v>114031</v>
      </c>
      <c r="E433" s="38">
        <v>18378</v>
      </c>
      <c r="F433" s="39">
        <v>45440</v>
      </c>
      <c r="G433" s="40">
        <v>0.39791666666666664</v>
      </c>
      <c r="H433" s="41" t="s">
        <v>57</v>
      </c>
      <c r="I433" s="38" t="s">
        <v>83</v>
      </c>
      <c r="J433" s="41" t="s">
        <v>111</v>
      </c>
      <c r="K433" s="38">
        <v>24</v>
      </c>
    </row>
    <row r="434" spans="1:11" ht="23.5" hidden="1" thickBot="1">
      <c r="A434" s="84">
        <v>4500070045</v>
      </c>
      <c r="B434" s="39">
        <v>45440</v>
      </c>
      <c r="C434" s="40">
        <v>0.38263888888888886</v>
      </c>
      <c r="D434" s="38">
        <v>114031</v>
      </c>
      <c r="E434" s="38">
        <v>18378</v>
      </c>
      <c r="F434" s="39">
        <v>45440</v>
      </c>
      <c r="G434" s="40">
        <v>0.39791666666666664</v>
      </c>
      <c r="H434" s="41" t="s">
        <v>57</v>
      </c>
      <c r="I434" s="38" t="s">
        <v>83</v>
      </c>
      <c r="J434" s="41" t="s">
        <v>116</v>
      </c>
      <c r="K434" s="38">
        <v>100</v>
      </c>
    </row>
    <row r="435" spans="1:11" ht="23.5" hidden="1" thickBot="1">
      <c r="A435" s="84">
        <v>4500070045</v>
      </c>
      <c r="B435" s="39">
        <v>45440</v>
      </c>
      <c r="C435" s="40">
        <v>0.38263888888888886</v>
      </c>
      <c r="D435" s="38">
        <v>114031</v>
      </c>
      <c r="E435" s="38">
        <v>18378</v>
      </c>
      <c r="F435" s="39">
        <v>45440</v>
      </c>
      <c r="G435" s="40">
        <v>0.39791666666666664</v>
      </c>
      <c r="H435" s="41" t="s">
        <v>57</v>
      </c>
      <c r="I435" s="38" t="s">
        <v>83</v>
      </c>
      <c r="J435" s="41" t="s">
        <v>220</v>
      </c>
      <c r="K435" s="38">
        <v>40</v>
      </c>
    </row>
    <row r="436" spans="1:11" ht="23.5" hidden="1" thickBot="1">
      <c r="A436" s="104">
        <v>4500070045</v>
      </c>
      <c r="B436" s="105">
        <v>45440</v>
      </c>
      <c r="C436" s="106">
        <v>0.38263888888888886</v>
      </c>
      <c r="D436" s="107">
        <v>114031</v>
      </c>
      <c r="E436" s="107">
        <v>18386</v>
      </c>
      <c r="F436" s="105">
        <v>45440</v>
      </c>
      <c r="G436" s="106">
        <v>0.39791666666666664</v>
      </c>
      <c r="H436" s="108" t="s">
        <v>57</v>
      </c>
      <c r="I436" s="107" t="s">
        <v>83</v>
      </c>
      <c r="J436" s="108" t="s">
        <v>115</v>
      </c>
      <c r="K436" s="107">
        <v>60</v>
      </c>
    </row>
    <row r="437" spans="1:11" ht="35" hidden="1" thickBot="1">
      <c r="A437" s="84">
        <v>4500070045</v>
      </c>
      <c r="B437" s="39">
        <v>45440</v>
      </c>
      <c r="C437" s="40">
        <v>0.38263888888888886</v>
      </c>
      <c r="D437" s="38">
        <v>114031</v>
      </c>
      <c r="E437" s="38">
        <v>18378</v>
      </c>
      <c r="F437" s="39">
        <v>45440</v>
      </c>
      <c r="G437" s="40">
        <v>0.39791666666666664</v>
      </c>
      <c r="H437" s="41" t="s">
        <v>57</v>
      </c>
      <c r="I437" s="38" t="s">
        <v>83</v>
      </c>
      <c r="J437" s="41" t="s">
        <v>136</v>
      </c>
      <c r="K437" s="38">
        <v>8</v>
      </c>
    </row>
    <row r="438" spans="1:11" ht="23.5" hidden="1" thickBot="1">
      <c r="A438" s="84">
        <v>4500070045</v>
      </c>
      <c r="B438" s="39">
        <v>45440</v>
      </c>
      <c r="C438" s="40">
        <v>0.38263888888888886</v>
      </c>
      <c r="D438" s="38">
        <v>114031</v>
      </c>
      <c r="E438" s="38">
        <v>18378</v>
      </c>
      <c r="F438" s="39">
        <v>45440</v>
      </c>
      <c r="G438" s="40">
        <v>0.39791666666666664</v>
      </c>
      <c r="H438" s="41" t="s">
        <v>57</v>
      </c>
      <c r="I438" s="38" t="s">
        <v>83</v>
      </c>
      <c r="J438" s="41" t="s">
        <v>209</v>
      </c>
      <c r="K438" s="38">
        <v>8</v>
      </c>
    </row>
    <row r="439" spans="1:11" ht="23.5" hidden="1" thickBot="1">
      <c r="A439" s="84">
        <v>4500070045</v>
      </c>
      <c r="B439" s="39">
        <v>45440</v>
      </c>
      <c r="C439" s="40">
        <v>0.38263888888888886</v>
      </c>
      <c r="D439" s="38">
        <v>114031</v>
      </c>
      <c r="E439" s="38">
        <v>18378</v>
      </c>
      <c r="F439" s="39">
        <v>45440</v>
      </c>
      <c r="G439" s="40">
        <v>0.39791666666666664</v>
      </c>
      <c r="H439" s="41" t="s">
        <v>57</v>
      </c>
      <c r="I439" s="38" t="s">
        <v>83</v>
      </c>
      <c r="J439" s="41" t="s">
        <v>118</v>
      </c>
      <c r="K439" s="38">
        <v>60</v>
      </c>
    </row>
    <row r="440" spans="1:11" ht="35" hidden="1" thickBot="1">
      <c r="A440" s="84" t="s">
        <v>354</v>
      </c>
      <c r="B440" s="39">
        <v>45440</v>
      </c>
      <c r="C440" s="40">
        <v>0.3840277777777778</v>
      </c>
      <c r="D440" s="38">
        <v>114032</v>
      </c>
      <c r="E440" s="38">
        <v>18373</v>
      </c>
      <c r="F440" s="39">
        <v>45440</v>
      </c>
      <c r="G440" s="40">
        <v>0.43194444444444446</v>
      </c>
      <c r="H440" s="41" t="s">
        <v>355</v>
      </c>
      <c r="I440" s="38" t="s">
        <v>86</v>
      </c>
      <c r="J440" s="41" t="s">
        <v>206</v>
      </c>
      <c r="K440" s="38">
        <v>40</v>
      </c>
    </row>
    <row r="441" spans="1:11" ht="35" hidden="1" thickBot="1">
      <c r="A441" s="84" t="s">
        <v>356</v>
      </c>
      <c r="B441" s="39">
        <v>45440</v>
      </c>
      <c r="C441" s="40">
        <v>0.42986111111111114</v>
      </c>
      <c r="D441" s="38">
        <v>114033</v>
      </c>
      <c r="E441" s="38">
        <v>18374</v>
      </c>
      <c r="F441" s="39">
        <v>45440</v>
      </c>
      <c r="G441" s="40">
        <v>0.43194444444444446</v>
      </c>
      <c r="H441" s="41" t="s">
        <v>355</v>
      </c>
      <c r="I441" s="38" t="s">
        <v>114</v>
      </c>
      <c r="J441" s="41" t="s">
        <v>120</v>
      </c>
      <c r="K441" s="38">
        <v>5</v>
      </c>
    </row>
    <row r="442" spans="1:11" ht="35" hidden="1" thickBot="1">
      <c r="A442" s="104" t="s">
        <v>356</v>
      </c>
      <c r="B442" s="105">
        <v>45440</v>
      </c>
      <c r="C442" s="106">
        <v>0.42986111111111114</v>
      </c>
      <c r="D442" s="107">
        <v>114033</v>
      </c>
      <c r="E442" s="107">
        <v>18374</v>
      </c>
      <c r="F442" s="105">
        <v>45440</v>
      </c>
      <c r="G442" s="106">
        <v>0.43194444444444446</v>
      </c>
      <c r="H442" s="108" t="s">
        <v>355</v>
      </c>
      <c r="I442" s="107" t="s">
        <v>114</v>
      </c>
      <c r="J442" s="108" t="s">
        <v>115</v>
      </c>
      <c r="K442" s="107">
        <v>2</v>
      </c>
    </row>
    <row r="443" spans="1:11" ht="35" hidden="1" thickBot="1">
      <c r="A443" s="84" t="s">
        <v>356</v>
      </c>
      <c r="B443" s="39">
        <v>45440</v>
      </c>
      <c r="C443" s="40">
        <v>0.42986111111111114</v>
      </c>
      <c r="D443" s="38">
        <v>114033</v>
      </c>
      <c r="E443" s="38">
        <v>18374</v>
      </c>
      <c r="F443" s="39">
        <v>45440</v>
      </c>
      <c r="G443" s="40">
        <v>0.43194444444444446</v>
      </c>
      <c r="H443" s="41" t="s">
        <v>355</v>
      </c>
      <c r="I443" s="38" t="s">
        <v>114</v>
      </c>
      <c r="J443" s="41" t="s">
        <v>111</v>
      </c>
      <c r="K443" s="38">
        <v>8</v>
      </c>
    </row>
    <row r="444" spans="1:11" ht="35" hidden="1" thickBot="1">
      <c r="A444" s="84" t="s">
        <v>356</v>
      </c>
      <c r="B444" s="39">
        <v>45440</v>
      </c>
      <c r="C444" s="40">
        <v>0.42986111111111114</v>
      </c>
      <c r="D444" s="38">
        <v>114033</v>
      </c>
      <c r="E444" s="38">
        <v>18374</v>
      </c>
      <c r="F444" s="39">
        <v>45440</v>
      </c>
      <c r="G444" s="40">
        <v>0.43194444444444446</v>
      </c>
      <c r="H444" s="41" t="s">
        <v>355</v>
      </c>
      <c r="I444" s="38" t="s">
        <v>114</v>
      </c>
      <c r="J444" s="41" t="s">
        <v>209</v>
      </c>
      <c r="K444" s="38">
        <v>1</v>
      </c>
    </row>
    <row r="445" spans="1:11" ht="46.5" hidden="1" thickBot="1">
      <c r="A445" s="84" t="s">
        <v>356</v>
      </c>
      <c r="B445" s="39">
        <v>45440</v>
      </c>
      <c r="C445" s="40">
        <v>0.42986111111111114</v>
      </c>
      <c r="D445" s="38">
        <v>114033</v>
      </c>
      <c r="E445" s="38">
        <v>18374</v>
      </c>
      <c r="F445" s="39">
        <v>45440</v>
      </c>
      <c r="G445" s="40">
        <v>0.43194444444444446</v>
      </c>
      <c r="H445" s="41" t="s">
        <v>355</v>
      </c>
      <c r="I445" s="38" t="s">
        <v>114</v>
      </c>
      <c r="J445" s="41" t="s">
        <v>145</v>
      </c>
      <c r="K445" s="38">
        <v>20</v>
      </c>
    </row>
    <row r="446" spans="1:11" ht="35" hidden="1" thickBot="1">
      <c r="A446" s="84" t="s">
        <v>356</v>
      </c>
      <c r="B446" s="39">
        <v>45440</v>
      </c>
      <c r="C446" s="40">
        <v>0.42986111111111114</v>
      </c>
      <c r="D446" s="38">
        <v>114033</v>
      </c>
      <c r="E446" s="38">
        <v>18374</v>
      </c>
      <c r="F446" s="39">
        <v>45440</v>
      </c>
      <c r="G446" s="40">
        <v>0.43194444444444446</v>
      </c>
      <c r="H446" s="41" t="s">
        <v>355</v>
      </c>
      <c r="I446" s="38" t="s">
        <v>114</v>
      </c>
      <c r="J446" s="41" t="s">
        <v>218</v>
      </c>
      <c r="K446" s="38">
        <v>5</v>
      </c>
    </row>
    <row r="447" spans="1:11" ht="35" hidden="1" thickBot="1">
      <c r="A447" s="84">
        <v>4631</v>
      </c>
      <c r="B447" s="39">
        <v>45370</v>
      </c>
      <c r="C447" s="40">
        <v>0.66597222222222219</v>
      </c>
      <c r="D447" s="38">
        <v>113528</v>
      </c>
      <c r="E447" s="38">
        <v>18357</v>
      </c>
      <c r="F447" s="39">
        <v>45371</v>
      </c>
      <c r="G447" s="40">
        <v>0.41041666666666665</v>
      </c>
      <c r="H447" s="41" t="s">
        <v>219</v>
      </c>
      <c r="I447" s="38" t="s">
        <v>81</v>
      </c>
      <c r="J447" s="41" t="s">
        <v>357</v>
      </c>
      <c r="K447" s="38">
        <v>31</v>
      </c>
    </row>
    <row r="448" spans="1:11" ht="35" hidden="1" thickBot="1">
      <c r="A448" s="84">
        <v>109</v>
      </c>
      <c r="B448" s="39">
        <v>45440</v>
      </c>
      <c r="C448" s="40">
        <v>0.5854166666666667</v>
      </c>
      <c r="D448" s="38">
        <v>114035</v>
      </c>
      <c r="E448" s="38">
        <v>18364</v>
      </c>
      <c r="F448" s="39">
        <v>45440</v>
      </c>
      <c r="G448" s="40">
        <v>0.60763888888888884</v>
      </c>
      <c r="H448" s="41" t="s">
        <v>294</v>
      </c>
      <c r="I448" s="38" t="s">
        <v>78</v>
      </c>
      <c r="J448" s="41" t="s">
        <v>207</v>
      </c>
      <c r="K448" s="38">
        <v>5</v>
      </c>
    </row>
    <row r="449" spans="1:11" ht="35" hidden="1" thickBot="1">
      <c r="A449" s="84">
        <v>955109</v>
      </c>
      <c r="B449" s="39">
        <v>45440</v>
      </c>
      <c r="C449" s="40">
        <v>0.63194444444444442</v>
      </c>
      <c r="D449" s="38">
        <v>114037</v>
      </c>
      <c r="E449" s="38">
        <v>18376</v>
      </c>
      <c r="F449" s="39">
        <v>45440</v>
      </c>
      <c r="G449" s="40">
        <v>0.63194444444444442</v>
      </c>
      <c r="H449" s="41" t="s">
        <v>51</v>
      </c>
      <c r="I449" s="38" t="s">
        <v>343</v>
      </c>
      <c r="J449" s="41" t="s">
        <v>357</v>
      </c>
      <c r="K449" s="38">
        <v>96</v>
      </c>
    </row>
    <row r="450" spans="1:11" ht="23.5" hidden="1" thickBot="1">
      <c r="A450" s="84">
        <v>110</v>
      </c>
      <c r="B450" s="39">
        <v>45440</v>
      </c>
      <c r="C450" s="40">
        <v>0.66666666666666663</v>
      </c>
      <c r="D450" s="38">
        <v>114038</v>
      </c>
      <c r="E450" s="38">
        <v>18375</v>
      </c>
      <c r="F450" s="39">
        <v>45440</v>
      </c>
      <c r="G450" s="40">
        <v>0.69722222222222219</v>
      </c>
      <c r="H450" s="41" t="s">
        <v>294</v>
      </c>
      <c r="I450" s="38" t="s">
        <v>78</v>
      </c>
      <c r="J450" s="41" t="s">
        <v>166</v>
      </c>
      <c r="K450" s="38">
        <v>1</v>
      </c>
    </row>
    <row r="451" spans="1:11" ht="51" hidden="1" thickBot="1">
      <c r="A451" s="84" t="s">
        <v>358</v>
      </c>
      <c r="B451" s="43">
        <v>45439</v>
      </c>
      <c r="C451" s="47">
        <v>0.40069444444444446</v>
      </c>
      <c r="D451" s="38">
        <v>114017</v>
      </c>
      <c r="E451" s="38">
        <v>18371</v>
      </c>
      <c r="F451" s="39">
        <v>45439</v>
      </c>
      <c r="G451" s="40">
        <v>0.57916666666666672</v>
      </c>
      <c r="H451" s="46" t="s">
        <v>359</v>
      </c>
      <c r="I451" s="48" t="s">
        <v>176</v>
      </c>
      <c r="J451" s="41" t="s">
        <v>360</v>
      </c>
      <c r="K451" s="38">
        <v>12</v>
      </c>
    </row>
    <row r="452" spans="1:11" ht="23.5" hidden="1" thickBot="1">
      <c r="A452" s="88">
        <v>4500070071</v>
      </c>
      <c r="B452" s="43">
        <v>45440</v>
      </c>
      <c r="C452" s="47">
        <v>0.70625000000000004</v>
      </c>
      <c r="D452" s="38">
        <v>114041</v>
      </c>
      <c r="E452" s="38">
        <v>18380</v>
      </c>
      <c r="F452" s="39">
        <v>45441</v>
      </c>
      <c r="G452" s="40">
        <v>0.53888888888888886</v>
      </c>
      <c r="H452" s="46" t="s">
        <v>57</v>
      </c>
      <c r="I452" s="48" t="s">
        <v>83</v>
      </c>
      <c r="J452" s="41" t="s">
        <v>361</v>
      </c>
      <c r="K452" s="38">
        <v>600</v>
      </c>
    </row>
    <row r="453" spans="1:11" ht="46.5" hidden="1" thickBot="1">
      <c r="A453" s="84">
        <v>4500070071</v>
      </c>
      <c r="B453" s="43">
        <v>45440</v>
      </c>
      <c r="C453" s="47">
        <v>0.70625000000000004</v>
      </c>
      <c r="D453" s="38">
        <v>114041</v>
      </c>
      <c r="E453" s="38">
        <v>18380</v>
      </c>
      <c r="F453" s="39">
        <v>45441</v>
      </c>
      <c r="G453" s="40">
        <v>0.53888888888888886</v>
      </c>
      <c r="H453" s="46" t="s">
        <v>57</v>
      </c>
      <c r="I453" s="48" t="s">
        <v>83</v>
      </c>
      <c r="J453" s="41" t="s">
        <v>362</v>
      </c>
      <c r="K453" s="38">
        <v>400</v>
      </c>
    </row>
    <row r="454" spans="1:11" ht="23.5" hidden="1" thickBot="1">
      <c r="A454" s="84">
        <v>4500070102</v>
      </c>
      <c r="B454" s="43">
        <v>45442</v>
      </c>
      <c r="C454" s="47">
        <v>0.41666666666666669</v>
      </c>
      <c r="D454" s="38">
        <v>114048</v>
      </c>
      <c r="E454" s="38">
        <v>18388</v>
      </c>
      <c r="F454" s="39">
        <v>45442</v>
      </c>
      <c r="G454" s="40">
        <v>0.42152777777777778</v>
      </c>
      <c r="H454" s="46" t="s">
        <v>57</v>
      </c>
      <c r="I454" s="48" t="s">
        <v>83</v>
      </c>
      <c r="J454" s="41" t="s">
        <v>110</v>
      </c>
      <c r="K454" s="38">
        <v>9</v>
      </c>
    </row>
    <row r="455" spans="1:11" ht="76" hidden="1" thickBot="1">
      <c r="A455" s="84" t="s">
        <v>363</v>
      </c>
      <c r="B455" s="43">
        <v>45442</v>
      </c>
      <c r="C455" s="47">
        <v>0.48749999999999999</v>
      </c>
      <c r="D455" s="38">
        <v>114056</v>
      </c>
      <c r="E455" s="38">
        <v>18392</v>
      </c>
      <c r="F455" s="39">
        <v>45442</v>
      </c>
      <c r="G455" s="40">
        <v>0.66319444444444442</v>
      </c>
      <c r="H455" s="46" t="s">
        <v>193</v>
      </c>
      <c r="I455" s="48" t="s">
        <v>141</v>
      </c>
      <c r="J455" s="41" t="s">
        <v>113</v>
      </c>
      <c r="K455" s="38">
        <v>15</v>
      </c>
    </row>
    <row r="456" spans="1:11" ht="76" hidden="1" thickBot="1">
      <c r="A456" s="84" t="s">
        <v>363</v>
      </c>
      <c r="B456" s="43">
        <v>45442</v>
      </c>
      <c r="C456" s="47">
        <v>0.48749999999999999</v>
      </c>
      <c r="D456" s="38">
        <v>114056</v>
      </c>
      <c r="E456" s="38">
        <v>18392</v>
      </c>
      <c r="F456" s="39">
        <v>45442</v>
      </c>
      <c r="G456" s="40">
        <v>0.66319444444444442</v>
      </c>
      <c r="H456" s="46" t="s">
        <v>193</v>
      </c>
      <c r="I456" s="48" t="s">
        <v>141</v>
      </c>
      <c r="J456" s="41" t="s">
        <v>145</v>
      </c>
      <c r="K456" s="38">
        <v>80</v>
      </c>
    </row>
    <row r="457" spans="1:11" ht="76" hidden="1" thickBot="1">
      <c r="A457" s="84" t="s">
        <v>364</v>
      </c>
      <c r="B457" s="43">
        <v>45442</v>
      </c>
      <c r="C457" s="47">
        <v>0.56388888888888888</v>
      </c>
      <c r="D457" s="38">
        <v>114055</v>
      </c>
      <c r="E457" s="38">
        <v>18391</v>
      </c>
      <c r="F457" s="39">
        <v>45442</v>
      </c>
      <c r="G457" s="40">
        <v>0.66249999999999998</v>
      </c>
      <c r="H457" s="46" t="s">
        <v>193</v>
      </c>
      <c r="I457" s="48" t="s">
        <v>141</v>
      </c>
      <c r="J457" s="41" t="s">
        <v>220</v>
      </c>
      <c r="K457" s="38">
        <v>4</v>
      </c>
    </row>
    <row r="458" spans="1:11" ht="26" hidden="1" thickBot="1">
      <c r="A458" s="84">
        <v>953474</v>
      </c>
      <c r="B458" s="39">
        <v>45439</v>
      </c>
      <c r="C458" s="40">
        <v>0.63680555555555551</v>
      </c>
      <c r="D458" s="38">
        <v>114027</v>
      </c>
      <c r="E458" s="38">
        <v>18390</v>
      </c>
      <c r="F458" s="39">
        <v>45440</v>
      </c>
      <c r="G458" s="40">
        <v>0.39305555555555555</v>
      </c>
      <c r="H458" s="46" t="s">
        <v>30</v>
      </c>
      <c r="I458" s="38" t="s">
        <v>80</v>
      </c>
      <c r="J458" s="41" t="s">
        <v>365</v>
      </c>
      <c r="K458" s="38">
        <v>8</v>
      </c>
    </row>
    <row r="459" spans="1:11" ht="26" hidden="1" thickBot="1">
      <c r="A459" s="84">
        <v>953474</v>
      </c>
      <c r="B459" s="39">
        <v>45439</v>
      </c>
      <c r="C459" s="40">
        <v>0.63680555555555551</v>
      </c>
      <c r="D459" s="38">
        <v>114027</v>
      </c>
      <c r="E459" s="38">
        <v>18390</v>
      </c>
      <c r="F459" s="39">
        <v>45440</v>
      </c>
      <c r="G459" s="40">
        <v>0.39305555555555555</v>
      </c>
      <c r="H459" s="46" t="s">
        <v>30</v>
      </c>
      <c r="I459" s="38" t="s">
        <v>80</v>
      </c>
      <c r="J459" s="41" t="s">
        <v>113</v>
      </c>
      <c r="K459" s="48">
        <v>6</v>
      </c>
    </row>
  </sheetData>
  <autoFilter ref="A1:K459" xr:uid="{00000000-0009-0000-0000-000004000000}">
    <filterColumn colId="0">
      <filters blank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82"/>
  <sheetViews>
    <sheetView topLeftCell="A161" workbookViewId="0">
      <selection activeCell="A4" sqref="A4:A181"/>
    </sheetView>
  </sheetViews>
  <sheetFormatPr baseColWidth="10" defaultRowHeight="13"/>
  <cols>
    <col min="1" max="1" width="16.69921875" bestFit="1" customWidth="1"/>
    <col min="2" max="2" width="13.59765625" bestFit="1" customWidth="1"/>
  </cols>
  <sheetData>
    <row r="3" spans="1:2">
      <c r="A3" s="74" t="s">
        <v>0</v>
      </c>
      <c r="B3" t="s">
        <v>2</v>
      </c>
    </row>
    <row r="4" spans="1:2">
      <c r="A4" s="37">
        <v>104</v>
      </c>
      <c r="B4">
        <v>227766</v>
      </c>
    </row>
    <row r="5" spans="1:2">
      <c r="A5" s="37">
        <v>105</v>
      </c>
      <c r="B5">
        <v>113917</v>
      </c>
    </row>
    <row r="6" spans="1:2">
      <c r="A6" s="37">
        <v>106</v>
      </c>
      <c r="B6">
        <v>113948</v>
      </c>
    </row>
    <row r="7" spans="1:2">
      <c r="A7" s="37">
        <v>107</v>
      </c>
      <c r="B7">
        <v>227912</v>
      </c>
    </row>
    <row r="8" spans="1:2">
      <c r="A8" s="37">
        <v>135</v>
      </c>
      <c r="B8">
        <v>341667</v>
      </c>
    </row>
    <row r="9" spans="1:2">
      <c r="A9" s="37">
        <v>320</v>
      </c>
      <c r="B9">
        <v>569330</v>
      </c>
    </row>
    <row r="10" spans="1:2">
      <c r="A10" s="37">
        <v>521</v>
      </c>
      <c r="B10">
        <v>113783</v>
      </c>
    </row>
    <row r="11" spans="1:2">
      <c r="A11" s="37">
        <v>523</v>
      </c>
      <c r="B11">
        <v>227578</v>
      </c>
    </row>
    <row r="12" spans="1:2">
      <c r="A12" s="37">
        <v>538</v>
      </c>
      <c r="B12">
        <v>341484</v>
      </c>
    </row>
    <row r="13" spans="1:2">
      <c r="A13" s="37">
        <v>549</v>
      </c>
      <c r="B13">
        <v>227686</v>
      </c>
    </row>
    <row r="14" spans="1:2">
      <c r="A14" s="37">
        <v>570</v>
      </c>
      <c r="B14">
        <v>227744</v>
      </c>
    </row>
    <row r="15" spans="1:2">
      <c r="A15" s="37">
        <v>607</v>
      </c>
      <c r="B15">
        <v>113922</v>
      </c>
    </row>
    <row r="16" spans="1:2">
      <c r="A16" s="37">
        <v>631</v>
      </c>
      <c r="B16">
        <v>113947</v>
      </c>
    </row>
    <row r="17" spans="1:2">
      <c r="A17" s="37">
        <v>633</v>
      </c>
      <c r="B17">
        <v>455804</v>
      </c>
    </row>
    <row r="18" spans="1:2">
      <c r="A18" s="37">
        <v>662</v>
      </c>
      <c r="B18">
        <v>113839</v>
      </c>
    </row>
    <row r="19" spans="1:2">
      <c r="A19" s="37">
        <v>21217</v>
      </c>
      <c r="B19">
        <v>113952</v>
      </c>
    </row>
    <row r="20" spans="1:2">
      <c r="A20" s="37">
        <v>41083</v>
      </c>
      <c r="B20">
        <v>341364</v>
      </c>
    </row>
    <row r="21" spans="1:2">
      <c r="A21" s="37">
        <v>49287</v>
      </c>
      <c r="B21">
        <v>113806</v>
      </c>
    </row>
    <row r="22" spans="1:2">
      <c r="A22" s="37">
        <v>68000</v>
      </c>
      <c r="B22">
        <v>682974</v>
      </c>
    </row>
    <row r="23" spans="1:2">
      <c r="A23" s="37">
        <v>68013</v>
      </c>
      <c r="B23">
        <v>113830</v>
      </c>
    </row>
    <row r="24" spans="1:2">
      <c r="A24" s="37">
        <v>68551</v>
      </c>
      <c r="B24">
        <v>113897</v>
      </c>
    </row>
    <row r="25" spans="1:2">
      <c r="A25" s="37">
        <v>317249</v>
      </c>
      <c r="B25">
        <v>227691</v>
      </c>
    </row>
    <row r="26" spans="1:2">
      <c r="A26" s="37">
        <v>933060</v>
      </c>
      <c r="B26">
        <v>113775</v>
      </c>
    </row>
    <row r="27" spans="1:2">
      <c r="A27" s="37">
        <v>934396</v>
      </c>
      <c r="B27">
        <v>113795</v>
      </c>
    </row>
    <row r="28" spans="1:2">
      <c r="A28" s="37">
        <v>935007</v>
      </c>
      <c r="B28">
        <v>227601</v>
      </c>
    </row>
    <row r="29" spans="1:2">
      <c r="A29" s="37">
        <v>935018</v>
      </c>
      <c r="B29">
        <v>113796</v>
      </c>
    </row>
    <row r="30" spans="1:2">
      <c r="A30" s="37">
        <v>935170</v>
      </c>
      <c r="B30">
        <v>113794</v>
      </c>
    </row>
    <row r="31" spans="1:2">
      <c r="A31" s="37">
        <v>935360</v>
      </c>
      <c r="B31">
        <v>113798</v>
      </c>
    </row>
    <row r="32" spans="1:2">
      <c r="A32" s="37">
        <v>935595</v>
      </c>
      <c r="B32">
        <v>113791</v>
      </c>
    </row>
    <row r="33" spans="1:2">
      <c r="A33" s="37">
        <v>936620</v>
      </c>
      <c r="B33">
        <v>113820</v>
      </c>
    </row>
    <row r="34" spans="1:2">
      <c r="A34" s="37">
        <v>937355</v>
      </c>
      <c r="B34">
        <v>113818</v>
      </c>
    </row>
    <row r="35" spans="1:2">
      <c r="A35" s="37">
        <v>937410</v>
      </c>
      <c r="B35">
        <v>113826</v>
      </c>
    </row>
    <row r="36" spans="1:2">
      <c r="A36" s="37">
        <v>937460</v>
      </c>
      <c r="B36">
        <v>113821</v>
      </c>
    </row>
    <row r="37" spans="1:2">
      <c r="A37" s="37">
        <v>937478</v>
      </c>
      <c r="B37">
        <v>113822</v>
      </c>
    </row>
    <row r="38" spans="1:2">
      <c r="A38" s="37">
        <v>937556</v>
      </c>
      <c r="B38">
        <v>113823</v>
      </c>
    </row>
    <row r="39" spans="1:2">
      <c r="A39" s="37">
        <v>937669</v>
      </c>
      <c r="B39">
        <v>113831</v>
      </c>
    </row>
    <row r="40" spans="1:2">
      <c r="A40" s="37">
        <v>937723</v>
      </c>
      <c r="B40">
        <v>227664</v>
      </c>
    </row>
    <row r="41" spans="1:2">
      <c r="A41" s="37">
        <v>939058</v>
      </c>
      <c r="B41">
        <v>227694</v>
      </c>
    </row>
    <row r="42" spans="1:2">
      <c r="A42" s="37">
        <v>939107</v>
      </c>
      <c r="B42">
        <v>113848</v>
      </c>
    </row>
    <row r="43" spans="1:2">
      <c r="A43" s="37">
        <v>940071</v>
      </c>
      <c r="B43">
        <v>113865</v>
      </c>
    </row>
    <row r="44" spans="1:2">
      <c r="A44" s="37">
        <v>940903</v>
      </c>
      <c r="B44">
        <v>113876</v>
      </c>
    </row>
    <row r="45" spans="1:2">
      <c r="A45" s="37">
        <v>940954</v>
      </c>
      <c r="B45">
        <v>113874</v>
      </c>
    </row>
    <row r="46" spans="1:2">
      <c r="A46" s="37">
        <v>941055</v>
      </c>
      <c r="B46">
        <v>113873</v>
      </c>
    </row>
    <row r="47" spans="1:2">
      <c r="A47" s="37">
        <v>941150</v>
      </c>
      <c r="B47">
        <v>113871</v>
      </c>
    </row>
    <row r="48" spans="1:2">
      <c r="A48" s="37">
        <v>941151</v>
      </c>
      <c r="B48">
        <v>113870</v>
      </c>
    </row>
    <row r="49" spans="1:2">
      <c r="A49" s="37">
        <v>941584</v>
      </c>
      <c r="B49">
        <v>113879</v>
      </c>
    </row>
    <row r="50" spans="1:2">
      <c r="A50" s="37">
        <v>941974</v>
      </c>
      <c r="B50">
        <v>113881</v>
      </c>
    </row>
    <row r="51" spans="1:2">
      <c r="A51" s="37">
        <v>942360</v>
      </c>
      <c r="B51">
        <v>113887</v>
      </c>
    </row>
    <row r="52" spans="1:2">
      <c r="A52" s="37">
        <v>943326</v>
      </c>
      <c r="B52">
        <v>113900</v>
      </c>
    </row>
    <row r="53" spans="1:2">
      <c r="A53" s="37">
        <v>944280</v>
      </c>
      <c r="B53">
        <v>227845</v>
      </c>
    </row>
    <row r="54" spans="1:2">
      <c r="A54" s="37">
        <v>944590</v>
      </c>
      <c r="B54">
        <v>113923</v>
      </c>
    </row>
    <row r="55" spans="1:2">
      <c r="A55" s="37">
        <v>944666</v>
      </c>
      <c r="B55">
        <v>227842</v>
      </c>
    </row>
    <row r="56" spans="1:2">
      <c r="A56" s="37">
        <v>944673</v>
      </c>
      <c r="B56">
        <v>113920</v>
      </c>
    </row>
    <row r="57" spans="1:2">
      <c r="A57" s="37">
        <v>944930</v>
      </c>
      <c r="B57">
        <v>113918</v>
      </c>
    </row>
    <row r="58" spans="1:2">
      <c r="A58" s="37">
        <v>945661</v>
      </c>
      <c r="B58">
        <v>113935</v>
      </c>
    </row>
    <row r="59" spans="1:2">
      <c r="A59" s="37">
        <v>945779</v>
      </c>
      <c r="B59">
        <v>113939</v>
      </c>
    </row>
    <row r="60" spans="1:2">
      <c r="A60" s="37">
        <v>945796</v>
      </c>
      <c r="B60">
        <v>113936</v>
      </c>
    </row>
    <row r="61" spans="1:2">
      <c r="A61" s="37">
        <v>945880</v>
      </c>
      <c r="B61">
        <v>227880</v>
      </c>
    </row>
    <row r="62" spans="1:2">
      <c r="A62" s="37">
        <v>946469</v>
      </c>
      <c r="B62">
        <v>113946</v>
      </c>
    </row>
    <row r="63" spans="1:2">
      <c r="A63" s="37">
        <v>946629</v>
      </c>
      <c r="B63">
        <v>113950</v>
      </c>
    </row>
    <row r="64" spans="1:2">
      <c r="A64" s="37">
        <v>947055</v>
      </c>
      <c r="B64">
        <v>113958</v>
      </c>
    </row>
    <row r="65" spans="1:2">
      <c r="A65" s="37">
        <v>947933</v>
      </c>
    </row>
    <row r="66" spans="1:2">
      <c r="A66" s="37">
        <v>1001451962</v>
      </c>
      <c r="B66">
        <v>113773</v>
      </c>
    </row>
    <row r="67" spans="1:2">
      <c r="A67" s="37">
        <v>1001459262</v>
      </c>
      <c r="B67">
        <v>113812</v>
      </c>
    </row>
    <row r="68" spans="1:2">
      <c r="A68" s="37">
        <v>4500064740</v>
      </c>
      <c r="B68">
        <v>113841</v>
      </c>
    </row>
    <row r="69" spans="1:2">
      <c r="A69" s="37">
        <v>4500067176</v>
      </c>
      <c r="B69">
        <v>113954</v>
      </c>
    </row>
    <row r="70" spans="1:2">
      <c r="A70" s="37">
        <v>4500069104</v>
      </c>
      <c r="B70">
        <v>227445</v>
      </c>
    </row>
    <row r="71" spans="1:2">
      <c r="A71" s="37">
        <v>4500069406</v>
      </c>
      <c r="B71">
        <v>1251910</v>
      </c>
    </row>
    <row r="72" spans="1:2">
      <c r="A72" s="37">
        <v>4500069407</v>
      </c>
      <c r="B72">
        <v>910512</v>
      </c>
    </row>
    <row r="73" spans="1:2">
      <c r="A73" s="37">
        <v>4500069408</v>
      </c>
      <c r="B73">
        <v>569065</v>
      </c>
    </row>
    <row r="74" spans="1:2">
      <c r="A74" s="37">
        <v>4500069455</v>
      </c>
      <c r="B74">
        <v>227672</v>
      </c>
    </row>
    <row r="75" spans="1:2">
      <c r="A75" s="37">
        <v>4500069546</v>
      </c>
      <c r="B75">
        <v>227718</v>
      </c>
    </row>
    <row r="76" spans="1:2">
      <c r="A76" s="37">
        <v>4500069587</v>
      </c>
      <c r="B76">
        <v>1480375</v>
      </c>
    </row>
    <row r="77" spans="1:2">
      <c r="A77" s="37">
        <v>4500069616</v>
      </c>
      <c r="B77">
        <v>341634</v>
      </c>
    </row>
    <row r="78" spans="1:2">
      <c r="A78" s="37">
        <v>4500069720</v>
      </c>
      <c r="B78">
        <v>911352</v>
      </c>
    </row>
    <row r="79" spans="1:2">
      <c r="A79" s="37">
        <v>4500069748</v>
      </c>
      <c r="B79">
        <v>1025343</v>
      </c>
    </row>
    <row r="80" spans="1:2">
      <c r="A80" s="37">
        <v>4500069750</v>
      </c>
      <c r="B80">
        <v>1025361</v>
      </c>
    </row>
    <row r="81" spans="1:2">
      <c r="A81" s="37">
        <v>4500069752</v>
      </c>
      <c r="B81">
        <v>113930</v>
      </c>
    </row>
    <row r="82" spans="1:2">
      <c r="A82" s="37">
        <v>4500069801</v>
      </c>
      <c r="B82">
        <v>113941</v>
      </c>
    </row>
    <row r="83" spans="1:2">
      <c r="A83" s="37">
        <v>4500119651</v>
      </c>
      <c r="B83">
        <v>113797</v>
      </c>
    </row>
    <row r="84" spans="1:2">
      <c r="A84" s="37">
        <v>4500119910</v>
      </c>
      <c r="B84">
        <v>227684</v>
      </c>
    </row>
    <row r="85" spans="1:2">
      <c r="A85" s="37">
        <v>4500120228</v>
      </c>
      <c r="B85">
        <v>113890</v>
      </c>
    </row>
    <row r="86" spans="1:2">
      <c r="A86" s="37">
        <v>4500306477</v>
      </c>
      <c r="B86">
        <v>113635</v>
      </c>
    </row>
    <row r="87" spans="1:2">
      <c r="A87" s="37">
        <v>4500309792</v>
      </c>
      <c r="B87">
        <v>113894</v>
      </c>
    </row>
    <row r="88" spans="1:2">
      <c r="A88" s="37">
        <v>4500309919</v>
      </c>
      <c r="B88">
        <v>113910</v>
      </c>
    </row>
    <row r="89" spans="1:2">
      <c r="A89" s="37">
        <v>4503305140</v>
      </c>
      <c r="B89">
        <v>113799</v>
      </c>
    </row>
    <row r="90" spans="1:2">
      <c r="A90" s="37">
        <v>5502137871</v>
      </c>
      <c r="B90">
        <v>113403</v>
      </c>
    </row>
    <row r="91" spans="1:2">
      <c r="A91" s="37">
        <v>5502282955</v>
      </c>
      <c r="B91">
        <v>113774</v>
      </c>
    </row>
    <row r="92" spans="1:2">
      <c r="A92" s="37">
        <v>5502346404</v>
      </c>
      <c r="B92">
        <v>113957</v>
      </c>
    </row>
    <row r="93" spans="1:2">
      <c r="A93" s="37">
        <v>7000371676</v>
      </c>
      <c r="B93">
        <v>113780</v>
      </c>
    </row>
    <row r="94" spans="1:2">
      <c r="A94" s="37" t="s">
        <v>257</v>
      </c>
      <c r="B94">
        <v>227736</v>
      </c>
    </row>
    <row r="95" spans="1:2">
      <c r="A95" s="37" t="s">
        <v>201</v>
      </c>
      <c r="B95">
        <v>113782</v>
      </c>
    </row>
    <row r="96" spans="1:2">
      <c r="A96" s="37" t="s">
        <v>204</v>
      </c>
      <c r="B96">
        <v>113786</v>
      </c>
    </row>
    <row r="97" spans="1:2">
      <c r="A97" s="37" t="s">
        <v>251</v>
      </c>
      <c r="B97">
        <v>113850</v>
      </c>
    </row>
    <row r="98" spans="1:2">
      <c r="A98" s="37" t="s">
        <v>273</v>
      </c>
      <c r="B98">
        <v>227830</v>
      </c>
    </row>
    <row r="99" spans="1:2">
      <c r="A99" s="37" t="s">
        <v>275</v>
      </c>
      <c r="B99">
        <v>113916</v>
      </c>
    </row>
    <row r="100" spans="1:2">
      <c r="A100" s="37" t="s">
        <v>289</v>
      </c>
      <c r="B100">
        <v>341847</v>
      </c>
    </row>
    <row r="101" spans="1:2">
      <c r="A101" s="37" t="s">
        <v>292</v>
      </c>
      <c r="B101">
        <v>455836</v>
      </c>
    </row>
    <row r="102" spans="1:2">
      <c r="A102" s="37" t="s">
        <v>298</v>
      </c>
    </row>
    <row r="103" spans="1:2">
      <c r="A103" s="37" t="s">
        <v>203</v>
      </c>
      <c r="B103">
        <v>113785</v>
      </c>
    </row>
    <row r="104" spans="1:2">
      <c r="A104" s="37" t="s">
        <v>228</v>
      </c>
      <c r="B104">
        <v>227654</v>
      </c>
    </row>
    <row r="105" spans="1:2">
      <c r="A105" s="37" t="s">
        <v>244</v>
      </c>
      <c r="B105">
        <v>113845</v>
      </c>
    </row>
    <row r="106" spans="1:2">
      <c r="A106" s="37" t="s">
        <v>266</v>
      </c>
      <c r="B106">
        <v>455584</v>
      </c>
    </row>
    <row r="107" spans="1:2">
      <c r="A107" s="37" t="s">
        <v>270</v>
      </c>
      <c r="B107">
        <v>113905</v>
      </c>
    </row>
    <row r="108" spans="1:2">
      <c r="A108" s="37" t="s">
        <v>291</v>
      </c>
      <c r="B108">
        <v>455840</v>
      </c>
    </row>
    <row r="109" spans="1:2">
      <c r="A109" s="37" t="s">
        <v>200</v>
      </c>
      <c r="B109">
        <v>113766</v>
      </c>
    </row>
    <row r="110" spans="1:2">
      <c r="A110" s="37" t="s">
        <v>198</v>
      </c>
      <c r="B110">
        <v>113768</v>
      </c>
    </row>
    <row r="111" spans="1:2">
      <c r="A111" s="37" t="s">
        <v>199</v>
      </c>
      <c r="B111">
        <v>113767</v>
      </c>
    </row>
    <row r="112" spans="1:2">
      <c r="A112" s="37" t="s">
        <v>224</v>
      </c>
      <c r="B112">
        <v>113817</v>
      </c>
    </row>
    <row r="113" spans="1:2">
      <c r="A113" s="37" t="s">
        <v>222</v>
      </c>
      <c r="B113">
        <v>113815</v>
      </c>
    </row>
    <row r="114" spans="1:2">
      <c r="A114" s="37" t="s">
        <v>223</v>
      </c>
      <c r="B114">
        <v>113816</v>
      </c>
    </row>
    <row r="115" spans="1:2">
      <c r="A115" s="37" t="s">
        <v>249</v>
      </c>
      <c r="B115">
        <v>227712</v>
      </c>
    </row>
    <row r="116" spans="1:2">
      <c r="A116" s="37" t="s">
        <v>277</v>
      </c>
      <c r="B116">
        <v>113924</v>
      </c>
    </row>
    <row r="117" spans="1:2">
      <c r="A117" s="37" t="s">
        <v>290</v>
      </c>
      <c r="B117">
        <v>113961</v>
      </c>
    </row>
    <row r="118" spans="1:2">
      <c r="A118" s="37" t="s">
        <v>192</v>
      </c>
      <c r="B118">
        <v>113744</v>
      </c>
    </row>
    <row r="119" spans="1:2">
      <c r="A119" s="37" t="s">
        <v>248</v>
      </c>
      <c r="B119">
        <v>227710</v>
      </c>
    </row>
    <row r="120" spans="1:2">
      <c r="A120" s="37" t="s">
        <v>259</v>
      </c>
      <c r="B120">
        <v>341664</v>
      </c>
    </row>
    <row r="121" spans="1:2">
      <c r="A121" s="37" t="s">
        <v>272</v>
      </c>
      <c r="B121">
        <v>113907</v>
      </c>
    </row>
    <row r="122" spans="1:2">
      <c r="A122" s="37" t="s">
        <v>241</v>
      </c>
    </row>
    <row r="123" spans="1:2">
      <c r="A123" s="37" t="s">
        <v>196</v>
      </c>
      <c r="B123">
        <v>341267</v>
      </c>
    </row>
    <row r="124" spans="1:2">
      <c r="A124" s="37" t="s">
        <v>260</v>
      </c>
      <c r="B124">
        <v>227768</v>
      </c>
    </row>
    <row r="125" spans="1:2">
      <c r="A125" s="37" t="s">
        <v>267</v>
      </c>
      <c r="B125">
        <v>227790</v>
      </c>
    </row>
    <row r="126" spans="1:2">
      <c r="A126" s="37" t="s">
        <v>216</v>
      </c>
      <c r="B126">
        <v>113805</v>
      </c>
    </row>
    <row r="127" spans="1:2">
      <c r="A127" s="37" t="s">
        <v>297</v>
      </c>
      <c r="B127">
        <v>113964</v>
      </c>
    </row>
    <row r="128" spans="1:2">
      <c r="A128" s="37" t="s">
        <v>233</v>
      </c>
      <c r="B128">
        <v>113825</v>
      </c>
    </row>
    <row r="129" spans="1:2">
      <c r="A129" s="37" t="s">
        <v>264</v>
      </c>
      <c r="B129">
        <v>113892</v>
      </c>
    </row>
    <row r="130" spans="1:2">
      <c r="A130" s="37" t="s">
        <v>229</v>
      </c>
      <c r="B130">
        <v>227648</v>
      </c>
    </row>
    <row r="131" spans="1:2">
      <c r="A131" s="37" t="s">
        <v>243</v>
      </c>
      <c r="B131">
        <v>113840</v>
      </c>
    </row>
    <row r="132" spans="1:2">
      <c r="A132" s="37" t="s">
        <v>254</v>
      </c>
      <c r="B132">
        <v>113862</v>
      </c>
    </row>
    <row r="133" spans="1:2">
      <c r="A133" s="37" t="s">
        <v>265</v>
      </c>
      <c r="B133">
        <v>113891</v>
      </c>
    </row>
    <row r="134" spans="1:2">
      <c r="A134" s="37" t="s">
        <v>286</v>
      </c>
      <c r="B134">
        <v>227890</v>
      </c>
    </row>
    <row r="135" spans="1:2">
      <c r="A135" s="37" t="s">
        <v>227</v>
      </c>
      <c r="B135">
        <v>113710</v>
      </c>
    </row>
    <row r="136" spans="1:2">
      <c r="A136" s="37" t="s">
        <v>208</v>
      </c>
      <c r="B136">
        <v>113790</v>
      </c>
    </row>
    <row r="137" spans="1:2">
      <c r="A137" s="37" t="s">
        <v>262</v>
      </c>
      <c r="B137">
        <v>569430</v>
      </c>
    </row>
    <row r="138" spans="1:2">
      <c r="A138" s="37" t="s">
        <v>274</v>
      </c>
      <c r="B138">
        <v>113911</v>
      </c>
    </row>
    <row r="139" spans="1:2">
      <c r="A139" s="37" t="s">
        <v>239</v>
      </c>
      <c r="B139">
        <v>113837</v>
      </c>
    </row>
    <row r="140" spans="1:2">
      <c r="A140" s="37" t="s">
        <v>280</v>
      </c>
      <c r="B140">
        <v>227866</v>
      </c>
    </row>
    <row r="141" spans="1:2">
      <c r="A141" s="37" t="s">
        <v>236</v>
      </c>
      <c r="B141">
        <v>113834</v>
      </c>
    </row>
    <row r="142" spans="1:2">
      <c r="A142" s="37" t="s">
        <v>238</v>
      </c>
      <c r="B142">
        <v>227670</v>
      </c>
    </row>
    <row r="143" spans="1:2">
      <c r="A143" s="37" t="s">
        <v>123</v>
      </c>
      <c r="B143">
        <v>797269</v>
      </c>
    </row>
    <row r="144" spans="1:2">
      <c r="A144" s="37" t="s">
        <v>217</v>
      </c>
      <c r="B144">
        <v>227616</v>
      </c>
    </row>
    <row r="145" spans="1:2">
      <c r="A145" s="37" t="s">
        <v>276</v>
      </c>
      <c r="B145">
        <v>113912</v>
      </c>
    </row>
    <row r="146" spans="1:2">
      <c r="A146" s="37" t="s">
        <v>247</v>
      </c>
      <c r="B146">
        <v>113851</v>
      </c>
    </row>
    <row r="147" spans="1:2">
      <c r="A147" s="37" t="s">
        <v>284</v>
      </c>
      <c r="B147">
        <v>455752</v>
      </c>
    </row>
    <row r="148" spans="1:2">
      <c r="A148" s="37" t="s">
        <v>213</v>
      </c>
      <c r="B148">
        <v>341409</v>
      </c>
    </row>
    <row r="149" spans="1:2">
      <c r="A149" s="37" t="s">
        <v>253</v>
      </c>
      <c r="B149">
        <v>455440</v>
      </c>
    </row>
    <row r="150" spans="1:2">
      <c r="A150" s="37" t="s">
        <v>269</v>
      </c>
      <c r="B150">
        <v>455608</v>
      </c>
    </row>
    <row r="151" spans="1:2">
      <c r="A151" s="37" t="s">
        <v>211</v>
      </c>
      <c r="B151">
        <v>113793</v>
      </c>
    </row>
    <row r="152" spans="1:2">
      <c r="A152" s="37" t="s">
        <v>278</v>
      </c>
      <c r="B152">
        <v>113913</v>
      </c>
    </row>
    <row r="153" spans="1:2">
      <c r="A153" s="37" t="s">
        <v>282</v>
      </c>
      <c r="B153">
        <v>113934</v>
      </c>
    </row>
    <row r="154" spans="1:2">
      <c r="A154" s="37" t="s">
        <v>245</v>
      </c>
      <c r="B154">
        <v>113846</v>
      </c>
    </row>
    <row r="155" spans="1:2">
      <c r="A155" s="37" t="s">
        <v>283</v>
      </c>
      <c r="B155">
        <v>113937</v>
      </c>
    </row>
    <row r="156" spans="1:2">
      <c r="A156" s="37" t="s">
        <v>299</v>
      </c>
    </row>
    <row r="157" spans="1:2">
      <c r="A157" s="37" t="s">
        <v>300</v>
      </c>
      <c r="B157">
        <v>113792</v>
      </c>
    </row>
    <row r="158" spans="1:2">
      <c r="A158" s="37" t="s">
        <v>122</v>
      </c>
      <c r="B158">
        <v>113807</v>
      </c>
    </row>
    <row r="159" spans="1:2">
      <c r="A159" s="37" t="s">
        <v>301</v>
      </c>
      <c r="B159">
        <v>113819</v>
      </c>
    </row>
    <row r="160" spans="1:2">
      <c r="A160" s="37" t="s">
        <v>128</v>
      </c>
      <c r="B160">
        <v>113819</v>
      </c>
    </row>
    <row r="161" spans="1:2">
      <c r="A161" s="37" t="s">
        <v>302</v>
      </c>
      <c r="B161">
        <v>113857</v>
      </c>
    </row>
    <row r="162" spans="1:2">
      <c r="A162" s="37" t="s">
        <v>124</v>
      </c>
      <c r="B162">
        <v>113849</v>
      </c>
    </row>
    <row r="163" spans="1:2">
      <c r="A163" s="37" t="s">
        <v>125</v>
      </c>
      <c r="B163">
        <v>113852</v>
      </c>
    </row>
    <row r="164" spans="1:2">
      <c r="A164" s="37" t="s">
        <v>126</v>
      </c>
      <c r="B164">
        <v>341559</v>
      </c>
    </row>
    <row r="165" spans="1:2">
      <c r="A165" s="37" t="s">
        <v>303</v>
      </c>
      <c r="B165">
        <v>113864</v>
      </c>
    </row>
    <row r="166" spans="1:2">
      <c r="A166" s="37" t="s">
        <v>127</v>
      </c>
      <c r="B166">
        <v>113861</v>
      </c>
    </row>
    <row r="167" spans="1:2">
      <c r="A167" s="37" t="s">
        <v>304</v>
      </c>
      <c r="B167">
        <v>341605</v>
      </c>
    </row>
    <row r="168" spans="1:2">
      <c r="A168" s="37" t="s">
        <v>87</v>
      </c>
      <c r="B168">
        <v>113877</v>
      </c>
    </row>
    <row r="169" spans="1:2">
      <c r="A169" s="37" t="s">
        <v>305</v>
      </c>
      <c r="B169">
        <v>113880</v>
      </c>
    </row>
    <row r="170" spans="1:2">
      <c r="A170" s="37" t="s">
        <v>306</v>
      </c>
      <c r="B170">
        <v>227764</v>
      </c>
    </row>
    <row r="171" spans="1:2">
      <c r="A171" s="37" t="s">
        <v>129</v>
      </c>
      <c r="B171">
        <v>113899</v>
      </c>
    </row>
    <row r="172" spans="1:2">
      <c r="A172" s="37" t="s">
        <v>307</v>
      </c>
      <c r="B172">
        <v>227816</v>
      </c>
    </row>
    <row r="173" spans="1:2">
      <c r="A173" s="37" t="s">
        <v>308</v>
      </c>
      <c r="B173">
        <v>113904</v>
      </c>
    </row>
    <row r="174" spans="1:2">
      <c r="A174" s="37" t="s">
        <v>309</v>
      </c>
      <c r="B174">
        <v>113906</v>
      </c>
    </row>
    <row r="175" spans="1:2">
      <c r="A175" s="37" t="s">
        <v>311</v>
      </c>
      <c r="B175">
        <v>455723</v>
      </c>
    </row>
    <row r="176" spans="1:2">
      <c r="A176" s="37" t="s">
        <v>310</v>
      </c>
      <c r="B176">
        <v>113926</v>
      </c>
    </row>
    <row r="177" spans="1:2">
      <c r="A177" s="37" t="s">
        <v>313</v>
      </c>
      <c r="B177">
        <v>113925</v>
      </c>
    </row>
    <row r="178" spans="1:2">
      <c r="A178" s="37" t="s">
        <v>316</v>
      </c>
      <c r="B178">
        <v>113942</v>
      </c>
    </row>
    <row r="179" spans="1:2">
      <c r="A179" s="37" t="s">
        <v>312</v>
      </c>
      <c r="B179">
        <v>113944</v>
      </c>
    </row>
    <row r="180" spans="1:2">
      <c r="A180" s="37" t="s">
        <v>314</v>
      </c>
      <c r="B180">
        <v>113944</v>
      </c>
    </row>
    <row r="181" spans="1:2">
      <c r="A181" s="37" t="s">
        <v>315</v>
      </c>
    </row>
    <row r="182" spans="1:2">
      <c r="A182" s="37" t="s">
        <v>67</v>
      </c>
      <c r="B182">
        <v>36665558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Hoja3</vt:lpstr>
      <vt:lpstr>Resumén Enero 2026</vt:lpstr>
      <vt:lpstr>Base</vt:lpstr>
      <vt:lpstr>Pedidos1</vt:lpstr>
      <vt:lpstr>Novedades</vt:lpstr>
      <vt:lpstr>Entregas a tiempo</vt:lpstr>
      <vt:lpstr>Hoja1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Catherin Castro Andrade</dc:creator>
  <cp:lastModifiedBy>Natalia Andrea  Gallego Giraldo</cp:lastModifiedBy>
  <dcterms:created xsi:type="dcterms:W3CDTF">2024-01-30T13:37:00Z</dcterms:created>
  <dcterms:modified xsi:type="dcterms:W3CDTF">2026-02-13T01:51:17Z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286E78D7EA28445CA09D2E92B725E85E_12</vt:lpwstr>
  </property>
  <property fmtid="{D5CDD505-2E9C-101B-9397-08002B2CF9AE}" pid="3" name="KSOProductBuildVer">
    <vt:lpwstr>1033-12.2.0.16909</vt:lpwstr>
  </property>
</Properties>
</file>