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CASTROA\Desktop\SAC\OTIF\2026\"/>
    </mc:Choice>
  </mc:AlternateContent>
  <xr:revisionPtr revIDLastSave="0" documentId="13_ncr:1_{1AA83B56-ACB5-4005-8653-728B9A56F221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Hoja3" sheetId="5" r:id="rId1"/>
    <sheet name="Resumén Mayo 2026" sheetId="17" r:id="rId2"/>
    <sheet name="Hoja6" sheetId="33" state="hidden" r:id="rId3"/>
    <sheet name="Hoja5" sheetId="32" state="hidden" r:id="rId4"/>
    <sheet name="Base" sheetId="25" r:id="rId5"/>
    <sheet name="Pedidos1" sheetId="23" state="hidden" r:id="rId6"/>
    <sheet name="Novedades" sheetId="28" state="hidden" r:id="rId7"/>
    <sheet name="Hoja4" sheetId="31" state="hidden" r:id="rId8"/>
    <sheet name="Hoja2" sheetId="30" state="hidden" r:id="rId9"/>
    <sheet name="Entregas a tiempo" sheetId="29" state="hidden" r:id="rId10"/>
    <sheet name="Hoja1" sheetId="21" state="hidden" r:id="rId11"/>
    <sheet name="Pedidos" sheetId="20" state="hidden" r:id="rId12"/>
  </sheets>
  <definedNames>
    <definedName name="_xlnm._FilterDatabase" localSheetId="4" hidden="1">Base!$A$1:$AB$1</definedName>
    <definedName name="_xlnm._FilterDatabase" localSheetId="10" hidden="1">Hoja1!$A$1:$K$459</definedName>
    <definedName name="_xlnm._FilterDatabase" localSheetId="1" hidden="1">'Resumén Mayo 2026'!$B$40:$P$40</definedName>
    <definedName name="_xlcn.WorksheetConnection_Hoja2A1O1011" hidden="1">Hoja2!$A$1:$O$101</definedName>
    <definedName name="_xlcn.WorksheetConnection_Hoja5A1D1181" hidden="1">Hoja5!$A$1:$D$118</definedName>
  </definedNames>
  <calcPr calcId="191029"/>
  <pivotCaches>
    <pivotCache cacheId="181" r:id="rId13"/>
    <pivotCache cacheId="182" r:id="rId14"/>
    <pivotCache cacheId="183" r:id="rId15"/>
    <pivotCache cacheId="185" r:id="rId16"/>
    <pivotCache cacheId="186" r:id="rId17"/>
    <pivotCache cacheId="193" r:id="rId18"/>
  </pivotCaches>
  <extLst>
    <ext xmlns:x15="http://schemas.microsoft.com/office/spreadsheetml/2010/11/main" uri="{FCE2AD5D-F65C-4FA6-A056-5C36A1767C68}">
      <x15:dataModel>
        <x15:modelTables>
          <x15:modelTable id="Rango" name="Rango" connection="WorksheetConnection_Hoja2!$A$1:$O$101"/>
          <x15:modelTable id="Rango 1" name="Rango 1" connection="WorksheetConnection_Hoja5!$A$1:$D$1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7" l="1"/>
  <c r="D20" i="17"/>
  <c r="D17" i="17"/>
  <c r="D21" i="17"/>
  <c r="D22" i="17"/>
  <c r="C31" i="17"/>
  <c r="D31" i="17" l="1"/>
  <c r="D30" i="17" l="1"/>
  <c r="G9" i="29" l="1"/>
  <c r="G7" i="29"/>
  <c r="E8" i="29"/>
  <c r="G8" i="29" l="1"/>
  <c r="C10" i="17" l="1"/>
  <c r="D7" i="17" l="1"/>
  <c r="D8" i="17" l="1"/>
  <c r="D9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A62E3F-AB43-4A14-A33F-B163FE8A623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D9BF0EE-1E6F-471E-8335-B527B8D97DEB}" name="WorksheetConnection_Hoja2!$A$1:$O$101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Hoja2A1O1011"/>
        </x15:connection>
      </ext>
    </extLst>
  </connection>
  <connection id="3" xr16:uid="{3950FB21-0A4D-4576-BB13-435FC05C93E2}" name="WorksheetConnection_Hoja5!$A$1:$D$118" type="102" refreshedVersion="8" minRefreshableVersion="5">
    <extLst>
      <ext xmlns:x15="http://schemas.microsoft.com/office/spreadsheetml/2010/11/main" uri="{DE250136-89BD-433C-8126-D09CA5730AF9}">
        <x15:connection id="Rango 1" autoDelete="1">
          <x15:rangePr sourceName="_xlcn.WorksheetConnection_Hoja5A1D1181"/>
        </x15:connection>
      </ext>
    </extLst>
  </connection>
</connections>
</file>

<file path=xl/sharedStrings.xml><?xml version="1.0" encoding="utf-8"?>
<sst xmlns="http://schemas.openxmlformats.org/spreadsheetml/2006/main" count="5309" uniqueCount="1445">
  <si>
    <t>Etiquetas de fila</t>
  </si>
  <si>
    <t>Cuenta de O.C.</t>
  </si>
  <si>
    <t>Suma de Pedido</t>
  </si>
  <si>
    <t>AGRIFEED</t>
  </si>
  <si>
    <t>AGROPECUARIA DE OCCIDENTE</t>
  </si>
  <si>
    <t>AVICOLA LA DOMINGA</t>
  </si>
  <si>
    <t>COLOMBIANA DE INCUBACION SAS INCUBACOL</t>
  </si>
  <si>
    <t>CONCENTRADOS ESPARTACO</t>
  </si>
  <si>
    <t>CONTEGRAL</t>
  </si>
  <si>
    <t>COOPERATIVA COLANTA</t>
  </si>
  <si>
    <t>COOPERATIVA DE PORCICULTORES DEL EJE CAFETERO</t>
  </si>
  <si>
    <t>FINCA</t>
  </si>
  <si>
    <t>GVM CORPORATION GLOBAL VETERINARY MEDICINE S A S</t>
  </si>
  <si>
    <t>INVERSIONES J.V. S.A.S.</t>
  </si>
  <si>
    <t>ITALCOL S.A.</t>
  </si>
  <si>
    <t>MARIA JOSE ORTIZ</t>
  </si>
  <si>
    <t>OPERADORA AVICOLA</t>
  </si>
  <si>
    <t>POLLOS EL BUCANERO</t>
  </si>
  <si>
    <t>PORCICOLA EMMANUEL</t>
  </si>
  <si>
    <t>PORCICOLA PRADERA</t>
  </si>
  <si>
    <t>PREMEX</t>
  </si>
  <si>
    <t>REVEEX NUTRICION SAS</t>
  </si>
  <si>
    <t>SOLLA S.A.</t>
  </si>
  <si>
    <t>PORCICOLA PRADERA S.A.</t>
  </si>
  <si>
    <t>Total general</t>
  </si>
  <si>
    <t>O.C.</t>
  </si>
  <si>
    <t>Hora recepción</t>
  </si>
  <si>
    <t>Pedido</t>
  </si>
  <si>
    <t>N° de Factura</t>
  </si>
  <si>
    <t>Fecha de generación del pedido</t>
  </si>
  <si>
    <t>Hora generación</t>
  </si>
  <si>
    <t>Ciudad</t>
  </si>
  <si>
    <t>MANIZALES</t>
  </si>
  <si>
    <t>BELLO</t>
  </si>
  <si>
    <t>NEIVA</t>
  </si>
  <si>
    <t>BUCARAMANGA</t>
  </si>
  <si>
    <t>CARTAGO</t>
  </si>
  <si>
    <t>BOGOTA</t>
  </si>
  <si>
    <t>LEBRIJA</t>
  </si>
  <si>
    <t>ITAGUI</t>
  </si>
  <si>
    <t>MEDELLIN</t>
  </si>
  <si>
    <t>ENVIGADO</t>
  </si>
  <si>
    <t>CIENAGA</t>
  </si>
  <si>
    <t>TULUA</t>
  </si>
  <si>
    <t>N.A. 11</t>
  </si>
  <si>
    <t>RICAURTE</t>
  </si>
  <si>
    <t>Informe de despachos</t>
  </si>
  <si>
    <t>PRODUCTO</t>
  </si>
  <si>
    <t>KILOS AUT</t>
  </si>
  <si>
    <t>Item</t>
  </si>
  <si>
    <t>Cantidad</t>
  </si>
  <si>
    <t>Part. %</t>
  </si>
  <si>
    <t>Inventario disponible sin FC</t>
  </si>
  <si>
    <t>NUMERO DE PEDIDOS</t>
  </si>
  <si>
    <t>HITS</t>
  </si>
  <si>
    <t>MISSES</t>
  </si>
  <si>
    <t>TOTAL LINEAS</t>
  </si>
  <si>
    <t>CAUSAL MISSES**</t>
  </si>
  <si>
    <t>Valor</t>
  </si>
  <si>
    <t>Cartera (Demoras por gestion comercial de cartera)</t>
  </si>
  <si>
    <t>Cancelado</t>
  </si>
  <si>
    <t>Total misses</t>
  </si>
  <si>
    <t>DETALLE MISSES:</t>
  </si>
  <si>
    <t>Nombre del producto</t>
  </si>
  <si>
    <t>Fecha Requerida Por el Cliente</t>
  </si>
  <si>
    <t>CANCELADO</t>
  </si>
  <si>
    <t>VIVET X 25 KG</t>
  </si>
  <si>
    <t>FRACTAL P X 25 KG</t>
  </si>
  <si>
    <t>CIPROFLOX X 5 KG</t>
  </si>
  <si>
    <t>ACCUREMAX X 25 KG</t>
  </si>
  <si>
    <t>NUTRITEC</t>
  </si>
  <si>
    <t>HALQUINOX 800 X 25 KG</t>
  </si>
  <si>
    <t>MONECYL X 25 KG</t>
  </si>
  <si>
    <t>INVENTARIO</t>
  </si>
  <si>
    <t>CELERITY NP X 25KG</t>
  </si>
  <si>
    <t>AGRICOLA COLOMBIANA</t>
  </si>
  <si>
    <t>TILCOMIX PREMIX S X 5 KG</t>
  </si>
  <si>
    <t>FRACTAL H X 20 KG</t>
  </si>
  <si>
    <t>N.A. 2</t>
  </si>
  <si>
    <t>OC PENDIENTE</t>
  </si>
  <si>
    <t>N.A.5</t>
  </si>
  <si>
    <t>N.A.6</t>
  </si>
  <si>
    <t>N.A.7</t>
  </si>
  <si>
    <t>N.A.9</t>
  </si>
  <si>
    <t>N.A. 3</t>
  </si>
  <si>
    <t>N.A.14</t>
  </si>
  <si>
    <t>Fecha recepción O.C.</t>
  </si>
  <si>
    <t>Cantidad Requerida</t>
  </si>
  <si>
    <t>Valor total</t>
  </si>
  <si>
    <t>ALIMENTOS POLAR COLOMBIA SAS</t>
  </si>
  <si>
    <t>MICRO AID</t>
  </si>
  <si>
    <t>CAVASA</t>
  </si>
  <si>
    <t>TILOMIX 250 PREMIX X 25 KG</t>
  </si>
  <si>
    <t>GIRON</t>
  </si>
  <si>
    <t>ADITIVOS Y QUIMICOS</t>
  </si>
  <si>
    <t>GUARNE</t>
  </si>
  <si>
    <t>EXOLUTION X 10 KG</t>
  </si>
  <si>
    <t>MOSQUERA</t>
  </si>
  <si>
    <t>BUGA</t>
  </si>
  <si>
    <t>FENIFLOR PREMIX X 25 KG</t>
  </si>
  <si>
    <t>AGROPECUARIA ALFA</t>
  </si>
  <si>
    <t>CLORTETRAX 20% x 25Kg Granular</t>
  </si>
  <si>
    <t>PORCICULTORES APA</t>
  </si>
  <si>
    <t>GIRARDOTA</t>
  </si>
  <si>
    <t>AVICOLA LOS CAMBULOS</t>
  </si>
  <si>
    <t>AVICOLA SAN MARTIN</t>
  </si>
  <si>
    <t>NUTREXCOL</t>
  </si>
  <si>
    <t>NEOCYN X 25 KG</t>
  </si>
  <si>
    <t>AGROINDUSTRIAL SAN JOSE</t>
  </si>
  <si>
    <t>HALQUINOX 500 X 25 KG</t>
  </si>
  <si>
    <t>NUTRICION EXPERTA DE COLOMBIA</t>
  </si>
  <si>
    <t>ARMENIA</t>
  </si>
  <si>
    <t>SALINOMIX 12% X 25 KG</t>
  </si>
  <si>
    <t>INVERSIONES J.V.</t>
  </si>
  <si>
    <t>ESPELIN 88 X 25 KG</t>
  </si>
  <si>
    <t>SOLLA</t>
  </si>
  <si>
    <t>AVECER</t>
  </si>
  <si>
    <t>TRIMBAC X 5 KG</t>
  </si>
  <si>
    <t>AVINOVA X 25 KG</t>
  </si>
  <si>
    <t>GVM</t>
  </si>
  <si>
    <t>PUERTO GAITAN</t>
  </si>
  <si>
    <t>NICARBAZINA</t>
  </si>
  <si>
    <t>NEOCYN X 1 KG</t>
  </si>
  <si>
    <t>MEZCLAS BIOMIX</t>
  </si>
  <si>
    <t>SABANETA</t>
  </si>
  <si>
    <t>ITALCOL DE OCCIDENTE</t>
  </si>
  <si>
    <t>PALMIRA</t>
  </si>
  <si>
    <t>DINAMIX 200 PREMIX X 25</t>
  </si>
  <si>
    <t>CERCALDAS</t>
  </si>
  <si>
    <t>ALIMENTOS ALDUQUE</t>
  </si>
  <si>
    <t>AVIDESA DE OCCIDENTE</t>
  </si>
  <si>
    <t>RIVERA</t>
  </si>
  <si>
    <t>CALI</t>
  </si>
  <si>
    <t>REVEEX</t>
  </si>
  <si>
    <t>CUCUTA</t>
  </si>
  <si>
    <t>INCUBADORA SANTANDER</t>
  </si>
  <si>
    <t>CALOTO</t>
  </si>
  <si>
    <t>AGROPECUARIA ALIAR</t>
  </si>
  <si>
    <t>AGROBOX</t>
  </si>
  <si>
    <t>INVERSIONES TRIBILIN</t>
  </si>
  <si>
    <t>CARLOS AYORA</t>
  </si>
  <si>
    <t>ACEBEDO SILVA</t>
  </si>
  <si>
    <t>DISTRIBUIDORA AVICOLA</t>
  </si>
  <si>
    <t>PIEDECUESTA</t>
  </si>
  <si>
    <t>CIPROFLOX X 1 KG</t>
  </si>
  <si>
    <t>ROFLOX</t>
  </si>
  <si>
    <t>11;38</t>
  </si>
  <si>
    <t>REFRILOGISTICA</t>
  </si>
  <si>
    <t>005-OSC-00007264</t>
  </si>
  <si>
    <t>COMPAÑIA DE PRODUCTOS INDUSTRIALES</t>
  </si>
  <si>
    <t>DMB 11 X 25 KG</t>
  </si>
  <si>
    <t>PROVIMI</t>
  </si>
  <si>
    <t>100-CON-00016615</t>
  </si>
  <si>
    <t>24/4/20324</t>
  </si>
  <si>
    <t>001-SC-014115</t>
  </si>
  <si>
    <t>001-SC-014136</t>
  </si>
  <si>
    <t>001-SC-014112</t>
  </si>
  <si>
    <t>001-OC -00037148</t>
  </si>
  <si>
    <t>FRACTAL L X 20 KG</t>
  </si>
  <si>
    <t>001-OSC-00057930</t>
  </si>
  <si>
    <t>001-OC -00037195</t>
  </si>
  <si>
    <t>DISTRIBUCIONES AGRALBA</t>
  </si>
  <si>
    <t>AMOXIN 600 X 1 KG</t>
  </si>
  <si>
    <t>FOSMYCINA 90 X 500 GR</t>
  </si>
  <si>
    <t>A02-COC-193389</t>
  </si>
  <si>
    <t>DINAMIX 800 X 25 KG</t>
  </si>
  <si>
    <t>TECNOCAMPO</t>
  </si>
  <si>
    <t>PC-022943</t>
  </si>
  <si>
    <t>DINAMIX PREMIX X 25 KG</t>
  </si>
  <si>
    <t>ORC-2404038</t>
  </si>
  <si>
    <t>FENIFLOR PREMIX X 5 KG</t>
  </si>
  <si>
    <t>CELMANAX X 25 KG</t>
  </si>
  <si>
    <t>103-OCC-31377</t>
  </si>
  <si>
    <t>OC-COMPR-10096</t>
  </si>
  <si>
    <t>CIGNUS X 20 KILOS</t>
  </si>
  <si>
    <t>AVIMOL</t>
  </si>
  <si>
    <t>SAGAH X 25 KG</t>
  </si>
  <si>
    <t>DQCICLIN X 1 KG</t>
  </si>
  <si>
    <t>004-OSC-00045286</t>
  </si>
  <si>
    <t>004-OSC-00045306</t>
  </si>
  <si>
    <t>004-OSC-00045230</t>
  </si>
  <si>
    <t>IBAGUE</t>
  </si>
  <si>
    <t>DINAMIX 200 PREMIX X 25 KG</t>
  </si>
  <si>
    <t>999-OCN-00010148</t>
  </si>
  <si>
    <t>001-OSC-00057997</t>
  </si>
  <si>
    <t>670 P</t>
  </si>
  <si>
    <t>FENIFLOR ORAL X 500 GR</t>
  </si>
  <si>
    <t>CERDOS DEL VALLE</t>
  </si>
  <si>
    <t>NORFLOX 20 X 1 L</t>
  </si>
  <si>
    <t>484-R</t>
  </si>
  <si>
    <t>INDUSTRIA NUTRICIONAL AVICOLA S.A.S.</t>
  </si>
  <si>
    <t>FRESNO</t>
  </si>
  <si>
    <t>MPN-4,707</t>
  </si>
  <si>
    <t>COOPERATIVA DE PORCICULTORES</t>
  </si>
  <si>
    <t>MPN-4,708</t>
  </si>
  <si>
    <t>MED-5750</t>
  </si>
  <si>
    <t>MERCASA</t>
  </si>
  <si>
    <t>0532-A</t>
  </si>
  <si>
    <t>UBAQUE</t>
  </si>
  <si>
    <t>679 P</t>
  </si>
  <si>
    <t>001-OSC-00058026</t>
  </si>
  <si>
    <t>Y - 001 - 2258</t>
  </si>
  <si>
    <t>PUERTO TEJADA</t>
  </si>
  <si>
    <t>OCO-35432</t>
  </si>
  <si>
    <t>005-OSC-00007317</t>
  </si>
  <si>
    <t>004-OSC-00045350</t>
  </si>
  <si>
    <t>META</t>
  </si>
  <si>
    <t>001-OC -00037333</t>
  </si>
  <si>
    <t>AGROPECURIA GOLOSO</t>
  </si>
  <si>
    <t>ORC-2405005</t>
  </si>
  <si>
    <t>681 P</t>
  </si>
  <si>
    <t>LA SORIA</t>
  </si>
  <si>
    <t>ESPELIN X 5 KG</t>
  </si>
  <si>
    <t>001-OC -00006364</t>
  </si>
  <si>
    <t>PROFARM</t>
  </si>
  <si>
    <t>005-OSC-00007340</t>
  </si>
  <si>
    <t>101-OCC-00030468</t>
  </si>
  <si>
    <t>SMOOT SWEET</t>
  </si>
  <si>
    <t>A02-COC-195500</t>
  </si>
  <si>
    <t>CTCZYME X 20 KILOS</t>
  </si>
  <si>
    <t>498-R</t>
  </si>
  <si>
    <t>686-P</t>
  </si>
  <si>
    <t>001-OSC-00058085</t>
  </si>
  <si>
    <t>101-OCC-30485</t>
  </si>
  <si>
    <t>O TAFUR</t>
  </si>
  <si>
    <t>ORC-2405012</t>
  </si>
  <si>
    <t>001-OSC-00058106</t>
  </si>
  <si>
    <t>BRUJAL</t>
  </si>
  <si>
    <t>005-OSC-00007358</t>
  </si>
  <si>
    <t>001-OC -00037474</t>
  </si>
  <si>
    <t>COC-00000206</t>
  </si>
  <si>
    <t>001-OC -00037478</t>
  </si>
  <si>
    <t>OC-COMPR-10292</t>
  </si>
  <si>
    <t>004-OSC-00045406</t>
  </si>
  <si>
    <t>PC-022998</t>
  </si>
  <si>
    <t>ESPECIAL EXOLUTION</t>
  </si>
  <si>
    <t>MPN - 4,734</t>
  </si>
  <si>
    <t>NEOCYX X 1 KG</t>
  </si>
  <si>
    <t>PC-023003</t>
  </si>
  <si>
    <t>Y - 001 - 2272</t>
  </si>
  <si>
    <t>OCO-35602</t>
  </si>
  <si>
    <t>MESA</t>
  </si>
  <si>
    <t>696 P</t>
  </si>
  <si>
    <t>CESAR PATIÑO</t>
  </si>
  <si>
    <t>DOVIO</t>
  </si>
  <si>
    <t>001-OC -00037555</t>
  </si>
  <si>
    <t>004-OSC-00045436</t>
  </si>
  <si>
    <t>001-OSC-00058148</t>
  </si>
  <si>
    <t>001-OC -00037570</t>
  </si>
  <si>
    <t>PUERTO LOPEZ</t>
  </si>
  <si>
    <t>PRO FARM</t>
  </si>
  <si>
    <t>TILCOMIX ORAL</t>
  </si>
  <si>
    <t>MEJIA Y CIA</t>
  </si>
  <si>
    <t>103-OCC-31579</t>
  </si>
  <si>
    <t>001-OC-067042</t>
  </si>
  <si>
    <t>(en blanco)</t>
  </si>
  <si>
    <t>N.A. 1</t>
  </si>
  <si>
    <t>N.A.3</t>
  </si>
  <si>
    <t>N.A. 4</t>
  </si>
  <si>
    <t>N.A. 8</t>
  </si>
  <si>
    <t>N.A. 10</t>
  </si>
  <si>
    <t>N.A. 12</t>
  </si>
  <si>
    <t>N.A.13</t>
  </si>
  <si>
    <t>N.A. 15</t>
  </si>
  <si>
    <t>N.A. 16</t>
  </si>
  <si>
    <t>N.E. 17</t>
  </si>
  <si>
    <t>N,A 18</t>
  </si>
  <si>
    <t>N.A. 20</t>
  </si>
  <si>
    <t>N,A 21</t>
  </si>
  <si>
    <t>N,T 21</t>
  </si>
  <si>
    <t>N.A. 21</t>
  </si>
  <si>
    <t>N.A. 22</t>
  </si>
  <si>
    <t>N.E. 21</t>
  </si>
  <si>
    <t>Nombre del Cliente.</t>
  </si>
  <si>
    <t>999-OCN-00010637</t>
  </si>
  <si>
    <t>AVICOLA EL GUAMITO</t>
  </si>
  <si>
    <t xml:space="preserve">999-OCN-00010639 
</t>
  </si>
  <si>
    <t>18289 -18331</t>
  </si>
  <si>
    <t>001-OCN-00011872</t>
  </si>
  <si>
    <t>AGROAVICOLA SAN MARINO</t>
  </si>
  <si>
    <t>OC-COMP-10356</t>
  </si>
  <si>
    <t>004-OSC-00045465</t>
  </si>
  <si>
    <t>ORC-2405023</t>
  </si>
  <si>
    <t>G&amp;M</t>
  </si>
  <si>
    <t>002-OCC-59178</t>
  </si>
  <si>
    <t>005-OSC-00007390</t>
  </si>
  <si>
    <t>007-OM-000469</t>
  </si>
  <si>
    <t>PEREIRA</t>
  </si>
  <si>
    <t>001-OC -00006395</t>
  </si>
  <si>
    <t>YUMBO</t>
  </si>
  <si>
    <t>101-OCC-30540</t>
  </si>
  <si>
    <t>OC-COMPR-10406</t>
  </si>
  <si>
    <t>TABACAL</t>
  </si>
  <si>
    <t>Y - 001 - 2283</t>
  </si>
  <si>
    <t>CFMP-270</t>
  </si>
  <si>
    <t>CELMANAX SCP X 25 KG</t>
  </si>
  <si>
    <t>CFMP-277</t>
  </si>
  <si>
    <t>001-OSC-00058205</t>
  </si>
  <si>
    <t>CFMP-280</t>
  </si>
  <si>
    <t>CALDAS ANTIOQUIA</t>
  </si>
  <si>
    <t>004-OSC-00045501</t>
  </si>
  <si>
    <t>GRANJAS PARAISO</t>
  </si>
  <si>
    <t>No. OC-1-133</t>
  </si>
  <si>
    <t>CUERVO Y CIA</t>
  </si>
  <si>
    <t>AGRALBA</t>
  </si>
  <si>
    <t>001-OSC-00058228</t>
  </si>
  <si>
    <t>525-R</t>
  </si>
  <si>
    <t>INDUSTRIA NUTRICIONAL AVICOLA</t>
  </si>
  <si>
    <t>FENIFLOR ORAL X 500G</t>
  </si>
  <si>
    <t>ORC-2405031</t>
  </si>
  <si>
    <t>OCO-35757</t>
  </si>
  <si>
    <t>AGROPECUARIA GOLOSO</t>
  </si>
  <si>
    <t>CFMP-285</t>
  </si>
  <si>
    <t>ROFLOX 20 X 1L DECNO</t>
  </si>
  <si>
    <t>711 P</t>
  </si>
  <si>
    <t>AGROPECURIA DE OCCIDENTE</t>
  </si>
  <si>
    <t>FOSMYCINA 90 X 500 G</t>
  </si>
  <si>
    <t>CLORURO DE COLINA</t>
  </si>
  <si>
    <t>CLORTETRAX 200 x 25Kg Granular</t>
  </si>
  <si>
    <t>005-OSC-00007433</t>
  </si>
  <si>
    <t>005-OSC-00007436</t>
  </si>
  <si>
    <t>EXOLUTION 10 KG</t>
  </si>
  <si>
    <t>DON MATIAS</t>
  </si>
  <si>
    <t>SERVICIO AL CLIENTE</t>
  </si>
  <si>
    <t>ALCON DE COLOMBIA</t>
  </si>
  <si>
    <t>POLLO FIESTA</t>
  </si>
  <si>
    <t>PRO FARM DE LOS ANDES</t>
  </si>
  <si>
    <t>INSUMOS Y ADITIVOS VETERINARIOS</t>
  </si>
  <si>
    <t>DISTRAVES</t>
  </si>
  <si>
    <t>Cuenta de N° de Factura</t>
  </si>
  <si>
    <t>SAC</t>
  </si>
  <si>
    <t>CELTA</t>
  </si>
  <si>
    <t>CERDON</t>
  </si>
  <si>
    <t>AVICOLA LA AURORA</t>
  </si>
  <si>
    <t>AVSA</t>
  </si>
  <si>
    <t>INVERSIONES ESCALA</t>
  </si>
  <si>
    <t>Kg. Solicitados</t>
  </si>
  <si>
    <t>GRUPO AGROBOX</t>
  </si>
  <si>
    <t>** Datos tomados del OTIF</t>
  </si>
  <si>
    <t>MESAGE</t>
  </si>
  <si>
    <t>COMPAÑIA INDUSTRIAL DE PRODUCTOS AGROPECUARIOS</t>
  </si>
  <si>
    <t>S07257</t>
  </si>
  <si>
    <t>MICRO AID X 25 KG</t>
  </si>
  <si>
    <t>S07292</t>
  </si>
  <si>
    <t>POLLOS SAVICOL</t>
  </si>
  <si>
    <t>AVICOLA TRIPLE A</t>
  </si>
  <si>
    <t>JAIME CARDONA</t>
  </si>
  <si>
    <t>COMERCIALIZADORA G&amp;M</t>
  </si>
  <si>
    <t>VITALESCO</t>
  </si>
  <si>
    <t>ECUADPREMEX</t>
  </si>
  <si>
    <t>PREMEZCLAS LATINOAMERICANAS PRALSA</t>
  </si>
  <si>
    <t>GUATEMALA</t>
  </si>
  <si>
    <t>AGROSIGO</t>
  </si>
  <si>
    <t>S07203</t>
  </si>
  <si>
    <t>S08172</t>
  </si>
  <si>
    <t>AGROINDUSTRIA BIOMANANTIALES</t>
  </si>
  <si>
    <t>Hora reQ</t>
  </si>
  <si>
    <t>Cliente</t>
  </si>
  <si>
    <t>S08516</t>
  </si>
  <si>
    <t xml:space="preserve">PREMEX S.A. </t>
  </si>
  <si>
    <t>S08929</t>
  </si>
  <si>
    <t>S08928</t>
  </si>
  <si>
    <t>S08358</t>
  </si>
  <si>
    <t>ALIMENTOS POLAR</t>
  </si>
  <si>
    <t>S07503</t>
  </si>
  <si>
    <t>S07893</t>
  </si>
  <si>
    <t>S07931</t>
  </si>
  <si>
    <t>S07990</t>
  </si>
  <si>
    <t>S07958</t>
  </si>
  <si>
    <t>S08000</t>
  </si>
  <si>
    <t>S08061</t>
  </si>
  <si>
    <t>S08084</t>
  </si>
  <si>
    <t>S08085</t>
  </si>
  <si>
    <t>S08086</t>
  </si>
  <si>
    <t>S08087</t>
  </si>
  <si>
    <t>S08092</t>
  </si>
  <si>
    <t>S07770</t>
  </si>
  <si>
    <t>S07774</t>
  </si>
  <si>
    <t>S08047</t>
  </si>
  <si>
    <t>S08109</t>
  </si>
  <si>
    <t>S08120</t>
  </si>
  <si>
    <t>S08119</t>
  </si>
  <si>
    <t>S08124</t>
  </si>
  <si>
    <t>S08125</t>
  </si>
  <si>
    <t>S08127</t>
  </si>
  <si>
    <t>S08128</t>
  </si>
  <si>
    <t>S08129</t>
  </si>
  <si>
    <t>S08144</t>
  </si>
  <si>
    <t>PROCESADORA  NACIONAL DE ALIMENTOS (PRONACA)</t>
  </si>
  <si>
    <t>S08145</t>
  </si>
  <si>
    <t>S08158</t>
  </si>
  <si>
    <t>S08160</t>
  </si>
  <si>
    <t>S08161</t>
  </si>
  <si>
    <t>S08162</t>
  </si>
  <si>
    <t>S08163</t>
  </si>
  <si>
    <t>S08165</t>
  </si>
  <si>
    <t>S08164</t>
  </si>
  <si>
    <t xml:space="preserve"> S08170</t>
  </si>
  <si>
    <t>S08191</t>
  </si>
  <si>
    <t>S08192</t>
  </si>
  <si>
    <t>S08195</t>
  </si>
  <si>
    <t>S08194</t>
  </si>
  <si>
    <t>INVERSIONES FEED</t>
  </si>
  <si>
    <t>S08196</t>
  </si>
  <si>
    <t>S08198</t>
  </si>
  <si>
    <t>S08199</t>
  </si>
  <si>
    <t>S08210</t>
  </si>
  <si>
    <t>LERIDA</t>
  </si>
  <si>
    <t>S08214</t>
  </si>
  <si>
    <t>S08201</t>
  </si>
  <si>
    <t>S08213</t>
  </si>
  <si>
    <t>S08230</t>
  </si>
  <si>
    <t>S08231</t>
  </si>
  <si>
    <t>S08233</t>
  </si>
  <si>
    <t>S08235</t>
  </si>
  <si>
    <t>S08236</t>
  </si>
  <si>
    <t>S08237</t>
  </si>
  <si>
    <t>S08239</t>
  </si>
  <si>
    <t>S08240</t>
  </si>
  <si>
    <t>S08241</t>
  </si>
  <si>
    <t>COMERCIALIZADORA CAMPO FERTIL</t>
  </si>
  <si>
    <t>S08242</t>
  </si>
  <si>
    <t>S08243</t>
  </si>
  <si>
    <t>S08193</t>
  </si>
  <si>
    <t>S08244</t>
  </si>
  <si>
    <t>S08250</t>
  </si>
  <si>
    <t>S08251</t>
  </si>
  <si>
    <t>S08253</t>
  </si>
  <si>
    <t>S08259</t>
  </si>
  <si>
    <t>S08270</t>
  </si>
  <si>
    <t>DISTRIBUIDORA AGRO-PLUS</t>
  </si>
  <si>
    <t>S08272</t>
  </si>
  <si>
    <t>S08273</t>
  </si>
  <si>
    <t>S08274</t>
  </si>
  <si>
    <t>CONCENTRADOS CONSUIZA</t>
  </si>
  <si>
    <t>S08275</t>
  </si>
  <si>
    <t>S08276</t>
  </si>
  <si>
    <t>-</t>
  </si>
  <si>
    <t>S08101</t>
  </si>
  <si>
    <t>S08278</t>
  </si>
  <si>
    <t>S08283</t>
  </si>
  <si>
    <t>S08284</t>
  </si>
  <si>
    <t>S08286</t>
  </si>
  <si>
    <t>S08288</t>
  </si>
  <si>
    <t>S08289</t>
  </si>
  <si>
    <t>S08290</t>
  </si>
  <si>
    <t>S08291</t>
  </si>
  <si>
    <t>S08292</t>
  </si>
  <si>
    <t>S08293</t>
  </si>
  <si>
    <t>S08294</t>
  </si>
  <si>
    <t>S08298</t>
  </si>
  <si>
    <t>S08303</t>
  </si>
  <si>
    <t>S08306</t>
  </si>
  <si>
    <t>S08308</t>
  </si>
  <si>
    <t>S08312</t>
  </si>
  <si>
    <t>S08314</t>
  </si>
  <si>
    <t>S08315</t>
  </si>
  <si>
    <t>S08316</t>
  </si>
  <si>
    <t>S08318</t>
  </si>
  <si>
    <t>S08319</t>
  </si>
  <si>
    <t>S08321</t>
  </si>
  <si>
    <t>S08322</t>
  </si>
  <si>
    <t>S08323</t>
  </si>
  <si>
    <t>S08325</t>
  </si>
  <si>
    <t>S08326</t>
  </si>
  <si>
    <t>S08327</t>
  </si>
  <si>
    <t>IMP- AGRO</t>
  </si>
  <si>
    <t>S08328</t>
  </si>
  <si>
    <t>S08329</t>
  </si>
  <si>
    <t xml:space="preserve">GARCIA GOMEZ AGROINVERSIONES </t>
  </si>
  <si>
    <t>S08331</t>
  </si>
  <si>
    <t>INTEGRACIONES PORCINAS</t>
  </si>
  <si>
    <t>S08332</t>
  </si>
  <si>
    <t>S08333</t>
  </si>
  <si>
    <t>S08334</t>
  </si>
  <si>
    <t>S08335</t>
  </si>
  <si>
    <t>COLOMBIANA DE INCUBACION</t>
  </si>
  <si>
    <t>S08337</t>
  </si>
  <si>
    <t>S08353</t>
  </si>
  <si>
    <t>S08354</t>
  </si>
  <si>
    <t>S08355</t>
  </si>
  <si>
    <t>S08359</t>
  </si>
  <si>
    <t>S08360</t>
  </si>
  <si>
    <t>S08361</t>
  </si>
  <si>
    <t>S08363</t>
  </si>
  <si>
    <t>S08364</t>
  </si>
  <si>
    <t>S08367</t>
  </si>
  <si>
    <t>EMPOLLADORA COLOMBIANA</t>
  </si>
  <si>
    <t>S08371</t>
  </si>
  <si>
    <t>S08382</t>
  </si>
  <si>
    <t>S08383</t>
  </si>
  <si>
    <t>ALIMENTOS NUTRAL</t>
  </si>
  <si>
    <t>S08384</t>
  </si>
  <si>
    <t>S08386</t>
  </si>
  <si>
    <t>S08387</t>
  </si>
  <si>
    <t>S08392</t>
  </si>
  <si>
    <t>S08317</t>
  </si>
  <si>
    <t>S08399</t>
  </si>
  <si>
    <t>S08402</t>
  </si>
  <si>
    <t>S08324</t>
  </si>
  <si>
    <t>S08404</t>
  </si>
  <si>
    <t>S08406</t>
  </si>
  <si>
    <t>S08389</t>
  </si>
  <si>
    <t>S08407</t>
  </si>
  <si>
    <t>S08405</t>
  </si>
  <si>
    <t>S08409</t>
  </si>
  <si>
    <t>S08410</t>
  </si>
  <si>
    <t>S08411</t>
  </si>
  <si>
    <t>S08412</t>
  </si>
  <si>
    <t>ELKIN NORIEL SANCHEZ</t>
  </si>
  <si>
    <t>S08414</t>
  </si>
  <si>
    <t>S08445</t>
  </si>
  <si>
    <t>S08446</t>
  </si>
  <si>
    <t>S08447</t>
  </si>
  <si>
    <t>S08448</t>
  </si>
  <si>
    <t>S08450</t>
  </si>
  <si>
    <t>S08451</t>
  </si>
  <si>
    <t>S08452</t>
  </si>
  <si>
    <t>S08462</t>
  </si>
  <si>
    <t>S08463</t>
  </si>
  <si>
    <t>S08464</t>
  </si>
  <si>
    <t>S08465</t>
  </si>
  <si>
    <t>S08466</t>
  </si>
  <si>
    <t>S08475</t>
  </si>
  <si>
    <t>S08476</t>
  </si>
  <si>
    <t>S08482</t>
  </si>
  <si>
    <t>S08483</t>
  </si>
  <si>
    <t>S08485</t>
  </si>
  <si>
    <t>S08486</t>
  </si>
  <si>
    <t>S08487</t>
  </si>
  <si>
    <t>S08488</t>
  </si>
  <si>
    <t>S08489</t>
  </si>
  <si>
    <t>S08490</t>
  </si>
  <si>
    <t>S08491</t>
  </si>
  <si>
    <t>S08495</t>
  </si>
  <si>
    <t>S08496</t>
  </si>
  <si>
    <t>S08497</t>
  </si>
  <si>
    <t>S08498</t>
  </si>
  <si>
    <t>S08499</t>
  </si>
  <si>
    <t>S08500</t>
  </si>
  <si>
    <t>INVERSIONES AGROPORC</t>
  </si>
  <si>
    <t>ROFLOX X 1 LITRO</t>
  </si>
  <si>
    <t>S08501</t>
  </si>
  <si>
    <t>S08504</t>
  </si>
  <si>
    <t>S08505</t>
  </si>
  <si>
    <t>S08506</t>
  </si>
  <si>
    <t>S08507</t>
  </si>
  <si>
    <t>S08509</t>
  </si>
  <si>
    <t>S08515</t>
  </si>
  <si>
    <t>S08523</t>
  </si>
  <si>
    <t>S08528</t>
  </si>
  <si>
    <t>S08529</t>
  </si>
  <si>
    <t>S08530</t>
  </si>
  <si>
    <t>S08531</t>
  </si>
  <si>
    <t>S08532</t>
  </si>
  <si>
    <t>S08538</t>
  </si>
  <si>
    <t>S08540</t>
  </si>
  <si>
    <t>S08541</t>
  </si>
  <si>
    <t>S08543</t>
  </si>
  <si>
    <t>S08546</t>
  </si>
  <si>
    <t>S08565</t>
  </si>
  <si>
    <t>S08566</t>
  </si>
  <si>
    <t>S08632</t>
  </si>
  <si>
    <t>S08605</t>
  </si>
  <si>
    <t>S08576</t>
  </si>
  <si>
    <t>S08577</t>
  </si>
  <si>
    <t>S08578</t>
  </si>
  <si>
    <t>S08580</t>
  </si>
  <si>
    <t>S08584</t>
  </si>
  <si>
    <t>S08585</t>
  </si>
  <si>
    <t>S08592</t>
  </si>
  <si>
    <t>S08593</t>
  </si>
  <si>
    <t>S08595</t>
  </si>
  <si>
    <t>S08596</t>
  </si>
  <si>
    <t>S08603</t>
  </si>
  <si>
    <t>S08601</t>
  </si>
  <si>
    <t>S08762</t>
  </si>
  <si>
    <t>S08780</t>
  </si>
  <si>
    <t>S08614</t>
  </si>
  <si>
    <t>S08615</t>
  </si>
  <si>
    <t>S08616</t>
  </si>
  <si>
    <t>S08618</t>
  </si>
  <si>
    <t>S08622</t>
  </si>
  <si>
    <t>S08608</t>
  </si>
  <si>
    <t>S08624</t>
  </si>
  <si>
    <t>S08612</t>
  </si>
  <si>
    <t>S08647</t>
  </si>
  <si>
    <t>S08653</t>
  </si>
  <si>
    <t>S08655</t>
  </si>
  <si>
    <t>S08662</t>
  </si>
  <si>
    <t>S08663</t>
  </si>
  <si>
    <t>S08665</t>
  </si>
  <si>
    <t>S08667</t>
  </si>
  <si>
    <t>S08668</t>
  </si>
  <si>
    <t>S08669</t>
  </si>
  <si>
    <t>S08670</t>
  </si>
  <si>
    <t>S08671</t>
  </si>
  <si>
    <t>S08673</t>
  </si>
  <si>
    <t>S08675</t>
  </si>
  <si>
    <t>S08685</t>
  </si>
  <si>
    <t>INSUMOS AGROPECUARIOS</t>
  </si>
  <si>
    <t>S08713</t>
  </si>
  <si>
    <t>S08714</t>
  </si>
  <si>
    <t>S08715</t>
  </si>
  <si>
    <t>S08720</t>
  </si>
  <si>
    <t>S08721</t>
  </si>
  <si>
    <t>S08722</t>
  </si>
  <si>
    <t>S08716</t>
  </si>
  <si>
    <t>S08726</t>
  </si>
  <si>
    <t>S08727</t>
  </si>
  <si>
    <t>S08728</t>
  </si>
  <si>
    <t>S08729</t>
  </si>
  <si>
    <t>VIVIANA CARMONA</t>
  </si>
  <si>
    <t>S08730</t>
  </si>
  <si>
    <t>S08732</t>
  </si>
  <si>
    <t>S08734</t>
  </si>
  <si>
    <t>HERMANOS ARANGO</t>
  </si>
  <si>
    <t>S08735</t>
  </si>
  <si>
    <t>S08736</t>
  </si>
  <si>
    <t>PECUARY SUPPLIER SAS</t>
  </si>
  <si>
    <t>S08738</t>
  </si>
  <si>
    <t>S08741</t>
  </si>
  <si>
    <t>PORCICOLA EMMMANUEL</t>
  </si>
  <si>
    <t>S08742</t>
  </si>
  <si>
    <t>S08743</t>
  </si>
  <si>
    <t>S08744</t>
  </si>
  <si>
    <t>S08748</t>
  </si>
  <si>
    <t>LOTUS X 25 KG</t>
  </si>
  <si>
    <t>S08752</t>
  </si>
  <si>
    <t>S08757</t>
  </si>
  <si>
    <t>S08827</t>
  </si>
  <si>
    <t>S08733</t>
  </si>
  <si>
    <t>S08763</t>
  </si>
  <si>
    <t>S08764</t>
  </si>
  <si>
    <t>S08756</t>
  </si>
  <si>
    <t>SUPERCERDO PAISA</t>
  </si>
  <si>
    <t>S08770</t>
  </si>
  <si>
    <t>S08771</t>
  </si>
  <si>
    <t>S08772</t>
  </si>
  <si>
    <t>S08775</t>
  </si>
  <si>
    <t>S08776</t>
  </si>
  <si>
    <t>S08785</t>
  </si>
  <si>
    <t>S08786</t>
  </si>
  <si>
    <t>S08787</t>
  </si>
  <si>
    <t>S08788</t>
  </si>
  <si>
    <t>S08789</t>
  </si>
  <si>
    <t>S08597</t>
  </si>
  <si>
    <t>S08790</t>
  </si>
  <si>
    <t>S08791</t>
  </si>
  <si>
    <t>S08796</t>
  </si>
  <si>
    <t>S08797</t>
  </si>
  <si>
    <t>S08798</t>
  </si>
  <si>
    <t>S08811</t>
  </si>
  <si>
    <t>S08819</t>
  </si>
  <si>
    <t>S08820</t>
  </si>
  <si>
    <t>S08866</t>
  </si>
  <si>
    <t>S08821</t>
  </si>
  <si>
    <t>S08822</t>
  </si>
  <si>
    <t>S08823</t>
  </si>
  <si>
    <t>S08824</t>
  </si>
  <si>
    <t>S08828</t>
  </si>
  <si>
    <t>S08831</t>
  </si>
  <si>
    <t>VITAOVO</t>
  </si>
  <si>
    <t>S08832</t>
  </si>
  <si>
    <t>S08833</t>
  </si>
  <si>
    <t>S08849</t>
  </si>
  <si>
    <t>BIOINDUSTRIA MANANTIALES</t>
  </si>
  <si>
    <t>S08865</t>
  </si>
  <si>
    <t>S08856</t>
  </si>
  <si>
    <t>S08868</t>
  </si>
  <si>
    <t>S08870</t>
  </si>
  <si>
    <t>S08871</t>
  </si>
  <si>
    <t>S08873</t>
  </si>
  <si>
    <t>S08887</t>
  </si>
  <si>
    <t>S08888</t>
  </si>
  <si>
    <t>S08895</t>
  </si>
  <si>
    <t>CARTERA</t>
  </si>
  <si>
    <t>S08897</t>
  </si>
  <si>
    <t>S08898</t>
  </si>
  <si>
    <t>S08901</t>
  </si>
  <si>
    <t>S08902</t>
  </si>
  <si>
    <t>S08906</t>
  </si>
  <si>
    <t>PROFARM DE LOS ANDES</t>
  </si>
  <si>
    <t>S08908</t>
  </si>
  <si>
    <t>S08915</t>
  </si>
  <si>
    <t>S08926</t>
  </si>
  <si>
    <t>S08931</t>
  </si>
  <si>
    <t>S08938</t>
  </si>
  <si>
    <t>S08932</t>
  </si>
  <si>
    <t>S08944</t>
  </si>
  <si>
    <t>S08949</t>
  </si>
  <si>
    <t>S08980</t>
  </si>
  <si>
    <t>INVERSIONES AGROPECUARIAS FC SAS</t>
  </si>
  <si>
    <t>S08981</t>
  </si>
  <si>
    <t>S08985</t>
  </si>
  <si>
    <t>P&amp;P INVERSIONES SAS</t>
  </si>
  <si>
    <t>S08964</t>
  </si>
  <si>
    <t>S08953</t>
  </si>
  <si>
    <t>S08930</t>
  </si>
  <si>
    <t>CONTEGRAL S.A.S.</t>
  </si>
  <si>
    <t>S08896</t>
  </si>
  <si>
    <t>Suma de Valor total</t>
  </si>
  <si>
    <t>Cuenta de Cliente</t>
  </si>
  <si>
    <t>Antes de la fecha</t>
  </si>
  <si>
    <t>a tiempo</t>
  </si>
  <si>
    <t>Fuera de tiempo</t>
  </si>
  <si>
    <t>Lineas</t>
  </si>
  <si>
    <t>Total Lineas</t>
  </si>
  <si>
    <t>%</t>
  </si>
  <si>
    <t>PREMEX S.A.S.</t>
  </si>
  <si>
    <t>ACCUREMAX 10% X 25 KG</t>
  </si>
  <si>
    <t>MEJIA &amp; CIA</t>
  </si>
  <si>
    <t>FENIFLOR PREMIX X 25 Kg</t>
  </si>
  <si>
    <t>NORFLOX X 1 LITRO</t>
  </si>
  <si>
    <t>TRANSPORTE</t>
  </si>
  <si>
    <t>N/A</t>
  </si>
  <si>
    <t>GRUPO PORCINO</t>
  </si>
  <si>
    <t>TILVASYYN x 25 KG</t>
  </si>
  <si>
    <t>ARANGO HERMANOS</t>
  </si>
  <si>
    <t>BIMMU X 25 KG</t>
  </si>
  <si>
    <t>CONCENTRADOS JUDEVAL</t>
  </si>
  <si>
    <t>CLORTETRAX 20 X 25 KG</t>
  </si>
  <si>
    <t>SMOOT SWEET X 75 GR</t>
  </si>
  <si>
    <t>MAICAO</t>
  </si>
  <si>
    <t>LA CASA MAYOR</t>
  </si>
  <si>
    <t>CONCENTRADOS DEL CAMPO</t>
  </si>
  <si>
    <t>FRACTAL L X 20 LITROS</t>
  </si>
  <si>
    <t>AVICOLA SINAIN</t>
  </si>
  <si>
    <t>ANTIOQUEÑA DE PORCINOS</t>
  </si>
  <si>
    <t>ALISTAMIENTO</t>
  </si>
  <si>
    <t>Suma de Kg. Solicitados</t>
  </si>
  <si>
    <t>Manufactura (on time)</t>
  </si>
  <si>
    <t>Backorder abastecimiento ( No inventario)</t>
  </si>
  <si>
    <t>Backorder decision comercial ( Manejo de inventario)</t>
  </si>
  <si>
    <t>Manufactura ( Proceso productivo// planificación de produccion o acondicionamiento)</t>
  </si>
  <si>
    <t>Transporte (entregas fuera de la fecha del cliente // averias // certificados // novedades transportadora)</t>
  </si>
  <si>
    <t>Inventario y alistamiento de productos</t>
  </si>
  <si>
    <t>ASC ( Queja de calidad // concentracion del producto)</t>
  </si>
  <si>
    <t>Gestión comercial (producto con sobre abastecimiento sin venta)</t>
  </si>
  <si>
    <t>Logistica de entrada</t>
  </si>
  <si>
    <t>Inventario que no se entrego en el mes sin forecast ( Producto no disponible o falta de  certificados u otro)</t>
  </si>
  <si>
    <t>Inventario que no se entrego en el mes con forecast ( Producto no disponible o falta de  certificados u otro)</t>
  </si>
  <si>
    <t>NOVEDADES REPORTADAS</t>
  </si>
  <si>
    <t>ROVIRA</t>
  </si>
  <si>
    <t>BARCON</t>
  </si>
  <si>
    <t>GRANADA</t>
  </si>
  <si>
    <t>C&amp;J PORK</t>
  </si>
  <si>
    <t>SAN PEDRO</t>
  </si>
  <si>
    <t>MANANTIALES</t>
  </si>
  <si>
    <t>ESMERALDA</t>
  </si>
  <si>
    <t>Observaciones S.C.</t>
  </si>
  <si>
    <t>S15463</t>
  </si>
  <si>
    <t>HATILLO</t>
  </si>
  <si>
    <t>PREMEZCLAS LATINOAMERICANAS</t>
  </si>
  <si>
    <t>ITALCOL IBAGUE</t>
  </si>
  <si>
    <t>KIRA X 25 KG</t>
  </si>
  <si>
    <t>AMOXIN X 1 KILO</t>
  </si>
  <si>
    <t>10 kg SMOOTH SWEET</t>
  </si>
  <si>
    <t>S14505</t>
  </si>
  <si>
    <t>S14673</t>
  </si>
  <si>
    <t>S15092</t>
  </si>
  <si>
    <t>INVERSIONES FC</t>
  </si>
  <si>
    <t>LA CEJA</t>
  </si>
  <si>
    <t>S15550</t>
  </si>
  <si>
    <t>S15325</t>
  </si>
  <si>
    <t>S15379</t>
  </si>
  <si>
    <t>BODEGA EN CONSIGNACION</t>
  </si>
  <si>
    <t>DISTRIBUIDORA AGRO-PLUS SAS</t>
  </si>
  <si>
    <t>S15495</t>
  </si>
  <si>
    <t>S15502</t>
  </si>
  <si>
    <t>OC-030038</t>
  </si>
  <si>
    <t>S15524</t>
  </si>
  <si>
    <t>S15951</t>
  </si>
  <si>
    <t>PDNIENTE CONFIRMAR ENVIO CLIENTE</t>
  </si>
  <si>
    <t>SUPER AGRO</t>
  </si>
  <si>
    <t>S15891</t>
  </si>
  <si>
    <t>S15892</t>
  </si>
  <si>
    <t>REFILOGISTICA</t>
  </si>
  <si>
    <t>S14987</t>
  </si>
  <si>
    <t>S15894</t>
  </si>
  <si>
    <t>S15062</t>
  </si>
  <si>
    <t>OC00003372BX</t>
  </si>
  <si>
    <t>S15201</t>
  </si>
  <si>
    <t>S15202</t>
  </si>
  <si>
    <t>BG25763</t>
  </si>
  <si>
    <t>VEHICULO VARADO POR RUPTURA DE LA MANGUERA DE COMBUSTIBLE</t>
  </si>
  <si>
    <t>S15309</t>
  </si>
  <si>
    <t>S15311</t>
  </si>
  <si>
    <t>S15334</t>
  </si>
  <si>
    <t>COMPAÑIA INDUSTRIAL DE PRODUCTOS AGROPECUARIOS S.A</t>
  </si>
  <si>
    <t>S15386</t>
  </si>
  <si>
    <t>S15479</t>
  </si>
  <si>
    <t>S15487</t>
  </si>
  <si>
    <t>BG25760</t>
  </si>
  <si>
    <t>FINCA S.A.S.</t>
  </si>
  <si>
    <t>PEDIDO ENVIADO DESDE EL 26 DE MARZO Y PRESENTO NOVEDAD</t>
  </si>
  <si>
    <t>S15490</t>
  </si>
  <si>
    <t>S15491</t>
  </si>
  <si>
    <t>S15499</t>
  </si>
  <si>
    <t>S15525</t>
  </si>
  <si>
    <t>S15531</t>
  </si>
  <si>
    <t>S15547</t>
  </si>
  <si>
    <t>RIBARCO</t>
  </si>
  <si>
    <t>01-OC -00004117</t>
  </si>
  <si>
    <t>S15533</t>
  </si>
  <si>
    <t>BG25753</t>
  </si>
  <si>
    <t>S15548</t>
  </si>
  <si>
    <t>BG25752</t>
  </si>
  <si>
    <t>S15549</t>
  </si>
  <si>
    <t>INVERSIONES CARDONA RIOS (AVICOLA LA MARIA)</t>
  </si>
  <si>
    <t>S15560</t>
  </si>
  <si>
    <t>S14607</t>
  </si>
  <si>
    <t>BG25921</t>
  </si>
  <si>
    <t>S16212</t>
  </si>
  <si>
    <t>S14739</t>
  </si>
  <si>
    <t>BG25953</t>
  </si>
  <si>
    <t>CARTERA //INVENTARIO</t>
  </si>
  <si>
    <t>S16273</t>
  </si>
  <si>
    <t>S15427</t>
  </si>
  <si>
    <t>BG25952</t>
  </si>
  <si>
    <t>A02-COC-323164</t>
  </si>
  <si>
    <t>S15604</t>
  </si>
  <si>
    <t>BG25749</t>
  </si>
  <si>
    <t>S15606</t>
  </si>
  <si>
    <t>S15608</t>
  </si>
  <si>
    <t>S15609</t>
  </si>
  <si>
    <t>S15624</t>
  </si>
  <si>
    <t>BG25745</t>
  </si>
  <si>
    <t>DOS VEHICULO ENVIADOS 1 CON 5 TONELADAS Y OTRO CON 3 TONELADAS PERO DOS REMISIONES CADA UNA POR 8 TONELADAS ( LO QUE DIFICULTA EL INGRESO DEL PRODUCTO AL INVENTARIO POR PARTE DEL CLIENTE)</t>
  </si>
  <si>
    <t>S15633</t>
  </si>
  <si>
    <t>S15569</t>
  </si>
  <si>
    <t>S15635</t>
  </si>
  <si>
    <t>S15640</t>
  </si>
  <si>
    <t>S16072</t>
  </si>
  <si>
    <t>S15634</t>
  </si>
  <si>
    <t>S15650</t>
  </si>
  <si>
    <t>BG25742</t>
  </si>
  <si>
    <t>S15651</t>
  </si>
  <si>
    <t>BG25954</t>
  </si>
  <si>
    <t>S16274</t>
  </si>
  <si>
    <t>001-OSC-00073214</t>
  </si>
  <si>
    <t>S15652</t>
  </si>
  <si>
    <t>BG25741</t>
  </si>
  <si>
    <t>S15654</t>
  </si>
  <si>
    <t>BG26055</t>
  </si>
  <si>
    <t>PORCICOLA EMMANUEL S.A.S.</t>
  </si>
  <si>
    <t>TRIMBAC X 5KG</t>
  </si>
  <si>
    <t>S15656</t>
  </si>
  <si>
    <t>OC-COMP-22531</t>
  </si>
  <si>
    <t>S15664</t>
  </si>
  <si>
    <t>BG25823</t>
  </si>
  <si>
    <t>AL MOMENTO DEL DESPACHO NO HABIA PRODUCTO APROBADO</t>
  </si>
  <si>
    <t>S15618</t>
  </si>
  <si>
    <t>PRODUCCION</t>
  </si>
  <si>
    <t>S15669</t>
  </si>
  <si>
    <t>BG25901</t>
  </si>
  <si>
    <t>200 MONECYL R X 25 KG</t>
  </si>
  <si>
    <t>RETRAZOS EN EL AISTAMIENTO DEL PRODUCTO ( ENTREGA DESPUES DEL 15 DE ABRIL)</t>
  </si>
  <si>
    <t>SAGAH X 25 KILOS</t>
  </si>
  <si>
    <t>S15712</t>
  </si>
  <si>
    <t>GARCIA GOMEZ AGROINVERSIONES S.A.</t>
  </si>
  <si>
    <t>BG26054</t>
  </si>
  <si>
    <t>BG25955</t>
  </si>
  <si>
    <t>PRODUCTOS NO DISPONIBLE PARA ENTREGA</t>
  </si>
  <si>
    <t>S15713</t>
  </si>
  <si>
    <t>S15717</t>
  </si>
  <si>
    <t>S15720</t>
  </si>
  <si>
    <t>S15722</t>
  </si>
  <si>
    <t>EL ROBLE</t>
  </si>
  <si>
    <t>CARTERA E INVENTARIO</t>
  </si>
  <si>
    <t>S15723</t>
  </si>
  <si>
    <t>BG25975</t>
  </si>
  <si>
    <t>PRODUCTO LIBERADO EL 20-4-2026</t>
  </si>
  <si>
    <t>BG25951</t>
  </si>
  <si>
    <t>S15724</t>
  </si>
  <si>
    <t>S15689</t>
  </si>
  <si>
    <t>COC-00003280</t>
  </si>
  <si>
    <t>S15725</t>
  </si>
  <si>
    <t>BG25818</t>
  </si>
  <si>
    <t>TILCOMIX ORAL X 1 KG</t>
  </si>
  <si>
    <t>BG25974</t>
  </si>
  <si>
    <t>BG25959</t>
  </si>
  <si>
    <t>S15729</t>
  </si>
  <si>
    <t>BG25817</t>
  </si>
  <si>
    <t>S15728</t>
  </si>
  <si>
    <t>COLOMBIANA DE AVES COLAVES</t>
  </si>
  <si>
    <t>S15730</t>
  </si>
  <si>
    <t>S15731</t>
  </si>
  <si>
    <t>S15736</t>
  </si>
  <si>
    <t>OPERADORA AVICOLA COLOMBIA S.A.S.</t>
  </si>
  <si>
    <t>S15737</t>
  </si>
  <si>
    <t>BG25832</t>
  </si>
  <si>
    <t>S15738</t>
  </si>
  <si>
    <t>CERDON S.A.S</t>
  </si>
  <si>
    <t>S15739</t>
  </si>
  <si>
    <t>S15740</t>
  </si>
  <si>
    <t>S15742</t>
  </si>
  <si>
    <t>S15743</t>
  </si>
  <si>
    <t>S15750</t>
  </si>
  <si>
    <t>S15751</t>
  </si>
  <si>
    <t>S15752</t>
  </si>
  <si>
    <t>P-1678</t>
  </si>
  <si>
    <t>S15753</t>
  </si>
  <si>
    <t>S15764</t>
  </si>
  <si>
    <t>BG25767</t>
  </si>
  <si>
    <t>S15754</t>
  </si>
  <si>
    <t>S15757</t>
  </si>
  <si>
    <t>S15758</t>
  </si>
  <si>
    <t>S15759</t>
  </si>
  <si>
    <t>BG25828</t>
  </si>
  <si>
    <t>ENTREGA DE SACO DE MONECYL DEL CLIENTE INVERSIONES J.V.</t>
  </si>
  <si>
    <t>S15763</t>
  </si>
  <si>
    <t>NELSON GARCIA MONSALVE</t>
  </si>
  <si>
    <t>S15766</t>
  </si>
  <si>
    <t>BG25732</t>
  </si>
  <si>
    <t>S15768</t>
  </si>
  <si>
    <t>S15769</t>
  </si>
  <si>
    <t>S15771</t>
  </si>
  <si>
    <t>OCO-0045520</t>
  </si>
  <si>
    <t>S15858</t>
  </si>
  <si>
    <t>BG25800</t>
  </si>
  <si>
    <t>CAMPO ALEGRE</t>
  </si>
  <si>
    <t>PRODUCTO NO DISPONIBLE EN BOGOTA</t>
  </si>
  <si>
    <t>S15772</t>
  </si>
  <si>
    <t>BG25788</t>
  </si>
  <si>
    <t>S15773</t>
  </si>
  <si>
    <t>S15775</t>
  </si>
  <si>
    <t>BG25829</t>
  </si>
  <si>
    <t>S15778</t>
  </si>
  <si>
    <t>S15779</t>
  </si>
  <si>
    <t>TILCOMIX PREMIX S X 5KG</t>
  </si>
  <si>
    <t>S15784</t>
  </si>
  <si>
    <t>BG25888</t>
  </si>
  <si>
    <t>S15777</t>
  </si>
  <si>
    <t>S15796</t>
  </si>
  <si>
    <t>S15797</t>
  </si>
  <si>
    <t>ORC-2604002</t>
  </si>
  <si>
    <t>S15798</t>
  </si>
  <si>
    <t>BG25794</t>
  </si>
  <si>
    <t>S15809</t>
  </si>
  <si>
    <t>S15810</t>
  </si>
  <si>
    <t>S15813</t>
  </si>
  <si>
    <t>S15814</t>
  </si>
  <si>
    <t>CHIMITA</t>
  </si>
  <si>
    <t>S15815</t>
  </si>
  <si>
    <t>BG25859</t>
  </si>
  <si>
    <t>S15816</t>
  </si>
  <si>
    <t>S15817</t>
  </si>
  <si>
    <t>Por solicitud del cleinte</t>
  </si>
  <si>
    <t>BG25758</t>
  </si>
  <si>
    <t>5 kg FENIFLOR PREMIX</t>
  </si>
  <si>
    <t>BG25756</t>
  </si>
  <si>
    <t>BG25764</t>
  </si>
  <si>
    <t>BG25757</t>
  </si>
  <si>
    <t>BG25796</t>
  </si>
  <si>
    <t>S15821</t>
  </si>
  <si>
    <t xml:space="preserve">007-OC-052066
</t>
  </si>
  <si>
    <t>S15829</t>
  </si>
  <si>
    <t>EJECUCION DE NC A LAS FV YA NO SE HABIA LEGALIZADO PEDIDO ENVIADO A OTRO CLIENTE Y SE TOMO LOTES QUE YA NO SE ENCONTRABAN</t>
  </si>
  <si>
    <t>S15835</t>
  </si>
  <si>
    <t>S15839</t>
  </si>
  <si>
    <t>S15840</t>
  </si>
  <si>
    <t>BG25812</t>
  </si>
  <si>
    <t>LIBERADO EL 08-4-2026</t>
  </si>
  <si>
    <t>S15841</t>
  </si>
  <si>
    <t>S15842</t>
  </si>
  <si>
    <t>S15844</t>
  </si>
  <si>
    <t>BG25960</t>
  </si>
  <si>
    <t>PEDIDO SOLICITADO 60 KILOS AL MOMENTO SOLO SE ENVIARON 34 DISPONIBLES BOGOTA</t>
  </si>
  <si>
    <t>S15761</t>
  </si>
  <si>
    <t>S15863</t>
  </si>
  <si>
    <t>S15864</t>
  </si>
  <si>
    <t>S15865</t>
  </si>
  <si>
    <t>S15866</t>
  </si>
  <si>
    <t>S15867</t>
  </si>
  <si>
    <t>BG25840</t>
  </si>
  <si>
    <t>RECOPILADO EN LA OC 4500088311</t>
  </si>
  <si>
    <t>S15869</t>
  </si>
  <si>
    <t>S15871</t>
  </si>
  <si>
    <t>S15872</t>
  </si>
  <si>
    <t>S15873</t>
  </si>
  <si>
    <t>S15874</t>
  </si>
  <si>
    <t>BIOPRESS</t>
  </si>
  <si>
    <t>S15875</t>
  </si>
  <si>
    <t>S15876</t>
  </si>
  <si>
    <t>S15877</t>
  </si>
  <si>
    <t>S15879</t>
  </si>
  <si>
    <t>S15880</t>
  </si>
  <si>
    <t>S15882</t>
  </si>
  <si>
    <t>S15883</t>
  </si>
  <si>
    <t>S15919</t>
  </si>
  <si>
    <t>BG25836</t>
  </si>
  <si>
    <t>S15914</t>
  </si>
  <si>
    <t>S15924</t>
  </si>
  <si>
    <t>S15927</t>
  </si>
  <si>
    <t>S15935</t>
  </si>
  <si>
    <t>S15941</t>
  </si>
  <si>
    <t>S15943</t>
  </si>
  <si>
    <t>S15944</t>
  </si>
  <si>
    <t>001-OCN-00013878</t>
  </si>
  <si>
    <t>S15945</t>
  </si>
  <si>
    <t>S15946</t>
  </si>
  <si>
    <t>S15948</t>
  </si>
  <si>
    <t>S15949</t>
  </si>
  <si>
    <t>BG25855</t>
  </si>
  <si>
    <t>VEHICULO CON FALLA MECANICA</t>
  </si>
  <si>
    <t>S15950</t>
  </si>
  <si>
    <t>S15966</t>
  </si>
  <si>
    <t>S15970</t>
  </si>
  <si>
    <t>S15971</t>
  </si>
  <si>
    <t>S15978</t>
  </si>
  <si>
    <t>1 KG DE CIPROFLOX</t>
  </si>
  <si>
    <t>S15979</t>
  </si>
  <si>
    <t>S15980</t>
  </si>
  <si>
    <t>S15981</t>
  </si>
  <si>
    <t>S16006</t>
  </si>
  <si>
    <t>S15983</t>
  </si>
  <si>
    <t>S15984</t>
  </si>
  <si>
    <t>S15985</t>
  </si>
  <si>
    <t>S15987</t>
  </si>
  <si>
    <t>S15988</t>
  </si>
  <si>
    <t>S15989</t>
  </si>
  <si>
    <t>COMERCIALIZARA CAMPOFERTIL</t>
  </si>
  <si>
    <t>S15992</t>
  </si>
  <si>
    <t>S15993</t>
  </si>
  <si>
    <t>053-CAL</t>
  </si>
  <si>
    <t>S16017</t>
  </si>
  <si>
    <t>S16018</t>
  </si>
  <si>
    <t>S16036</t>
  </si>
  <si>
    <t>S16037</t>
  </si>
  <si>
    <t>BG25971</t>
  </si>
  <si>
    <t>S16039</t>
  </si>
  <si>
    <t>S16041</t>
  </si>
  <si>
    <t>S16042</t>
  </si>
  <si>
    <t>INSUMOS AGROPECUARIOS DEL CAFE</t>
  </si>
  <si>
    <t>S16043</t>
  </si>
  <si>
    <t>S16052</t>
  </si>
  <si>
    <t>S16055</t>
  </si>
  <si>
    <t>S16044</t>
  </si>
  <si>
    <t>S16058</t>
  </si>
  <si>
    <t>S16060</t>
  </si>
  <si>
    <t>S16061</t>
  </si>
  <si>
    <t>S16062</t>
  </si>
  <si>
    <t>S16063</t>
  </si>
  <si>
    <t>AGROBUITRON</t>
  </si>
  <si>
    <t>S16064</t>
  </si>
  <si>
    <t>CFMP-1982</t>
  </si>
  <si>
    <t>S16065</t>
  </si>
  <si>
    <t>LA SORTIJA</t>
  </si>
  <si>
    <t>5 KG FENIFLOR PREMIX</t>
  </si>
  <si>
    <t>S16066</t>
  </si>
  <si>
    <t>CARTERA (CANCELADO PARA ENVIAR POR DISTRIBUIDOR)</t>
  </si>
  <si>
    <t>S16070</t>
  </si>
  <si>
    <t>AGROINDUSTRIAL LOS ROBLES</t>
  </si>
  <si>
    <t>S16071</t>
  </si>
  <si>
    <t>S16082</t>
  </si>
  <si>
    <t>S16083</t>
  </si>
  <si>
    <t>S16084</t>
  </si>
  <si>
    <t>S16086</t>
  </si>
  <si>
    <t>S16088</t>
  </si>
  <si>
    <t>SERVIVET</t>
  </si>
  <si>
    <t>S16090</t>
  </si>
  <si>
    <t>S16091</t>
  </si>
  <si>
    <t>S16102</t>
  </si>
  <si>
    <t>S16105</t>
  </si>
  <si>
    <t>S16106</t>
  </si>
  <si>
    <t>BG25893</t>
  </si>
  <si>
    <t>VEHICULO CON FALLA MECANICA QUE SE INCINERO // PENDIENTE REALIZAR RECLAMACION Y DEFNIR SI SE SUBE NUEVO PEDIDO</t>
  </si>
  <si>
    <t>S16108</t>
  </si>
  <si>
    <t>S16089</t>
  </si>
  <si>
    <t>BG26011</t>
  </si>
  <si>
    <t>AVERIA DE SACO POR MANIPULACION DEL PRODUCTO</t>
  </si>
  <si>
    <t>PEDIDO RETENIDO POR CARTERA NO SE LOGRA CUMPLIR CON LA FECHA SOLICITADA POR EL CLIENTE</t>
  </si>
  <si>
    <t>S16137</t>
  </si>
  <si>
    <t>S16153</t>
  </si>
  <si>
    <t>S16169</t>
  </si>
  <si>
    <t>S16168</t>
  </si>
  <si>
    <t>S16154</t>
  </si>
  <si>
    <t>S16171</t>
  </si>
  <si>
    <t>S16174</t>
  </si>
  <si>
    <t>S16176</t>
  </si>
  <si>
    <t>S16177</t>
  </si>
  <si>
    <t>S16179</t>
  </si>
  <si>
    <t>S16181</t>
  </si>
  <si>
    <t>LOS PINOS</t>
  </si>
  <si>
    <t>S16182</t>
  </si>
  <si>
    <t>007-OC-052214</t>
  </si>
  <si>
    <t>S16183</t>
  </si>
  <si>
    <t>BG25927</t>
  </si>
  <si>
    <t>15/04/0205</t>
  </si>
  <si>
    <t>EJECUCION DE NC A LAS FV YA QUE PRESENTABAN NOVEDADES CON LOS LOTES ENVIADOS ( iNVENTARIO CON UNIDAD DE AVERIA)</t>
  </si>
  <si>
    <t>S16203</t>
  </si>
  <si>
    <t>001-OSC-00073818</t>
  </si>
  <si>
    <t>S16206</t>
  </si>
  <si>
    <t>S16222</t>
  </si>
  <si>
    <t>INDUSTRIAS PUROPOLLO</t>
  </si>
  <si>
    <t>S16224</t>
  </si>
  <si>
    <t>S16226</t>
  </si>
  <si>
    <t>SUAL PRODUCTORA</t>
  </si>
  <si>
    <t>S16229</t>
  </si>
  <si>
    <t>S16232</t>
  </si>
  <si>
    <t>S16220</t>
  </si>
  <si>
    <t>S16230</t>
  </si>
  <si>
    <t>PORCICOLA LOS CEDROS</t>
  </si>
  <si>
    <t>NUEVO PEDIDO SINIESTRO VEHICULO OPERLOG / PEDIDO S16106</t>
  </si>
  <si>
    <t>S16243</t>
  </si>
  <si>
    <t>S16231</t>
  </si>
  <si>
    <t>S16261</t>
  </si>
  <si>
    <t>S16265</t>
  </si>
  <si>
    <t>S16266</t>
  </si>
  <si>
    <t>S16276</t>
  </si>
  <si>
    <t>BG25968</t>
  </si>
  <si>
    <t>S16277</t>
  </si>
  <si>
    <t>S16278</t>
  </si>
  <si>
    <t>S16280</t>
  </si>
  <si>
    <t>S16283</t>
  </si>
  <si>
    <t>S16284</t>
  </si>
  <si>
    <t>S16286</t>
  </si>
  <si>
    <t>S16290</t>
  </si>
  <si>
    <t>BG26053</t>
  </si>
  <si>
    <t>S16291</t>
  </si>
  <si>
    <t>BG26051</t>
  </si>
  <si>
    <t>S16294</t>
  </si>
  <si>
    <t>IMPRO- AGRO</t>
  </si>
  <si>
    <t>S16299</t>
  </si>
  <si>
    <t>S16297</t>
  </si>
  <si>
    <t>S16303</t>
  </si>
  <si>
    <t>SAC Y LOGISTICA DE SALIDA</t>
  </si>
  <si>
    <t>S16310</t>
  </si>
  <si>
    <t>PEDIDO GESTIONADO DESDE BOGOTA Y SE LE ASIGNO TAREA A LOGISTICA DE SALIDA</t>
  </si>
  <si>
    <t>S16314</t>
  </si>
  <si>
    <t xml:space="preserve">GRANJA LA VENTURA 
</t>
  </si>
  <si>
    <t>S16316</t>
  </si>
  <si>
    <t>S16320</t>
  </si>
  <si>
    <t>CFMP-2017</t>
  </si>
  <si>
    <t>S16321</t>
  </si>
  <si>
    <t>S16325</t>
  </si>
  <si>
    <t>S16326</t>
  </si>
  <si>
    <t>S16349</t>
  </si>
  <si>
    <t>S16345</t>
  </si>
  <si>
    <t>S16351</t>
  </si>
  <si>
    <t>BG26006</t>
  </si>
  <si>
    <t>EL CLIENTE INFORMA QUE SOLAMENTE ESTABA CONFIRMANDO SI TENIAMOS PRODUCTO DISPONIBLE EN LA BODEGA PARA ENTREGA INMEDIATA // NO ENVIO oc</t>
  </si>
  <si>
    <t>S16353</t>
  </si>
  <si>
    <t>S16354</t>
  </si>
  <si>
    <t>S16355</t>
  </si>
  <si>
    <t>S16357</t>
  </si>
  <si>
    <t>S16358</t>
  </si>
  <si>
    <t>S16360</t>
  </si>
  <si>
    <t>S16359</t>
  </si>
  <si>
    <t>S16362</t>
  </si>
  <si>
    <t>SANTA ROSA</t>
  </si>
  <si>
    <t>S16364</t>
  </si>
  <si>
    <t>S16366</t>
  </si>
  <si>
    <t>S16391</t>
  </si>
  <si>
    <t>S16392</t>
  </si>
  <si>
    <t>001-SC-016032</t>
  </si>
  <si>
    <t>S16393</t>
  </si>
  <si>
    <t>S16395</t>
  </si>
  <si>
    <t>S16396</t>
  </si>
  <si>
    <t>S16400</t>
  </si>
  <si>
    <t>S16401</t>
  </si>
  <si>
    <t>PRODUCTOS AVICOLA DEL ORIENTE</t>
  </si>
  <si>
    <t>S16403</t>
  </si>
  <si>
    <t>S16404</t>
  </si>
  <si>
    <t>1 KG NEOCYN</t>
  </si>
  <si>
    <t>S16405</t>
  </si>
  <si>
    <t>S16406</t>
  </si>
  <si>
    <t>S16410</t>
  </si>
  <si>
    <t>S16407</t>
  </si>
  <si>
    <t>S16412</t>
  </si>
  <si>
    <t>S16424</t>
  </si>
  <si>
    <t>S16425</t>
  </si>
  <si>
    <t>S16430</t>
  </si>
  <si>
    <t>PREMEX INC</t>
  </si>
  <si>
    <t>REPUBLICA DOMINICANA</t>
  </si>
  <si>
    <t>4700 USD</t>
  </si>
  <si>
    <t>S16443</t>
  </si>
  <si>
    <t>S16444</t>
  </si>
  <si>
    <t>S16453</t>
  </si>
  <si>
    <t>S16454</t>
  </si>
  <si>
    <t>S16459</t>
  </si>
  <si>
    <t>S16474</t>
  </si>
  <si>
    <t>S16475</t>
  </si>
  <si>
    <t>S16476</t>
  </si>
  <si>
    <t>005-OSC-00011159</t>
  </si>
  <si>
    <t>S16478</t>
  </si>
  <si>
    <t>S16480</t>
  </si>
  <si>
    <t>S16489</t>
  </si>
  <si>
    <t>S16512</t>
  </si>
  <si>
    <t>S16513</t>
  </si>
  <si>
    <t>S16516</t>
  </si>
  <si>
    <t>S16520</t>
  </si>
  <si>
    <t>S16521</t>
  </si>
  <si>
    <t>S16522</t>
  </si>
  <si>
    <t>P-1692</t>
  </si>
  <si>
    <t>S16523</t>
  </si>
  <si>
    <t>S16524</t>
  </si>
  <si>
    <t>S16525</t>
  </si>
  <si>
    <t>S16526</t>
  </si>
  <si>
    <t>S16528</t>
  </si>
  <si>
    <t>001-OSC-00074280</t>
  </si>
  <si>
    <t>S16532</t>
  </si>
  <si>
    <t>S16549</t>
  </si>
  <si>
    <t>S16593</t>
  </si>
  <si>
    <t>S16554</t>
  </si>
  <si>
    <t>S16567</t>
  </si>
  <si>
    <t>S16568</t>
  </si>
  <si>
    <t>TERRAZAS AGOPECUARIAS</t>
  </si>
  <si>
    <t>S16583</t>
  </si>
  <si>
    <t>S16601</t>
  </si>
  <si>
    <t>Tiene Forecast?</t>
  </si>
  <si>
    <t>Cantidad fuera del Forecast (Kg)</t>
  </si>
  <si>
    <t>Correo SI/NO</t>
  </si>
  <si>
    <t>Remisión</t>
  </si>
  <si>
    <t>Trasportadora</t>
  </si>
  <si>
    <t>Enviado
Paqueteo
Masivo</t>
  </si>
  <si>
    <t>Estatus
Entregado
En Ruta
Despacho</t>
  </si>
  <si>
    <t>Costo Flete</t>
  </si>
  <si>
    <t>Costo logistico</t>
  </si>
  <si>
    <t>Costo Kilo</t>
  </si>
  <si>
    <t>Cantidad Real Enviada</t>
  </si>
  <si>
    <t>Fecha Real Entregada</t>
  </si>
  <si>
    <t>SAC Y LOGISTICA DE ENTRADA</t>
  </si>
  <si>
    <t>Recuento de Pedido</t>
  </si>
  <si>
    <t>Cartera e Inventario ( se quedo inicialmente retenido por cartera, posteriormente se libera pero no hay producto para envio</t>
  </si>
  <si>
    <t>S16659</t>
  </si>
  <si>
    <t>CARTERA Y TRANSPORTE</t>
  </si>
  <si>
    <t>Cartera - Transporte ( se quedo inicialmente retenido por cartera y no se cumplio con la fcha solicitada, posteriormente se libera pero se presento novedad en transporte)</t>
  </si>
  <si>
    <t>Y-001-3109</t>
  </si>
  <si>
    <t>S16649</t>
  </si>
  <si>
    <t>AVSA S.A.</t>
  </si>
  <si>
    <t>BONIFICACIONES</t>
  </si>
  <si>
    <t>S14445</t>
  </si>
  <si>
    <t>71500 USD</t>
  </si>
  <si>
    <t>AVICOLA AVISID</t>
  </si>
  <si>
    <t>GUAQUIL</t>
  </si>
  <si>
    <t>S16427</t>
  </si>
  <si>
    <t>GUTEMALA</t>
  </si>
  <si>
    <t>89530 USD</t>
  </si>
  <si>
    <t>S16492</t>
  </si>
  <si>
    <t>S16493</t>
  </si>
  <si>
    <t>006-OC-029656</t>
  </si>
  <si>
    <t>S16510</t>
  </si>
  <si>
    <t>100-CON-00025157</t>
  </si>
  <si>
    <t>S16595</t>
  </si>
  <si>
    <t>OC00003669BX</t>
  </si>
  <si>
    <t>S16599</t>
  </si>
  <si>
    <t>001-OCN-00013932</t>
  </si>
  <si>
    <t>S16602</t>
  </si>
  <si>
    <t>S16624</t>
  </si>
  <si>
    <t>CELERITY NP X 25 KG</t>
  </si>
  <si>
    <t>001-OC -00052257</t>
  </si>
  <si>
    <t>S16627</t>
  </si>
  <si>
    <t>EL LIMON</t>
  </si>
  <si>
    <t>S16628</t>
  </si>
  <si>
    <t>COC-00000646</t>
  </si>
  <si>
    <t>S16683</t>
  </si>
  <si>
    <t>S16633</t>
  </si>
  <si>
    <t>S16635</t>
  </si>
  <si>
    <t>S16634</t>
  </si>
  <si>
    <t>S16636</t>
  </si>
  <si>
    <t>S16641</t>
  </si>
  <si>
    <t>BG26111</t>
  </si>
  <si>
    <t>ARJONA</t>
  </si>
  <si>
    <t>S16654</t>
  </si>
  <si>
    <t>102320 USD</t>
  </si>
  <si>
    <t>S16670</t>
  </si>
  <si>
    <t>S16678</t>
  </si>
  <si>
    <t>JHON RIZO</t>
  </si>
  <si>
    <t>S16679</t>
  </si>
  <si>
    <t>BG26195</t>
  </si>
  <si>
    <t>CFMP-2053</t>
  </si>
  <si>
    <t>S16709</t>
  </si>
  <si>
    <t>S16711</t>
  </si>
  <si>
    <t>S16712</t>
  </si>
  <si>
    <t>S16713</t>
  </si>
  <si>
    <t>01-OC -00004160</t>
  </si>
  <si>
    <t>S16716</t>
  </si>
  <si>
    <t>S16717</t>
  </si>
  <si>
    <t>S16718</t>
  </si>
  <si>
    <t>A02-COC-329026</t>
  </si>
  <si>
    <t>S16719</t>
  </si>
  <si>
    <t>ACCUREMAX</t>
  </si>
  <si>
    <t>S16731</t>
  </si>
  <si>
    <t>BETANAGRO</t>
  </si>
  <si>
    <t>PROYECTO TILVASIN X KG</t>
  </si>
  <si>
    <t>PC-INS-00965</t>
  </si>
  <si>
    <t>S16750</t>
  </si>
  <si>
    <t>S16752</t>
  </si>
  <si>
    <t>S16778</t>
  </si>
  <si>
    <t>S16754</t>
  </si>
  <si>
    <t>S16755</t>
  </si>
  <si>
    <t>S16756</t>
  </si>
  <si>
    <t>10 KG SMOOTH SWEET</t>
  </si>
  <si>
    <t>S16764</t>
  </si>
  <si>
    <t>S16779</t>
  </si>
  <si>
    <t>S16780</t>
  </si>
  <si>
    <t>BG26147</t>
  </si>
  <si>
    <t>S16781</t>
  </si>
  <si>
    <t>S16782</t>
  </si>
  <si>
    <t>S16783</t>
  </si>
  <si>
    <t>S16784</t>
  </si>
  <si>
    <t>BIOPRES</t>
  </si>
  <si>
    <t>S16787</t>
  </si>
  <si>
    <t>S16788</t>
  </si>
  <si>
    <t>OC 006</t>
  </si>
  <si>
    <t>S16790</t>
  </si>
  <si>
    <t>S16791</t>
  </si>
  <si>
    <t>S16795</t>
  </si>
  <si>
    <t>S16806</t>
  </si>
  <si>
    <t>S16807</t>
  </si>
  <si>
    <t>103-OCC-39117</t>
  </si>
  <si>
    <t>S16808</t>
  </si>
  <si>
    <t>TAS-OC-0005005</t>
  </si>
  <si>
    <t>S16814</t>
  </si>
  <si>
    <t>TERRAZAS AGROPECUARIAS</t>
  </si>
  <si>
    <t>S16819</t>
  </si>
  <si>
    <t>INVERSIONES FEEDS S.A.S</t>
  </si>
  <si>
    <t>999-OCN-00022734</t>
  </si>
  <si>
    <t>S16820</t>
  </si>
  <si>
    <t>999-OCN-00022732</t>
  </si>
  <si>
    <t>S16821</t>
  </si>
  <si>
    <t>COC-00000457</t>
  </si>
  <si>
    <t>S16822</t>
  </si>
  <si>
    <t>S16842</t>
  </si>
  <si>
    <t>S16823</t>
  </si>
  <si>
    <t>CONCENTRADOS ESPARTACO S.A.</t>
  </si>
  <si>
    <t>S16824</t>
  </si>
  <si>
    <t>ACCUREMAX 20% X 25 KG</t>
  </si>
  <si>
    <t>S16855</t>
  </si>
  <si>
    <t>S16825</t>
  </si>
  <si>
    <t>SEIKOU</t>
  </si>
  <si>
    <t>S16827</t>
  </si>
  <si>
    <t>S16828</t>
  </si>
  <si>
    <t>BG26201</t>
  </si>
  <si>
    <t>MESAGE S.A.S.</t>
  </si>
  <si>
    <t>S16835</t>
  </si>
  <si>
    <t>S16843</t>
  </si>
  <si>
    <t>SAN ANTONIO DE PRADO</t>
  </si>
  <si>
    <t>Paraíso Cría</t>
  </si>
  <si>
    <t>S16849</t>
  </si>
  <si>
    <t>PROMOTORA PORCINA</t>
  </si>
  <si>
    <t>LOMA DEL ESCOBERO</t>
  </si>
  <si>
    <t>TILCOMIX ORAL X 1 LITRO</t>
  </si>
  <si>
    <t>S16850</t>
  </si>
  <si>
    <t>S16852</t>
  </si>
  <si>
    <t>S16853</t>
  </si>
  <si>
    <t>Corralejas</t>
  </si>
  <si>
    <t>S16854</t>
  </si>
  <si>
    <t>OC-050002</t>
  </si>
  <si>
    <t>S16856</t>
  </si>
  <si>
    <t>PEDIDOS DEL MES ANTERIOR</t>
  </si>
  <si>
    <t>PEDIDOS DEL MES ANTERIOR/ INVENTARIO// CANCELADO</t>
  </si>
  <si>
    <t>BG26146</t>
  </si>
  <si>
    <t>BG26199</t>
  </si>
  <si>
    <t>BG26198</t>
  </si>
  <si>
    <t>BG26197</t>
  </si>
  <si>
    <t>BG26200</t>
  </si>
  <si>
    <t>BG26148</t>
  </si>
  <si>
    <t>S16859</t>
  </si>
  <si>
    <t>S16861</t>
  </si>
  <si>
    <t>PARAISO</t>
  </si>
  <si>
    <t>S16862</t>
  </si>
  <si>
    <t>OC-COMPR-23026</t>
  </si>
  <si>
    <t>S16864</t>
  </si>
  <si>
    <t>AGROPECURIA ALFA</t>
  </si>
  <si>
    <t>S16865</t>
  </si>
  <si>
    <t>S16873</t>
  </si>
  <si>
    <t>S16875</t>
  </si>
  <si>
    <t>S16876</t>
  </si>
  <si>
    <t>S16886</t>
  </si>
  <si>
    <t>FRACTAL L X 2O LITROS</t>
  </si>
  <si>
    <t>S16887</t>
  </si>
  <si>
    <t>S16888</t>
  </si>
  <si>
    <t>S16890</t>
  </si>
  <si>
    <t>001-SC-016058</t>
  </si>
  <si>
    <t>S16899</t>
  </si>
  <si>
    <t>S16901</t>
  </si>
  <si>
    <t>S16916</t>
  </si>
  <si>
    <t>ORC-2605004</t>
  </si>
  <si>
    <t>S16913</t>
  </si>
  <si>
    <t>0038</t>
  </si>
  <si>
    <t>S16917</t>
  </si>
  <si>
    <t>S16918</t>
  </si>
  <si>
    <t>S16920</t>
  </si>
  <si>
    <t>S16921</t>
  </si>
  <si>
    <t>S16922</t>
  </si>
  <si>
    <t>S16925</t>
  </si>
  <si>
    <t>S16927</t>
  </si>
  <si>
    <t>S16928</t>
  </si>
  <si>
    <t>S16929</t>
  </si>
  <si>
    <t>S16930</t>
  </si>
  <si>
    <t>S16934</t>
  </si>
  <si>
    <t>BARLOVENTO</t>
  </si>
  <si>
    <t>S16935</t>
  </si>
  <si>
    <t>S16936</t>
  </si>
  <si>
    <t>oc pendiente</t>
  </si>
  <si>
    <t>S16938</t>
  </si>
  <si>
    <t>COC-00000002 (AURES PRECEBO)</t>
  </si>
  <si>
    <t>S16968</t>
  </si>
  <si>
    <t>COC-00000002 (AURES CEBA)</t>
  </si>
  <si>
    <t>S16969</t>
  </si>
  <si>
    <t>AG-0013-26</t>
  </si>
  <si>
    <t>S16958</t>
  </si>
  <si>
    <t>S16975</t>
  </si>
  <si>
    <t>S16987</t>
  </si>
  <si>
    <t>S16988</t>
  </si>
  <si>
    <t>ANSERMA</t>
  </si>
  <si>
    <t>S16989</t>
  </si>
  <si>
    <t>200 MONECYL</t>
  </si>
  <si>
    <t>S16990</t>
  </si>
  <si>
    <t>S16991</t>
  </si>
  <si>
    <t>S16992</t>
  </si>
  <si>
    <t>S16993</t>
  </si>
  <si>
    <t>S16994</t>
  </si>
  <si>
    <t>S16998</t>
  </si>
  <si>
    <t>S16999</t>
  </si>
  <si>
    <t>S16957</t>
  </si>
  <si>
    <t>S17000</t>
  </si>
  <si>
    <t>S17021</t>
  </si>
  <si>
    <t>S17024</t>
  </si>
  <si>
    <t>1 KG CIPROFLOX</t>
  </si>
  <si>
    <t>S17027</t>
  </si>
  <si>
    <t>S17028</t>
  </si>
  <si>
    <t>S17030</t>
  </si>
  <si>
    <t>S17031</t>
  </si>
  <si>
    <t>S17032</t>
  </si>
  <si>
    <t>S17033</t>
  </si>
  <si>
    <t>COC-00000464</t>
  </si>
  <si>
    <t>S17038</t>
  </si>
  <si>
    <t>S17039</t>
  </si>
  <si>
    <t>33.75</t>
  </si>
  <si>
    <t>103-OCC-39168</t>
  </si>
  <si>
    <t>S17050</t>
  </si>
  <si>
    <t>S17051</t>
  </si>
  <si>
    <t>SEMANA 1</t>
  </si>
  <si>
    <t>FALTANTE DE 1 UNIDAD DE FOSMYCINA</t>
  </si>
  <si>
    <t>PEDIDO ENTREGADO SIN QR</t>
  </si>
  <si>
    <t>Cantidad solicitada fuera de forecast // NO FUE POSIBLE EL ENVIO DADO QUE AL MOMENTO NO CONTAMOS CON PRODUCTO REACONDICIONADO</t>
  </si>
  <si>
    <t>NOVEDAD REPORTADA POR SOLLA // CONDUCTORES GROSEROS</t>
  </si>
  <si>
    <t>PEDIDO ENVIADO DESDE EL 28 DE MARZO Y AL 6 DE MAYO NO HABIA SIDO ENTREGADO</t>
  </si>
  <si>
    <t>forecast</t>
  </si>
  <si>
    <t>Kg</t>
  </si>
  <si>
    <t>Total ventas no ejecutadas en el mes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</si>
</sst>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0.0%"/>
    <numFmt numFmtId="165" formatCode="_-&quot;$&quot;\ * #,##0_-;\-&quot;$&quot;\ * #,##0_-;_-&quot;$&quot;\ * &quot;-&quot;??_-;_-@_-"/>
  </numFmts>
  <fonts count="29">
    <font>
      <sz val="10"/>
      <color rgb="FF000000"/>
      <name val="Calibri"/>
      <charset val="134"/>
      <scheme val="minor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color rgb="FF003399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Docs-Calibri"/>
    </font>
    <font>
      <sz val="11"/>
      <color rgb="FF000000"/>
      <name val="Calibri"/>
      <family val="2"/>
    </font>
    <font>
      <b/>
      <sz val="12"/>
      <color rgb="FF0A0A0A"/>
      <name val="Roboto Regular"/>
    </font>
    <font>
      <b/>
      <u/>
      <sz val="10"/>
      <color rgb="FF222222"/>
      <name val="Arial"/>
      <family val="2"/>
    </font>
    <font>
      <b/>
      <sz val="9"/>
      <color rgb="FFFFFFFF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Arial"/>
      <family val="2"/>
    </font>
    <font>
      <sz val="9"/>
      <color theme="0"/>
      <name val="Arial"/>
      <family val="2"/>
    </font>
    <font>
      <sz val="10"/>
      <color rgb="FF000000"/>
      <name val="Calibri"/>
      <family val="2"/>
    </font>
    <font>
      <b/>
      <sz val="24"/>
      <color rgb="FFFF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8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theme="4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95959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</cellStyleXfs>
  <cellXfs count="370">
    <xf numFmtId="0" fontId="0" fillId="0" borderId="0" xfId="0"/>
    <xf numFmtId="0" fontId="1" fillId="0" borderId="0" xfId="2" applyAlignment="1">
      <alignment horizontal="center" vertical="center"/>
    </xf>
    <xf numFmtId="0" fontId="1" fillId="0" borderId="0" xfId="2" applyAlignment="1">
      <alignment horizontal="left"/>
    </xf>
    <xf numFmtId="0" fontId="1" fillId="0" borderId="0" xfId="2"/>
    <xf numFmtId="0" fontId="1" fillId="0" borderId="0" xfId="2" applyAlignment="1">
      <alignment horizontal="center"/>
    </xf>
    <xf numFmtId="0" fontId="3" fillId="0" borderId="5" xfId="2" applyFont="1" applyBorder="1" applyAlignment="1">
      <alignment horizontal="center" vertical="center"/>
    </xf>
    <xf numFmtId="0" fontId="1" fillId="0" borderId="5" xfId="2" applyBorder="1" applyAlignment="1">
      <alignment horizontal="center" vertical="center"/>
    </xf>
    <xf numFmtId="0" fontId="5" fillId="8" borderId="6" xfId="2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17" fontId="5" fillId="8" borderId="6" xfId="2" applyNumberFormat="1" applyFont="1" applyFill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4" fillId="9" borderId="6" xfId="2" applyFont="1" applyFill="1" applyBorder="1" applyAlignment="1">
      <alignment horizontal="center" vertical="center"/>
    </xf>
    <xf numFmtId="0" fontId="5" fillId="0" borderId="0" xfId="2" applyFont="1" applyAlignment="1">
      <alignment horizontal="left" vertical="center"/>
    </xf>
    <xf numFmtId="17" fontId="5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8" fillId="2" borderId="6" xfId="2" applyFont="1" applyFill="1" applyBorder="1" applyAlignment="1">
      <alignment horizontal="center" vertical="center"/>
    </xf>
    <xf numFmtId="0" fontId="1" fillId="2" borderId="6" xfId="2" applyFill="1" applyBorder="1" applyAlignment="1">
      <alignment horizontal="center" vertical="center"/>
    </xf>
    <xf numFmtId="0" fontId="8" fillId="11" borderId="6" xfId="2" applyFont="1" applyFill="1" applyBorder="1" applyAlignment="1">
      <alignment horizontal="center" vertical="center"/>
    </xf>
    <xf numFmtId="0" fontId="1" fillId="11" borderId="6" xfId="2" applyFill="1" applyBorder="1" applyAlignment="1">
      <alignment horizontal="center" vertical="center"/>
    </xf>
    <xf numFmtId="0" fontId="8" fillId="12" borderId="6" xfId="2" applyFont="1" applyFill="1" applyBorder="1" applyAlignment="1">
      <alignment horizontal="center" vertical="center"/>
    </xf>
    <xf numFmtId="0" fontId="1" fillId="12" borderId="6" xfId="2" applyFill="1" applyBorder="1" applyAlignment="1">
      <alignment horizontal="center" vertical="center"/>
    </xf>
    <xf numFmtId="0" fontId="8" fillId="13" borderId="6" xfId="2" applyFont="1" applyFill="1" applyBorder="1" applyAlignment="1">
      <alignment horizontal="center" vertical="center"/>
    </xf>
    <xf numFmtId="0" fontId="1" fillId="13" borderId="6" xfId="2" applyFill="1" applyBorder="1" applyAlignment="1">
      <alignment horizontal="center" vertical="center"/>
    </xf>
    <xf numFmtId="0" fontId="1" fillId="14" borderId="6" xfId="2" applyFill="1" applyBorder="1" applyAlignment="1">
      <alignment horizontal="center" vertical="center"/>
    </xf>
    <xf numFmtId="0" fontId="4" fillId="9" borderId="9" xfId="2" applyFont="1" applyFill="1" applyBorder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2" applyFont="1" applyAlignment="1">
      <alignment horizontal="center" vertical="center"/>
    </xf>
    <xf numFmtId="0" fontId="1" fillId="0" borderId="5" xfId="2" applyBorder="1" applyAlignment="1">
      <alignment horizontal="center"/>
    </xf>
    <xf numFmtId="0" fontId="2" fillId="0" borderId="0" xfId="2" applyFont="1" applyAlignment="1">
      <alignment horizontal="center"/>
    </xf>
    <xf numFmtId="0" fontId="2" fillId="0" borderId="0" xfId="2" applyFont="1" applyAlignment="1">
      <alignment horizontal="center" vertical="center"/>
    </xf>
    <xf numFmtId="0" fontId="9" fillId="0" borderId="0" xfId="0" applyFont="1" applyAlignment="1">
      <alignment horizontal="center"/>
    </xf>
    <xf numFmtId="165" fontId="9" fillId="0" borderId="0" xfId="1" applyNumberFormat="1" applyFont="1" applyFill="1" applyBorder="1" applyAlignment="1">
      <alignment horizontal="center"/>
    </xf>
    <xf numFmtId="0" fontId="2" fillId="0" borderId="0" xfId="0" applyFont="1" applyAlignment="1">
      <alignment horizontal="left" indent="1"/>
    </xf>
    <xf numFmtId="165" fontId="2" fillId="0" borderId="0" xfId="1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11" fillId="4" borderId="4" xfId="0" applyFont="1" applyFill="1" applyBorder="1" applyAlignment="1">
      <alignment horizontal="center" vertical="center" wrapText="1"/>
    </xf>
    <xf numFmtId="14" fontId="11" fillId="4" borderId="4" xfId="0" applyNumberFormat="1" applyFont="1" applyFill="1" applyBorder="1" applyAlignment="1">
      <alignment horizontal="center" vertical="center" wrapText="1"/>
    </xf>
    <xf numFmtId="20" fontId="11" fillId="4" borderId="4" xfId="0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14" fontId="11" fillId="4" borderId="4" xfId="0" applyNumberFormat="1" applyFont="1" applyFill="1" applyBorder="1" applyAlignment="1">
      <alignment horizontal="center" wrapText="1"/>
    </xf>
    <xf numFmtId="0" fontId="10" fillId="4" borderId="4" xfId="0" applyFont="1" applyFill="1" applyBorder="1" applyAlignment="1">
      <alignment horizontal="center" wrapText="1"/>
    </xf>
    <xf numFmtId="0" fontId="13" fillId="0" borderId="4" xfId="0" applyFont="1" applyBorder="1" applyAlignment="1">
      <alignment wrapText="1"/>
    </xf>
    <xf numFmtId="0" fontId="10" fillId="4" borderId="4" xfId="0" applyFont="1" applyFill="1" applyBorder="1" applyAlignment="1">
      <alignment wrapText="1"/>
    </xf>
    <xf numFmtId="20" fontId="11" fillId="4" borderId="4" xfId="0" applyNumberFormat="1" applyFont="1" applyFill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20" fontId="10" fillId="4" borderId="4" xfId="0" applyNumberFormat="1" applyFont="1" applyFill="1" applyBorder="1" applyAlignment="1">
      <alignment horizontal="center" wrapText="1"/>
    </xf>
    <xf numFmtId="0" fontId="11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horizontal="center" wrapText="1"/>
    </xf>
    <xf numFmtId="14" fontId="11" fillId="15" borderId="4" xfId="0" applyNumberFormat="1" applyFont="1" applyFill="1" applyBorder="1" applyAlignment="1">
      <alignment horizontal="center" vertical="center" wrapText="1"/>
    </xf>
    <xf numFmtId="20" fontId="11" fillId="15" borderId="4" xfId="0" applyNumberFormat="1" applyFont="1" applyFill="1" applyBorder="1" applyAlignment="1">
      <alignment horizontal="center" vertical="center" wrapText="1"/>
    </xf>
    <xf numFmtId="0" fontId="11" fillId="15" borderId="4" xfId="0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wrapText="1"/>
    </xf>
    <xf numFmtId="0" fontId="11" fillId="15" borderId="4" xfId="0" applyFont="1" applyFill="1" applyBorder="1" applyAlignment="1">
      <alignment vertical="center" wrapText="1"/>
    </xf>
    <xf numFmtId="0" fontId="11" fillId="16" borderId="4" xfId="0" applyFont="1" applyFill="1" applyBorder="1" applyAlignment="1">
      <alignment horizontal="center" vertical="center" wrapText="1"/>
    </xf>
    <xf numFmtId="14" fontId="11" fillId="16" borderId="4" xfId="0" applyNumberFormat="1" applyFont="1" applyFill="1" applyBorder="1" applyAlignment="1">
      <alignment horizontal="center" vertical="center" wrapText="1"/>
    </xf>
    <xf numFmtId="20" fontId="11" fillId="16" borderId="4" xfId="0" applyNumberFormat="1" applyFont="1" applyFill="1" applyBorder="1" applyAlignment="1">
      <alignment horizontal="center" vertical="center" wrapText="1"/>
    </xf>
    <xf numFmtId="0" fontId="10" fillId="16" borderId="4" xfId="0" applyFont="1" applyFill="1" applyBorder="1" applyAlignment="1">
      <alignment vertical="center" wrapText="1"/>
    </xf>
    <xf numFmtId="0" fontId="10" fillId="16" borderId="4" xfId="0" applyFont="1" applyFill="1" applyBorder="1" applyAlignment="1">
      <alignment wrapText="1"/>
    </xf>
    <xf numFmtId="0" fontId="11" fillId="16" borderId="4" xfId="0" applyFont="1" applyFill="1" applyBorder="1" applyAlignment="1">
      <alignment vertical="center" wrapText="1"/>
    </xf>
    <xf numFmtId="0" fontId="10" fillId="2" borderId="4" xfId="0" applyFont="1" applyFill="1" applyBorder="1" applyAlignment="1">
      <alignment vertical="center" wrapText="1"/>
    </xf>
    <xf numFmtId="14" fontId="11" fillId="2" borderId="4" xfId="0" applyNumberFormat="1" applyFont="1" applyFill="1" applyBorder="1" applyAlignment="1">
      <alignment horizontal="center" vertical="center" wrapText="1"/>
    </xf>
    <xf numFmtId="20" fontId="11" fillId="2" borderId="4" xfId="0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14" fontId="11" fillId="2" borderId="4" xfId="0" applyNumberFormat="1" applyFont="1" applyFill="1" applyBorder="1" applyAlignment="1">
      <alignment horizontal="center" wrapText="1"/>
    </xf>
    <xf numFmtId="0" fontId="10" fillId="2" borderId="4" xfId="0" applyFont="1" applyFill="1" applyBorder="1" applyAlignment="1">
      <alignment wrapText="1"/>
    </xf>
    <xf numFmtId="0" fontId="11" fillId="2" borderId="4" xfId="0" applyFont="1" applyFill="1" applyBorder="1" applyAlignment="1">
      <alignment horizontal="center" wrapText="1"/>
    </xf>
    <xf numFmtId="0" fontId="11" fillId="2" borderId="4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wrapText="1"/>
    </xf>
    <xf numFmtId="0" fontId="14" fillId="15" borderId="4" xfId="0" applyFont="1" applyFill="1" applyBorder="1" applyAlignment="1">
      <alignment horizontal="center" wrapText="1"/>
    </xf>
    <xf numFmtId="0" fontId="0" fillId="0" borderId="0" xfId="0" pivotButton="1"/>
    <xf numFmtId="0" fontId="11" fillId="2" borderId="3" xfId="0" applyFont="1" applyFill="1" applyBorder="1" applyAlignment="1">
      <alignment horizontal="center" vertical="center" wrapText="1"/>
    </xf>
    <xf numFmtId="0" fontId="11" fillId="16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vertical="center" wrapText="1"/>
    </xf>
    <xf numFmtId="3" fontId="11" fillId="15" borderId="3" xfId="0" applyNumberFormat="1" applyFont="1" applyFill="1" applyBorder="1" applyAlignment="1">
      <alignment horizontal="center" vertical="center" wrapText="1"/>
    </xf>
    <xf numFmtId="0" fontId="11" fillId="18" borderId="3" xfId="0" applyFont="1" applyFill="1" applyBorder="1" applyAlignment="1">
      <alignment horizontal="center" vertical="center" wrapText="1"/>
    </xf>
    <xf numFmtId="0" fontId="11" fillId="18" borderId="4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wrapText="1"/>
    </xf>
    <xf numFmtId="0" fontId="10" fillId="4" borderId="3" xfId="0" applyFont="1" applyFill="1" applyBorder="1" applyAlignment="1">
      <alignment horizontal="center" wrapText="1"/>
    </xf>
    <xf numFmtId="0" fontId="10" fillId="4" borderId="3" xfId="0" applyFont="1" applyFill="1" applyBorder="1" applyAlignment="1">
      <alignment vertical="center" wrapText="1"/>
    </xf>
    <xf numFmtId="0" fontId="11" fillId="4" borderId="3" xfId="0" applyFont="1" applyFill="1" applyBorder="1" applyAlignment="1">
      <alignment horizontal="center" wrapText="1"/>
    </xf>
    <xf numFmtId="0" fontId="11" fillId="5" borderId="3" xfId="0" applyFont="1" applyFill="1" applyBorder="1" applyAlignment="1">
      <alignment horizontal="center" wrapText="1"/>
    </xf>
    <xf numFmtId="0" fontId="14" fillId="4" borderId="3" xfId="0" applyFont="1" applyFill="1" applyBorder="1" applyAlignment="1">
      <alignment horizontal="center" wrapText="1"/>
    </xf>
    <xf numFmtId="0" fontId="15" fillId="4" borderId="3" xfId="0" applyFont="1" applyFill="1" applyBorder="1" applyAlignment="1">
      <alignment horizontal="center" wrapText="1"/>
    </xf>
    <xf numFmtId="3" fontId="11" fillId="4" borderId="3" xfId="0" applyNumberFormat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wrapText="1"/>
    </xf>
    <xf numFmtId="0" fontId="10" fillId="17" borderId="3" xfId="0" applyFont="1" applyFill="1" applyBorder="1" applyAlignment="1">
      <alignment wrapText="1"/>
    </xf>
    <xf numFmtId="14" fontId="11" fillId="18" borderId="4" xfId="0" applyNumberFormat="1" applyFont="1" applyFill="1" applyBorder="1" applyAlignment="1">
      <alignment horizontal="center" vertical="center" wrapText="1"/>
    </xf>
    <xf numFmtId="20" fontId="11" fillId="18" borderId="4" xfId="0" applyNumberFormat="1" applyFont="1" applyFill="1" applyBorder="1" applyAlignment="1">
      <alignment horizontal="center" vertical="center" wrapText="1"/>
    </xf>
    <xf numFmtId="0" fontId="10" fillId="18" borderId="4" xfId="0" applyFont="1" applyFill="1" applyBorder="1" applyAlignment="1">
      <alignment wrapText="1"/>
    </xf>
    <xf numFmtId="0" fontId="11" fillId="18" borderId="4" xfId="0" applyFont="1" applyFill="1" applyBorder="1" applyAlignment="1">
      <alignment vertical="center" wrapText="1"/>
    </xf>
    <xf numFmtId="0" fontId="11" fillId="6" borderId="3" xfId="0" applyFont="1" applyFill="1" applyBorder="1" applyAlignment="1">
      <alignment horizontal="center" vertical="center" wrapText="1"/>
    </xf>
    <xf numFmtId="14" fontId="11" fillId="6" borderId="4" xfId="0" applyNumberFormat="1" applyFont="1" applyFill="1" applyBorder="1" applyAlignment="1">
      <alignment horizontal="center" vertical="center" wrapText="1"/>
    </xf>
    <xf numFmtId="20" fontId="11" fillId="6" borderId="4" xfId="0" applyNumberFormat="1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vertical="center" wrapText="1"/>
    </xf>
    <xf numFmtId="0" fontId="11" fillId="19" borderId="3" xfId="0" applyFont="1" applyFill="1" applyBorder="1" applyAlignment="1">
      <alignment horizontal="center" vertical="center" wrapText="1"/>
    </xf>
    <xf numFmtId="14" fontId="11" fillId="19" borderId="4" xfId="0" applyNumberFormat="1" applyFont="1" applyFill="1" applyBorder="1" applyAlignment="1">
      <alignment horizontal="center" vertical="center" wrapText="1"/>
    </xf>
    <xf numFmtId="20" fontId="11" fillId="19" borderId="4" xfId="0" applyNumberFormat="1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vertical="center" wrapText="1"/>
    </xf>
    <xf numFmtId="0" fontId="17" fillId="0" borderId="0" xfId="2" applyFont="1" applyAlignment="1">
      <alignment horizontal="left" vertical="center" wrapText="1"/>
    </xf>
    <xf numFmtId="0" fontId="17" fillId="0" borderId="0" xfId="2" applyFont="1" applyAlignment="1">
      <alignment horizontal="left" vertical="center"/>
    </xf>
    <xf numFmtId="3" fontId="9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1" fillId="20" borderId="6" xfId="2" applyFill="1" applyBorder="1" applyAlignment="1">
      <alignment horizontal="center" vertical="center"/>
    </xf>
    <xf numFmtId="0" fontId="1" fillId="8" borderId="9" xfId="2" applyFill="1" applyBorder="1" applyAlignment="1">
      <alignment horizontal="center"/>
    </xf>
    <xf numFmtId="0" fontId="1" fillId="8" borderId="6" xfId="2" applyFill="1" applyBorder="1" applyAlignment="1">
      <alignment horizontal="center" vertical="center"/>
    </xf>
    <xf numFmtId="0" fontId="8" fillId="21" borderId="6" xfId="2" applyFont="1" applyFill="1" applyBorder="1" applyAlignment="1">
      <alignment horizontal="center" vertical="center"/>
    </xf>
    <xf numFmtId="0" fontId="1" fillId="22" borderId="6" xfId="2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5" fontId="0" fillId="0" borderId="0" xfId="0" applyNumberFormat="1"/>
    <xf numFmtId="0" fontId="1" fillId="7" borderId="0" xfId="2" applyFill="1" applyAlignment="1">
      <alignment horizontal="center" vertical="center" wrapText="1"/>
    </xf>
    <xf numFmtId="0" fontId="1" fillId="0" borderId="5" xfId="2" applyBorder="1" applyAlignment="1">
      <alignment horizontal="center" vertical="center" wrapText="1"/>
    </xf>
    <xf numFmtId="0" fontId="1" fillId="0" borderId="0" xfId="2" applyAlignment="1">
      <alignment horizontal="center" vertical="center" wrapText="1"/>
    </xf>
    <xf numFmtId="164" fontId="7" fillId="0" borderId="6" xfId="3" applyNumberFormat="1" applyFont="1" applyFill="1" applyBorder="1" applyAlignment="1">
      <alignment horizontal="center" vertical="center" wrapText="1"/>
    </xf>
    <xf numFmtId="9" fontId="4" fillId="9" borderId="6" xfId="3" applyFont="1" applyFill="1" applyBorder="1" applyAlignment="1">
      <alignment horizontal="center" vertical="center" wrapText="1"/>
    </xf>
    <xf numFmtId="17" fontId="5" fillId="8" borderId="6" xfId="2" quotePrefix="1" applyNumberFormat="1" applyFont="1" applyFill="1" applyBorder="1" applyAlignment="1">
      <alignment horizontal="center" vertical="center" wrapText="1"/>
    </xf>
    <xf numFmtId="165" fontId="2" fillId="10" borderId="6" xfId="1" applyNumberFormat="1" applyFont="1" applyFill="1" applyBorder="1" applyAlignment="1">
      <alignment horizontal="center" vertical="center" wrapText="1"/>
    </xf>
    <xf numFmtId="165" fontId="20" fillId="21" borderId="6" xfId="1" applyNumberFormat="1" applyFont="1" applyFill="1" applyBorder="1" applyAlignment="1">
      <alignment horizontal="center" vertical="center" wrapText="1"/>
    </xf>
    <xf numFmtId="165" fontId="1" fillId="22" borderId="6" xfId="1" applyNumberFormat="1" applyFont="1" applyFill="1" applyBorder="1" applyAlignment="1">
      <alignment horizontal="center" vertical="center" wrapText="1"/>
    </xf>
    <xf numFmtId="165" fontId="18" fillId="20" borderId="6" xfId="1" applyNumberFormat="1" applyFont="1" applyFill="1" applyBorder="1" applyAlignment="1">
      <alignment horizontal="center" vertical="center" wrapText="1"/>
    </xf>
    <xf numFmtId="165" fontId="18" fillId="2" borderId="6" xfId="1" applyNumberFormat="1" applyFont="1" applyFill="1" applyBorder="1" applyAlignment="1">
      <alignment horizontal="center" vertical="center" wrapText="1"/>
    </xf>
    <xf numFmtId="165" fontId="1" fillId="11" borderId="6" xfId="1" applyNumberFormat="1" applyFont="1" applyFill="1" applyBorder="1" applyAlignment="1">
      <alignment horizontal="center" vertical="center" wrapText="1"/>
    </xf>
    <xf numFmtId="165" fontId="1" fillId="12" borderId="6" xfId="1" applyNumberFormat="1" applyFont="1" applyFill="1" applyBorder="1" applyAlignment="1">
      <alignment horizontal="center" vertical="center" wrapText="1"/>
    </xf>
    <xf numFmtId="165" fontId="1" fillId="13" borderId="6" xfId="1" applyNumberFormat="1" applyFont="1" applyFill="1" applyBorder="1" applyAlignment="1">
      <alignment horizontal="center" vertical="center" wrapText="1"/>
    </xf>
    <xf numFmtId="165" fontId="1" fillId="14" borderId="6" xfId="1" applyNumberFormat="1" applyFont="1" applyFill="1" applyBorder="1" applyAlignment="1">
      <alignment horizontal="center" vertical="center" wrapText="1"/>
    </xf>
    <xf numFmtId="165" fontId="1" fillId="8" borderId="10" xfId="1" applyNumberFormat="1" applyFont="1" applyFill="1" applyBorder="1" applyAlignment="1">
      <alignment horizontal="center" vertical="center" wrapText="1"/>
    </xf>
    <xf numFmtId="165" fontId="4" fillId="9" borderId="11" xfId="2" applyNumberFormat="1" applyFont="1" applyFill="1" applyBorder="1" applyAlignment="1">
      <alignment horizontal="center" vertical="center" wrapText="1"/>
    </xf>
    <xf numFmtId="165" fontId="1" fillId="0" borderId="0" xfId="2" applyNumberFormat="1" applyAlignment="1">
      <alignment horizontal="center" vertical="center" wrapText="1"/>
    </xf>
    <xf numFmtId="3" fontId="0" fillId="0" borderId="0" xfId="0" applyNumberFormat="1" applyAlignment="1">
      <alignment horizontal="center"/>
    </xf>
    <xf numFmtId="3" fontId="0" fillId="0" borderId="0" xfId="1" applyNumberFormat="1" applyFont="1" applyAlignment="1">
      <alignment horizontal="center"/>
    </xf>
    <xf numFmtId="0" fontId="0" fillId="0" borderId="6" xfId="0" applyBorder="1"/>
    <xf numFmtId="0" fontId="1" fillId="0" borderId="6" xfId="0" applyFont="1" applyBorder="1"/>
    <xf numFmtId="9" fontId="0" fillId="0" borderId="6" xfId="4" applyFont="1" applyBorder="1"/>
    <xf numFmtId="0" fontId="5" fillId="11" borderId="6" xfId="0" applyFont="1" applyFill="1" applyBorder="1" applyAlignment="1">
      <alignment horizontal="center"/>
    </xf>
    <xf numFmtId="9" fontId="5" fillId="11" borderId="6" xfId="0" applyNumberFormat="1" applyFont="1" applyFill="1" applyBorder="1" applyAlignment="1">
      <alignment horizontal="center"/>
    </xf>
    <xf numFmtId="0" fontId="10" fillId="4" borderId="13" xfId="0" applyFont="1" applyFill="1" applyBorder="1" applyAlignment="1">
      <alignment vertical="center" wrapText="1"/>
    </xf>
    <xf numFmtId="3" fontId="11" fillId="4" borderId="4" xfId="0" applyNumberFormat="1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vertical="center" wrapText="1"/>
    </xf>
    <xf numFmtId="3" fontId="11" fillId="15" borderId="4" xfId="0" applyNumberFormat="1" applyFont="1" applyFill="1" applyBorder="1" applyAlignment="1">
      <alignment horizontal="center" vertical="center" wrapText="1"/>
    </xf>
    <xf numFmtId="0" fontId="11" fillId="20" borderId="4" xfId="0" applyFont="1" applyFill="1" applyBorder="1" applyAlignment="1">
      <alignment horizontal="center" vertical="center" wrapText="1"/>
    </xf>
    <xf numFmtId="14" fontId="11" fillId="20" borderId="4" xfId="0" applyNumberFormat="1" applyFont="1" applyFill="1" applyBorder="1" applyAlignment="1">
      <alignment horizontal="center" vertical="center" wrapText="1"/>
    </xf>
    <xf numFmtId="20" fontId="11" fillId="20" borderId="4" xfId="0" applyNumberFormat="1" applyFont="1" applyFill="1" applyBorder="1" applyAlignment="1">
      <alignment horizontal="center" vertical="center" wrapText="1"/>
    </xf>
    <xf numFmtId="0" fontId="10" fillId="20" borderId="4" xfId="0" applyFont="1" applyFill="1" applyBorder="1" applyAlignment="1">
      <alignment vertical="center" wrapText="1"/>
    </xf>
    <xf numFmtId="0" fontId="0" fillId="11" borderId="0" xfId="0" applyFill="1"/>
    <xf numFmtId="0" fontId="1" fillId="0" borderId="5" xfId="2" applyBorder="1" applyAlignment="1">
      <alignment horizontal="left" vertical="center"/>
    </xf>
    <xf numFmtId="0" fontId="1" fillId="0" borderId="0" xfId="2" applyAlignment="1">
      <alignment horizontal="left" vertical="center"/>
    </xf>
    <xf numFmtId="164" fontId="7" fillId="0" borderId="0" xfId="3" applyNumberFormat="1" applyFont="1" applyFill="1" applyBorder="1" applyAlignment="1">
      <alignment horizontal="left" vertical="center"/>
    </xf>
    <xf numFmtId="9" fontId="4" fillId="0" borderId="0" xfId="3" applyFont="1" applyFill="1" applyBorder="1" applyAlignment="1">
      <alignment horizontal="left" vertical="center"/>
    </xf>
    <xf numFmtId="165" fontId="1" fillId="0" borderId="0" xfId="1" applyNumberFormat="1" applyFont="1" applyAlignment="1">
      <alignment horizontal="left" vertical="center"/>
    </xf>
    <xf numFmtId="3" fontId="1" fillId="0" borderId="0" xfId="2" applyNumberFormat="1" applyAlignment="1">
      <alignment horizontal="left" vertical="center"/>
    </xf>
    <xf numFmtId="0" fontId="2" fillId="10" borderId="6" xfId="2" applyFont="1" applyFill="1" applyBorder="1" applyAlignment="1">
      <alignment horizontal="center" vertical="center"/>
    </xf>
    <xf numFmtId="3" fontId="19" fillId="10" borderId="0" xfId="2" applyNumberFormat="1" applyFont="1" applyFill="1" applyAlignment="1">
      <alignment horizontal="center" vertical="center"/>
    </xf>
    <xf numFmtId="0" fontId="10" fillId="0" borderId="4" xfId="0" applyFont="1" applyBorder="1" applyAlignment="1">
      <alignment wrapText="1"/>
    </xf>
    <xf numFmtId="0" fontId="11" fillId="4" borderId="4" xfId="0" quotePrefix="1" applyFont="1" applyFill="1" applyBorder="1" applyAlignment="1">
      <alignment horizontal="center" vertical="center" wrapText="1"/>
    </xf>
    <xf numFmtId="0" fontId="0" fillId="7" borderId="0" xfId="0" applyFill="1"/>
    <xf numFmtId="0" fontId="16" fillId="3" borderId="6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vertical="center" wrapText="1"/>
    </xf>
    <xf numFmtId="0" fontId="1" fillId="0" borderId="0" xfId="2" applyAlignment="1">
      <alignment vertical="center"/>
    </xf>
    <xf numFmtId="0" fontId="8" fillId="24" borderId="6" xfId="2" applyFont="1" applyFill="1" applyBorder="1" applyAlignment="1">
      <alignment horizontal="center" vertical="center"/>
    </xf>
    <xf numFmtId="165" fontId="20" fillId="24" borderId="6" xfId="1" applyNumberFormat="1" applyFont="1" applyFill="1" applyBorder="1" applyAlignment="1">
      <alignment horizontal="center" vertical="center" wrapText="1"/>
    </xf>
    <xf numFmtId="0" fontId="8" fillId="20" borderId="6" xfId="2" applyFont="1" applyFill="1" applyBorder="1" applyAlignment="1">
      <alignment horizontal="center" vertical="center" wrapText="1"/>
    </xf>
    <xf numFmtId="0" fontId="8" fillId="25" borderId="6" xfId="2" applyFont="1" applyFill="1" applyBorder="1" applyAlignment="1">
      <alignment horizontal="center" vertical="center"/>
    </xf>
    <xf numFmtId="0" fontId="1" fillId="25" borderId="6" xfId="2" applyFill="1" applyBorder="1" applyAlignment="1">
      <alignment horizontal="center" vertical="center"/>
    </xf>
    <xf numFmtId="165" fontId="1" fillId="25" borderId="6" xfId="1" applyNumberFormat="1" applyFont="1" applyFill="1" applyBorder="1" applyAlignment="1">
      <alignment horizontal="center" vertical="center" wrapText="1"/>
    </xf>
    <xf numFmtId="0" fontId="1" fillId="5" borderId="6" xfId="2" applyFill="1" applyBorder="1" applyAlignment="1">
      <alignment horizontal="center" vertical="center"/>
    </xf>
    <xf numFmtId="165" fontId="1" fillId="5" borderId="10" xfId="1" applyNumberFormat="1" applyFont="1" applyFill="1" applyBorder="1" applyAlignment="1">
      <alignment horizontal="center" vertical="center" wrapText="1"/>
    </xf>
    <xf numFmtId="0" fontId="22" fillId="0" borderId="0" xfId="2" applyFont="1" applyAlignment="1">
      <alignment horizontal="center" vertical="center"/>
    </xf>
    <xf numFmtId="165" fontId="23" fillId="0" borderId="0" xfId="2" applyNumberFormat="1" applyFont="1" applyAlignment="1">
      <alignment horizontal="center" vertical="center" wrapText="1"/>
    </xf>
    <xf numFmtId="0" fontId="5" fillId="7" borderId="0" xfId="2" applyFont="1" applyFill="1" applyAlignment="1">
      <alignment horizontal="left" vertical="center"/>
    </xf>
    <xf numFmtId="0" fontId="5" fillId="7" borderId="0" xfId="2" applyFont="1" applyFill="1" applyAlignment="1">
      <alignment horizontal="center" vertical="center"/>
    </xf>
    <xf numFmtId="0" fontId="1" fillId="7" borderId="0" xfId="2" applyFill="1" applyAlignment="1">
      <alignment horizontal="center"/>
    </xf>
    <xf numFmtId="17" fontId="5" fillId="7" borderId="0" xfId="2" applyNumberFormat="1" applyFont="1" applyFill="1" applyAlignment="1">
      <alignment horizontal="center" vertical="center"/>
    </xf>
    <xf numFmtId="0" fontId="7" fillId="7" borderId="0" xfId="2" applyFont="1" applyFill="1" applyAlignment="1">
      <alignment horizontal="left" vertical="center"/>
    </xf>
    <xf numFmtId="0" fontId="7" fillId="7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/>
    </xf>
    <xf numFmtId="0" fontId="4" fillId="7" borderId="0" xfId="2" applyFont="1" applyFill="1" applyAlignment="1">
      <alignment horizontal="left" vertical="center"/>
    </xf>
    <xf numFmtId="0" fontId="4" fillId="7" borderId="0" xfId="2" applyFont="1" applyFill="1" applyAlignment="1">
      <alignment horizontal="center" vertical="center"/>
    </xf>
    <xf numFmtId="0" fontId="4" fillId="7" borderId="0" xfId="2" applyFont="1" applyFill="1" applyAlignment="1">
      <alignment horizontal="center"/>
    </xf>
    <xf numFmtId="0" fontId="1" fillId="7" borderId="0" xfId="2" applyFill="1" applyAlignment="1">
      <alignment horizontal="left"/>
    </xf>
    <xf numFmtId="3" fontId="7" fillId="26" borderId="0" xfId="2" applyNumberFormat="1" applyFont="1" applyFill="1" applyAlignment="1">
      <alignment horizontal="center" vertical="center"/>
    </xf>
    <xf numFmtId="165" fontId="7" fillId="26" borderId="6" xfId="1" applyNumberFormat="1" applyFont="1" applyFill="1" applyBorder="1" applyAlignment="1">
      <alignment horizontal="center" vertical="center" wrapText="1"/>
    </xf>
    <xf numFmtId="0" fontId="8" fillId="24" borderId="6" xfId="2" applyFont="1" applyFill="1" applyBorder="1" applyAlignment="1">
      <alignment horizontal="center" vertical="center" wrapText="1"/>
    </xf>
    <xf numFmtId="0" fontId="8" fillId="21" borderId="6" xfId="2" applyFont="1" applyFill="1" applyBorder="1" applyAlignment="1">
      <alignment horizontal="center" vertical="center" wrapText="1"/>
    </xf>
    <xf numFmtId="0" fontId="8" fillId="23" borderId="6" xfId="2" applyFont="1" applyFill="1" applyBorder="1" applyAlignment="1">
      <alignment horizontal="center" vertical="center" wrapText="1"/>
    </xf>
    <xf numFmtId="0" fontId="1" fillId="23" borderId="6" xfId="2" applyFill="1" applyBorder="1" applyAlignment="1">
      <alignment horizontal="center" vertical="center"/>
    </xf>
    <xf numFmtId="165" fontId="1" fillId="23" borderId="6" xfId="1" applyNumberFormat="1" applyFont="1" applyFill="1" applyBorder="1" applyAlignment="1">
      <alignment horizontal="center" vertical="center" wrapText="1"/>
    </xf>
    <xf numFmtId="0" fontId="1" fillId="7" borderId="0" xfId="2" applyFill="1" applyAlignment="1">
      <alignment vertical="center"/>
    </xf>
    <xf numFmtId="0" fontId="16" fillId="3" borderId="13" xfId="0" applyFont="1" applyFill="1" applyBorder="1" applyAlignment="1">
      <alignment horizontal="center" vertical="center" wrapText="1"/>
    </xf>
    <xf numFmtId="0" fontId="11" fillId="15" borderId="13" xfId="0" applyFont="1" applyFill="1" applyBorder="1" applyAlignment="1">
      <alignment horizontal="center" vertical="center" wrapText="1"/>
    </xf>
    <xf numFmtId="0" fontId="11" fillId="16" borderId="13" xfId="0" applyFont="1" applyFill="1" applyBorder="1" applyAlignment="1">
      <alignment horizontal="center" vertical="center" wrapText="1"/>
    </xf>
    <xf numFmtId="0" fontId="11" fillId="20" borderId="13" xfId="0" applyFont="1" applyFill="1" applyBorder="1" applyAlignment="1">
      <alignment horizontal="center" vertical="center" wrapText="1"/>
    </xf>
    <xf numFmtId="0" fontId="11" fillId="20" borderId="4" xfId="0" applyFont="1" applyFill="1" applyBorder="1" applyAlignment="1">
      <alignment vertical="center" wrapText="1"/>
    </xf>
    <xf numFmtId="3" fontId="11" fillId="20" borderId="4" xfId="0" applyNumberFormat="1" applyFont="1" applyFill="1" applyBorder="1" applyAlignment="1">
      <alignment horizontal="center" vertical="center" wrapText="1"/>
    </xf>
    <xf numFmtId="3" fontId="11" fillId="16" borderId="4" xfId="0" applyNumberFormat="1" applyFont="1" applyFill="1" applyBorder="1" applyAlignment="1">
      <alignment horizontal="center" vertical="center" wrapText="1"/>
    </xf>
    <xf numFmtId="0" fontId="11" fillId="27" borderId="13" xfId="0" applyFont="1" applyFill="1" applyBorder="1" applyAlignment="1">
      <alignment horizontal="center" vertical="center" wrapText="1"/>
    </xf>
    <xf numFmtId="0" fontId="11" fillId="27" borderId="4" xfId="0" applyFont="1" applyFill="1" applyBorder="1" applyAlignment="1">
      <alignment horizontal="center" vertical="center" wrapText="1"/>
    </xf>
    <xf numFmtId="14" fontId="11" fillId="27" borderId="4" xfId="0" applyNumberFormat="1" applyFont="1" applyFill="1" applyBorder="1" applyAlignment="1">
      <alignment horizontal="center" vertical="center" wrapText="1"/>
    </xf>
    <xf numFmtId="20" fontId="11" fillId="27" borderId="4" xfId="0" applyNumberFormat="1" applyFont="1" applyFill="1" applyBorder="1" applyAlignment="1">
      <alignment horizontal="center" vertical="center" wrapText="1"/>
    </xf>
    <xf numFmtId="0" fontId="10" fillId="27" borderId="4" xfId="0" applyFont="1" applyFill="1" applyBorder="1" applyAlignment="1">
      <alignment vertical="center" wrapText="1"/>
    </xf>
    <xf numFmtId="0" fontId="11" fillId="27" borderId="4" xfId="0" applyFont="1" applyFill="1" applyBorder="1" applyAlignment="1">
      <alignment vertical="center" wrapText="1"/>
    </xf>
    <xf numFmtId="0" fontId="11" fillId="2" borderId="13" xfId="0" applyFont="1" applyFill="1" applyBorder="1" applyAlignment="1">
      <alignment horizontal="center" vertical="center" wrapText="1"/>
    </xf>
    <xf numFmtId="3" fontId="11" fillId="2" borderId="4" xfId="0" applyNumberFormat="1" applyFont="1" applyFill="1" applyBorder="1" applyAlignment="1">
      <alignment horizontal="center" vertical="center" wrapText="1"/>
    </xf>
    <xf numFmtId="0" fontId="11" fillId="28" borderId="13" xfId="0" applyFont="1" applyFill="1" applyBorder="1" applyAlignment="1">
      <alignment horizontal="center" vertical="center" wrapText="1"/>
    </xf>
    <xf numFmtId="0" fontId="11" fillId="28" borderId="4" xfId="0" applyFont="1" applyFill="1" applyBorder="1" applyAlignment="1">
      <alignment horizontal="center" vertical="center" wrapText="1"/>
    </xf>
    <xf numFmtId="14" fontId="11" fillId="28" borderId="4" xfId="0" applyNumberFormat="1" applyFont="1" applyFill="1" applyBorder="1" applyAlignment="1">
      <alignment horizontal="center" vertical="center" wrapText="1"/>
    </xf>
    <xf numFmtId="20" fontId="11" fillId="28" borderId="4" xfId="0" applyNumberFormat="1" applyFont="1" applyFill="1" applyBorder="1" applyAlignment="1">
      <alignment horizontal="center" vertical="center" wrapText="1"/>
    </xf>
    <xf numFmtId="0" fontId="10" fillId="28" borderId="4" xfId="0" applyFont="1" applyFill="1" applyBorder="1" applyAlignment="1">
      <alignment vertical="center" wrapText="1"/>
    </xf>
    <xf numFmtId="0" fontId="11" fillId="28" borderId="4" xfId="0" applyFont="1" applyFill="1" applyBorder="1" applyAlignment="1">
      <alignment vertical="center" wrapText="1"/>
    </xf>
    <xf numFmtId="3" fontId="11" fillId="28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3" fontId="4" fillId="9" borderId="11" xfId="2" applyNumberFormat="1" applyFont="1" applyFill="1" applyBorder="1" applyAlignment="1">
      <alignment horizontal="center" vertical="center"/>
    </xf>
    <xf numFmtId="0" fontId="11" fillId="24" borderId="6" xfId="0" applyFont="1" applyFill="1" applyBorder="1" applyAlignment="1">
      <alignment horizontal="center" vertical="center" wrapText="1"/>
    </xf>
    <xf numFmtId="14" fontId="11" fillId="24" borderId="6" xfId="0" applyNumberFormat="1" applyFont="1" applyFill="1" applyBorder="1" applyAlignment="1">
      <alignment horizontal="center" vertical="center" wrapText="1"/>
    </xf>
    <xf numFmtId="0" fontId="10" fillId="24" borderId="6" xfId="0" applyFont="1" applyFill="1" applyBorder="1" applyAlignment="1">
      <alignment vertical="center" wrapText="1"/>
    </xf>
    <xf numFmtId="0" fontId="11" fillId="24" borderId="6" xfId="0" applyFont="1" applyFill="1" applyBorder="1" applyAlignment="1">
      <alignment vertical="center" wrapText="1"/>
    </xf>
    <xf numFmtId="3" fontId="11" fillId="24" borderId="6" xfId="0" applyNumberFormat="1" applyFont="1" applyFill="1" applyBorder="1" applyAlignment="1">
      <alignment horizontal="center" vertical="center" wrapText="1"/>
    </xf>
    <xf numFmtId="0" fontId="11" fillId="21" borderId="6" xfId="0" applyFont="1" applyFill="1" applyBorder="1" applyAlignment="1">
      <alignment horizontal="center" vertical="center" wrapText="1"/>
    </xf>
    <xf numFmtId="14" fontId="11" fillId="21" borderId="6" xfId="0" applyNumberFormat="1" applyFont="1" applyFill="1" applyBorder="1" applyAlignment="1">
      <alignment horizontal="center" vertical="center" wrapText="1"/>
    </xf>
    <xf numFmtId="0" fontId="10" fillId="21" borderId="6" xfId="0" applyFont="1" applyFill="1" applyBorder="1" applyAlignment="1">
      <alignment vertical="center" wrapText="1"/>
    </xf>
    <xf numFmtId="0" fontId="11" fillId="20" borderId="6" xfId="0" applyFont="1" applyFill="1" applyBorder="1" applyAlignment="1">
      <alignment horizontal="center" vertical="center" wrapText="1"/>
    </xf>
    <xf numFmtId="14" fontId="11" fillId="20" borderId="6" xfId="0" applyNumberFormat="1" applyFont="1" applyFill="1" applyBorder="1" applyAlignment="1">
      <alignment horizontal="center" vertical="center" wrapText="1"/>
    </xf>
    <xf numFmtId="0" fontId="10" fillId="20" borderId="6" xfId="0" applyFont="1" applyFill="1" applyBorder="1" applyAlignment="1">
      <alignment vertical="center" wrapText="1"/>
    </xf>
    <xf numFmtId="0" fontId="11" fillId="20" borderId="6" xfId="0" applyFont="1" applyFill="1" applyBorder="1" applyAlignment="1">
      <alignment vertical="center" wrapText="1"/>
    </xf>
    <xf numFmtId="3" fontId="11" fillId="20" borderId="6" xfId="0" applyNumberFormat="1" applyFont="1" applyFill="1" applyBorder="1" applyAlignment="1">
      <alignment horizontal="center" vertical="center" wrapText="1"/>
    </xf>
    <xf numFmtId="0" fontId="24" fillId="20" borderId="6" xfId="0" applyFont="1" applyFill="1" applyBorder="1" applyAlignment="1">
      <alignment vertical="center" wrapText="1"/>
    </xf>
    <xf numFmtId="0" fontId="11" fillId="2" borderId="6" xfId="0" applyFont="1" applyFill="1" applyBorder="1" applyAlignment="1">
      <alignment horizontal="center" vertical="center" wrapText="1"/>
    </xf>
    <xf numFmtId="14" fontId="11" fillId="2" borderId="6" xfId="0" applyNumberFormat="1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vertical="center" wrapText="1"/>
    </xf>
    <xf numFmtId="0" fontId="11" fillId="2" borderId="6" xfId="0" applyFont="1" applyFill="1" applyBorder="1" applyAlignment="1">
      <alignment vertical="center" wrapText="1"/>
    </xf>
    <xf numFmtId="3" fontId="11" fillId="2" borderId="6" xfId="0" applyNumberFormat="1" applyFont="1" applyFill="1" applyBorder="1" applyAlignment="1">
      <alignment horizontal="center" vertical="center" wrapText="1"/>
    </xf>
    <xf numFmtId="0" fontId="11" fillId="16" borderId="6" xfId="0" applyFont="1" applyFill="1" applyBorder="1" applyAlignment="1">
      <alignment horizontal="center" vertical="center" wrapText="1"/>
    </xf>
    <xf numFmtId="14" fontId="11" fillId="16" borderId="6" xfId="0" applyNumberFormat="1" applyFont="1" applyFill="1" applyBorder="1" applyAlignment="1">
      <alignment horizontal="center" vertical="center" wrapText="1"/>
    </xf>
    <xf numFmtId="0" fontId="10" fillId="16" borderId="6" xfId="0" applyFont="1" applyFill="1" applyBorder="1" applyAlignment="1">
      <alignment vertical="center" wrapText="1"/>
    </xf>
    <xf numFmtId="0" fontId="11" fillId="16" borderId="6" xfId="0" applyFont="1" applyFill="1" applyBorder="1" applyAlignment="1">
      <alignment vertical="center" wrapText="1"/>
    </xf>
    <xf numFmtId="3" fontId="11" fillId="16" borderId="6" xfId="0" applyNumberFormat="1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0" fillId="2" borderId="0" xfId="0" applyFill="1"/>
    <xf numFmtId="0" fontId="1" fillId="7" borderId="0" xfId="2" applyFill="1"/>
    <xf numFmtId="0" fontId="11" fillId="14" borderId="6" xfId="0" applyFont="1" applyFill="1" applyBorder="1" applyAlignment="1">
      <alignment horizontal="center" vertical="center" wrapText="1"/>
    </xf>
    <xf numFmtId="14" fontId="11" fillId="14" borderId="6" xfId="0" applyNumberFormat="1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14" fontId="11" fillId="5" borderId="6" xfId="0" applyNumberFormat="1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vertical="center" wrapText="1"/>
    </xf>
    <xf numFmtId="0" fontId="11" fillId="5" borderId="6" xfId="0" applyFont="1" applyFill="1" applyBorder="1" applyAlignment="1">
      <alignment vertical="center" wrapText="1"/>
    </xf>
    <xf numFmtId="3" fontId="11" fillId="5" borderId="6" xfId="0" applyNumberFormat="1" applyFont="1" applyFill="1" applyBorder="1" applyAlignment="1">
      <alignment horizontal="center" vertical="center" wrapText="1"/>
    </xf>
    <xf numFmtId="0" fontId="1" fillId="7" borderId="0" xfId="2" applyFill="1" applyAlignment="1">
      <alignment horizontal="center" vertical="center"/>
    </xf>
    <xf numFmtId="0" fontId="24" fillId="20" borderId="6" xfId="0" applyFont="1" applyFill="1" applyBorder="1" applyAlignment="1">
      <alignment wrapText="1"/>
    </xf>
    <xf numFmtId="14" fontId="11" fillId="4" borderId="2" xfId="0" applyNumberFormat="1" applyFont="1" applyFill="1" applyBorder="1" applyAlignment="1">
      <alignment horizontal="center" vertical="center" wrapText="1"/>
    </xf>
    <xf numFmtId="20" fontId="11" fillId="4" borderId="2" xfId="0" applyNumberFormat="1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  <xf numFmtId="0" fontId="11" fillId="4" borderId="2" xfId="0" applyFont="1" applyFill="1" applyBorder="1" applyAlignment="1">
      <alignment vertical="center" wrapText="1"/>
    </xf>
    <xf numFmtId="3" fontId="11" fillId="4" borderId="2" xfId="0" applyNumberFormat="1" applyFont="1" applyFill="1" applyBorder="1" applyAlignment="1">
      <alignment horizontal="center" vertical="center" wrapText="1"/>
    </xf>
    <xf numFmtId="0" fontId="25" fillId="6" borderId="2" xfId="0" applyFont="1" applyFill="1" applyBorder="1" applyAlignment="1">
      <alignment horizontal="center" vertical="center" wrapText="1"/>
    </xf>
    <xf numFmtId="0" fontId="25" fillId="31" borderId="2" xfId="0" applyFont="1" applyFill="1" applyBorder="1" applyAlignment="1">
      <alignment horizontal="center" vertical="center" wrapText="1"/>
    </xf>
    <xf numFmtId="0" fontId="25" fillId="31" borderId="2" xfId="0" applyFont="1" applyFill="1" applyBorder="1" applyAlignment="1">
      <alignment horizontal="center" wrapText="1"/>
    </xf>
    <xf numFmtId="0" fontId="0" fillId="20" borderId="0" xfId="0" applyFill="1" applyAlignment="1">
      <alignment horizontal="left"/>
    </xf>
    <xf numFmtId="165" fontId="0" fillId="20" borderId="0" xfId="0" applyNumberFormat="1" applyFill="1"/>
    <xf numFmtId="0" fontId="0" fillId="20" borderId="0" xfId="0" applyFill="1" applyAlignment="1">
      <alignment horizontal="left" indent="1"/>
    </xf>
    <xf numFmtId="0" fontId="0" fillId="20" borderId="0" xfId="0" applyFill="1" applyAlignment="1">
      <alignment horizontal="left" indent="2"/>
    </xf>
    <xf numFmtId="0" fontId="0" fillId="0" borderId="0" xfId="0" applyAlignment="1">
      <alignment wrapText="1"/>
    </xf>
    <xf numFmtId="0" fontId="25" fillId="6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wrapText="1"/>
    </xf>
    <xf numFmtId="0" fontId="24" fillId="2" borderId="6" xfId="0" applyFont="1" applyFill="1" applyBorder="1" applyAlignment="1">
      <alignment horizontal="right" wrapText="1"/>
    </xf>
    <xf numFmtId="0" fontId="24" fillId="2" borderId="6" xfId="0" applyFont="1" applyFill="1" applyBorder="1" applyAlignment="1">
      <alignment wrapText="1"/>
    </xf>
    <xf numFmtId="0" fontId="24" fillId="2" borderId="6" xfId="0" applyFont="1" applyFill="1" applyBorder="1" applyAlignment="1">
      <alignment vertical="center" wrapText="1"/>
    </xf>
    <xf numFmtId="0" fontId="11" fillId="28" borderId="6" xfId="0" applyFont="1" applyFill="1" applyBorder="1" applyAlignment="1">
      <alignment horizontal="center" vertical="center" wrapText="1"/>
    </xf>
    <xf numFmtId="14" fontId="11" fillId="28" borderId="6" xfId="0" applyNumberFormat="1" applyFont="1" applyFill="1" applyBorder="1" applyAlignment="1">
      <alignment horizontal="center" vertical="center" wrapText="1"/>
    </xf>
    <xf numFmtId="0" fontId="10" fillId="28" borderId="6" xfId="0" applyFont="1" applyFill="1" applyBorder="1" applyAlignment="1">
      <alignment vertical="center" wrapText="1"/>
    </xf>
    <xf numFmtId="0" fontId="11" fillId="28" borderId="6" xfId="0" applyFont="1" applyFill="1" applyBorder="1" applyAlignment="1">
      <alignment vertical="center" wrapText="1"/>
    </xf>
    <xf numFmtId="3" fontId="11" fillId="28" borderId="6" xfId="0" applyNumberFormat="1" applyFont="1" applyFill="1" applyBorder="1" applyAlignment="1">
      <alignment horizontal="center" vertical="center" wrapText="1"/>
    </xf>
    <xf numFmtId="0" fontId="24" fillId="28" borderId="6" xfId="0" applyFont="1" applyFill="1" applyBorder="1" applyAlignment="1">
      <alignment vertical="center" wrapText="1"/>
    </xf>
    <xf numFmtId="0" fontId="11" fillId="15" borderId="6" xfId="0" applyFont="1" applyFill="1" applyBorder="1" applyAlignment="1">
      <alignment horizontal="center" vertical="center" wrapText="1"/>
    </xf>
    <xf numFmtId="3" fontId="11" fillId="15" borderId="6" xfId="0" applyNumberFormat="1" applyFont="1" applyFill="1" applyBorder="1" applyAlignment="1">
      <alignment horizontal="center" vertical="center" wrapText="1"/>
    </xf>
    <xf numFmtId="14" fontId="11" fillId="15" borderId="6" xfId="0" applyNumberFormat="1" applyFont="1" applyFill="1" applyBorder="1" applyAlignment="1">
      <alignment horizontal="center" vertical="center" wrapText="1"/>
    </xf>
    <xf numFmtId="0" fontId="10" fillId="15" borderId="6" xfId="0" applyFont="1" applyFill="1" applyBorder="1" applyAlignment="1">
      <alignment vertical="center" wrapText="1"/>
    </xf>
    <xf numFmtId="0" fontId="11" fillId="15" borderId="6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wrapText="1"/>
    </xf>
    <xf numFmtId="0" fontId="24" fillId="15" borderId="6" xfId="0" applyFont="1" applyFill="1" applyBorder="1" applyAlignment="1">
      <alignment wrapText="1"/>
    </xf>
    <xf numFmtId="0" fontId="11" fillId="29" borderId="6" xfId="0" applyFont="1" applyFill="1" applyBorder="1" applyAlignment="1">
      <alignment horizontal="center" vertical="center" wrapText="1"/>
    </xf>
    <xf numFmtId="14" fontId="11" fillId="29" borderId="6" xfId="0" applyNumberFormat="1" applyFont="1" applyFill="1" applyBorder="1" applyAlignment="1">
      <alignment horizontal="center" vertical="center" wrapText="1"/>
    </xf>
    <xf numFmtId="0" fontId="10" fillId="29" borderId="6" xfId="0" applyFont="1" applyFill="1" applyBorder="1" applyAlignment="1">
      <alignment vertical="center" wrapText="1"/>
    </xf>
    <xf numFmtId="0" fontId="11" fillId="29" borderId="6" xfId="0" applyFont="1" applyFill="1" applyBorder="1" applyAlignment="1">
      <alignment vertical="center" wrapText="1"/>
    </xf>
    <xf numFmtId="3" fontId="11" fillId="29" borderId="6" xfId="0" applyNumberFormat="1" applyFont="1" applyFill="1" applyBorder="1" applyAlignment="1">
      <alignment horizontal="center" vertical="center" wrapText="1"/>
    </xf>
    <xf numFmtId="0" fontId="24" fillId="29" borderId="6" xfId="0" applyFont="1" applyFill="1" applyBorder="1" applyAlignment="1">
      <alignment vertical="center" wrapText="1"/>
    </xf>
    <xf numFmtId="0" fontId="11" fillId="30" borderId="6" xfId="0" applyFont="1" applyFill="1" applyBorder="1" applyAlignment="1">
      <alignment horizontal="center" vertical="center" wrapText="1"/>
    </xf>
    <xf numFmtId="0" fontId="10" fillId="30" borderId="6" xfId="0" applyFont="1" applyFill="1" applyBorder="1" applyAlignment="1">
      <alignment vertical="center" wrapText="1"/>
    </xf>
    <xf numFmtId="14" fontId="11" fillId="30" borderId="6" xfId="0" applyNumberFormat="1" applyFont="1" applyFill="1" applyBorder="1" applyAlignment="1">
      <alignment horizontal="center" vertical="center" wrapText="1"/>
    </xf>
    <xf numFmtId="0" fontId="11" fillId="30" borderId="6" xfId="0" applyFont="1" applyFill="1" applyBorder="1" applyAlignment="1">
      <alignment vertical="center" wrapText="1"/>
    </xf>
    <xf numFmtId="0" fontId="24" fillId="30" borderId="6" xfId="0" applyFont="1" applyFill="1" applyBorder="1" applyAlignment="1">
      <alignment wrapText="1"/>
    </xf>
    <xf numFmtId="0" fontId="10" fillId="16" borderId="6" xfId="0" applyFont="1" applyFill="1" applyBorder="1" applyAlignment="1">
      <alignment wrapText="1"/>
    </xf>
    <xf numFmtId="0" fontId="24" fillId="16" borderId="6" xfId="0" applyFont="1" applyFill="1" applyBorder="1" applyAlignment="1">
      <alignment vertical="center" wrapText="1"/>
    </xf>
    <xf numFmtId="0" fontId="24" fillId="15" borderId="6" xfId="0" applyFont="1" applyFill="1" applyBorder="1" applyAlignment="1">
      <alignment vertical="center" wrapText="1"/>
    </xf>
    <xf numFmtId="0" fontId="24" fillId="5" borderId="6" xfId="0" applyFont="1" applyFill="1" applyBorder="1" applyAlignment="1">
      <alignment vertical="center" wrapText="1"/>
    </xf>
    <xf numFmtId="0" fontId="7" fillId="26" borderId="6" xfId="2" applyFont="1" applyFill="1" applyBorder="1" applyAlignment="1">
      <alignment horizontal="center" vertical="center" wrapText="1"/>
    </xf>
    <xf numFmtId="0" fontId="8" fillId="22" borderId="6" xfId="2" applyFont="1" applyFill="1" applyBorder="1" applyAlignment="1">
      <alignment horizontal="center" vertical="center" wrapText="1"/>
    </xf>
    <xf numFmtId="0" fontId="1" fillId="14" borderId="6" xfId="2" applyFill="1" applyBorder="1" applyAlignment="1">
      <alignment horizontal="center" vertical="center" wrapText="1"/>
    </xf>
    <xf numFmtId="0" fontId="11" fillId="32" borderId="6" xfId="0" applyFont="1" applyFill="1" applyBorder="1" applyAlignment="1">
      <alignment horizontal="center" vertical="center" wrapText="1"/>
    </xf>
    <xf numFmtId="0" fontId="10" fillId="32" borderId="6" xfId="0" applyFont="1" applyFill="1" applyBorder="1" applyAlignment="1">
      <alignment vertical="center" wrapText="1"/>
    </xf>
    <xf numFmtId="14" fontId="11" fillId="32" borderId="6" xfId="0" applyNumberFormat="1" applyFont="1" applyFill="1" applyBorder="1" applyAlignment="1">
      <alignment horizontal="center" vertical="center" wrapText="1"/>
    </xf>
    <xf numFmtId="0" fontId="1" fillId="5" borderId="9" xfId="2" applyFill="1" applyBorder="1" applyAlignment="1">
      <alignment horizontal="center" vertical="center"/>
    </xf>
    <xf numFmtId="3" fontId="11" fillId="14" borderId="8" xfId="0" applyNumberFormat="1" applyFont="1" applyFill="1" applyBorder="1" applyAlignment="1">
      <alignment horizontal="center" vertical="center" wrapText="1"/>
    </xf>
    <xf numFmtId="14" fontId="11" fillId="14" borderId="8" xfId="0" applyNumberFormat="1" applyFont="1" applyFill="1" applyBorder="1" applyAlignment="1">
      <alignment horizontal="center" vertical="center" wrapText="1"/>
    </xf>
    <xf numFmtId="0" fontId="11" fillId="14" borderId="8" xfId="0" applyFont="1" applyFill="1" applyBorder="1" applyAlignment="1">
      <alignment horizontal="center" vertical="center" wrapText="1"/>
    </xf>
    <xf numFmtId="0" fontId="11" fillId="33" borderId="6" xfId="0" applyFont="1" applyFill="1" applyBorder="1" applyAlignment="1">
      <alignment horizontal="center" vertical="center" wrapText="1"/>
    </xf>
    <xf numFmtId="14" fontId="11" fillId="33" borderId="6" xfId="0" applyNumberFormat="1" applyFont="1" applyFill="1" applyBorder="1" applyAlignment="1">
      <alignment horizontal="center" vertical="center" wrapText="1"/>
    </xf>
    <xf numFmtId="0" fontId="11" fillId="33" borderId="14" xfId="0" applyFont="1" applyFill="1" applyBorder="1" applyAlignment="1">
      <alignment horizontal="center" vertical="center" wrapText="1"/>
    </xf>
    <xf numFmtId="14" fontId="11" fillId="33" borderId="7" xfId="0" applyNumberFormat="1" applyFont="1" applyFill="1" applyBorder="1" applyAlignment="1">
      <alignment horizontal="center" vertical="center" wrapText="1"/>
    </xf>
    <xf numFmtId="0" fontId="11" fillId="33" borderId="7" xfId="0" applyFont="1" applyFill="1" applyBorder="1" applyAlignment="1">
      <alignment horizontal="center" vertical="center" wrapText="1"/>
    </xf>
    <xf numFmtId="0" fontId="11" fillId="33" borderId="9" xfId="0" applyFont="1" applyFill="1" applyBorder="1" applyAlignment="1">
      <alignment horizontal="center" vertical="center" wrapText="1"/>
    </xf>
    <xf numFmtId="0" fontId="11" fillId="34" borderId="6" xfId="0" applyFont="1" applyFill="1" applyBorder="1" applyAlignment="1">
      <alignment horizontal="center" vertical="center" wrapText="1"/>
    </xf>
    <xf numFmtId="14" fontId="11" fillId="34" borderId="6" xfId="0" applyNumberFormat="1" applyFont="1" applyFill="1" applyBorder="1" applyAlignment="1">
      <alignment horizontal="center" vertical="center" wrapText="1"/>
    </xf>
    <xf numFmtId="0" fontId="1" fillId="35" borderId="9" xfId="2" applyFill="1" applyBorder="1" applyAlignment="1">
      <alignment horizontal="center" vertical="center" wrapText="1"/>
    </xf>
    <xf numFmtId="0" fontId="1" fillId="35" borderId="6" xfId="2" applyFill="1" applyBorder="1" applyAlignment="1">
      <alignment horizontal="center" vertical="center"/>
    </xf>
    <xf numFmtId="165" fontId="1" fillId="35" borderId="10" xfId="1" applyNumberFormat="1" applyFont="1" applyFill="1" applyBorder="1" applyAlignment="1">
      <alignment horizontal="center" vertical="center" wrapText="1"/>
    </xf>
    <xf numFmtId="0" fontId="11" fillId="14" borderId="7" xfId="0" applyFont="1" applyFill="1" applyBorder="1" applyAlignment="1">
      <alignment horizontal="center" vertical="center" wrapText="1"/>
    </xf>
    <xf numFmtId="14" fontId="11" fillId="14" borderId="7" xfId="0" applyNumberFormat="1" applyFont="1" applyFill="1" applyBorder="1" applyAlignment="1">
      <alignment horizontal="center" vertical="center" wrapText="1"/>
    </xf>
    <xf numFmtId="0" fontId="11" fillId="20" borderId="8" xfId="0" applyFont="1" applyFill="1" applyBorder="1" applyAlignment="1">
      <alignment horizontal="center" vertical="center" wrapText="1"/>
    </xf>
    <xf numFmtId="14" fontId="11" fillId="20" borderId="8" xfId="0" applyNumberFormat="1" applyFont="1" applyFill="1" applyBorder="1" applyAlignment="1">
      <alignment horizontal="center" vertical="center" wrapText="1"/>
    </xf>
    <xf numFmtId="0" fontId="11" fillId="34" borderId="6" xfId="0" applyFont="1" applyFill="1" applyBorder="1" applyAlignment="1">
      <alignment horizontal="center" vertical="center"/>
    </xf>
    <xf numFmtId="0" fontId="11" fillId="20" borderId="7" xfId="0" applyFont="1" applyFill="1" applyBorder="1" applyAlignment="1">
      <alignment horizontal="center" vertical="center" wrapText="1"/>
    </xf>
    <xf numFmtId="14" fontId="11" fillId="20" borderId="7" xfId="0" applyNumberFormat="1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14" fontId="11" fillId="7" borderId="8" xfId="0" applyNumberFormat="1" applyFont="1" applyFill="1" applyBorder="1" applyAlignment="1">
      <alignment horizontal="center" vertical="center" wrapText="1"/>
    </xf>
    <xf numFmtId="0" fontId="11" fillId="20" borderId="6" xfId="0" applyFont="1" applyFill="1" applyBorder="1" applyAlignment="1">
      <alignment horizontal="center" vertical="center"/>
    </xf>
    <xf numFmtId="14" fontId="11" fillId="20" borderId="6" xfId="0" applyNumberFormat="1" applyFont="1" applyFill="1" applyBorder="1" applyAlignment="1">
      <alignment horizontal="center" vertical="center"/>
    </xf>
    <xf numFmtId="0" fontId="11" fillId="21" borderId="7" xfId="0" applyFont="1" applyFill="1" applyBorder="1" applyAlignment="1">
      <alignment horizontal="center" vertical="center" wrapText="1"/>
    </xf>
    <xf numFmtId="14" fontId="11" fillId="21" borderId="7" xfId="0" applyNumberFormat="1" applyFont="1" applyFill="1" applyBorder="1" applyAlignment="1">
      <alignment horizontal="center" vertical="center" wrapText="1"/>
    </xf>
    <xf numFmtId="0" fontId="11" fillId="24" borderId="8" xfId="0" applyFont="1" applyFill="1" applyBorder="1" applyAlignment="1">
      <alignment horizontal="center" vertical="center" wrapText="1"/>
    </xf>
    <xf numFmtId="14" fontId="11" fillId="24" borderId="8" xfId="0" applyNumberFormat="1" applyFont="1" applyFill="1" applyBorder="1" applyAlignment="1">
      <alignment horizontal="center" vertical="center" wrapText="1"/>
    </xf>
    <xf numFmtId="0" fontId="1" fillId="21" borderId="6" xfId="2" applyFill="1" applyBorder="1" applyAlignment="1">
      <alignment horizontal="center" vertical="center"/>
    </xf>
    <xf numFmtId="3" fontId="26" fillId="10" borderId="1" xfId="0" applyNumberFormat="1" applyFont="1" applyFill="1" applyBorder="1" applyAlignment="1">
      <alignment horizontal="center" vertical="center" wrapText="1"/>
    </xf>
    <xf numFmtId="14" fontId="26" fillId="10" borderId="2" xfId="0" applyNumberFormat="1" applyFont="1" applyFill="1" applyBorder="1" applyAlignment="1">
      <alignment horizontal="center" vertical="center" wrapText="1"/>
    </xf>
    <xf numFmtId="0" fontId="26" fillId="10" borderId="1" xfId="0" applyFont="1" applyFill="1" applyBorder="1" applyAlignment="1">
      <alignment horizontal="center" vertical="center" wrapText="1"/>
    </xf>
    <xf numFmtId="0" fontId="26" fillId="10" borderId="3" xfId="0" applyFont="1" applyFill="1" applyBorder="1" applyAlignment="1">
      <alignment horizontal="center" vertical="center" wrapText="1"/>
    </xf>
    <xf numFmtId="14" fontId="26" fillId="10" borderId="4" xfId="0" applyNumberFormat="1" applyFont="1" applyFill="1" applyBorder="1" applyAlignment="1">
      <alignment horizontal="center" vertical="center" wrapText="1"/>
    </xf>
    <xf numFmtId="0" fontId="23" fillId="0" borderId="0" xfId="2" applyFont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5" fillId="8" borderId="7" xfId="2" applyFont="1" applyFill="1" applyBorder="1" applyAlignment="1">
      <alignment horizontal="center" vertical="center"/>
    </xf>
    <xf numFmtId="0" fontId="5" fillId="8" borderId="8" xfId="2" applyFont="1" applyFill="1" applyBorder="1" applyAlignment="1">
      <alignment horizontal="center" vertical="center"/>
    </xf>
    <xf numFmtId="0" fontId="5" fillId="8" borderId="7" xfId="2" applyFont="1" applyFill="1" applyBorder="1" applyAlignment="1">
      <alignment horizontal="center" vertical="center" wrapText="1"/>
    </xf>
    <xf numFmtId="0" fontId="5" fillId="8" borderId="8" xfId="2" applyFont="1" applyFill="1" applyBorder="1" applyAlignment="1">
      <alignment horizontal="center" vertical="center" wrapText="1"/>
    </xf>
    <xf numFmtId="0" fontId="5" fillId="7" borderId="0" xfId="2" applyFont="1" applyFill="1" applyAlignment="1">
      <alignment horizontal="left" vertical="center"/>
    </xf>
    <xf numFmtId="0" fontId="27" fillId="0" borderId="4" xfId="0" applyFont="1" applyBorder="1" applyAlignment="1">
      <alignment wrapText="1"/>
    </xf>
    <xf numFmtId="0" fontId="11" fillId="36" borderId="13" xfId="0" applyFont="1" applyFill="1" applyBorder="1" applyAlignment="1">
      <alignment horizontal="center" vertical="center" wrapText="1"/>
    </xf>
    <xf numFmtId="3" fontId="11" fillId="36" borderId="4" xfId="0" applyNumberFormat="1" applyFont="1" applyFill="1" applyBorder="1" applyAlignment="1">
      <alignment horizontal="center" vertical="center" wrapText="1"/>
    </xf>
    <xf numFmtId="14" fontId="11" fillId="36" borderId="4" xfId="0" applyNumberFormat="1" applyFont="1" applyFill="1" applyBorder="1" applyAlignment="1">
      <alignment horizontal="center" vertical="center" wrapText="1"/>
    </xf>
    <xf numFmtId="20" fontId="11" fillId="36" borderId="4" xfId="0" applyNumberFormat="1" applyFont="1" applyFill="1" applyBorder="1" applyAlignment="1">
      <alignment horizontal="center" vertical="center" wrapText="1"/>
    </xf>
    <xf numFmtId="0" fontId="11" fillId="36" borderId="4" xfId="0" applyFont="1" applyFill="1" applyBorder="1" applyAlignment="1">
      <alignment horizontal="center" vertical="center" wrapText="1"/>
    </xf>
    <xf numFmtId="0" fontId="10" fillId="36" borderId="4" xfId="0" applyFont="1" applyFill="1" applyBorder="1" applyAlignment="1">
      <alignment vertical="center" wrapText="1"/>
    </xf>
    <xf numFmtId="0" fontId="11" fillId="36" borderId="4" xfId="0" applyFont="1" applyFill="1" applyBorder="1" applyAlignment="1">
      <alignment vertical="center" wrapText="1"/>
    </xf>
    <xf numFmtId="0" fontId="0" fillId="0" borderId="0" xfId="0" applyNumberFormat="1"/>
    <xf numFmtId="0" fontId="28" fillId="0" borderId="15" xfId="2" applyFont="1" applyBorder="1" applyAlignment="1">
      <alignment horizontal="center" vertical="center"/>
    </xf>
    <xf numFmtId="0" fontId="24" fillId="28" borderId="6" xfId="0" applyFont="1" applyFill="1" applyBorder="1" applyAlignment="1">
      <alignment horizontal="center" vertical="center" wrapText="1"/>
    </xf>
    <xf numFmtId="0" fontId="1" fillId="24" borderId="6" xfId="2" applyFill="1" applyBorder="1" applyAlignment="1">
      <alignment horizontal="left" wrapText="1"/>
    </xf>
    <xf numFmtId="0" fontId="1" fillId="24" borderId="6" xfId="2" applyFill="1" applyBorder="1" applyAlignment="1">
      <alignment wrapText="1"/>
    </xf>
    <xf numFmtId="0" fontId="1" fillId="24" borderId="6" xfId="2" applyFill="1" applyBorder="1" applyAlignment="1">
      <alignment horizontal="center" vertical="center" wrapText="1"/>
    </xf>
    <xf numFmtId="0" fontId="1" fillId="20" borderId="6" xfId="2" applyFill="1" applyBorder="1" applyAlignment="1">
      <alignment horizontal="left" wrapText="1"/>
    </xf>
    <xf numFmtId="0" fontId="1" fillId="20" borderId="6" xfId="2" applyFill="1" applyBorder="1" applyAlignment="1">
      <alignment wrapText="1"/>
    </xf>
    <xf numFmtId="0" fontId="1" fillId="2" borderId="6" xfId="2" applyFill="1" applyBorder="1" applyAlignment="1">
      <alignment wrapText="1"/>
    </xf>
  </cellXfs>
  <cellStyles count="5">
    <cellStyle name="Moneda" xfId="1" builtinId="4"/>
    <cellStyle name="Normal" xfId="0" builtinId="0"/>
    <cellStyle name="Normal 2" xfId="2" xr:uid="{00000000-0005-0000-0000-000002000000}"/>
    <cellStyle name="Porcentaje" xfId="4" builtinId="5"/>
    <cellStyle name="Porcentaje 2" xfId="3" xr:uid="{00000000-0005-0000-0000-000003000000}"/>
  </cellStyles>
  <dxfs count="35"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</dxfs>
  <tableStyles count="0" defaultTableStyle="TableStyleMedium2" defaultPivotStyle="PivotStyleLight16"/>
  <colors>
    <mruColors>
      <color rgb="FF00FF00"/>
      <color rgb="FFFF99CC"/>
      <color rgb="FFE17FD5"/>
      <color rgb="FFF56F0B"/>
      <color rgb="FFDB43FF"/>
      <color rgb="FFCC00FF"/>
      <color rgb="FFCC3399"/>
      <color rgb="FFD60093"/>
      <color rgb="FFCC66FF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a Catherin Castro Andrade" refreshedDate="45909.664211111114" createdVersion="8" refreshedVersion="8" minRefreshableVersion="3" recordCount="587" xr:uid="{4328F620-02C4-4AF2-94A0-A233454B8E29}">
  <cacheSource type="worksheet">
    <worksheetSource ref="A1:P1" sheet="Base"/>
  </cacheSource>
  <cacheFields count="18">
    <cacheField name="Observaciones" numFmtId="0">
      <sharedItems containsBlank="1"/>
    </cacheField>
    <cacheField name="O.C." numFmtId="0">
      <sharedItems containsBlank="1" containsMixedTypes="1" containsNumber="1" containsInteger="1" minValue="90824" maxValue="4500353591"/>
    </cacheField>
    <cacheField name="Fecha recepción O.C." numFmtId="0">
      <sharedItems containsDate="1" containsMixedTypes="1" minDate="2025-05-08T00:00:00" maxDate="2025-09-01T00:00:00"/>
    </cacheField>
    <cacheField name="Hora reQ" numFmtId="20">
      <sharedItems containsSemiMixedTypes="0" containsNonDate="0" containsDate="1" containsString="0" minDate="1899-12-30T06:53:00" maxDate="1899-12-30T22:20:00"/>
    </cacheField>
    <cacheField name="FECHA DE ENTREGA REAL" numFmtId="0">
      <sharedItems containsDate="1" containsBlank="1" containsMixedTypes="1" minDate="2025-07-14T00:00:00" maxDate="2025-08-31T00:00:00"/>
    </cacheField>
    <cacheField name="Pedido" numFmtId="0">
      <sharedItems containsBlank="1" count="316">
        <s v="S08516"/>
        <s v="S08929"/>
        <s v="S08928"/>
        <s v="S08358"/>
        <s v="S07503"/>
        <s v="S07893"/>
        <s v="S07931"/>
        <s v="S07990"/>
        <s v="S07958"/>
        <s v="S08000"/>
        <s v="S08061"/>
        <s v="S07203"/>
        <s v="S08084"/>
        <s v="S08085"/>
        <s v="S08086"/>
        <s v="S08087"/>
        <s v="S08092"/>
        <s v="S07770"/>
        <s v="S07774"/>
        <s v="S08047"/>
        <s v="S08109"/>
        <s v="S08120"/>
        <s v="S08119"/>
        <m/>
        <s v="S08124"/>
        <s v="S08125"/>
        <s v="S08127"/>
        <s v="S08128"/>
        <s v="S08129"/>
        <s v="S08144"/>
        <s v="S08145"/>
        <s v="S08158"/>
        <s v="S08160"/>
        <s v="S08161"/>
        <s v="S08162"/>
        <s v="S08163"/>
        <s v="S08165"/>
        <s v="S08164"/>
        <s v=" S08170"/>
        <s v="S08191"/>
        <s v="S08192"/>
        <s v="S08195"/>
        <s v="S08194"/>
        <s v="S08196"/>
        <s v="S08198"/>
        <s v="S08199"/>
        <s v="S08210"/>
        <s v="S08214"/>
        <s v="S08201"/>
        <s v="S08213"/>
        <s v="S08230"/>
        <s v="S08231"/>
        <s v="S08233"/>
        <s v="S08235"/>
        <s v="S08236"/>
        <s v="S08237"/>
        <s v="S08239"/>
        <s v="S08240"/>
        <s v="S08241"/>
        <s v="S08242"/>
        <s v="S08243"/>
        <s v="S08193"/>
        <s v="S08172"/>
        <s v="S08244"/>
        <s v="S08250"/>
        <s v="S08251"/>
        <s v="S08253"/>
        <s v="S08259"/>
        <s v="S08270"/>
        <s v="S08272"/>
        <s v="S08273"/>
        <s v="S08274"/>
        <s v="S08275"/>
        <s v="S08276"/>
        <s v="S08101"/>
        <s v="S08278"/>
        <s v="S08283"/>
        <s v="S08284"/>
        <s v="S08286"/>
        <s v="S08288"/>
        <s v="S08289"/>
        <s v="S08290"/>
        <s v="S08291"/>
        <s v="S08292"/>
        <s v="S08293"/>
        <s v="S08294"/>
        <s v="S08298"/>
        <s v="S08303"/>
        <s v="S08306"/>
        <s v="S08308"/>
        <s v="S08312"/>
        <s v="S08314"/>
        <s v="S08315"/>
        <s v="S08316"/>
        <s v="S08318"/>
        <s v="S08319"/>
        <s v="S08321"/>
        <s v="S08322"/>
        <s v="S08323"/>
        <s v="S08325"/>
        <s v="S08326"/>
        <s v="S08327"/>
        <s v="S08328"/>
        <s v="S08329"/>
        <s v="S08331"/>
        <s v="S08332"/>
        <s v="S08333"/>
        <s v="S08334"/>
        <s v="S08335"/>
        <s v="S08337"/>
        <s v="S08353"/>
        <s v="S08354"/>
        <s v="S08355"/>
        <s v="S08359"/>
        <s v="S08360"/>
        <s v="S08361"/>
        <s v="S08363"/>
        <s v="S08364"/>
        <s v="S08367"/>
        <s v="S08371"/>
        <s v="S08382"/>
        <s v="S08383"/>
        <s v="S08384"/>
        <s v="S08386"/>
        <s v="S08387"/>
        <s v="S08392"/>
        <s v="S08317"/>
        <s v="S08399"/>
        <s v="S08402"/>
        <s v="S08324"/>
        <s v="S08404"/>
        <s v="S08406"/>
        <s v="S08389"/>
        <s v="S08407"/>
        <s v="S08405"/>
        <s v="S08409"/>
        <s v="S08410"/>
        <s v="S08411"/>
        <s v="S08412"/>
        <s v="S08414"/>
        <s v="S08445"/>
        <s v="S08446"/>
        <s v="S08447"/>
        <s v="S08448"/>
        <s v="S08450"/>
        <s v="S08451"/>
        <s v="S08452"/>
        <s v="S08462"/>
        <s v="S08463"/>
        <s v="S08464"/>
        <s v="S08465"/>
        <s v="S08466"/>
        <s v="S08475"/>
        <s v="S08476"/>
        <s v="S08482"/>
        <s v="S08483"/>
        <s v="S08485"/>
        <s v="S08486"/>
        <s v="S08487"/>
        <s v="S08488"/>
        <s v="S08489"/>
        <s v="S08490"/>
        <s v="S08491"/>
        <s v="S08495"/>
        <s v="S08496"/>
        <s v="S08497"/>
        <s v="S08498"/>
        <s v="S08499"/>
        <s v="S08500"/>
        <s v="S08501"/>
        <s v="S08504"/>
        <s v="S08505"/>
        <s v="S08506"/>
        <s v="S08507"/>
        <s v="S08509"/>
        <s v="S08515"/>
        <s v="S08523"/>
        <s v="S08528"/>
        <s v="S08529"/>
        <s v="S08530"/>
        <s v="S08531"/>
        <s v="S08532"/>
        <s v="S08538"/>
        <s v="S08540"/>
        <s v="S08541"/>
        <s v="S08543"/>
        <s v="S08546"/>
        <s v="S08565"/>
        <s v="S08566"/>
        <s v="S08632"/>
        <s v="S08605"/>
        <s v="S08576"/>
        <s v="S08577"/>
        <s v="S08578"/>
        <s v="S08580"/>
        <s v="S08584"/>
        <s v="S08585"/>
        <s v="S08592"/>
        <s v="S08593"/>
        <s v="S08595"/>
        <s v="S07257"/>
        <s v="S08596"/>
        <s v="S08603"/>
        <s v="S08601"/>
        <s v="S08762"/>
        <s v="S08780"/>
        <s v="S08614"/>
        <s v="S08615"/>
        <s v="S08616"/>
        <s v="S08618"/>
        <s v="S08622"/>
        <s v="S08608"/>
        <s v="S08624"/>
        <s v="S07292"/>
        <s v="S08612"/>
        <s v="S08647"/>
        <s v="S08653"/>
        <s v="S08655"/>
        <s v="S08662"/>
        <s v="S08663"/>
        <s v="S08665"/>
        <s v="S08667"/>
        <s v="S08668"/>
        <s v="S08669"/>
        <s v="S08670"/>
        <s v="S08671"/>
        <s v="S08673"/>
        <s v="S08675"/>
        <s v="S08685"/>
        <s v="S08713"/>
        <s v="S08714"/>
        <s v="S08715"/>
        <s v="S08720"/>
        <s v="S08721"/>
        <s v="S08722"/>
        <s v="S08716"/>
        <s v="S08726"/>
        <s v="S08727"/>
        <s v="S08728"/>
        <s v="S08729"/>
        <s v="S08730"/>
        <s v="S08732"/>
        <s v="S08734"/>
        <s v="S08735"/>
        <s v="S08736"/>
        <s v="S08738"/>
        <s v="S08741"/>
        <s v="S08742"/>
        <s v="S08743"/>
        <s v="S08744"/>
        <s v="S08748"/>
        <s v="S08752"/>
        <s v="S08757"/>
        <s v="S08827"/>
        <s v="S08733"/>
        <s v="S08763"/>
        <s v="S08764"/>
        <s v="S08756"/>
        <s v="S08770"/>
        <s v="S08771"/>
        <s v="S08772"/>
        <s v="S08775"/>
        <s v="S08776"/>
        <s v="S08785"/>
        <s v="S08786"/>
        <s v="S08787"/>
        <s v="S08788"/>
        <s v="S08789"/>
        <s v="S08597"/>
        <s v="S08790"/>
        <s v="S08791"/>
        <s v="S08796"/>
        <s v="S08797"/>
        <s v="S08798"/>
        <s v="S08811"/>
        <s v="S08819"/>
        <s v="S08820"/>
        <s v="S08866"/>
        <s v="S08821"/>
        <s v="S08822"/>
        <s v="S08823"/>
        <s v="S08824"/>
        <s v="S08828"/>
        <s v="S08831"/>
        <s v="S08832"/>
        <s v="S08833"/>
        <s v="S08849"/>
        <s v="S08865"/>
        <s v="S08856"/>
        <s v="S08868"/>
        <s v="S08870"/>
        <s v="S08871"/>
        <s v="S08873"/>
        <s v="S08887"/>
        <s v="S08888"/>
        <s v="S08895"/>
        <s v="S08897"/>
        <s v="S08898"/>
        <s v="S08901"/>
        <s v="S08902"/>
        <s v="S08906"/>
        <s v="S08908"/>
        <s v="S08915"/>
        <s v="S08926"/>
        <s v="S08931"/>
        <s v="S08938"/>
        <s v="S08932"/>
        <s v="S08944"/>
        <s v="S08949"/>
        <s v="S08980"/>
        <s v="S08981"/>
        <s v="S08985"/>
        <s v="S08964"/>
        <s v="S08953"/>
        <s v="S08930"/>
        <s v="S08896"/>
      </sharedItems>
    </cacheField>
    <cacheField name="N° de Factura" numFmtId="0">
      <sharedItems containsBlank="1"/>
    </cacheField>
    <cacheField name="Fecha de generación del pedido" numFmtId="0">
      <sharedItems containsNonDate="0" containsDate="1" containsString="0" containsBlank="1" minDate="2025-06-25T00:00:00" maxDate="2025-08-29T00:00:00"/>
    </cacheField>
    <cacheField name="Hora generación" numFmtId="20">
      <sharedItems containsNonDate="0" containsDate="1" containsString="0" containsBlank="1" minDate="1899-12-30T07:40:00" maxDate="1899-12-30T17:22:00"/>
    </cacheField>
    <cacheField name="Cliente" numFmtId="0">
      <sharedItems count="90">
        <s v="PREMEX S.A. "/>
        <s v="ALIMENTOS POLAR"/>
        <s v="SOLLA"/>
        <s v="PREMEZCLAS LATINOAMERICANAS PRALSA"/>
        <s v="COMPAÑIA INDUSTRIAL DE PRODUCTOS AGROPECUARIOS"/>
        <s v="FINCA"/>
        <s v="CONTEGRAL"/>
        <s v="INVERSIONES ESCALA"/>
        <s v="MEZCLAS BIOMIX"/>
        <s v="MARIA JOSE ORTIZ"/>
        <s v="AVIMOL"/>
        <s v="AVICOLA EL GUAMITO"/>
        <s v="COOPERATIVA COLANTA"/>
        <s v="ITALCOL DE OCCIDENTE"/>
        <s v="AGROPECUARIA GOLOSO"/>
        <s v="AVICOLA LA AURORA"/>
        <s v="AGRIFEED"/>
        <s v="PROCESADORA  NACIONAL DE ALIMENTOS (PRONACA)"/>
        <s v="GRANJAS PARAISO"/>
        <s v="AGROPECUARIA ALFA"/>
        <s v="AGROPECUARIA ALIAR"/>
        <s v="REVEEX"/>
        <s v="INVERSIONES FEED"/>
        <s v="AGROINDUSTRIAL SAN JOSE"/>
        <s v="PORCICOLA EMMANUEL"/>
        <s v="NUTRITEC"/>
        <s v="COMERCIALIZADORA G&amp;M"/>
        <s v="AGROAVICOLA SAN MARINO"/>
        <s v="COMERCIALIZADORA CAMPO FERTIL"/>
        <s v="ALIMENTOS ALDUQUE"/>
        <s v="PORCICULTORES APA"/>
        <s v="AGROINDUSTRIA BIOMANANTIALES"/>
        <s v="AGROPECUARIA DE OCCIDENTE"/>
        <s v="AGRICOLA COLOMBIANA"/>
        <s v="DISTRIBUIDORA AGRO-PLUS"/>
        <s v="INSUMOS Y ADITIVOS VETERINARIOS"/>
        <s v="CONCENTRADOS CONSUIZA"/>
        <s v="CERDON"/>
        <s v="NUTRICION EXPERTA DE COLOMBIA"/>
        <s v="COOPERATIVA DE PORCICULTORES DEL EJE CAFETERO"/>
        <s v="ADITIVOS Y QUIMICOS"/>
        <s v="CERDOS DEL VALLE"/>
        <s v="MESAGE"/>
        <s v="OPERADORA AVICOLA"/>
        <s v="POLLO FIESTA"/>
        <s v="IMP- AGRO"/>
        <s v="GARCIA GOMEZ AGROINVERSIONES "/>
        <s v="INTEGRACIONES PORCINAS"/>
        <s v="AVSA"/>
        <s v="COLOMBIANA DE INCUBACION"/>
        <s v="PORCICOLA PRADERA"/>
        <s v="POLLOS EL BUCANERO"/>
        <s v="EMPOLLADORA COLOMBIANA"/>
        <s v="ALIMENTOS NUTRAL"/>
        <s v="DISTRAVES"/>
        <s v="VITALESCO"/>
        <s v="INVERSIONES J.V."/>
        <s v="ELKIN NORIEL SANCHEZ"/>
        <s v="POLLOS SAVICOL"/>
        <s v="AVICOLA TRIPLE A"/>
        <s v="GRUPO AGROBOX"/>
        <s v="AVICOLA LA DOMINGA"/>
        <s v="ECUADPREMEX"/>
        <s v="AVIDESA DE OCCIDENTE"/>
        <s v="INVERSIONES AGROPORC"/>
        <s v="PRO FARM DE LOS ANDES"/>
        <s v="PROVIMI"/>
        <s v="DISTRIBUCIONES AGRALBA"/>
        <s v="AVICOLA LOS CAMBULOS"/>
        <s v="AVECER"/>
        <s v="AGROSIGO"/>
        <s v="AGRALBA"/>
        <s v="INSUMOS AGROPECUARIOS"/>
        <s v="VIVIANA CARMONA"/>
        <s v="JAIME CARDONA"/>
        <s v="HERMANOS ARANGO"/>
        <s v="PECUARY SUPPLIER SAS"/>
        <s v="AGROBOX"/>
        <s v="PORCICOLA EMMMANUEL"/>
        <s v="SUPERCERDO PAISA"/>
        <s v="COOPERATIVA DE PORCICULTORES"/>
        <s v="VITAOVO"/>
        <s v="ALCON DE COLOMBIA"/>
        <s v="BIOINDUSTRIA MANANTIALES"/>
        <s v="TECNOCAMPO"/>
        <s v="GVM CORPORATION GLOBAL VETERINARY MEDICINE S A S"/>
        <s v="PROFARM DE LOS ANDES"/>
        <s v="INVERSIONES AGROPECUARIAS FC SAS"/>
        <s v="P&amp;P INVERSIONES SAS"/>
        <s v="CONTEGRAL S.A.S."/>
      </sharedItems>
    </cacheField>
    <cacheField name="Ciudad" numFmtId="0">
      <sharedItems/>
    </cacheField>
    <cacheField name="Nombre del producto" numFmtId="0">
      <sharedItems/>
    </cacheField>
    <cacheField name="Kg. Solicitados" numFmtId="0">
      <sharedItems containsSemiMixedTypes="0" containsDate="1" containsString="0" containsMixedTypes="1" minDate="2025-05-12T00:00:00" maxDate="1900-01-05T07:18:04"/>
    </cacheField>
    <cacheField name="Cantidad" numFmtId="0">
      <sharedItems containsSemiMixedTypes="0" containsString="0" containsNumber="1" minValue="2.4E-2" maxValue="2080"/>
    </cacheField>
    <cacheField name="Valor total" numFmtId="0">
      <sharedItems containsBlank="1" containsMixedTypes="1" containsNumber="1" minValue="0.6" maxValue="759200000"/>
    </cacheField>
    <cacheField name="Fecha Requerida Por el Cliente" numFmtId="14">
      <sharedItems containsSemiMixedTypes="0" containsNonDate="0" containsDate="1" containsString="0" minDate="2025-07-02T00:00:00" maxDate="2025-09-04T00:00:00"/>
    </cacheField>
    <cacheField name="FECHA DE ENTREGA REAL2" numFmtId="0">
      <sharedItems containsDate="1" containsBlank="1" containsMixedTypes="1" minDate="2025-07-14T00:00:00" maxDate="2025-08-31T00:00:00"/>
    </cacheField>
    <cacheField name="DIAS DE DIFERENCIA" numFmtId="1">
      <sharedItems containsSemiMixedTypes="0" containsString="0" containsNumber="1" containsInteger="1" minValue="-16" maxValue="45891" count="23">
        <n v="0"/>
        <n v="11"/>
        <n v="-3"/>
        <n v="3"/>
        <n v="2"/>
        <n v="-2"/>
        <n v="1"/>
        <n v="-7"/>
        <n v="5"/>
        <n v="6"/>
        <n v="-1"/>
        <n v="8"/>
        <n v="-16"/>
        <n v="4"/>
        <n v="7"/>
        <n v="14"/>
        <n v="13"/>
        <n v="9"/>
        <n v="-6"/>
        <n v="-4"/>
        <n v="32" u="1"/>
        <n v="62" u="1"/>
        <n v="4589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a Catherin Castro Andrade" refreshedDate="46139.462650810186" createdVersion="8" refreshedVersion="8" minRefreshableVersion="3" recordCount="505" xr:uid="{558756E6-FD7E-4A72-9159-F962F495DFE7}">
  <cacheSource type="worksheet">
    <worksheetSource ref="A1:S1" sheet="Base"/>
  </cacheSource>
  <cacheFields count="19">
    <cacheField name="NOVEDADES REPORTADAS" numFmtId="0">
      <sharedItems containsBlank="1"/>
    </cacheField>
    <cacheField name="O.C." numFmtId="0">
      <sharedItems containsBlank="1" containsMixedTypes="1" containsNumber="1" containsInteger="1" minValue="154" maxValue="7000403038" count="200">
        <n v="4700008465"/>
        <n v="4700008734"/>
        <n v="4700008733"/>
        <n v="5504587753"/>
        <n v="7000398994"/>
        <n v="7000403038"/>
        <s v="100-CON-00024761"/>
        <s v="100-CON-00025000"/>
        <n v="4500374062"/>
        <s v="OC00003372BX"/>
        <n v="4700008920"/>
        <n v="4700008924"/>
        <s v="004-OSC-51381"/>
        <s v="AG-0011-26"/>
        <n v="4700008929"/>
        <s v="105-OCC-00017488"/>
        <n v="1390393"/>
        <s v="999-OCN-00022265"/>
        <s v="999-OCN-00022266"/>
        <n v="4500096152"/>
        <n v="1391139"/>
        <n v="4500375132"/>
        <n v="23777"/>
        <s v="01-OC -00004117"/>
        <m/>
        <s v="PC-INS-00705"/>
        <n v="100744"/>
        <n v="100818"/>
        <n v="101441"/>
        <s v="A02-COC-323164"/>
        <n v="1392884"/>
        <s v="007-OC-051951"/>
        <n v="1393451"/>
        <n v="5504450676"/>
        <n v="5504612323"/>
        <n v="5504523092"/>
        <s v="004-OSC-00051486"/>
        <n v="1393624"/>
        <n v="13809"/>
        <n v="101700"/>
        <s v="001-OSC-00073214"/>
        <n v="50221"/>
        <s v="OC-COMP-22531"/>
        <s v="004-OSC-51468"/>
        <n v="4500087944"/>
        <n v="101762"/>
        <s v="001-OCN-00013866"/>
        <s v="001-SC-015993"/>
        <n v="50239"/>
        <n v="101803"/>
        <n v="1395095"/>
        <s v="COC-00003280"/>
        <s v="OC 8998"/>
        <n v="1395264"/>
        <n v="4500149862"/>
        <s v="COC-00000421"/>
        <s v="001-SC-015999"/>
        <s v="004-OSC-00051526"/>
        <n v="4500087985"/>
        <n v="1395462"/>
        <n v="1395466"/>
        <s v="P-1678"/>
        <n v="66555"/>
        <n v="66547"/>
        <s v="OC PENDIENTE"/>
        <s v="006-OC-029538"/>
        <n v="38106"/>
        <s v="OCO-00010982"/>
        <s v="OCO-0045520"/>
        <n v="50165"/>
        <n v="360085"/>
        <s v="ORC-2604002"/>
        <n v="4500204878"/>
        <s v="001-OSC-00073370"/>
        <n v="4504034738"/>
        <n v="4504034159"/>
        <n v="1396783"/>
        <s v="OC-030038"/>
        <n v="32906"/>
        <n v="5504485810"/>
        <n v="4500087756"/>
        <s v="CFMP 1970"/>
        <s v="007-OC-052066_x000a_"/>
        <n v="1396675"/>
        <n v="1396736"/>
        <n v="4500087952"/>
        <s v="4500088013_x000a_"/>
        <n v="4500088013"/>
        <n v="1397064"/>
        <n v="32652"/>
        <n v="4504034388"/>
        <n v="4500088071"/>
        <n v="1397736"/>
        <s v="OCO-00010990"/>
        <s v="103-OCC-38787"/>
        <n v="32699"/>
        <s v="020-OC-003818"/>
        <s v="BODEGA EN CONSIGNACION"/>
        <n v="4500375921"/>
        <s v="001-OCN-00013878"/>
        <s v="001-OCN-00013881"/>
        <n v="5504563743"/>
        <s v="COC-00000427"/>
        <n v="840"/>
        <s v="022-OC-005869"/>
        <s v="007-OC-052139"/>
        <s v="094-26"/>
        <n v="1399317"/>
        <n v="4500088122"/>
        <s v="4500088122_x000a_"/>
        <n v="1399346"/>
        <s v="039-OC-001055"/>
        <s v="OCP-1300"/>
        <s v="053-CAL"/>
        <s v="022-OC-005873"/>
        <n v="1698"/>
        <s v="001-OSC-00073587"/>
        <n v="1400411"/>
        <s v="AL-260413"/>
        <n v="4500088189"/>
        <s v="Y-001-3094"/>
        <n v="1400858"/>
        <n v="13655"/>
        <n v="1401006"/>
        <s v="P00191"/>
        <n v="4500150021"/>
        <s v="CFMP-1982"/>
        <n v="1401542"/>
        <n v="4500088188"/>
        <s v="ORC-2604006"/>
        <n v="4500150444"/>
        <s v="105-OCC-17559"/>
        <n v="4200011343"/>
        <n v="1401814"/>
        <n v="1401882"/>
        <s v="No. COC-00000619"/>
        <n v="13841"/>
        <s v="PO_OC00003585BX"/>
        <n v="4500088259"/>
        <n v="1402280"/>
        <s v="A02-COC-326445"/>
        <s v="101-OCC-00035643"/>
        <n v="5504586863"/>
        <s v="103-occ-38872"/>
        <s v="104-26"/>
        <s v="007-OC-052214"/>
        <s v="001-OSC-00073835"/>
        <s v="001-OSC-00073818"/>
        <n v="4500145962"/>
        <s v="OC 004"/>
        <s v="POP-00007771"/>
        <n v="154"/>
        <s v="COC-00000438"/>
        <s v="100-CON-00025092"/>
        <n v="4500088311"/>
        <n v="4500377137"/>
        <n v="1404344"/>
        <n v="102329"/>
        <n v="102330"/>
        <n v="102331"/>
        <n v="4500088351"/>
        <s v="CFMP-2017"/>
        <s v="004-OSC-00051733"/>
        <n v="155"/>
        <n v="1404826"/>
        <n v="1405434"/>
        <s v="3016-1373"/>
        <n v="32869"/>
        <n v="32901"/>
        <n v="1405547"/>
        <n v="5504605218"/>
        <s v="ORC-2604012"/>
        <s v="OCO-00011090"/>
        <s v="001-SC-016032"/>
        <n v="4500377347"/>
        <n v="1406467"/>
        <s v="001-OC -00052128"/>
        <s v="4500088416 _x000a_"/>
        <n v="33011"/>
        <n v="33012"/>
        <s v="OC-0400038"/>
        <s v="4500088428 _x000a_"/>
        <s v="005"/>
        <s v="103-OCC-38956"/>
        <n v="1002095278"/>
        <s v="ORC-2604016"/>
        <s v="005-OSC-00011159"/>
        <n v="1407774"/>
        <s v="N/A"/>
        <s v="COC-00000447"/>
        <s v="004-OSC-00051773"/>
        <n v="1408478"/>
        <n v="1408487"/>
        <s v="P-1692"/>
        <n v="1408516"/>
        <n v="4500088471"/>
        <n v="1408674"/>
        <n v="9984"/>
        <s v="001-OSC-00074280"/>
        <n v="1409612"/>
      </sharedItems>
    </cacheField>
    <cacheField name="Fecha recepción O.C." numFmtId="0">
      <sharedItems containsNonDate="0" containsDate="1" containsString="0" containsBlank="1" minDate="2025-01-20T00:00:00" maxDate="2026-04-25T00:00:00"/>
    </cacheField>
    <cacheField name="Hora reQ" numFmtId="0">
      <sharedItems containsNonDate="0" containsDate="1" containsString="0" containsBlank="1" minDate="1899-12-30T01:04:00" maxDate="1899-12-30T22:24:00"/>
    </cacheField>
    <cacheField name="Pedido" numFmtId="0">
      <sharedItems containsBlank="1" count="307">
        <m/>
        <s v="S15951"/>
        <s v="S15891"/>
        <s v="S15892"/>
        <s v="S14987"/>
        <s v="S15894"/>
        <s v="S15062"/>
        <s v="S15201"/>
        <s v="S15202"/>
        <s v="S15309"/>
        <s v="S15311"/>
        <s v="S15334"/>
        <s v="S15386"/>
        <s v="S15463"/>
        <s v="S15479"/>
        <s v="S15487"/>
        <s v="S15490"/>
        <s v="S15491"/>
        <s v="S15499"/>
        <s v="S15525"/>
        <s v="S15531"/>
        <s v="S15547"/>
        <s v="S15533"/>
        <s v="S15548"/>
        <s v="S15549"/>
        <s v="S15550"/>
        <s v="S15560"/>
        <s v="S14607"/>
        <s v="S16212"/>
        <s v="S14739"/>
        <s v="S16273"/>
        <s v="S15427"/>
        <s v="S15604"/>
        <s v="S15606"/>
        <s v="S15608"/>
        <s v="S15609"/>
        <s v="S15624"/>
        <s v="S15633"/>
        <s v="S15569"/>
        <s v="S15635"/>
        <s v="S15640"/>
        <s v="S16072"/>
        <s v="S15634"/>
        <s v="S15650"/>
        <s v="S15651"/>
        <s v="S16274"/>
        <s v="S15652"/>
        <s v="S15654"/>
        <s v="S15656"/>
        <s v="S15664"/>
        <s v="S15618"/>
        <s v="S15669"/>
        <s v="S15712"/>
        <s v="S15713"/>
        <s v="S15717"/>
        <s v="S15720"/>
        <s v="S15722"/>
        <s v="S15723"/>
        <s v="S15724"/>
        <s v="S15689"/>
        <s v="S15725"/>
        <s v="S15729"/>
        <s v="S15728"/>
        <s v="S15730"/>
        <s v="S15731"/>
        <s v="S15736"/>
        <s v="S15737"/>
        <s v="S15738"/>
        <s v="S15739"/>
        <s v="S15740"/>
        <s v="S15742"/>
        <s v="S15743"/>
        <s v="S15750"/>
        <s v="S15751"/>
        <s v="S15752"/>
        <s v="S15753"/>
        <s v="S15764"/>
        <s v="S15754"/>
        <s v="S15757"/>
        <s v="S15758"/>
        <s v="S15759"/>
        <s v="S15763"/>
        <s v="S15766"/>
        <s v="S15768"/>
        <s v="S15769"/>
        <s v="S15771"/>
        <s v="S15858"/>
        <s v="S15772"/>
        <s v="S15773"/>
        <s v="S15775"/>
        <s v="S15778"/>
        <s v="S15779"/>
        <s v="S15495"/>
        <s v="S15784"/>
        <s v="S15777"/>
        <s v="S15796"/>
        <s v="S15797"/>
        <s v="S15798"/>
        <s v="S15809"/>
        <s v="S15810"/>
        <s v="S15813"/>
        <s v="S15814"/>
        <s v="S15815"/>
        <s v="S15816"/>
        <s v="S15817"/>
        <s v="S15502"/>
        <s v="S15524"/>
        <s v="S14505"/>
        <s v="S15092"/>
        <s v="S15325"/>
        <s v="S15379"/>
        <s v="S15821"/>
        <s v="S15829"/>
        <s v="S15835"/>
        <s v="S15839"/>
        <s v="S15840"/>
        <s v="S15841"/>
        <s v="S15842"/>
        <s v="S15844"/>
        <s v="S14673"/>
        <s v="S15761"/>
        <s v="S15863"/>
        <s v="S15864"/>
        <s v="S15865"/>
        <s v="S15866"/>
        <s v="S15867"/>
        <s v="S15869"/>
        <s v="S15871"/>
        <s v="S15872"/>
        <s v="S15873"/>
        <s v="S15874"/>
        <s v="S15875"/>
        <s v="S15876"/>
        <s v="S15877"/>
        <s v="S15879"/>
        <s v="S15880"/>
        <s v="S15882"/>
        <s v="S15883"/>
        <s v="S15919"/>
        <s v="S15914"/>
        <s v="S15924"/>
        <s v="S15927"/>
        <s v="S15935"/>
        <s v="S15941"/>
        <s v="S15943"/>
        <s v="S15944"/>
        <s v="S15945"/>
        <s v="S15946"/>
        <s v="S15948"/>
        <s v="S15949"/>
        <s v="S15950"/>
        <s v="S15966"/>
        <s v="S15970"/>
        <s v="S15971"/>
        <s v="S15978"/>
        <s v="S15979"/>
        <s v="S15980"/>
        <s v="S15981"/>
        <s v="S16006"/>
        <s v="S15983"/>
        <s v="S15984"/>
        <s v="S15985"/>
        <s v="S15987"/>
        <s v="S15988"/>
        <s v="S15989"/>
        <s v="S15992"/>
        <s v="S15993"/>
        <s v="S16017"/>
        <s v="S16018"/>
        <s v="S16036"/>
        <s v="S16037"/>
        <s v="S16039"/>
        <s v="S16041"/>
        <s v="S16042"/>
        <s v="S16043"/>
        <s v="S16052"/>
        <s v="S16055"/>
        <s v="S16044"/>
        <s v="S16058"/>
        <s v="S16060"/>
        <s v="S16061"/>
        <s v="S16062"/>
        <s v="S16063"/>
        <s v="S16064"/>
        <s v="S16065"/>
        <s v="S16066"/>
        <s v="S16070"/>
        <s v="S16071"/>
        <s v="S16082"/>
        <s v="S16083"/>
        <s v="S16084"/>
        <s v="S16086"/>
        <s v="S16088"/>
        <s v="S16090"/>
        <s v="S16091"/>
        <s v="S16102"/>
        <s v="S16105"/>
        <s v="S16106"/>
        <s v="S16108"/>
        <s v="S16089"/>
        <s v="S16137"/>
        <s v="S16153"/>
        <s v="S16169"/>
        <s v="S16168"/>
        <s v="S16154"/>
        <s v="S16171"/>
        <s v="S16174"/>
        <s v="S16176"/>
        <s v="S16177"/>
        <s v="S16179"/>
        <s v="S16181"/>
        <s v="S16182"/>
        <s v="S16183"/>
        <s v="S16203"/>
        <s v="S16206"/>
        <s v="S16222"/>
        <s v="S16224"/>
        <s v="S16226"/>
        <s v="S16229"/>
        <s v="S16232"/>
        <s v="S16220"/>
        <s v="S16230"/>
        <s v="S16243"/>
        <s v="S16231"/>
        <s v="S16261"/>
        <s v="S16265"/>
        <s v="S16266"/>
        <s v="S16276"/>
        <s v="S16277"/>
        <s v="S16278"/>
        <s v="S16280"/>
        <s v="S16283"/>
        <s v="S16284"/>
        <s v="S16286"/>
        <s v="S16290"/>
        <s v="S16291"/>
        <s v="S16294"/>
        <s v="S16299"/>
        <s v="S16297"/>
        <s v="S16303"/>
        <s v="S16310"/>
        <s v="S16314"/>
        <s v="S16316"/>
        <s v="S16320"/>
        <s v="S16321"/>
        <s v="S16325"/>
        <s v="S16326"/>
        <s v="S16349"/>
        <s v="S16345"/>
        <s v="S16351"/>
        <s v="S16353"/>
        <s v="S16354"/>
        <s v="S16355"/>
        <s v="S16357"/>
        <s v="S16358"/>
        <s v="S16360"/>
        <s v="S16359"/>
        <s v="S16362"/>
        <s v="S16364"/>
        <s v="S16366"/>
        <s v="S16391"/>
        <s v="S16392"/>
        <s v="S16393"/>
        <s v="S16395"/>
        <s v="S16396"/>
        <s v="S16400"/>
        <s v="S16401"/>
        <s v="S16403"/>
        <s v="S16404"/>
        <s v="S16405"/>
        <s v="S16406"/>
        <s v="S16410"/>
        <s v="S16407"/>
        <s v="S16412"/>
        <s v="S16424"/>
        <s v="S16425"/>
        <s v="S16430"/>
        <s v="S16443"/>
        <s v="S16444"/>
        <s v="S16453"/>
        <s v="S16454"/>
        <s v="S16459"/>
        <s v="S16474"/>
        <s v="S16475"/>
        <s v="S16476"/>
        <s v="S16478"/>
        <s v="S16480"/>
        <s v="S16489"/>
        <s v="S16512"/>
        <s v="S16513"/>
        <s v="S16516"/>
        <s v="S16520"/>
        <s v="S16521"/>
        <s v="S16522"/>
        <s v="S16523"/>
        <s v="S16524"/>
        <s v="S16525"/>
        <s v="S16526"/>
        <s v="S16528"/>
        <s v="S16532"/>
        <s v="S16549"/>
        <s v="S16593"/>
        <s v="S16554"/>
        <s v="S16567"/>
        <s v="S16568"/>
        <s v="S16583"/>
        <s v="S16601"/>
      </sharedItems>
    </cacheField>
    <cacheField name="N° de Factura" numFmtId="0">
      <sharedItems containsBlank="1"/>
    </cacheField>
    <cacheField name="Fecha de generación del pedido" numFmtId="0">
      <sharedItems containsNonDate="0" containsDate="1" containsString="0" containsBlank="1" minDate="2026-03-03T00:00:00" maxDate="3036-03-26T00:00:00"/>
    </cacheField>
    <cacheField name="Hora generación" numFmtId="0">
      <sharedItems containsNonDate="0" containsDate="1" containsString="0" containsBlank="1" minDate="1899-12-30T07:18:00" maxDate="1899-12-30T17:28:00"/>
    </cacheField>
    <cacheField name="Cliente" numFmtId="0">
      <sharedItems/>
    </cacheField>
    <cacheField name="Ciudad" numFmtId="0">
      <sharedItems/>
    </cacheField>
    <cacheField name="Nombre del producto" numFmtId="0">
      <sharedItems/>
    </cacheField>
    <cacheField name="Kg. Solicitados" numFmtId="0">
      <sharedItems containsSemiMixedTypes="0" containsString="0" containsNumber="1" minValue="7.4999999999999997E-2" maxValue="270000"/>
    </cacheField>
    <cacheField name="Cantidad" numFmtId="0">
      <sharedItems containsString="0" containsBlank="1" containsNumber="1" containsInteger="1" minValue="0" maxValue="10800"/>
    </cacheField>
    <cacheField name="Valor total" numFmtId="0">
      <sharedItems containsBlank="1" containsMixedTypes="1" containsNumber="1" containsInteger="1" minValue="0" maxValue="426600000"/>
    </cacheField>
    <cacheField name="Fecha Requerida Por el Cliente" numFmtId="0">
      <sharedItems containsDate="1" containsMixedTypes="1" minDate="2025-04-07T00:00:00" maxDate="2026-05-26T00:00:00"/>
    </cacheField>
    <cacheField name="Tiene Forecast?" numFmtId="0">
      <sharedItems containsString="0" containsBlank="1" containsNumber="1" containsInteger="1" minValue="12312" maxValue="12312"/>
    </cacheField>
    <cacheField name="Cantidad fuera del Forecast (Kg)" numFmtId="0">
      <sharedItems containsString="0" containsBlank="1" containsNumber="1" containsInteger="1" minValue="320112000" maxValue="1200000000"/>
    </cacheField>
    <cacheField name="Correo SI/NO" numFmtId="0">
      <sharedItems containsNonDate="0" containsString="0" containsBlank="1"/>
    </cacheField>
    <cacheField name="Remisió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a Catherin Castro Andrade" refreshedDate="46139.463914236112" createdVersion="8" refreshedVersion="8" minRefreshableVersion="3" recordCount="505" xr:uid="{1CCF1AF9-EB28-4704-9A56-56E24F21FC80}">
  <cacheSource type="worksheet">
    <worksheetSource ref="A1:AB1" sheet="Base"/>
  </cacheSource>
  <cacheFields count="28">
    <cacheField name="NOVEDADES REPORTADAS" numFmtId="0">
      <sharedItems containsBlank="1" count="13">
        <m/>
        <s v="PDNIENTE CONFIRMAR ENVIO CLIENTE"/>
        <s v="TRANSPORTE"/>
        <s v="CARTERA"/>
        <s v="CARTERA //INVENTARIO"/>
        <s v="INVENTARIO"/>
        <s v="PRODUCCION"/>
        <s v="CARTERA E INVENTARIO"/>
        <s v="CANCELADO"/>
        <s v="ALISTAMIENTO"/>
        <s v="CARTERA (CANCELADO PARA ENVIAR POR DISTRIBUIDOR)"/>
        <s v="NUEVO PEDIDO SINIESTRO VEHICULO OPERLOG / PEDIDO S16106"/>
        <s v="SAC Y LOGISTICA DE SALIDA"/>
      </sharedItems>
    </cacheField>
    <cacheField name="O.C." numFmtId="0">
      <sharedItems containsBlank="1" containsMixedTypes="1" containsNumber="1" containsInteger="1" minValue="154" maxValue="7000403038"/>
    </cacheField>
    <cacheField name="Fecha recepción O.C." numFmtId="0">
      <sharedItems containsNonDate="0" containsDate="1" containsString="0" containsBlank="1" minDate="2025-01-20T00:00:00" maxDate="2026-04-25T00:00:00"/>
    </cacheField>
    <cacheField name="Hora reQ" numFmtId="0">
      <sharedItems containsNonDate="0" containsDate="1" containsString="0" containsBlank="1" minDate="1899-12-30T01:04:00" maxDate="1899-12-30T22:24:00"/>
    </cacheField>
    <cacheField name="Pedido" numFmtId="0">
      <sharedItems containsBlank="1" count="307">
        <m/>
        <s v="S15951"/>
        <s v="S15891"/>
        <s v="S15892"/>
        <s v="S14987"/>
        <s v="S15894"/>
        <s v="S15062"/>
        <s v="S15201"/>
        <s v="S15202"/>
        <s v="S15309"/>
        <s v="S15311"/>
        <s v="S15334"/>
        <s v="S15386"/>
        <s v="S15463"/>
        <s v="S15479"/>
        <s v="S15487"/>
        <s v="S15490"/>
        <s v="S15491"/>
        <s v="S15499"/>
        <s v="S15525"/>
        <s v="S15531"/>
        <s v="S15547"/>
        <s v="S15533"/>
        <s v="S15548"/>
        <s v="S15549"/>
        <s v="S15550"/>
        <s v="S15560"/>
        <s v="S14607"/>
        <s v="S16212"/>
        <s v="S14739"/>
        <s v="S16273"/>
        <s v="S15427"/>
        <s v="S15604"/>
        <s v="S15606"/>
        <s v="S15608"/>
        <s v="S15609"/>
        <s v="S15624"/>
        <s v="S15633"/>
        <s v="S15569"/>
        <s v="S15635"/>
        <s v="S15640"/>
        <s v="S16072"/>
        <s v="S15634"/>
        <s v="S15650"/>
        <s v="S15651"/>
        <s v="S16274"/>
        <s v="S15652"/>
        <s v="S15654"/>
        <s v="S15656"/>
        <s v="S15664"/>
        <s v="S15618"/>
        <s v="S15669"/>
        <s v="S15712"/>
        <s v="S15713"/>
        <s v="S15717"/>
        <s v="S15720"/>
        <s v="S15722"/>
        <s v="S15723"/>
        <s v="S15724"/>
        <s v="S15689"/>
        <s v="S15725"/>
        <s v="S15729"/>
        <s v="S15728"/>
        <s v="S15730"/>
        <s v="S15731"/>
        <s v="S15736"/>
        <s v="S15737"/>
        <s v="S15738"/>
        <s v="S15739"/>
        <s v="S15740"/>
        <s v="S15742"/>
        <s v="S15743"/>
        <s v="S15750"/>
        <s v="S15751"/>
        <s v="S15752"/>
        <s v="S15753"/>
        <s v="S15764"/>
        <s v="S15754"/>
        <s v="S15757"/>
        <s v="S15758"/>
        <s v="S15759"/>
        <s v="S15763"/>
        <s v="S15766"/>
        <s v="S15768"/>
        <s v="S15769"/>
        <s v="S15771"/>
        <s v="S15858"/>
        <s v="S15772"/>
        <s v="S15773"/>
        <s v="S15775"/>
        <s v="S15778"/>
        <s v="S15779"/>
        <s v="S15495"/>
        <s v="S15784"/>
        <s v="S15777"/>
        <s v="S15796"/>
        <s v="S15797"/>
        <s v="S15798"/>
        <s v="S15809"/>
        <s v="S15810"/>
        <s v="S15813"/>
        <s v="S15814"/>
        <s v="S15815"/>
        <s v="S15816"/>
        <s v="S15817"/>
        <s v="S15502"/>
        <s v="S15524"/>
        <s v="S14505"/>
        <s v="S15092"/>
        <s v="S15325"/>
        <s v="S15379"/>
        <s v="S15821"/>
        <s v="S15829"/>
        <s v="S15835"/>
        <s v="S15839"/>
        <s v="S15840"/>
        <s v="S15841"/>
        <s v="S15842"/>
        <s v="S15844"/>
        <s v="S14673"/>
        <s v="S15761"/>
        <s v="S15863"/>
        <s v="S15864"/>
        <s v="S15865"/>
        <s v="S15866"/>
        <s v="S15867"/>
        <s v="S15869"/>
        <s v="S15871"/>
        <s v="S15872"/>
        <s v="S15873"/>
        <s v="S15874"/>
        <s v="S15875"/>
        <s v="S15876"/>
        <s v="S15877"/>
        <s v="S15879"/>
        <s v="S15880"/>
        <s v="S15882"/>
        <s v="S15883"/>
        <s v="S15919"/>
        <s v="S15914"/>
        <s v="S15924"/>
        <s v="S15927"/>
        <s v="S15935"/>
        <s v="S15941"/>
        <s v="S15943"/>
        <s v="S15944"/>
        <s v="S15945"/>
        <s v="S15946"/>
        <s v="S15948"/>
        <s v="S15949"/>
        <s v="S15950"/>
        <s v="S15966"/>
        <s v="S15970"/>
        <s v="S15971"/>
        <s v="S15978"/>
        <s v="S15979"/>
        <s v="S15980"/>
        <s v="S15981"/>
        <s v="S16006"/>
        <s v="S15983"/>
        <s v="S15984"/>
        <s v="S15985"/>
        <s v="S15987"/>
        <s v="S15988"/>
        <s v="S15989"/>
        <s v="S15992"/>
        <s v="S15993"/>
        <s v="S16017"/>
        <s v="S16018"/>
        <s v="S16036"/>
        <s v="S16037"/>
        <s v="S16039"/>
        <s v="S16041"/>
        <s v="S16042"/>
        <s v="S16043"/>
        <s v="S16052"/>
        <s v="S16055"/>
        <s v="S16044"/>
        <s v="S16058"/>
        <s v="S16060"/>
        <s v="S16061"/>
        <s v="S16062"/>
        <s v="S16063"/>
        <s v="S16064"/>
        <s v="S16065"/>
        <s v="S16066"/>
        <s v="S16070"/>
        <s v="S16071"/>
        <s v="S16082"/>
        <s v="S16083"/>
        <s v="S16084"/>
        <s v="S16086"/>
        <s v="S16088"/>
        <s v="S16090"/>
        <s v="S16091"/>
        <s v="S16102"/>
        <s v="S16105"/>
        <s v="S16106"/>
        <s v="S16108"/>
        <s v="S16089"/>
        <s v="S16137"/>
        <s v="S16153"/>
        <s v="S16169"/>
        <s v="S16168"/>
        <s v="S16154"/>
        <s v="S16171"/>
        <s v="S16174"/>
        <s v="S16176"/>
        <s v="S16177"/>
        <s v="S16179"/>
        <s v="S16181"/>
        <s v="S16182"/>
        <s v="S16183"/>
        <s v="S16203"/>
        <s v="S16206"/>
        <s v="S16222"/>
        <s v="S16224"/>
        <s v="S16226"/>
        <s v="S16229"/>
        <s v="S16232"/>
        <s v="S16220"/>
        <s v="S16230"/>
        <s v="S16243"/>
        <s v="S16231"/>
        <s v="S16261"/>
        <s v="S16265"/>
        <s v="S16266"/>
        <s v="S16276"/>
        <s v="S16277"/>
        <s v="S16278"/>
        <s v="S16280"/>
        <s v="S16283"/>
        <s v="S16284"/>
        <s v="S16286"/>
        <s v="S16290"/>
        <s v="S16291"/>
        <s v="S16294"/>
        <s v="S16299"/>
        <s v="S16297"/>
        <s v="S16303"/>
        <s v="S16310"/>
        <s v="S16314"/>
        <s v="S16316"/>
        <s v="S16320"/>
        <s v="S16321"/>
        <s v="S16325"/>
        <s v="S16326"/>
        <s v="S16349"/>
        <s v="S16345"/>
        <s v="S16351"/>
        <s v="S16353"/>
        <s v="S16354"/>
        <s v="S16355"/>
        <s v="S16357"/>
        <s v="S16358"/>
        <s v="S16360"/>
        <s v="S16359"/>
        <s v="S16362"/>
        <s v="S16364"/>
        <s v="S16366"/>
        <s v="S16391"/>
        <s v="S16392"/>
        <s v="S16393"/>
        <s v="S16395"/>
        <s v="S16396"/>
        <s v="S16400"/>
        <s v="S16401"/>
        <s v="S16403"/>
        <s v="S16404"/>
        <s v="S16405"/>
        <s v="S16406"/>
        <s v="S16410"/>
        <s v="S16407"/>
        <s v="S16412"/>
        <s v="S16424"/>
        <s v="S16425"/>
        <s v="S16430"/>
        <s v="S16443"/>
        <s v="S16444"/>
        <s v="S16453"/>
        <s v="S16454"/>
        <s v="S16459"/>
        <s v="S16474"/>
        <s v="S16475"/>
        <s v="S16476"/>
        <s v="S16478"/>
        <s v="S16480"/>
        <s v="S16489"/>
        <s v="S16512"/>
        <s v="S16513"/>
        <s v="S16516"/>
        <s v="S16520"/>
        <s v="S16521"/>
        <s v="S16522"/>
        <s v="S16523"/>
        <s v="S16524"/>
        <s v="S16525"/>
        <s v="S16526"/>
        <s v="S16528"/>
        <s v="S16532"/>
        <s v="S16549"/>
        <s v="S16593"/>
        <s v="S16554"/>
        <s v="S16567"/>
        <s v="S16568"/>
        <s v="S16583"/>
        <s v="S16601"/>
      </sharedItems>
    </cacheField>
    <cacheField name="N° de Factura" numFmtId="0">
      <sharedItems containsBlank="1"/>
    </cacheField>
    <cacheField name="Fecha de generación del pedido" numFmtId="0">
      <sharedItems containsNonDate="0" containsDate="1" containsString="0" containsBlank="1" minDate="2026-03-03T00:00:00" maxDate="3036-03-26T00:00:00"/>
    </cacheField>
    <cacheField name="Hora generación" numFmtId="0">
      <sharedItems containsNonDate="0" containsDate="1" containsString="0" containsBlank="1" minDate="1899-12-30T07:18:00" maxDate="1899-12-30T17:28:00"/>
    </cacheField>
    <cacheField name="Cliente" numFmtId="0">
      <sharedItems count="93">
        <s v="PREMEX S.A.S."/>
        <s v="POLLOS EL BUCANERO"/>
        <s v="ALIMENTOS POLAR COLOMBIA SAS"/>
        <s v="PORCICULTORES APA"/>
        <s v="SOLLA S.A."/>
        <s v="MEZCLAS BIOMIX"/>
        <s v="PREMEZCLAS LATINOAMERICANAS PRALSA"/>
        <s v="PREMEZCLAS LATINOAMERICANAS"/>
        <s v="COMPAÑIA INDUSTRIAL DE PRODUCTOS AGROPECUARIOS S.A"/>
        <s v="AGROINDUSTRIAL SAN JOSE"/>
        <s v="ITALCOL DE OCCIDENTE"/>
        <s v="FINCA S.A.S."/>
        <s v="AVICOLA EL GUAMITO"/>
        <s v="COLOMBIANA DE INCUBACION SAS INCUBACOL"/>
        <s v="RIBARCO"/>
        <s v="INVERSIONES ESCALA"/>
        <s v="AVICOLA LA DOMINGA"/>
        <s v="INVERSIONES CARDONA RIOS (AVICOLA LA MARIA)"/>
        <s v="COOPERATIVA DE PORCICULTORES DEL EJE CAFETERO"/>
        <s v="CERDOS DEL VALLE"/>
        <s v="COOPERATIVA COLANTA"/>
        <s v="AGROAVICOLA SAN MARINO"/>
        <s v="CONTEGRAL S.A.S."/>
        <s v="MARIA JOSE ORTIZ"/>
        <s v="ECUADPREMEX"/>
        <s v="INCUBADORA SANTANDER"/>
        <s v="CONCENTRADOS DEL CAMPO"/>
        <s v="PORCICOLA EMMANUEL S.A.S."/>
        <s v="LA CASA MAYOR"/>
        <s v="AGROPECUARIA ALFA"/>
        <s v="GARCIA GOMEZ AGROINVERSIONES S.A."/>
        <s v="MEJIA &amp; CIA"/>
        <s v="GRUPO PORCINO"/>
        <s v="DISTRIBUIDORA AGRO-PLUS SAS"/>
        <s v="COLOMBIANA DE AVES COLAVES"/>
        <s v="EMPOLLADORA COLOMBIANA"/>
        <s v="OPERADORA AVICOLA COLOMBIA S.A.S."/>
        <s v="AGRIFEED"/>
        <s v="CERDON S.A.S"/>
        <s v="NUTRICION EXPERTA DE COLOMBIA"/>
        <s v="AGROPECUARIA DE OCCIDENTE"/>
        <s v="INVERSIONES J.V. S.A.S."/>
        <s v="NELSON GARCIA MONSALVE"/>
        <s v="TECNOCAMPO"/>
        <s v="POLLO FIESTA"/>
        <s v="AGROPECUARIA GOLOSO"/>
        <s v="PROFARM DE LOS ANDES"/>
        <s v="COMERCIALIZADORA G&amp;M"/>
        <s v="REVEEX NUTRICION SAS"/>
        <s v="CONCENTRADOS ESPARTACO"/>
        <s v="GRUPO AGROBOX"/>
        <s v="PORCICOLA PRADERA S.A."/>
        <s v="AGROPECUARIA ALIAR"/>
        <s v="ARANGO HERMANOS"/>
        <s v="AVSA"/>
        <s v="AVIDESA DE OCCIDENTE"/>
        <s v="AVICOLA SINAIN"/>
        <s v="AVICOLA LOS CAMBULOS"/>
        <s v="MESAGE"/>
        <s v="ALCON DE COLOMBIA"/>
        <s v="BIOPRESS"/>
        <s v="INVERSIONES AGROPORC"/>
        <s v="INVERSIONES FEED"/>
        <s v="COMERCIALIZARA CAMPOFERTIL"/>
        <s v="CARLOS AYORA"/>
        <s v="INSUMOS AGROPECUARIOS DEL CAFE"/>
        <s v="AVECER"/>
        <s v="AVIMOL"/>
        <s v="AGROBUITRON"/>
        <s v="AGROINDUSTRIAL LOS ROBLES"/>
        <s v="SERVIVET"/>
        <s v="ANTIOQUEÑA DE PORCINOS"/>
        <s v="INVERSIONES TRIBILIN"/>
        <s v="O TAFUR"/>
        <s v="INDUSTRIAS PUROPOLLO"/>
        <s v="SUAL PRODUCTORA"/>
        <s v="POLLOS SAVICOL"/>
        <s v="PORCICOLA LOS CEDROS"/>
        <s v="PRO FARM DE LOS ANDES"/>
        <s v="DISTRAVES"/>
        <s v="C&amp;J PORK"/>
        <s v="IMPRO- AGRO"/>
        <s v="GRANJA LA VENTURA _x000a_"/>
        <s v="INVERSIONES FC"/>
        <s v="AVICOLA SAN MARTIN"/>
        <s v="ALIMENTOS ALDUQUE"/>
        <s v="PRODUCTOS AVICOLA DEL ORIENTE"/>
        <s v="AGRICOLA COLOMBIANA"/>
        <s v="PREMEX INC"/>
        <s v="PROVIMI"/>
        <s v="CONCENTRADOS JUDEVAL"/>
        <s v="TERRAZAS AGOPECUARIAS"/>
        <s v="GVM"/>
      </sharedItems>
    </cacheField>
    <cacheField name="Ciudad" numFmtId="0">
      <sharedItems/>
    </cacheField>
    <cacheField name="Nombre del producto" numFmtId="0">
      <sharedItems count="51">
        <s v="CLORTETRAX 20 X 25 KG"/>
        <s v="NORFLOX X 1 LITRO"/>
        <s v="MICRO AID X 25 KG"/>
        <s v="FRACTAL P X 25 KG"/>
        <s v="LOTUS X 25 KG"/>
        <s v="FOSMYCINA 90 X 500 GR"/>
        <s v="HALQUINOX 500 X 25 KG"/>
        <s v="DMB 11 X 25 KG"/>
        <s v="FENIFLOR PREMIX X 25 Kg"/>
        <s v="MONECYL X 25 KG"/>
        <s v="ACCUREMAX 10% X 25 KG"/>
        <s v="FENIFLOR ORAL X 500 GR"/>
        <s v="FRACTAL L X 20 LITROS"/>
        <s v="AMOXIN X 1 KILO"/>
        <s v="TILVASYYN x 25 KG"/>
        <s v="ROFLOX X 1 LITRO"/>
        <s v="DQCICLIN X 1 KG"/>
        <s v="ACCUREMAX X 25 KG"/>
        <s v="AVINOVA X 25 Kg"/>
        <s v="CIPROFLOX X 5 KG"/>
        <s v="DINAMIX 800 X 25 KG"/>
        <s v="TRIMBAC X 5KG"/>
        <s v="BIMMU X 25 KG"/>
        <s v="CELMANAX X 25 KG"/>
        <s v="200 MONECYL R X 25 KG"/>
        <s v="ESPELIN X 25 KG"/>
        <s v="KIRA X 25 KG"/>
        <s v="TILOMIX 250 PREMIX X 25 KG"/>
        <s v="SAGAH X 25 KILOS"/>
        <s v="NEOCYN X 25 KG"/>
        <s v="HALQUINOX 800 X 25 KG"/>
        <s v="SMOOT SWEET X 75 GR"/>
        <s v="TILCOMIX ORAL X 1 KG"/>
        <s v="DINAMIX PREMIX X 25 KG"/>
        <s v="ESPELIN 88 X 25 KG"/>
        <s v="ACCUREMAX 20 % X 25 KG"/>
        <s v="NEOCYN X 1KG"/>
        <s v="TILOMIX ORAL x 1 Kg"/>
        <s v="DINAMIX 200 PREMIX X 25 KG"/>
        <s v="TILCOMIX PREMIX S X 5KG"/>
        <s v="5 kg FENIFLOR PREMIX"/>
        <s v="10 kg SMOOTH SWEET"/>
        <s v="1 KG DE CIPROFLOX"/>
        <s v="PROYECTO TILVASYN X 5 KG"/>
        <s v="DINAMIX 600 X 250 GR"/>
        <s v="5 KG FENIFLOR ORAL X 5 KG"/>
        <s v="5 KG FENIFLOR PREMIX X 5 KG"/>
        <s v="TRIMBAC X 5 KG"/>
        <s v="1 KG NEOCYN"/>
        <s v="ACCUREMAX 10% X 25 KILOS"/>
        <s v="MONECYL 200 R X 25 KG"/>
      </sharedItems>
    </cacheField>
    <cacheField name="Kg. Solicitados" numFmtId="0">
      <sharedItems containsSemiMixedTypes="0" containsString="0" containsNumber="1" minValue="7.4999999999999997E-2" maxValue="270000"/>
    </cacheField>
    <cacheField name="Cantidad" numFmtId="0">
      <sharedItems containsString="0" containsBlank="1" containsNumber="1" containsInteger="1" minValue="0" maxValue="10800"/>
    </cacheField>
    <cacheField name="Valor total" numFmtId="0">
      <sharedItems containsBlank="1" containsMixedTypes="1" containsNumber="1" containsInteger="1" minValue="0" maxValue="426600000"/>
    </cacheField>
    <cacheField name="Fecha Requerida Por el Cliente" numFmtId="0">
      <sharedItems containsDate="1" containsMixedTypes="1" minDate="2025-04-07T00:00:00" maxDate="2026-05-26T00:00:00"/>
    </cacheField>
    <cacheField name="Tiene Forecast?" numFmtId="0">
      <sharedItems containsString="0" containsBlank="1" containsNumber="1" containsInteger="1" minValue="12312" maxValue="12312"/>
    </cacheField>
    <cacheField name="Cantidad fuera del Forecast (Kg)" numFmtId="0">
      <sharedItems containsString="0" containsBlank="1" containsNumber="1" containsInteger="1" minValue="320112000" maxValue="1200000000"/>
    </cacheField>
    <cacheField name="Correo SI/NO" numFmtId="0">
      <sharedItems containsNonDate="0" containsString="0" containsBlank="1"/>
    </cacheField>
    <cacheField name="Remisión" numFmtId="0">
      <sharedItems containsNonDate="0" containsString="0" containsBlank="1"/>
    </cacheField>
    <cacheField name="Trasportadora" numFmtId="0">
      <sharedItems containsNonDate="0" containsString="0" containsBlank="1"/>
    </cacheField>
    <cacheField name="Enviado_x000a_Paqueteo_x000a_Masivo" numFmtId="0">
      <sharedItems containsNonDate="0" containsString="0" containsBlank="1"/>
    </cacheField>
    <cacheField name="Estatus_x000a_Entregado_x000a_En Ruta_x000a_Despacho" numFmtId="0">
      <sharedItems containsNonDate="0" containsString="0" containsBlank="1"/>
    </cacheField>
    <cacheField name="Costo Flete" numFmtId="0">
      <sharedItems containsNonDate="0" containsString="0" containsBlank="1"/>
    </cacheField>
    <cacheField name="Costo logistico" numFmtId="0">
      <sharedItems containsNonDate="0" containsString="0" containsBlank="1"/>
    </cacheField>
    <cacheField name="Costo Kilo" numFmtId="0">
      <sharedItems containsNonDate="0" containsString="0" containsBlank="1"/>
    </cacheField>
    <cacheField name="Cantidad Real Enviada" numFmtId="0">
      <sharedItems containsNonDate="0" containsString="0" containsBlank="1"/>
    </cacheField>
    <cacheField name="Fecha Real Entregada" numFmtId="0">
      <sharedItems containsNonDate="0" containsString="0" containsBlank="1"/>
    </cacheField>
    <cacheField name="Observaciones S.C." numFmtId="0">
      <sharedItems containsBlank="1" containsMixedTypes="1" containsNumber="1" containsInteger="1" minValue="8000" maxValue="3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na Catherin Castro Andrade" refreshedDate="46139.486561111109" backgroundQuery="1" createdVersion="8" refreshedVersion="8" minRefreshableVersion="3" recordCount="0" supportSubquery="1" supportAdvancedDrill="1" xr:uid="{4E84C281-D53E-48AC-A930-941C4E50223B}">
  <cacheSource type="external" connectionId="1"/>
  <cacheFields count="2">
    <cacheField name="[Rango].[NOVEDADES REPORTADAS].[NOVEDADES REPORTADAS]" caption="NOVEDADES REPORTADAS" numFmtId="0" level="1">
      <sharedItems count="10">
        <s v="ALISTAMIENTO"/>
        <s v="CANCELADO"/>
        <s v="CARTERA"/>
        <s v="CARTERA (CANCELADO PARA ENVIAR POR DISTRIBUIDOR)"/>
        <s v="CARTERA //INVENTARIO"/>
        <s v="CARTERA E INVENTARIO"/>
        <s v="INVENTARIO"/>
        <s v="PRODUCCION"/>
        <s v="SAC Y LOGISTICA DE ENTRADA"/>
        <s v="TRANSPORTE"/>
      </sharedItems>
    </cacheField>
    <cacheField name="[Measures].[Recuento de Pedido]" caption="Recuento de Pedido" numFmtId="0" hierarchy="22" level="32767"/>
  </cacheFields>
  <cacheHierarchies count="23">
    <cacheHierarchy uniqueName="[Rango].[NOVEDADES REPORTADAS]" caption="NOVEDADES REPORTADAS" attribute="1" defaultMemberUniqueName="[Rango].[NOVEDADES REPORTADAS].[All]" allUniqueName="[Rango].[NOVEDADES REPORTADAS].[All]" dimensionUniqueName="[Rango]" displayFolder="" count="2" memberValueDatatype="130" unbalanced="0">
      <fieldsUsage count="2">
        <fieldUsage x="-1"/>
        <fieldUsage x="0"/>
      </fieldsUsage>
    </cacheHierarchy>
    <cacheHierarchy uniqueName="[Rango].[O.C.]" caption="O.C." attribute="1" defaultMemberUniqueName="[Rango].[O.C.].[All]" allUniqueName="[Rango].[O.C.].[All]" dimensionUniqueName="[Rango]" displayFolder="" count="0" memberValueDatatype="130" unbalanced="0"/>
    <cacheHierarchy uniqueName="[Rango].[Fecha recepción O.C.]" caption="Fecha recepción O.C." attribute="1" time="1" defaultMemberUniqueName="[Rango].[Fecha recepción O.C.].[All]" allUniqueName="[Rango].[Fecha recepción O.C.].[All]" dimensionUniqueName="[Rango]" displayFolder="" count="0" memberValueDatatype="7" unbalanced="0"/>
    <cacheHierarchy uniqueName="[Rango].[Pedido]" caption="Pedido" attribute="1" defaultMemberUniqueName="[Rango].[Pedido].[All]" allUniqueName="[Rango].[Pedido].[All]" dimensionUniqueName="[Rango]" displayFolder="" count="0" memberValueDatatype="130" unbalanced="0"/>
    <cacheHierarchy uniqueName="[Rango].[N° de Factura]" caption="N° de Factura" attribute="1" defaultMemberUniqueName="[Rango].[N° de Factura].[All]" allUniqueName="[Rango].[N° de Factura].[All]" dimensionUniqueName="[Rango]" displayFolder="" count="0" memberValueDatatype="130" unbalanced="0"/>
    <cacheHierarchy uniqueName="[Rango].[Cliente]" caption="Cliente" attribute="1" defaultMemberUniqueName="[Rango].[Cliente].[All]" allUniqueName="[Rango].[Cliente].[All]" dimensionUniqueName="[Rango]" displayFolder="" count="0" memberValueDatatype="130" unbalanced="0"/>
    <cacheHierarchy uniqueName="[Rango].[Ciudad]" caption="Ciudad" attribute="1" defaultMemberUniqueName="[Rango].[Ciudad].[All]" allUniqueName="[Rango].[Ciudad].[All]" dimensionUniqueName="[Rango]" displayFolder="" count="0" memberValueDatatype="130" unbalanced="0"/>
    <cacheHierarchy uniqueName="[Rango].[Nombre del producto]" caption="Nombre del producto" attribute="1" defaultMemberUniqueName="[Rango].[Nombre del producto].[All]" allUniqueName="[Rango].[Nombre del producto].[All]" dimensionUniqueName="[Rango]" displayFolder="" count="0" memberValueDatatype="130" unbalanced="0"/>
    <cacheHierarchy uniqueName="[Rango].[Kg. Solicitados]" caption="Kg. Solicitados" attribute="1" defaultMemberUniqueName="[Rango].[Kg. Solicitados].[All]" allUniqueName="[Rango].[Kg. Solicitados].[All]" dimensionUniqueName="[Rango]" displayFolder="" count="0" memberValueDatatype="5" unbalanced="0"/>
    <cacheHierarchy uniqueName="[Rango].[Cantidad]" caption="Cantidad" attribute="1" defaultMemberUniqueName="[Rango].[Cantidad].[All]" allUniqueName="[Rango].[Cantidad].[All]" dimensionUniqueName="[Rango]" displayFolder="" count="0" memberValueDatatype="20" unbalanced="0"/>
    <cacheHierarchy uniqueName="[Rango].[Valor total]" caption="Valor total" attribute="1" defaultMemberUniqueName="[Rango].[Valor total].[All]" allUniqueName="[Rango].[Valor total].[All]" dimensionUniqueName="[Rango]" displayFolder="" count="0" memberValueDatatype="20" unbalanced="0"/>
    <cacheHierarchy uniqueName="[Rango].[Fecha Requerida Por el Cliente]" caption="Fecha Requerida Por el Cliente" attribute="1" defaultMemberUniqueName="[Rango].[Fecha Requerida Por el Cliente].[All]" allUniqueName="[Rango].[Fecha Requerida Por el Cliente].[All]" dimensionUniqueName="[Rango]" displayFolder="" count="0" memberValueDatatype="130" unbalanced="0"/>
    <cacheHierarchy uniqueName="[Rango].[Tiene Forecast?]" caption="Tiene Forecast?" attribute="1" defaultMemberUniqueName="[Rango].[Tiene Forecast?].[All]" allUniqueName="[Rango].[Tiene Forecast?].[All]" dimensionUniqueName="[Rango]" displayFolder="" count="0" memberValueDatatype="130" unbalanced="0"/>
    <cacheHierarchy uniqueName="[Rango].[Cantidad fuera del Forecast (Kg)]" caption="Cantidad fuera del Forecast (Kg)" attribute="1" defaultMemberUniqueName="[Rango].[Cantidad fuera del Forecast (Kg)].[All]" allUniqueName="[Rango].[Cantidad fuera del Forecast (Kg)].[All]" dimensionUniqueName="[Rango]" displayFolder="" count="0" memberValueDatatype="130" unbalanced="0"/>
    <cacheHierarchy uniqueName="[Rango].[Observaciones S.C.]" caption="Observaciones S.C." attribute="1" defaultMemberUniqueName="[Rango].[Observaciones S.C.].[All]" allUniqueName="[Rango].[Observaciones S.C.].[All]" dimensionUniqueName="[Rango]" displayFolder="" count="0" memberValueDatatype="130" unbalanced="0"/>
    <cacheHierarchy uniqueName="[Rango 1].[NOVEDADES REPORTADAS]" caption="NOVEDADES REPORTADAS" attribute="1" defaultMemberUniqueName="[Rango 1].[NOVEDADES REPORTADAS].[All]" allUniqueName="[Rango 1].[NOVEDADES REPORTADAS].[All]" dimensionUniqueName="[Rango 1]" displayFolder="" count="0" memberValueDatatype="130" unbalanced="0"/>
    <cacheHierarchy uniqueName="[Rango 1].[O.C.]" caption="O.C." attribute="1" defaultMemberUniqueName="[Rango 1].[O.C.].[All]" allUniqueName="[Rango 1].[O.C.].[All]" dimensionUniqueName="[Rango 1]" displayFolder="" count="0" memberValueDatatype="130" unbalanced="0"/>
    <cacheHierarchy uniqueName="[Rango 1].[Fecha recepción O.C.]" caption="Fecha recepción O.C." attribute="1" time="1" defaultMemberUniqueName="[Rango 1].[Fecha recepción O.C.].[All]" allUniqueName="[Rango 1].[Fecha recepción O.C.].[All]" dimensionUniqueName="[Rango 1]" displayFolder="" count="0" memberValueDatatype="7" unbalanced="0"/>
    <cacheHierarchy uniqueName="[Rango 1].[Pedido]" caption="Pedido" attribute="1" defaultMemberUniqueName="[Rango 1].[Pedido].[All]" allUniqueName="[Rango 1].[Pedido].[All]" dimensionUniqueName="[Rango 1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Rango 1]" caption="__XL_Count Rango 1" measure="1" displayFolder="" measureGroup="Rango 1" count="0" hidden="1"/>
    <cacheHierarchy uniqueName="[Measures].[__No measures defined]" caption="__No measures defined" measure="1" displayFolder="" count="0" hidden="1"/>
    <cacheHierarchy uniqueName="[Measures].[Recuento de Pedido]" caption="Recuento de Pedido" measure="1" displayFolder="" measureGroup="Rang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Rango 1" uniqueName="[Rango 1]" caption="Rango 1"/>
  </dimensions>
  <measureGroups count="2">
    <measureGroup name="Rango" caption="Rango"/>
    <measureGroup name="Rango 1" caption="Rango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na Catherin Castro Andrade" refreshedDate="46142.679446527778" backgroundQuery="1" createdVersion="8" refreshedVersion="8" minRefreshableVersion="3" recordCount="0" supportSubquery="1" supportAdvancedDrill="1" xr:uid="{D0DD3B74-1E00-4759-8B51-4129E98B6FE2}">
  <cacheSource type="external" connectionId="1"/>
  <cacheFields count="2">
    <cacheField name="[Rango 1].[NOVEDADES REPORTADAS].[NOVEDADES REPORTADAS]" caption="NOVEDADES REPORTADAS" numFmtId="0" hierarchy="15" level="1">
      <sharedItems count="12">
        <s v="ALISTAMIENTO"/>
        <s v="Backorder abastecimiento ( No inventario)"/>
        <s v="CANCELADO"/>
        <s v="CARTERA"/>
        <s v="CARTERA (CANCELADO PARA ENVIAR POR DISTRIBUIDOR)"/>
        <s v="CARTERA //INVENTARIO"/>
        <s v="CARTERA E INVENTARIO"/>
        <s v="CARTERA Y TRANSPORTE"/>
        <s v="INVENTARIO"/>
        <s v="PRODUCCION"/>
        <s v="SAC Y LOGISTICA DE ENTRADA"/>
        <s v="TRANSPORTE"/>
      </sharedItems>
    </cacheField>
    <cacheField name="[Rango 1].[Pedido].[Pedido]" caption="Pedido" numFmtId="0" hierarchy="18" level="1">
      <sharedItems containsBlank="1" count="78">
        <s v="S15829"/>
        <s v="S16065"/>
        <s v="S16183"/>
        <s v="S16659"/>
        <s v="S15495"/>
        <s v="S15656"/>
        <s v="S15722"/>
        <s v="S16043"/>
        <s v="S16273"/>
        <s v="S16274"/>
        <s v="S16290"/>
        <s v="S16294"/>
        <s v="S16523"/>
        <m/>
        <s v="S15817"/>
        <s v="S16351"/>
        <s v="S14505"/>
        <s v="S14607"/>
        <s v="S14739"/>
        <s v="S15427"/>
        <s v="S15502"/>
        <s v="S15524"/>
        <s v="S15533"/>
        <s v="S15548"/>
        <s v="S15651"/>
        <s v="S15654"/>
        <s v="S15725"/>
        <s v="S15729"/>
        <s v="S15737"/>
        <s v="S15775"/>
        <s v="S15777"/>
        <s v="S15784"/>
        <s v="S15815"/>
        <s v="S15840"/>
        <s v="S15919"/>
        <s v="S15966"/>
        <s v="S15970"/>
        <s v="S16089"/>
        <s v="S16206"/>
        <s v="S16212"/>
        <s v="S16297"/>
        <s v="S16321"/>
        <s v="S16478"/>
        <s v="S16528"/>
        <s v="S16532"/>
        <s v="S16070"/>
        <s v="S16071"/>
        <s v="S15723"/>
        <s v="S16393"/>
        <s v="S14673"/>
        <s v="S15325"/>
        <s v="S15379"/>
        <s v="S15664"/>
        <s v="S15712"/>
        <s v="S15764"/>
        <s v="S15766"/>
        <s v="S15772"/>
        <s v="S15798"/>
        <s v="S15858"/>
        <s v="S15867"/>
        <s v="S15883"/>
        <s v="S16037"/>
        <s v="S16276"/>
        <s v="S16291"/>
        <s v="S15669"/>
        <s v="S16310"/>
        <s v="S15202"/>
        <s v="S15487"/>
        <s v="S15604"/>
        <s v="S15624"/>
        <s v="S15650"/>
        <s v="S15652"/>
        <s v="S15759"/>
        <s v="S15949"/>
        <s v="S16106"/>
        <s v="S16243"/>
        <s v="S16474"/>
        <s v="S16649"/>
      </sharedItems>
    </cacheField>
  </cacheFields>
  <cacheHierarchies count="23">
    <cacheHierarchy uniqueName="[Rango].[NOVEDADES REPORTADAS]" caption="NOVEDADES REPORTADAS" attribute="1" defaultMemberUniqueName="[Rango].[NOVEDADES REPORTADAS].[All]" allUniqueName="[Rango].[NOVEDADES REPORTADAS].[All]" dimensionUniqueName="[Rango]" displayFolder="" count="0" memberValueDatatype="130" unbalanced="0"/>
    <cacheHierarchy uniqueName="[Rango].[O.C.]" caption="O.C." attribute="1" defaultMemberUniqueName="[Rango].[O.C.].[All]" allUniqueName="[Rango].[O.C.].[All]" dimensionUniqueName="[Rango]" displayFolder="" count="0" memberValueDatatype="130" unbalanced="0"/>
    <cacheHierarchy uniqueName="[Rango].[Fecha recepción O.C.]" caption="Fecha recepción O.C." attribute="1" time="1" defaultMemberUniqueName="[Rango].[Fecha recepción O.C.].[All]" allUniqueName="[Rango].[Fecha recepción O.C.].[All]" dimensionUniqueName="[Rango]" displayFolder="" count="0" memberValueDatatype="7" unbalanced="0"/>
    <cacheHierarchy uniqueName="[Rango].[Pedido]" caption="Pedido" attribute="1" defaultMemberUniqueName="[Rango].[Pedido].[All]" allUniqueName="[Rango].[Pedido].[All]" dimensionUniqueName="[Rango]" displayFolder="" count="0" memberValueDatatype="130" unbalanced="0"/>
    <cacheHierarchy uniqueName="[Rango].[N° de Factura]" caption="N° de Factura" attribute="1" defaultMemberUniqueName="[Rango].[N° de Factura].[All]" allUniqueName="[Rango].[N° de Factura].[All]" dimensionUniqueName="[Rango]" displayFolder="" count="0" memberValueDatatype="130" unbalanced="0"/>
    <cacheHierarchy uniqueName="[Rango].[Cliente]" caption="Cliente" attribute="1" defaultMemberUniqueName="[Rango].[Cliente].[All]" allUniqueName="[Rango].[Cliente].[All]" dimensionUniqueName="[Rango]" displayFolder="" count="0" memberValueDatatype="130" unbalanced="0"/>
    <cacheHierarchy uniqueName="[Rango].[Ciudad]" caption="Ciudad" attribute="1" defaultMemberUniqueName="[Rango].[Ciudad].[All]" allUniqueName="[Rango].[Ciudad].[All]" dimensionUniqueName="[Rango]" displayFolder="" count="0" memberValueDatatype="130" unbalanced="0"/>
    <cacheHierarchy uniqueName="[Rango].[Nombre del producto]" caption="Nombre del producto" attribute="1" defaultMemberUniqueName="[Rango].[Nombre del producto].[All]" allUniqueName="[Rango].[Nombre del producto].[All]" dimensionUniqueName="[Rango]" displayFolder="" count="0" memberValueDatatype="130" unbalanced="0"/>
    <cacheHierarchy uniqueName="[Rango].[Kg. Solicitados]" caption="Kg. Solicitados" attribute="1" defaultMemberUniqueName="[Rango].[Kg. Solicitados].[All]" allUniqueName="[Rango].[Kg. Solicitados].[All]" dimensionUniqueName="[Rango]" displayFolder="" count="0" memberValueDatatype="5" unbalanced="0"/>
    <cacheHierarchy uniqueName="[Rango].[Cantidad]" caption="Cantidad" attribute="1" defaultMemberUniqueName="[Rango].[Cantidad].[All]" allUniqueName="[Rango].[Cantidad].[All]" dimensionUniqueName="[Rango]" displayFolder="" count="0" memberValueDatatype="20" unbalanced="0"/>
    <cacheHierarchy uniqueName="[Rango].[Valor total]" caption="Valor total" attribute="1" defaultMemberUniqueName="[Rango].[Valor total].[All]" allUniqueName="[Rango].[Valor total].[All]" dimensionUniqueName="[Rango]" displayFolder="" count="0" memberValueDatatype="20" unbalanced="0"/>
    <cacheHierarchy uniqueName="[Rango].[Fecha Requerida Por el Cliente]" caption="Fecha Requerida Por el Cliente" attribute="1" defaultMemberUniqueName="[Rango].[Fecha Requerida Por el Cliente].[All]" allUniqueName="[Rango].[Fecha Requerida Por el Cliente].[All]" dimensionUniqueName="[Rango]" displayFolder="" count="0" memberValueDatatype="130" unbalanced="0"/>
    <cacheHierarchy uniqueName="[Rango].[Tiene Forecast?]" caption="Tiene Forecast?" attribute="1" defaultMemberUniqueName="[Rango].[Tiene Forecast?].[All]" allUniqueName="[Rango].[Tiene Forecast?].[All]" dimensionUniqueName="[Rango]" displayFolder="" count="0" memberValueDatatype="130" unbalanced="0"/>
    <cacheHierarchy uniqueName="[Rango].[Cantidad fuera del Forecast (Kg)]" caption="Cantidad fuera del Forecast (Kg)" attribute="1" defaultMemberUniqueName="[Rango].[Cantidad fuera del Forecast (Kg)].[All]" allUniqueName="[Rango].[Cantidad fuera del Forecast (Kg)].[All]" dimensionUniqueName="[Rango]" displayFolder="" count="0" memberValueDatatype="130" unbalanced="0"/>
    <cacheHierarchy uniqueName="[Rango].[Observaciones S.C.]" caption="Observaciones S.C." attribute="1" defaultMemberUniqueName="[Rango].[Observaciones S.C.].[All]" allUniqueName="[Rango].[Observaciones S.C.].[All]" dimensionUniqueName="[Rango]" displayFolder="" count="0" memberValueDatatype="130" unbalanced="0"/>
    <cacheHierarchy uniqueName="[Rango 1].[NOVEDADES REPORTADAS]" caption="NOVEDADES REPORTADAS" attribute="1" defaultMemberUniqueName="[Rango 1].[NOVEDADES REPORTADAS].[All]" allUniqueName="[Rango 1].[NOVEDADES REPORTADAS].[All]" dimensionUniqueName="[Rango 1]" displayFolder="" count="2" memberValueDatatype="130" unbalanced="0">
      <fieldsUsage count="2">
        <fieldUsage x="-1"/>
        <fieldUsage x="0"/>
      </fieldsUsage>
    </cacheHierarchy>
    <cacheHierarchy uniqueName="[Rango 1].[O.C.]" caption="O.C." attribute="1" defaultMemberUniqueName="[Rango 1].[O.C.].[All]" allUniqueName="[Rango 1].[O.C.].[All]" dimensionUniqueName="[Rango 1]" displayFolder="" count="0" memberValueDatatype="130" unbalanced="0"/>
    <cacheHierarchy uniqueName="[Rango 1].[Fecha recepción O.C.]" caption="Fecha recepción O.C." attribute="1" time="1" defaultMemberUniqueName="[Rango 1].[Fecha recepción O.C.].[All]" allUniqueName="[Rango 1].[Fecha recepción O.C.].[All]" dimensionUniqueName="[Rango 1]" displayFolder="" count="0" memberValueDatatype="7" unbalanced="0"/>
    <cacheHierarchy uniqueName="[Rango 1].[Pedido]" caption="Pedido" attribute="1" defaultMemberUniqueName="[Rango 1].[Pedido].[All]" allUniqueName="[Rango 1].[Pedido].[All]" dimensionUniqueName="[Rango 1]" displayFolder="" count="2" memberValueDatatype="130" unbalanced="0">
      <fieldsUsage count="2">
        <fieldUsage x="-1"/>
        <fieldUsage x="1"/>
      </fieldsUsage>
    </cacheHierarchy>
    <cacheHierarchy uniqueName="[Measures].[__XL_Count Rango]" caption="__XL_Count Rango" measure="1" displayFolder="" measureGroup="Rango" count="0" hidden="1"/>
    <cacheHierarchy uniqueName="[Measures].[__XL_Count Rango 1]" caption="__XL_Count Rango 1" measure="1" displayFolder="" measureGroup="Rango 1" count="0" hidden="1"/>
    <cacheHierarchy uniqueName="[Measures].[__No measures defined]" caption="__No measures defined" measure="1" displayFolder="" count="0" hidden="1"/>
    <cacheHierarchy uniqueName="[Measures].[Recuento de Pedido]" caption="Recuento de Pedido" measure="1" displayFolder="" measureGroup="Rango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Rango 1" uniqueName="[Rango 1]" caption="Rango 1"/>
  </dimensions>
  <measureGroups count="2">
    <measureGroup name="Rango" caption="Rango"/>
    <measureGroup name="Rango 1" caption="Rango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a Catherin Castro Andrade" refreshedDate="46150.657643749997" createdVersion="8" refreshedVersion="8" minRefreshableVersion="3" recordCount="223" xr:uid="{3067D884-4F05-4E59-9F4E-C86C85F98EAE}">
  <cacheSource type="worksheet">
    <worksheetSource ref="A1:O224" sheet="Base"/>
  </cacheSource>
  <cacheFields count="15">
    <cacheField name="NOVEDADES REPORTADAS" numFmtId="0">
      <sharedItems containsBlank="1"/>
    </cacheField>
    <cacheField name="O.C." numFmtId="0">
      <sharedItems containsBlank="1" containsMixedTypes="1" containsNumber="1" containsInteger="1" minValue="13905" maxValue="9009596831"/>
    </cacheField>
    <cacheField name="Fecha recepción O.C." numFmtId="0">
      <sharedItems containsNonDate="0" containsDate="1" containsString="0" containsBlank="1" minDate="2026-01-28T00:00:00" maxDate="2026-07-08T00:00:00"/>
    </cacheField>
    <cacheField name="Hora reQ" numFmtId="0">
      <sharedItems containsNonDate="0" containsDate="1" containsString="0" containsBlank="1" minDate="1899-12-30T06:59:00" maxDate="1899-12-30T23:42:00"/>
    </cacheField>
    <cacheField name="Pedido" numFmtId="0">
      <sharedItems containsBlank="1" containsMixedTypes="1" containsNumber="1" containsInteger="1" minValue="16615" maxValue="16615" count="146">
        <m/>
        <s v="S14445"/>
        <s v="S16427"/>
        <s v="S16492"/>
        <s v="S16493"/>
        <s v="S16510"/>
        <s v="S16595"/>
        <s v="S16599"/>
        <s v="S16602"/>
        <s v="S16624"/>
        <s v="S16627"/>
        <s v="S16628"/>
        <s v="S16683"/>
        <s v="S15945"/>
        <s v="S16633"/>
        <s v="S16635"/>
        <s v="S16634"/>
        <s v="S16636"/>
        <s v="S16641"/>
        <s v="S16407"/>
        <s v="S16412"/>
        <s v="S16654"/>
        <s v="S16430"/>
        <s v="S16670"/>
        <s v="S16678"/>
        <s v="S16679"/>
        <s v="S16709"/>
        <s v="S16711"/>
        <s v="S16712"/>
        <s v="S16713"/>
        <s v="S16716"/>
        <s v="S16717"/>
        <s v="S16718"/>
        <s v="S16719"/>
        <n v="16615"/>
        <s v="S16731"/>
        <s v="S16750"/>
        <s v="S16752"/>
        <s v="S16778"/>
        <s v="S16754"/>
        <s v="S16755"/>
        <s v="S16756"/>
        <s v="S16764"/>
        <s v="S16779"/>
        <s v="S16780"/>
        <s v="S16781"/>
        <s v="S16782"/>
        <s v="S16783"/>
        <s v="S16784"/>
        <s v="S16787"/>
        <s v="S16788"/>
        <s v="S16790"/>
        <s v="S16791"/>
        <s v="S16795"/>
        <s v="S16806"/>
        <s v="S16807"/>
        <s v="S16808"/>
        <s v="S16814"/>
        <s v="S16819"/>
        <s v="S16820"/>
        <s v="S16821"/>
        <s v="S16822"/>
        <s v="S16842"/>
        <s v="S16823"/>
        <s v="S16824"/>
        <s v="S16855"/>
        <s v="S16825"/>
        <s v="S16827"/>
        <s v="S16828"/>
        <s v="S16835"/>
        <s v="S16843"/>
        <s v="S16849"/>
        <s v="S16850"/>
        <s v="S16852"/>
        <s v="S16853"/>
        <s v="S16854"/>
        <s v="S16856"/>
        <s v="S16273"/>
        <s v="S16274"/>
        <s v="S15656"/>
        <s v="S15722"/>
        <s v="S15495"/>
        <s v="S16043"/>
        <s v="S16290"/>
        <s v="S16294"/>
        <s v="S16523"/>
        <s v="S16659"/>
        <s v="S15984"/>
        <s v="S16859"/>
        <s v="S16861"/>
        <s v="S16862"/>
        <s v="S16864"/>
        <s v="S16865"/>
        <s v="S16873"/>
        <s v="S16875"/>
        <s v="S16876"/>
        <s v="S16886"/>
        <s v="S16887"/>
        <s v="S16888"/>
        <s v="S16890"/>
        <s v="S16899"/>
        <s v="S16901"/>
        <s v="S16916"/>
        <s v="S16913"/>
        <s v="S16917"/>
        <s v="S16918"/>
        <s v="S16920"/>
        <s v="S16921"/>
        <s v="S16922"/>
        <s v="S16925"/>
        <s v="S16927"/>
        <s v="S16928"/>
        <s v="S16929"/>
        <s v="S16930"/>
        <s v="S16934"/>
        <s v="S16935"/>
        <s v="S16936"/>
        <s v="S16938"/>
        <s v="S16968"/>
        <s v="S16969"/>
        <s v="S16958"/>
        <s v="S16975"/>
        <s v="S16987"/>
        <s v="S16988"/>
        <s v="S16989"/>
        <s v="S16990"/>
        <s v="S16991"/>
        <s v="S16992"/>
        <s v="S16993"/>
        <s v="S16994"/>
        <s v="S16998"/>
        <s v="S16999"/>
        <s v="S16957"/>
        <s v="S17000"/>
        <s v="S17021"/>
        <s v="S17024"/>
        <s v="S17027"/>
        <s v="S17028"/>
        <s v="S17030"/>
        <s v="S17031"/>
        <s v="S17032"/>
        <s v="S17033"/>
        <s v="S17038"/>
        <s v="S17039"/>
        <s v="S17050"/>
        <s v="S17051"/>
      </sharedItems>
    </cacheField>
    <cacheField name="N° de Factura" numFmtId="0">
      <sharedItems containsBlank="1"/>
    </cacheField>
    <cacheField name="Fecha de generación del pedido" numFmtId="0">
      <sharedItems containsNonDate="0" containsDate="1" containsString="0" containsBlank="1" minDate="2026-03-02T00:00:00" maxDate="2026-07-08T00:00:00"/>
    </cacheField>
    <cacheField name="Hora generación" numFmtId="0">
      <sharedItems containsNonDate="0" containsDate="1" containsString="0" containsBlank="1" minDate="1899-12-30T04:34:00" maxDate="1899-12-30T17:08:00"/>
    </cacheField>
    <cacheField name="Cliente" numFmtId="0">
      <sharedItems/>
    </cacheField>
    <cacheField name="Ciudad" numFmtId="0">
      <sharedItems/>
    </cacheField>
    <cacheField name="Nombre del producto" numFmtId="0">
      <sharedItems/>
    </cacheField>
    <cacheField name="Kg. Solicitados" numFmtId="0">
      <sharedItems containsMixedTypes="1" containsNumber="1" minValue="0.75" maxValue="26000"/>
    </cacheField>
    <cacheField name="Cantidad" numFmtId="0">
      <sharedItems containsSemiMixedTypes="0" containsString="0" containsNumber="1" containsInteger="1" minValue="0" maxValue="1040"/>
    </cacheField>
    <cacheField name="Valor total" numFmtId="0">
      <sharedItems containsBlank="1" containsMixedTypes="1" containsNumber="1" containsInteger="1" minValue="-42150000" maxValue="416000000"/>
    </cacheField>
    <cacheField name="Fecha Requerida Por el Cliente" numFmtId="14">
      <sharedItems containsSemiMixedTypes="0" containsNonDate="0" containsDate="1" containsString="0" minDate="2025-04-29T00:00:00" maxDate="2026-07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7">
  <r>
    <m/>
    <s v="4700007791"/>
    <d v="2025-05-08T00:00:00"/>
    <d v="1899-12-30T15:20:00"/>
    <d v="2025-08-02T00:00:00"/>
    <x v="0"/>
    <s v="BG22866"/>
    <d v="2025-08-11T00:00:00"/>
    <d v="1899-12-30T14:19:00"/>
    <x v="0"/>
    <s v="MEDELLIN"/>
    <s v="20% CLORTETRACICLINA x 25 KG"/>
    <n v="52000"/>
    <n v="2080"/>
    <n v="759200000"/>
    <d v="2025-08-02T00:00:00"/>
    <d v="2025-08-02T00:00:00"/>
    <x v="0"/>
  </r>
  <r>
    <m/>
    <s v="4700007791"/>
    <d v="2025-05-08T00:00:00"/>
    <d v="1899-12-30T15:20:00"/>
    <d v="2025-08-02T00:00:00"/>
    <x v="1"/>
    <s v="BG23052_x000a_"/>
    <d v="2025-08-27T00:00:00"/>
    <d v="1899-12-30T13:15:00"/>
    <x v="0"/>
    <s v="MEDELLIN"/>
    <s v="20% CLORTETRACICLINA x 25 KG"/>
    <n v="26000"/>
    <n v="1040"/>
    <n v="371020000"/>
    <d v="2025-08-16T00:00:00"/>
    <d v="2025-08-27T00:00:00"/>
    <x v="1"/>
  </r>
  <r>
    <m/>
    <s v="4700007885"/>
    <d v="2025-06-04T00:00:00"/>
    <d v="1899-12-30T09:00:00"/>
    <d v="2025-08-02T00:00:00"/>
    <x v="2"/>
    <s v="BG23053"/>
    <d v="2025-08-27T00:00:00"/>
    <d v="1899-12-30T13:15:00"/>
    <x v="0"/>
    <s v="MEDELLIN"/>
    <s v="20% CLORTETRACICLINA x 25 KG"/>
    <n v="52000"/>
    <n v="2080"/>
    <n v="742560000"/>
    <d v="2025-08-16T00:00:00"/>
    <d v="2025-08-27T00:00:00"/>
    <x v="1"/>
  </r>
  <r>
    <m/>
    <s v="7000386182_x000a__x000a_"/>
    <d v="2025-05-16T00:00:00"/>
    <d v="1899-12-30T09:59:00"/>
    <d v="2025-08-02T00:00:00"/>
    <x v="3"/>
    <s v="BG22782"/>
    <d v="2025-08-05T00:00:00"/>
    <d v="1899-12-30T12:00:00"/>
    <x v="1"/>
    <s v="REFRILOGISTICA"/>
    <s v="MICRO AID X 25 KG"/>
    <n v="2475"/>
    <n v="99"/>
    <n v="219342000"/>
    <d v="2025-08-05T00:00:00"/>
    <d v="2025-08-05T00:00:00"/>
    <x v="0"/>
  </r>
  <r>
    <m/>
    <s v="4500350293"/>
    <d v="2025-07-03T00:00:00"/>
    <d v="1899-12-30T14:38:00"/>
    <d v="2025-08-02T00:00:00"/>
    <x v="4"/>
    <s v="BG22761"/>
    <d v="2025-07-04T00:00:00"/>
    <d v="1899-12-30T13:24:00"/>
    <x v="2"/>
    <s v="BUGA"/>
    <s v="SALINOMIX 12 X 25 KG"/>
    <n v="2000"/>
    <n v="80"/>
    <n v="20600000"/>
    <d v="2025-08-02T00:00:00"/>
    <d v="2025-08-02T00:00:00"/>
    <x v="0"/>
  </r>
  <r>
    <m/>
    <s v="4700008003 "/>
    <d v="2025-07-17T00:00:00"/>
    <d v="1899-12-30T14:26:00"/>
    <d v="2025-08-04T00:00:00"/>
    <x v="5"/>
    <s v="BG22730"/>
    <d v="2025-07-17T00:00:00"/>
    <d v="1899-12-30T15:52:00"/>
    <x v="3"/>
    <s v="GUATEMALA"/>
    <s v="ACCUREMAX X 25 GUATEMALA"/>
    <n v="4000"/>
    <n v="160"/>
    <s v="USD 39000"/>
    <d v="2025-08-04T00:00:00"/>
    <d v="2025-08-04T00:00:00"/>
    <x v="0"/>
  </r>
  <r>
    <m/>
    <s v="4700008003 "/>
    <d v="2025-07-17T00:00:00"/>
    <d v="1899-12-30T14:26:00"/>
    <d v="2025-08-04T00:00:00"/>
    <x v="5"/>
    <s v="BG22730"/>
    <d v="2025-07-17T00:00:00"/>
    <d v="1899-12-30T15:52:00"/>
    <x v="3"/>
    <s v="GUATEMALA"/>
    <s v="HALQUINOX 500 GUATEMALA"/>
    <n v="4000"/>
    <n v="160"/>
    <s v="USD 64200"/>
    <d v="2025-08-04T00:00:00"/>
    <d v="2025-08-04T00:00:00"/>
    <x v="0"/>
  </r>
  <r>
    <m/>
    <s v="4700008003 "/>
    <d v="2025-07-17T00:00:00"/>
    <d v="1899-12-30T14:26:00"/>
    <d v="2025-08-04T00:00:00"/>
    <x v="5"/>
    <s v="BG22730"/>
    <d v="2025-07-17T00:00:00"/>
    <d v="1899-12-30T15:52:00"/>
    <x v="3"/>
    <s v="GUATEMALA"/>
    <s v="DMB 110 X 25 KG GUATEMALA"/>
    <n v="2000"/>
    <n v="80"/>
    <s v="USD 8280"/>
    <d v="2025-08-04T00:00:00"/>
    <d v="2025-08-04T00:00:00"/>
    <x v="0"/>
  </r>
  <r>
    <m/>
    <s v="001-OSC-63087"/>
    <d v="2025-07-18T00:00:00"/>
    <d v="1899-12-30T14:01:00"/>
    <d v="2025-08-01T00:00:00"/>
    <x v="6"/>
    <s v="BG22722"/>
    <d v="2025-07-21T00:00:00"/>
    <d v="1899-12-30T11:20:00"/>
    <x v="4"/>
    <s v="BELLO"/>
    <s v="CLORTETRAX 20 % X 25 KG"/>
    <n v="2500"/>
    <n v="100"/>
    <n v="40750000"/>
    <d v="2025-08-01T00:00:00"/>
    <d v="2025-08-01T00:00:00"/>
    <x v="0"/>
  </r>
  <r>
    <m/>
    <n v="1220045"/>
    <d v="2025-07-22T00:00:00"/>
    <d v="1899-12-30T09:37:00"/>
    <d v="2025-08-01T00:00:00"/>
    <x v="7"/>
    <s v="BG22735"/>
    <d v="2025-07-22T00:00:00"/>
    <d v="1899-12-30T11:11:00"/>
    <x v="5"/>
    <s v="BUCARAMANGA"/>
    <s v="ACCUREMAX X 25 KG"/>
    <n v="25"/>
    <n v="1"/>
    <n v="1325000"/>
    <d v="2025-08-04T00:00:00"/>
    <d v="2025-08-01T00:00:00"/>
    <x v="2"/>
  </r>
  <r>
    <s v="CANCELADO"/>
    <s v="1220185 "/>
    <d v="2025-07-22T00:00:00"/>
    <d v="1899-12-30T10:52:00"/>
    <m/>
    <x v="8"/>
    <s v="CANCELADO"/>
    <d v="2025-07-22T00:00:00"/>
    <d v="1899-12-30T11:28:00"/>
    <x v="6"/>
    <s v="ENVIGADO"/>
    <s v="ACCUREMAX X 25 KG"/>
    <n v="1125"/>
    <n v="45"/>
    <n v="59625000"/>
    <d v="2025-08-06T00:00:00"/>
    <m/>
    <x v="0"/>
  </r>
  <r>
    <m/>
    <s v="4700008022"/>
    <d v="2025-07-22T00:00:00"/>
    <d v="1899-12-30T15:19:00"/>
    <d v="2025-08-05T00:00:00"/>
    <x v="9"/>
    <s v="BG22729"/>
    <d v="2025-07-23T00:00:00"/>
    <d v="1899-12-30T07:40:00"/>
    <x v="3"/>
    <s v="HONDURAS"/>
    <s v="HALQUINOX 500 HONDURAS"/>
    <n v="2000"/>
    <n v="80"/>
    <s v="USD 25340"/>
    <d v="2025-08-05T00:00:00"/>
    <d v="2025-08-05T00:00:00"/>
    <x v="0"/>
  </r>
  <r>
    <s v="TRANSPORTE "/>
    <s v="01-OC -00003820"/>
    <d v="2025-07-24T00:00:00"/>
    <d v="1899-12-30T08:15:00"/>
    <d v="2025-08-25T00:00:00"/>
    <x v="10"/>
    <s v="BG22950"/>
    <d v="2025-07-24T00:00:00"/>
    <d v="1899-12-30T12:30:00"/>
    <x v="7"/>
    <s v="NUTRITEC"/>
    <s v="DMB 11 X 25 KG"/>
    <n v="150"/>
    <n v="6"/>
    <n v="2910000"/>
    <d v="2025-08-22T00:00:00"/>
    <d v="2025-08-25T00:00:00"/>
    <x v="3"/>
  </r>
  <r>
    <m/>
    <n v="4500352023"/>
    <d v="2025-07-22T00:00:00"/>
    <d v="1899-12-30T17:10:00"/>
    <d v="2025-08-08T00:00:00"/>
    <x v="11"/>
    <s v="BG22764"/>
    <d v="2025-07-25T00:00:00"/>
    <d v="1899-12-30T12:42:00"/>
    <x v="2"/>
    <s v="BUGA"/>
    <s v="TILVASYN X 25 KG"/>
    <n v="150"/>
    <n v="6"/>
    <n v="27000000"/>
    <d v="2025-08-05T00:00:00"/>
    <d v="2025-08-08T00:00:00"/>
    <x v="3"/>
  </r>
  <r>
    <m/>
    <n v="4500352023"/>
    <d v="2025-07-22T00:00:00"/>
    <d v="1899-12-30T17:10:00"/>
    <d v="2025-08-21T00:00:00"/>
    <x v="12"/>
    <s v="BG22906"/>
    <d v="2025-07-25T00:00:00"/>
    <d v="1899-12-30T12:42:00"/>
    <x v="2"/>
    <s v="BUGA"/>
    <s v="TILVASYN X 25 KG"/>
    <n v="150"/>
    <n v="6"/>
    <n v="27000000"/>
    <d v="2025-08-19T00:00:00"/>
    <d v="2025-08-21T00:00:00"/>
    <x v="4"/>
  </r>
  <r>
    <m/>
    <s v="1222025"/>
    <d v="2025-07-24T00:00:00"/>
    <d v="1899-12-30T07:36:00"/>
    <d v="2025-08-02T00:00:00"/>
    <x v="13"/>
    <s v="BG22750"/>
    <d v="2025-07-25T00:00:00"/>
    <d v="1899-12-30T12:46:00"/>
    <x v="6"/>
    <s v="ENVIGADO"/>
    <s v="TILCOMIX PREMIX S X 5 KG"/>
    <n v="85"/>
    <n v="17"/>
    <s v="$11.245.500"/>
    <d v="2025-08-04T00:00:00"/>
    <d v="2025-08-02T00:00:00"/>
    <x v="5"/>
  </r>
  <r>
    <s v="INVENTARIO"/>
    <s v="1222025"/>
    <d v="2025-07-24T00:00:00"/>
    <d v="1899-12-30T07:36:00"/>
    <d v="2025-08-02T00:00:00"/>
    <x v="13"/>
    <s v="BG22873"/>
    <d v="2025-07-25T00:00:00"/>
    <d v="1899-12-30T12:46:00"/>
    <x v="6"/>
    <s v="ENVIGADO"/>
    <s v="TILCOMIX PREMIX S X 5 KG"/>
    <n v="65"/>
    <n v="13"/>
    <s v="$8.599.500"/>
    <d v="2025-08-04T00:00:00"/>
    <d v="2025-08-02T00:00:00"/>
    <x v="5"/>
  </r>
  <r>
    <m/>
    <s v="OC00001227BX"/>
    <d v="2025-07-24T00:00:00"/>
    <d v="1899-12-30T10:38:00"/>
    <d v="2025-08-04T00:00:00"/>
    <x v="14"/>
    <s v="BG22776"/>
    <d v="2025-07-25T00:00:00"/>
    <d v="1899-12-30T12:49:00"/>
    <x v="8"/>
    <s v="SABANETA"/>
    <s v="CLORTETRAX 20 % X 25 KG"/>
    <n v="500"/>
    <n v="20"/>
    <n v="8000000"/>
    <d v="2025-08-04T00:00:00"/>
    <d v="2025-08-04T00:00:00"/>
    <x v="0"/>
  </r>
  <r>
    <m/>
    <m/>
    <d v="2025-07-25T00:00:00"/>
    <d v="1899-12-30T13:00:00"/>
    <d v="2025-07-25T00:00:00"/>
    <x v="15"/>
    <s v="BG22766"/>
    <d v="2025-07-25T00:00:00"/>
    <d v="1899-12-30T14:08:00"/>
    <x v="9"/>
    <s v="BUCARAMANGA"/>
    <s v="CIPROFLOX X 1KG"/>
    <n v="10"/>
    <n v="10"/>
    <n v="568500"/>
    <d v="2025-07-25T00:00:00"/>
    <d v="2025-07-25T00:00:00"/>
    <x v="0"/>
  </r>
  <r>
    <m/>
    <m/>
    <d v="2025-07-25T00:00:00"/>
    <d v="1899-12-30T13:00:00"/>
    <d v="2025-07-25T00:00:00"/>
    <x v="15"/>
    <s v="BG22766"/>
    <d v="2025-07-25T00:00:00"/>
    <d v="1899-12-30T14:08:00"/>
    <x v="9"/>
    <s v="BUCARAMANGA"/>
    <s v="TILOMIX ORAL X 1 KG"/>
    <n v="10"/>
    <n v="10"/>
    <n v="2108000"/>
    <d v="2025-07-25T00:00:00"/>
    <d v="2025-07-25T00:00:00"/>
    <x v="0"/>
  </r>
  <r>
    <m/>
    <m/>
    <d v="2025-07-25T00:00:00"/>
    <d v="1899-12-30T13:00:00"/>
    <d v="2025-07-25T00:00:00"/>
    <x v="16"/>
    <s v="BG22766"/>
    <d v="2025-07-25T00:00:00"/>
    <d v="1899-12-30T14:08:00"/>
    <x v="9"/>
    <s v="BUCARAMANGA"/>
    <s v="SMOOTH SWEET X 75 GR"/>
    <n v="0.75"/>
    <n v="10"/>
    <n v="1"/>
    <d v="2025-07-25T00:00:00"/>
    <d v="2025-07-25T00:00:00"/>
    <x v="0"/>
  </r>
  <r>
    <m/>
    <s v="10351"/>
    <d v="2025-07-14T00:00:00"/>
    <d v="1899-12-30T09:28:00"/>
    <d v="2025-07-14T00:00:00"/>
    <x v="17"/>
    <s v="BG22778"/>
    <d v="2025-07-14T00:00:00"/>
    <d v="1899-12-30T12:43:00"/>
    <x v="10"/>
    <s v="LEBRIJA"/>
    <s v="ROFLOX X 20 X 1 L"/>
    <n v="79"/>
    <n v="79"/>
    <n v="3686061"/>
    <d v="2025-07-14T00:00:00"/>
    <d v="2025-07-14T00:00:00"/>
    <x v="0"/>
  </r>
  <r>
    <m/>
    <s v="10351"/>
    <d v="2025-07-14T00:00:00"/>
    <d v="1899-12-30T09:28:00"/>
    <d v="2025-07-15T00:00:00"/>
    <x v="18"/>
    <s v="BG22778"/>
    <d v="2025-07-14T00:00:00"/>
    <d v="1899-12-30T12:43:00"/>
    <x v="10"/>
    <s v="LEBRIJA"/>
    <s v="SMOOTH SWEET X 75 GR"/>
    <n v="5.9249999999999998"/>
    <n v="79"/>
    <n v="5.93"/>
    <d v="2025-07-14T00:00:00"/>
    <d v="2025-07-15T00:00:00"/>
    <x v="6"/>
  </r>
  <r>
    <m/>
    <s v="999-OCN-00018353"/>
    <d v="2025-07-23T00:00:00"/>
    <d v="1899-12-30T14:15:00"/>
    <d v="2025-07-25T00:00:00"/>
    <x v="19"/>
    <s v="BG22771"/>
    <d v="2025-07-24T00:00:00"/>
    <d v="1899-12-30T09:59:00"/>
    <x v="11"/>
    <s v="LEBRIJA"/>
    <s v="FRACTAL P X 25 KG"/>
    <n v="2000"/>
    <n v="80"/>
    <n v="51000000"/>
    <d v="2025-07-25T00:00:00"/>
    <d v="2025-07-25T00:00:00"/>
    <x v="0"/>
  </r>
  <r>
    <m/>
    <s v="4500352605"/>
    <d v="2025-07-28T00:00:00"/>
    <d v="1899-12-30T08:44:00"/>
    <d v="2025-08-16T00:00:00"/>
    <x v="20"/>
    <s v="BG22876"/>
    <d v="2025-07-28T00:00:00"/>
    <d v="1899-12-30T09:15:00"/>
    <x v="2"/>
    <s v="BUGA"/>
    <s v="LOTUS X 10 KG"/>
    <n v="120"/>
    <n v="12"/>
    <n v="4620000"/>
    <d v="2025-08-15T00:00:00"/>
    <d v="2025-08-16T00:00:00"/>
    <x v="6"/>
  </r>
  <r>
    <m/>
    <s v="A02-COC-277017"/>
    <d v="2025-07-25T00:00:00"/>
    <d v="1899-12-30T15:59:00"/>
    <d v="2025-08-08T00:00:00"/>
    <x v="21"/>
    <s v="BG22798"/>
    <d v="2025-07-28T00:00:00"/>
    <d v="1899-12-30T11:23:00"/>
    <x v="12"/>
    <s v="ITAGUI"/>
    <s v="CIGNUS X 20 KILOS"/>
    <n v="60"/>
    <n v="3"/>
    <n v="2520000"/>
    <d v="2025-08-08T00:00:00"/>
    <d v="2025-08-08T00:00:00"/>
    <x v="0"/>
  </r>
  <r>
    <m/>
    <s v="A02-COC-277017"/>
    <d v="2025-07-25T00:00:00"/>
    <d v="1899-12-30T15:59:00"/>
    <d v="2025-08-08T00:00:00"/>
    <x v="21"/>
    <s v="BG22798"/>
    <d v="2025-07-28T00:00:00"/>
    <d v="1899-12-30T11:23:00"/>
    <x v="12"/>
    <s v="ITAGUI"/>
    <s v="MONECYL X 25 KG"/>
    <n v="3000"/>
    <n v="120"/>
    <n v="61500000"/>
    <d v="2025-08-08T00:00:00"/>
    <d v="2025-08-08T00:00:00"/>
    <x v="0"/>
  </r>
  <r>
    <m/>
    <s v="OC00001314BX"/>
    <d v="2025-07-25T00:00:00"/>
    <d v="1899-12-30T14:39:00"/>
    <d v="2025-08-04T00:00:00"/>
    <x v="22"/>
    <s v="BG22777"/>
    <d v="2025-07-28T00:00:00"/>
    <d v="1899-12-30T11:23:00"/>
    <x v="8"/>
    <s v="SABANETA"/>
    <s v="DMB 11 X 25 KG"/>
    <n v="200"/>
    <n v="8"/>
    <n v="3900000"/>
    <d v="2025-08-04T00:00:00"/>
    <d v="2025-08-04T00:00:00"/>
    <x v="0"/>
  </r>
  <r>
    <s v="CANCELADO"/>
    <s v="009-OCC-00020178"/>
    <d v="2025-07-25T00:00:00"/>
    <d v="1899-12-30T16:06:00"/>
    <m/>
    <x v="23"/>
    <s v="CANCELADO"/>
    <m/>
    <m/>
    <x v="13"/>
    <s v="VILLAVICENCIO"/>
    <s v="ACCUREMAX 10 % X 25 KG"/>
    <n v="25"/>
    <n v="1"/>
    <n v="6300000"/>
    <d v="2025-08-04T00:00:00"/>
    <m/>
    <x v="0"/>
  </r>
  <r>
    <m/>
    <n v="1224133"/>
    <d v="2025-07-28T00:00:00"/>
    <d v="1899-12-30T09:31:00"/>
    <d v="2025-08-09T00:00:00"/>
    <x v="24"/>
    <s v="BG22736"/>
    <d v="2025-07-28T00:00:00"/>
    <d v="1899-12-30T11:59:00"/>
    <x v="5"/>
    <s v="BUCARAMANGA"/>
    <s v="ACCUREMAX X 25 KG"/>
    <n v="25"/>
    <n v="1"/>
    <n v="1325000"/>
    <d v="2025-08-08T00:00:00"/>
    <d v="2025-08-09T00:00:00"/>
    <x v="6"/>
  </r>
  <r>
    <m/>
    <s v="OCO-0042168"/>
    <d v="2025-07-28T00:00:00"/>
    <d v="1899-12-30T09:47:00"/>
    <d v="2025-07-29T00:00:00"/>
    <x v="25"/>
    <s v="BG22779"/>
    <d v="2025-07-28T00:00:00"/>
    <d v="1899-12-30T12:12:00"/>
    <x v="14"/>
    <s v="TULUA"/>
    <s v="AMOXIN X 1 KG"/>
    <n v="100"/>
    <n v="4"/>
    <n v="14990000"/>
    <d v="2025-07-29T00:00:00"/>
    <d v="2025-07-29T00:00:00"/>
    <x v="0"/>
  </r>
  <r>
    <m/>
    <s v="OCO-0042168"/>
    <d v="2025-07-28T00:00:00"/>
    <d v="1899-12-30T09:47:00"/>
    <d v="2025-07-29T00:00:00"/>
    <x v="25"/>
    <s v="BG22779"/>
    <d v="2025-07-28T00:00:00"/>
    <d v="1899-12-30T12:12:00"/>
    <x v="14"/>
    <s v="TULUA"/>
    <s v="FRACTAL L X 20 KILOS"/>
    <n v="40"/>
    <n v="1.6"/>
    <n v="1554000"/>
    <d v="2025-07-29T00:00:00"/>
    <d v="2025-07-29T00:00:00"/>
    <x v="0"/>
  </r>
  <r>
    <m/>
    <s v="OCO-0042168"/>
    <d v="2025-07-28T00:00:00"/>
    <d v="1899-12-30T09:47:00"/>
    <d v="2025-07-29T00:00:00"/>
    <x v="25"/>
    <s v="BG22779"/>
    <d v="2025-07-28T00:00:00"/>
    <d v="1899-12-30T12:12:00"/>
    <x v="14"/>
    <s v="TULUA"/>
    <s v="CIPROFLOX X 5 KG"/>
    <n v="40"/>
    <n v="1.6"/>
    <n v="2180000"/>
    <d v="2025-07-29T00:00:00"/>
    <d v="2025-07-29T00:00:00"/>
    <x v="0"/>
  </r>
  <r>
    <m/>
    <s v="OCO-0042168"/>
    <d v="2025-07-28T00:00:00"/>
    <d v="1899-12-30T09:47:00"/>
    <d v="2025-07-29T00:00:00"/>
    <x v="25"/>
    <s v="BG22779"/>
    <d v="2025-07-28T00:00:00"/>
    <d v="1899-12-30T12:12:00"/>
    <x v="14"/>
    <s v="TULUA"/>
    <s v="SMOOTH SWEET X 75 GR"/>
    <n v="0.6"/>
    <n v="2.4E-2"/>
    <n v="0.6"/>
    <d v="2025-07-29T00:00:00"/>
    <d v="2025-07-29T00:00:00"/>
    <x v="0"/>
  </r>
  <r>
    <m/>
    <s v="4500352603"/>
    <d v="2025-07-28T00:00:00"/>
    <d v="1899-12-30T10:14:00"/>
    <d v="2025-08-13T00:00:00"/>
    <x v="26"/>
    <s v="BG22875"/>
    <d v="2025-07-28T00:00:00"/>
    <d v="1899-12-30T12:20:00"/>
    <x v="2"/>
    <s v="BUGA"/>
    <s v="FRACTAL P X 25 KG"/>
    <n v="600"/>
    <n v="24"/>
    <n v="15300000"/>
    <d v="2025-08-20T00:00:00"/>
    <d v="2025-08-13T00:00:00"/>
    <x v="7"/>
  </r>
  <r>
    <m/>
    <s v="3081"/>
    <d v="2025-07-28T00:00:00"/>
    <d v="1899-12-30T10:31:00"/>
    <d v="2025-07-29T00:00:00"/>
    <x v="27"/>
    <s v="BG22805"/>
    <d v="2025-07-28T00:00:00"/>
    <d v="1899-12-30T12:38:00"/>
    <x v="15"/>
    <s v="PLANTA"/>
    <s v="TILVASYN X 25 KG"/>
    <n v="375"/>
    <n v="15"/>
    <n v="80625000"/>
    <d v="2025-07-29T00:00:00"/>
    <d v="2025-07-29T00:00:00"/>
    <x v="0"/>
  </r>
  <r>
    <m/>
    <s v="4500138735"/>
    <d v="2025-07-28T00:00:00"/>
    <d v="1899-12-30T12:30:00"/>
    <d v="2025-08-04T00:00:00"/>
    <x v="28"/>
    <s v="BG22723"/>
    <d v="2025-07-28T00:00:00"/>
    <d v="1899-12-30T14:41:00"/>
    <x v="16"/>
    <s v="CIENAGA"/>
    <s v="NEOCYN X 25 KG "/>
    <n v="100"/>
    <n v="4"/>
    <n v="7190000"/>
    <d v="2025-07-30T00:00:00"/>
    <d v="2025-08-04T00:00:00"/>
    <x v="8"/>
  </r>
  <r>
    <m/>
    <m/>
    <d v="2025-07-28T00:00:00"/>
    <d v="1899-12-30T20:44:00"/>
    <d v="2025-08-05T00:00:00"/>
    <x v="29"/>
    <s v="BG22724"/>
    <d v="2025-07-29T00:00:00"/>
    <d v="1899-12-30T09:01:00"/>
    <x v="17"/>
    <s v="ECUADOR"/>
    <s v="TILCOMIX PREMIX S X 5 KG"/>
    <n v="1000"/>
    <n v="40"/>
    <s v="USD 33000"/>
    <d v="2025-08-08T00:00:00"/>
    <d v="2025-08-05T00:00:00"/>
    <x v="2"/>
  </r>
  <r>
    <s v="CANCELADO"/>
    <m/>
    <d v="2025-07-28T00:00:00"/>
    <d v="1899-12-30T20:44:00"/>
    <m/>
    <x v="30"/>
    <s v="CANCELADO"/>
    <d v="2025-07-29T00:00:00"/>
    <d v="1899-12-30T09:01:00"/>
    <x v="17"/>
    <s v="ECUADOR"/>
    <s v="TILCOMIX PREMIX S X 5 KG"/>
    <n v="1000"/>
    <n v="40"/>
    <s v="USD 33000"/>
    <d v="2025-08-15T00:00:00"/>
    <m/>
    <x v="0"/>
  </r>
  <r>
    <m/>
    <m/>
    <d v="2025-07-28T00:00:00"/>
    <d v="1899-12-30T15:34:00"/>
    <d v="2025-08-01T00:00:00"/>
    <x v="31"/>
    <s v="BG22773"/>
    <d v="2025-07-29T00:00:00"/>
    <d v="1899-12-30T11:54:00"/>
    <x v="18"/>
    <s v="PALMIRA"/>
    <s v="DQCICLIN X 1 KG"/>
    <n v="30"/>
    <n v="30"/>
    <n v="8850000"/>
    <d v="2025-07-30T00:00:00"/>
    <d v="2025-08-01T00:00:00"/>
    <x v="4"/>
  </r>
  <r>
    <m/>
    <n v="1224837"/>
    <d v="2025-07-28T00:00:00"/>
    <d v="1899-12-30T15:38:00"/>
    <d v="2025-08-01T00:00:00"/>
    <x v="32"/>
    <s v="BG22737"/>
    <d v="2025-07-29T00:00:00"/>
    <d v="1899-12-30T12:00:00"/>
    <x v="5"/>
    <s v="CIENAGA"/>
    <s v="DINAMIX PREMIX X 25 KG"/>
    <n v="100"/>
    <n v="4"/>
    <n v="2173000"/>
    <d v="2025-08-01T00:00:00"/>
    <d v="2025-08-01T00:00:00"/>
    <x v="0"/>
  </r>
  <r>
    <m/>
    <n v="1224837"/>
    <d v="2025-07-28T00:00:00"/>
    <d v="1899-12-30T15:38:00"/>
    <d v="2025-08-01T00:00:00"/>
    <x v="32"/>
    <s v="BG22737"/>
    <d v="2025-07-29T00:00:00"/>
    <d v="1899-12-30T12:00:00"/>
    <x v="5"/>
    <s v="CIENAGA"/>
    <s v="ACCUREMAX X 25 KG"/>
    <n v="225"/>
    <n v="9"/>
    <n v="11925000"/>
    <d v="2025-08-01T00:00:00"/>
    <d v="2025-08-01T00:00:00"/>
    <x v="0"/>
  </r>
  <r>
    <m/>
    <s v="BR-OCN-00000476"/>
    <d v="2025-07-28T00:00:00"/>
    <d v="1899-12-30T16:45:00"/>
    <d v="2025-08-02T00:00:00"/>
    <x v="33"/>
    <s v="BG22772"/>
    <d v="2025-07-29T00:00:00"/>
    <d v="1899-12-30T12:09:00"/>
    <x v="11"/>
    <s v="BRUJAL"/>
    <s v="CIPROFLOX X 5 KG"/>
    <n v="200"/>
    <n v="8"/>
    <n v="12348000"/>
    <d v="2025-08-01T00:00:00"/>
    <d v="2025-08-02T00:00:00"/>
    <x v="6"/>
  </r>
  <r>
    <m/>
    <n v="1225044"/>
    <d v="2025-07-28T00:00:00"/>
    <d v="1899-12-30T16:53:00"/>
    <d v="2025-08-02T00:00:00"/>
    <x v="34"/>
    <s v="BG22738"/>
    <d v="2025-07-29T00:00:00"/>
    <d v="1899-12-30T12:23:00"/>
    <x v="5"/>
    <s v="MOSQUERA"/>
    <s v="FENIFLOR PREMIX X 25 KG"/>
    <n v="100"/>
    <n v="4"/>
    <n v="5292000"/>
    <d v="2025-08-04T00:00:00"/>
    <d v="2025-08-02T00:00:00"/>
    <x v="5"/>
  </r>
  <r>
    <m/>
    <s v="1225044"/>
    <d v="2025-07-28T00:00:00"/>
    <d v="1899-12-30T16:53:00"/>
    <d v="2025-08-02T00:00:00"/>
    <x v="34"/>
    <s v="BG22738"/>
    <d v="2025-07-29T00:00:00"/>
    <d v="1899-12-30T12:23:00"/>
    <x v="5"/>
    <s v="MOSQUERA"/>
    <s v="ACCUREMAX X 25 KG"/>
    <n v="100"/>
    <n v="4"/>
    <n v="5300000"/>
    <d v="2025-08-04T00:00:00"/>
    <d v="2025-08-02T00:00:00"/>
    <x v="5"/>
  </r>
  <r>
    <m/>
    <s v="OC-COMPR-18015"/>
    <d v="2025-07-29T00:00:00"/>
    <d v="1899-12-30T10:49:00"/>
    <d v="2025-08-01T00:00:00"/>
    <x v="35"/>
    <s v="BG22744"/>
    <d v="2025-07-29T00:00:00"/>
    <d v="1899-12-30T12:30:00"/>
    <x v="19"/>
    <s v="RICAURTE"/>
    <s v="CLORTETRAX 20 % X 25 KG"/>
    <n v="25"/>
    <n v="1"/>
    <n v="507500"/>
    <d v="2025-08-04T00:00:00"/>
    <d v="2025-08-01T00:00:00"/>
    <x v="2"/>
  </r>
  <r>
    <m/>
    <s v="OC-COMPR-18015"/>
    <d v="2025-07-29T00:00:00"/>
    <d v="1899-12-30T10:49:00"/>
    <d v="2025-08-01T00:00:00"/>
    <x v="35"/>
    <s v="BG22744"/>
    <d v="2025-07-29T00:00:00"/>
    <d v="1899-12-30T12:30:00"/>
    <x v="19"/>
    <s v="RICAURTE"/>
    <s v="CIGNUS X 20 KILOS"/>
    <n v="200"/>
    <n v="10"/>
    <n v="8800000"/>
    <d v="2025-08-04T00:00:00"/>
    <d v="2025-08-01T00:00:00"/>
    <x v="2"/>
  </r>
  <r>
    <m/>
    <s v="103-occ-36158"/>
    <d v="2025-07-29T00:00:00"/>
    <d v="1899-12-30T10:56:00"/>
    <d v="2025-07-31T00:00:00"/>
    <x v="36"/>
    <s v="BG22732"/>
    <d v="2025-07-29T00:00:00"/>
    <d v="1899-12-30T12:41:00"/>
    <x v="13"/>
    <s v="GIRARDOTA"/>
    <s v="FRACTAL P X 25 KG"/>
    <n v="75"/>
    <n v="3"/>
    <n v="1912500"/>
    <d v="2025-07-30T00:00:00"/>
    <d v="2025-07-31T00:00:00"/>
    <x v="6"/>
  </r>
  <r>
    <m/>
    <s v="3110"/>
    <d v="2025-07-29T00:00:00"/>
    <d v="1899-12-30T11:18:00"/>
    <d v="2025-08-01T00:00:00"/>
    <x v="37"/>
    <s v="BG22806"/>
    <d v="2025-07-29T00:00:00"/>
    <d v="1899-12-30T14:13:00"/>
    <x v="15"/>
    <s v="PLANTA"/>
    <s v="DMB 11 X 25 KG"/>
    <n v="25"/>
    <n v="1"/>
    <n v="500000"/>
    <d v="2025-07-30T00:00:00"/>
    <d v="2025-08-01T00:00:00"/>
    <x v="4"/>
  </r>
  <r>
    <m/>
    <s v="4500150931"/>
    <d v="2025-07-29T00:00:00"/>
    <d v="1899-12-30T11:15:00"/>
    <d v="2025-08-05T00:00:00"/>
    <x v="38"/>
    <s v="BG22807"/>
    <d v="2025-07-29T00:00:00"/>
    <d v="1899-12-30T14:19:00"/>
    <x v="20"/>
    <s v="PUERTO LOPEZ"/>
    <s v="TILCOMIX PREMIX S X 5 KG"/>
    <n v="80"/>
    <n v="16"/>
    <n v="10584000"/>
    <d v="2025-07-30T00:00:00"/>
    <d v="2025-08-05T00:00:00"/>
    <x v="9"/>
  </r>
  <r>
    <m/>
    <s v="1225950 "/>
    <d v="2025-07-29T00:00:00"/>
    <d v="1899-12-30T15:44:00"/>
    <d v="2025-08-06T00:00:00"/>
    <x v="39"/>
    <s v="BG22751"/>
    <d v="2025-07-30T00:00:00"/>
    <d v="1899-12-30T09:45:00"/>
    <x v="6"/>
    <s v="CARTAGO"/>
    <s v="ACCUREMAX X 25 KG"/>
    <n v="150"/>
    <n v="6"/>
    <n v="7950000"/>
    <d v="2025-08-08T00:00:00"/>
    <d v="2025-08-06T00:00:00"/>
    <x v="5"/>
  </r>
  <r>
    <m/>
    <s v="001-OSC-63409"/>
    <d v="2025-07-29T00:00:00"/>
    <d v="1899-12-30T16:17:00"/>
    <d v="2025-08-05T00:00:00"/>
    <x v="40"/>
    <s v="BG22808"/>
    <d v="2025-07-30T00:00:00"/>
    <d v="1899-12-30T10:57:00"/>
    <x v="4"/>
    <s v="BELLO"/>
    <s v="LOTUS X 10 KG"/>
    <n v="100"/>
    <n v="4"/>
    <n v="3850000"/>
    <d v="2025-08-05T00:00:00"/>
    <d v="2025-08-05T00:00:00"/>
    <x v="0"/>
  </r>
  <r>
    <m/>
    <s v="001-OSC-63409"/>
    <d v="2025-07-29T00:00:00"/>
    <d v="1899-12-30T16:17:00"/>
    <d v="2025-08-05T00:00:00"/>
    <x v="40"/>
    <s v="BG22808"/>
    <d v="2025-07-30T00:00:00"/>
    <d v="1899-12-30T10:57:00"/>
    <x v="4"/>
    <s v="BELLO"/>
    <s v="CLORTETRAX 20 % X 25 KG"/>
    <n v="2500"/>
    <n v="100"/>
    <n v="40750000"/>
    <d v="2025-08-05T00:00:00"/>
    <d v="2025-08-05T00:00:00"/>
    <x v="0"/>
  </r>
  <r>
    <m/>
    <m/>
    <d v="2025-07-29T00:00:00"/>
    <d v="1899-12-30T08:40:00"/>
    <d v="2025-07-31T00:00:00"/>
    <x v="41"/>
    <s v="BG22770"/>
    <d v="2025-07-30T00:00:00"/>
    <d v="1899-12-30T11:15:00"/>
    <x v="21"/>
    <s v="GUARNE"/>
    <s v="FRACTAL P X 25 KG"/>
    <n v="100"/>
    <n v="4"/>
    <n v="2550000"/>
    <d v="2025-07-31T00:00:00"/>
    <d v="2025-07-31T00:00:00"/>
    <x v="0"/>
  </r>
  <r>
    <m/>
    <m/>
    <d v="2025-07-29T00:00:00"/>
    <d v="1899-12-30T08:40:00"/>
    <d v="2025-07-31T00:00:00"/>
    <x v="41"/>
    <s v="BG22770"/>
    <d v="2025-07-30T00:00:00"/>
    <d v="1899-12-30T11:15:00"/>
    <x v="21"/>
    <s v="GUARNE"/>
    <s v="DQCICLIN X 1 KG"/>
    <n v="20"/>
    <n v="20"/>
    <n v="4935000"/>
    <d v="2025-07-31T00:00:00"/>
    <d v="2025-07-31T00:00:00"/>
    <x v="0"/>
  </r>
  <r>
    <m/>
    <m/>
    <d v="2025-07-29T00:00:00"/>
    <d v="1899-12-30T08:40:00"/>
    <d v="2025-07-31T00:00:00"/>
    <x v="41"/>
    <s v="BG22770"/>
    <d v="2025-07-30T00:00:00"/>
    <d v="1899-12-30T11:15:00"/>
    <x v="21"/>
    <s v="GUARNE"/>
    <s v="TILOMIIX 250 PREMIX X 25 KG"/>
    <n v="25"/>
    <n v="1"/>
    <n v="1750000"/>
    <d v="2025-07-31T00:00:00"/>
    <d v="2025-07-31T00:00:00"/>
    <x v="0"/>
  </r>
  <r>
    <m/>
    <s v="392-25"/>
    <d v="2025-07-30T00:00:00"/>
    <d v="1899-12-30T09:13:00"/>
    <d v="2025-07-31T00:00:00"/>
    <x v="42"/>
    <s v="BG22755"/>
    <d v="2025-07-30T00:00:00"/>
    <d v="1899-12-30T11:11:00"/>
    <x v="22"/>
    <s v="MEDELLIN"/>
    <s v="CLORTETRAX 20 % X 25 KG"/>
    <n v="250"/>
    <n v="10"/>
    <n v="4400000"/>
    <d v="2025-07-31T00:00:00"/>
    <d v="2025-07-31T00:00:00"/>
    <x v="0"/>
  </r>
  <r>
    <m/>
    <s v="4500352806"/>
    <d v="2025-07-29T00:00:00"/>
    <d v="1899-12-30T17:01:00"/>
    <d v="2025-08-08T00:00:00"/>
    <x v="43"/>
    <s v="BG22809"/>
    <d v="2025-07-30T00:00:00"/>
    <d v="1899-12-30T12:02:00"/>
    <x v="2"/>
    <s v="BUGA"/>
    <s v="CLORTETRAX 20 % X 25 KG"/>
    <n v="8500"/>
    <n v="340"/>
    <n v="133450000"/>
    <d v="2025-08-08T00:00:00"/>
    <d v="2025-08-08T00:00:00"/>
    <x v="0"/>
  </r>
  <r>
    <m/>
    <s v="AG-0031-25"/>
    <d v="2025-07-29T00:00:00"/>
    <d v="1899-12-30T17:57:00"/>
    <d v="2025-08-06T00:00:00"/>
    <x v="44"/>
    <s v="BG22789"/>
    <d v="2025-07-30T00:00:00"/>
    <d v="1899-12-30T12:18:00"/>
    <x v="23"/>
    <s v="PLANTA"/>
    <s v="CLORTETRAX 20 % X 25 KG"/>
    <n v="500"/>
    <n v="20"/>
    <n v="8100000"/>
    <d v="2025-08-07T00:00:00"/>
    <d v="2025-08-06T00:00:00"/>
    <x v="10"/>
  </r>
  <r>
    <m/>
    <s v="4500352919"/>
    <d v="2025-07-30T00:00:00"/>
    <d v="1899-12-30T09:24:00"/>
    <s v="8 DE AGOSTO"/>
    <x v="45"/>
    <s v="BG22762"/>
    <d v="2025-07-30T00:00:00"/>
    <d v="1899-12-30T12:24:00"/>
    <x v="2"/>
    <s v="BUGA"/>
    <s v="LOTUS X 10 KG"/>
    <n v="500"/>
    <n v="20"/>
    <n v="19250000"/>
    <d v="2025-07-31T00:00:00"/>
    <d v="2025-08-08T00:00:00"/>
    <x v="11"/>
  </r>
  <r>
    <m/>
    <m/>
    <d v="2025-07-30T00:00:00"/>
    <d v="1899-12-30T11:06:00"/>
    <d v="2025-08-01T00:00:00"/>
    <x v="46"/>
    <s v="BG22810"/>
    <d v="2025-07-30T00:00:00"/>
    <d v="1899-12-30T14:15:00"/>
    <x v="24"/>
    <s v="LERIDA"/>
    <s v="CIPROFLOX X 5 KG"/>
    <n v="10"/>
    <n v="2"/>
    <n v="520000"/>
    <d v="2025-07-31T00:00:00"/>
    <d v="2025-08-01T00:00:00"/>
    <x v="6"/>
  </r>
  <r>
    <m/>
    <m/>
    <d v="2025-07-30T00:00:00"/>
    <d v="1899-12-30T11:06:00"/>
    <d v="2025-08-01T00:00:00"/>
    <x v="46"/>
    <s v="BG22810"/>
    <d v="2025-07-30T00:00:00"/>
    <d v="1899-12-30T14:15:00"/>
    <x v="24"/>
    <s v="LERIDA"/>
    <s v="SMOOTH SWEET X 75 GR"/>
    <n v="0.75"/>
    <n v="10"/>
    <n v="1"/>
    <d v="2025-07-31T00:00:00"/>
    <d v="2025-08-01T00:00:00"/>
    <x v="6"/>
  </r>
  <r>
    <m/>
    <m/>
    <d v="2025-07-30T00:00:00"/>
    <d v="1899-12-30T14:50:00"/>
    <d v="2025-07-31T00:00:00"/>
    <x v="47"/>
    <s v="BG22746"/>
    <d v="2025-07-30T00:00:00"/>
    <d v="1899-12-30T14:58:00"/>
    <x v="25"/>
    <s v="YUMBO"/>
    <s v="HALQUINOX 800 X 25 KG"/>
    <n v="75"/>
    <n v="3"/>
    <n v="8025000"/>
    <d v="2025-07-31T00:00:00"/>
    <d v="2025-07-31T00:00:00"/>
    <x v="0"/>
  </r>
  <r>
    <m/>
    <m/>
    <d v="2025-07-30T00:00:00"/>
    <d v="1899-12-30T14:50:00"/>
    <d v="2025-07-31T00:00:00"/>
    <x v="47"/>
    <s v="BG22746"/>
    <d v="2025-07-30T00:00:00"/>
    <d v="1899-12-30T14:58:00"/>
    <x v="25"/>
    <s v="YUMBO"/>
    <s v="DINAMIX 800 X 25 KILOS"/>
    <n v="75"/>
    <n v="3"/>
    <n v="12300000"/>
    <d v="2025-07-31T00:00:00"/>
    <d v="2025-07-31T00:00:00"/>
    <x v="0"/>
  </r>
  <r>
    <m/>
    <m/>
    <d v="2025-07-30T00:00:00"/>
    <d v="1899-12-30T10:03:00"/>
    <d v="2025-07-31T00:00:00"/>
    <x v="48"/>
    <s v="BG22801"/>
    <d v="2025-07-30T00:00:00"/>
    <d v="1899-12-30T14:42:00"/>
    <x v="26"/>
    <s v="BODEGA DE BUCARAMANGA"/>
    <s v="ACCUREMAX 10 % X 25 KG"/>
    <n v="300"/>
    <n v="12"/>
    <n v="71100000"/>
    <d v="2025-07-31T00:00:00"/>
    <d v="2025-07-31T00:00:00"/>
    <x v="0"/>
  </r>
  <r>
    <m/>
    <m/>
    <d v="2025-07-31T00:00:00"/>
    <d v="1899-12-30T07:38:00"/>
    <d v="2025-07-31T00:00:00"/>
    <x v="49"/>
    <s v="BG22767"/>
    <d v="2025-07-31T00:00:00"/>
    <d v="1899-12-30T09:05:00"/>
    <x v="9"/>
    <s v="BUCARAMANGA"/>
    <s v="DQCICLIN X 1 KG"/>
    <n v="1"/>
    <n v="1"/>
    <n v="260000"/>
    <d v="2025-07-31T00:00:00"/>
    <d v="2025-07-31T00:00:00"/>
    <x v="0"/>
  </r>
  <r>
    <m/>
    <s v="4500352974"/>
    <d v="2025-07-30T00:00:00"/>
    <d v="1899-12-30T16:51:00"/>
    <d v="2025-08-04T00:00:00"/>
    <x v="50"/>
    <s v="BG22763"/>
    <d v="2025-07-31T00:00:00"/>
    <d v="1899-12-30T10:06:00"/>
    <x v="2"/>
    <s v="BELLO"/>
    <s v="FRACTAL P X 25 KG"/>
    <n v="200"/>
    <n v="8"/>
    <n v="5100000"/>
    <d v="2025-08-01T00:00:00"/>
    <d v="2025-08-04T00:00:00"/>
    <x v="3"/>
  </r>
  <r>
    <m/>
    <s v="A02-COC-277917"/>
    <d v="2025-07-30T00:00:00"/>
    <d v="1899-12-30T11:50:00"/>
    <d v="2025-08-06T00:00:00"/>
    <x v="51"/>
    <s v="BG22798"/>
    <d v="2025-07-31T00:00:00"/>
    <d v="1899-12-30T10:09:00"/>
    <x v="12"/>
    <s v="ITAGUI"/>
    <s v="CLORTETRAX 20 % X 25 KG"/>
    <n v="500"/>
    <n v="20"/>
    <n v="8000000"/>
    <d v="2025-08-06T00:00:00"/>
    <d v="2025-08-06T00:00:00"/>
    <x v="0"/>
  </r>
  <r>
    <m/>
    <s v="1227258"/>
    <d v="2025-07-30T00:00:00"/>
    <d v="1899-12-30T17:35:00"/>
    <d v="2025-08-01T00:00:00"/>
    <x v="52"/>
    <s v="BG22752"/>
    <d v="2025-07-31T00:00:00"/>
    <d v="1899-12-30T10:16:00"/>
    <x v="6"/>
    <s v="BARBOSA- ANTIOQUIA"/>
    <s v="CIGNUS X 20 KILOS"/>
    <n v="300"/>
    <n v="12"/>
    <n v="10500000"/>
    <d v="2025-08-04T00:00:00"/>
    <d v="2025-08-01T00:00:00"/>
    <x v="2"/>
  </r>
  <r>
    <s v="INVENTARIO"/>
    <s v="1227258"/>
    <d v="2025-07-30T00:00:00"/>
    <d v="1899-12-30T17:35:00"/>
    <d v="2025-08-01T00:00:00"/>
    <x v="52"/>
    <s v="BG22887"/>
    <d v="2025-07-31T00:00:00"/>
    <d v="1899-12-30T10:16:00"/>
    <x v="6"/>
    <s v="BARBOSA- ANTIOQUIA"/>
    <s v="CIGNUS X 20 KILOS"/>
    <n v="200"/>
    <n v="8"/>
    <n v="7000000"/>
    <d v="2025-08-04T00:00:00"/>
    <d v="2025-08-01T00:00:00"/>
    <x v="2"/>
  </r>
  <r>
    <m/>
    <s v="006-OC-027791"/>
    <d v="2025-08-31T00:00:00"/>
    <d v="1899-12-30T08:17:00"/>
    <d v="2025-08-01T00:00:00"/>
    <x v="53"/>
    <s v="BG22756"/>
    <d v="2025-07-31T00:00:00"/>
    <d v="1899-12-30T10:29:00"/>
    <x v="27"/>
    <s v="ITALCOL IBAGUE"/>
    <s v="LOTUS X 10 KG"/>
    <n v="120"/>
    <n v="12"/>
    <n v="4620000"/>
    <d v="2025-08-01T00:00:00"/>
    <d v="2025-08-01T00:00:00"/>
    <x v="0"/>
  </r>
  <r>
    <m/>
    <s v="4500352919"/>
    <d v="2025-07-30T00:00:00"/>
    <d v="1899-12-30T09:24:00"/>
    <d v="2025-08-16T00:00:00"/>
    <x v="54"/>
    <s v="BG22871"/>
    <d v="2025-07-31T00:00:00"/>
    <d v="1899-12-30T10:35:00"/>
    <x v="2"/>
    <s v="BUGA"/>
    <s v="FRACTAL P X 25 KG"/>
    <n v="1200"/>
    <n v="48"/>
    <n v="30600000"/>
    <d v="2025-08-15T00:00:00"/>
    <d v="2025-08-16T00:00:00"/>
    <x v="6"/>
  </r>
  <r>
    <m/>
    <s v="4500352919"/>
    <d v="2025-07-30T00:00:00"/>
    <d v="1899-12-30T09:24:00"/>
    <d v="2025-08-16T00:00:00"/>
    <x v="54"/>
    <s v="BG22871"/>
    <d v="2025-07-31T00:00:00"/>
    <d v="1899-12-30T10:35:00"/>
    <x v="2"/>
    <s v="BUGA"/>
    <s v="LOTUS X 10 KG"/>
    <n v="500"/>
    <n v="20"/>
    <n v="19250000"/>
    <d v="2025-08-15T00:00:00"/>
    <d v="2025-08-16T00:00:00"/>
    <x v="6"/>
  </r>
  <r>
    <m/>
    <s v="4500352919"/>
    <d v="2025-07-30T00:00:00"/>
    <d v="1899-12-30T09:24:00"/>
    <d v="2025-08-13T00:00:00"/>
    <x v="55"/>
    <s v="BG22870"/>
    <d v="2025-07-31T00:00:00"/>
    <d v="1899-12-30T10:35:00"/>
    <x v="2"/>
    <s v="BUGA"/>
    <s v="FRACTAL P X 25 KG"/>
    <n v="800"/>
    <n v="32"/>
    <n v="20400000"/>
    <d v="2025-08-29T00:00:00"/>
    <d v="2025-08-13T00:00:00"/>
    <x v="12"/>
  </r>
  <r>
    <m/>
    <s v="1227623"/>
    <d v="2025-07-31T00:00:00"/>
    <d v="1899-12-30T09:36:00"/>
    <d v="2025-08-05T00:00:00"/>
    <x v="56"/>
    <s v="BG22739"/>
    <d v="2025-07-31T00:00:00"/>
    <d v="1899-12-30T11:27:00"/>
    <x v="5"/>
    <s v="BUCARAMANGA"/>
    <s v="DINAMIX PREMIX X 25 KG"/>
    <n v="275"/>
    <n v="11"/>
    <n v="5975750"/>
    <d v="2025-08-06T00:00:00"/>
    <d v="2025-08-05T00:00:00"/>
    <x v="10"/>
  </r>
  <r>
    <m/>
    <s v="1227623"/>
    <d v="2025-07-31T00:00:00"/>
    <d v="1899-12-30T09:36:00"/>
    <d v="2025-08-14T00:00:00"/>
    <x v="57"/>
    <s v="BG22891"/>
    <d v="2025-07-31T00:00:00"/>
    <d v="1899-12-30T11:27:00"/>
    <x v="5"/>
    <s v="BUCARAMANGA"/>
    <s v="ACCUREMAX X 25 KG"/>
    <n v="25"/>
    <n v="1"/>
    <n v="1325000"/>
    <d v="2025-08-15T00:00:00"/>
    <d v="2025-08-14T00:00:00"/>
    <x v="10"/>
  </r>
  <r>
    <m/>
    <s v="OCP-831"/>
    <d v="2025-07-31T00:00:00"/>
    <d v="1899-12-30T10:41:00"/>
    <d v="2025-08-01T00:00:00"/>
    <x v="58"/>
    <s v="BG22811"/>
    <d v="2025-07-31T00:00:00"/>
    <d v="1899-12-30T11:38:00"/>
    <x v="28"/>
    <s v="BUGA"/>
    <s v="AMOXIN X 1 KG"/>
    <n v="5"/>
    <n v="5"/>
    <n v="800000"/>
    <d v="2025-08-01T00:00:00"/>
    <d v="2025-08-01T00:00:00"/>
    <x v="0"/>
  </r>
  <r>
    <m/>
    <s v="OCP-831"/>
    <d v="2025-07-31T00:00:00"/>
    <d v="1899-12-30T10:41:00"/>
    <d v="2025-08-01T00:00:00"/>
    <x v="58"/>
    <s v="BG22811"/>
    <d v="2025-07-31T00:00:00"/>
    <d v="1899-12-30T11:38:00"/>
    <x v="28"/>
    <s v="BUGA"/>
    <s v="FOSMYCINA 90 X 500 GR"/>
    <n v="5"/>
    <n v="10"/>
    <n v="2650000"/>
    <d v="2025-08-01T00:00:00"/>
    <d v="2025-08-01T00:00:00"/>
    <x v="0"/>
  </r>
  <r>
    <m/>
    <s v="3016-0905"/>
    <d v="2025-07-31T00:00:00"/>
    <d v="1899-12-30T10:44:00"/>
    <d v="2025-08-01T00:00:00"/>
    <x v="59"/>
    <s v="BG22812"/>
    <d v="2025-07-31T00:00:00"/>
    <d v="1899-12-30T11:52:00"/>
    <x v="29"/>
    <s v="BOGOTA"/>
    <s v="ACCUREMAX 10 % X 25 KG"/>
    <n v="25"/>
    <n v="1"/>
    <n v="6000000"/>
    <d v="2025-08-01T00:00:00"/>
    <d v="2025-08-01T00:00:00"/>
    <x v="0"/>
  </r>
  <r>
    <m/>
    <s v="100-CON-00022278"/>
    <d v="2025-07-31T00:00:00"/>
    <d v="1899-12-30T11:49:00"/>
    <d v="2025-08-02T00:00:00"/>
    <x v="60"/>
    <s v="BG22790"/>
    <d v="2025-07-31T00:00:00"/>
    <d v="1899-12-30T12:20:00"/>
    <x v="30"/>
    <s v="GIRARDOTA"/>
    <s v="CLORTETRAX 20 % X 25 KG"/>
    <n v="300"/>
    <n v="12"/>
    <n v="47100000"/>
    <d v="2025-08-04T00:00:00"/>
    <d v="2025-08-02T00:00:00"/>
    <x v="5"/>
  </r>
  <r>
    <m/>
    <s v="100-CON-00022278"/>
    <d v="2025-07-31T00:00:00"/>
    <d v="1899-12-30T11:49:00"/>
    <d v="2025-08-02T00:00:00"/>
    <x v="60"/>
    <s v="BG22790"/>
    <d v="2025-07-31T00:00:00"/>
    <d v="1899-12-30T12:20:00"/>
    <x v="30"/>
    <s v="GIRARDOTA"/>
    <s v="LOTUS X 10 KG"/>
    <n v="380"/>
    <n v="15.2"/>
    <n v="13300000"/>
    <d v="2025-08-04T00:00:00"/>
    <d v="2025-08-02T00:00:00"/>
    <x v="5"/>
  </r>
  <r>
    <m/>
    <s v="100-CON-00022278"/>
    <d v="2025-07-31T00:00:00"/>
    <d v="1899-12-30T11:49:00"/>
    <d v="2025-08-02T00:00:00"/>
    <x v="60"/>
    <s v="BG22790"/>
    <d v="2025-07-31T00:00:00"/>
    <d v="1899-12-30T12:20:00"/>
    <x v="30"/>
    <s v="GIRARDOTA"/>
    <s v="FRACTAL P X 25 KG"/>
    <n v="400"/>
    <n v="16"/>
    <n v="10200000"/>
    <d v="2025-08-04T00:00:00"/>
    <d v="2025-08-02T00:00:00"/>
    <x v="5"/>
  </r>
  <r>
    <m/>
    <m/>
    <d v="2025-07-29T00:00:00"/>
    <d v="1899-12-30T13:05:00"/>
    <d v="2025-07-30T00:00:00"/>
    <x v="61"/>
    <s v="BG22774"/>
    <d v="2025-07-30T00:00:00"/>
    <d v="1899-12-30T11:03:00"/>
    <x v="31"/>
    <s v="RECOGER EN BODGA"/>
    <s v="CLORTETRAX 20 % X 25 KG"/>
    <n v="125"/>
    <n v="5"/>
    <n v="1975000"/>
    <d v="2025-07-30T00:00:00"/>
    <d v="2025-07-30T00:00:00"/>
    <x v="0"/>
  </r>
  <r>
    <m/>
    <m/>
    <d v="2025-07-29T00:00:00"/>
    <d v="1899-12-30T13:05:00"/>
    <d v="2025-07-30T00:00:00"/>
    <x v="62"/>
    <s v="BG22775"/>
    <d v="2025-07-29T00:00:00"/>
    <d v="1899-12-30T14:27:00"/>
    <x v="31"/>
    <s v="RECOGER EN BODGA"/>
    <s v="CLORTETRAX 20 % X 25 KG"/>
    <n v="600"/>
    <n v="24"/>
    <n v="13430000"/>
    <d v="2025-07-30T00:00:00"/>
    <d v="2025-07-30T00:00:00"/>
    <x v="0"/>
  </r>
  <r>
    <m/>
    <s v="020-OC-003397"/>
    <d v="2025-08-31T00:00:00"/>
    <d v="1899-12-30T08:17:00"/>
    <d v="2025-08-01T00:00:00"/>
    <x v="63"/>
    <s v="BG22757"/>
    <d v="2025-07-31T00:00:00"/>
    <d v="1899-12-30T12:40:00"/>
    <x v="27"/>
    <s v="ITALCOL IBAGUE"/>
    <s v="LOTUS X 10 KG"/>
    <n v="80"/>
    <n v="8"/>
    <n v="3080000"/>
    <d v="2025-08-01T00:00:00"/>
    <d v="2025-08-01T00:00:00"/>
    <x v="0"/>
  </r>
  <r>
    <m/>
    <s v="006-OC-027798"/>
    <d v="2025-08-31T00:00:00"/>
    <d v="1899-12-30T14:01:00"/>
    <d v="2025-08-01T00:00:00"/>
    <x v="64"/>
    <s v="BG22758"/>
    <d v="2025-07-31T00:00:00"/>
    <d v="1899-12-30T14:11:00"/>
    <x v="27"/>
    <s v="GIRARDOT"/>
    <s v="FRACTAL L X 20 KILOS"/>
    <n v="20"/>
    <n v="0.8"/>
    <n v="777000"/>
    <d v="2025-08-01T00:00:00"/>
    <d v="2025-08-01T00:00:00"/>
    <x v="0"/>
  </r>
  <r>
    <m/>
    <s v="P-1266"/>
    <d v="2025-08-31T00:00:00"/>
    <d v="1899-12-30T13:53:00"/>
    <d v="2025-08-01T00:00:00"/>
    <x v="65"/>
    <s v="BG22781"/>
    <d v="2025-07-31T00:00:00"/>
    <d v="1899-12-30T14:17:00"/>
    <x v="32"/>
    <s v="CALI"/>
    <s v="FRACTAL L X 20 KILOS"/>
    <n v="120"/>
    <n v="6"/>
    <n v="4620000"/>
    <d v="2025-08-01T00:00:00"/>
    <d v="2025-08-01T00:00:00"/>
    <x v="0"/>
  </r>
  <r>
    <m/>
    <s v="001-OC -00047080"/>
    <d v="2025-08-31T00:00:00"/>
    <d v="1899-12-30T14:00:00"/>
    <d v="2025-08-05T00:00:00"/>
    <x v="66"/>
    <s v="BG22813"/>
    <d v="2025-07-31T00:00:00"/>
    <d v="1899-12-30T14:18:00"/>
    <x v="33"/>
    <s v="EL LIMON"/>
    <s v="ROFLOX X 20 X 1 L"/>
    <n v="200"/>
    <n v="200"/>
    <n v="9331800"/>
    <d v="2025-08-01T00:00:00"/>
    <d v="2025-08-05T00:00:00"/>
    <x v="13"/>
  </r>
  <r>
    <m/>
    <m/>
    <d v="2025-08-01T00:00:00"/>
    <d v="1899-12-30T08:06:00"/>
    <d v="2025-08-02T00:00:00"/>
    <x v="67"/>
    <s v="BG22790"/>
    <d v="2025-08-01T00:00:00"/>
    <d v="1899-12-30T08:44:00"/>
    <x v="30"/>
    <s v="GIRARDOTA"/>
    <s v="TILVASYN X 25 KG"/>
    <n v="100"/>
    <n v="4"/>
    <n v="19520000"/>
    <d v="2025-08-02T00:00:00"/>
    <d v="2025-08-02T00:00:00"/>
    <x v="0"/>
  </r>
  <r>
    <m/>
    <m/>
    <d v="2025-07-31T00:00:00"/>
    <d v="1899-12-30T16:17:00"/>
    <d v="2025-08-04T00:00:00"/>
    <x v="68"/>
    <s v="BG22728"/>
    <d v="2025-08-01T00:00:00"/>
    <d v="1899-12-30T10:32:00"/>
    <x v="34"/>
    <s v="DON MATIAS"/>
    <s v="TILCOMIX ORAL X 1 LITRO"/>
    <n v="20"/>
    <n v="20"/>
    <n v="4044600"/>
    <d v="2025-08-04T00:00:00"/>
    <d v="2025-08-04T00:00:00"/>
    <x v="0"/>
  </r>
  <r>
    <m/>
    <m/>
    <d v="2025-07-31T00:00:00"/>
    <d v="1899-12-30T16:17:00"/>
    <d v="2025-08-04T00:00:00"/>
    <x v="68"/>
    <s v="BG22728"/>
    <d v="2025-08-01T00:00:00"/>
    <d v="1899-12-30T10:32:00"/>
    <x v="34"/>
    <s v="DON MATIAS"/>
    <s v="SMOOTH SWEET X 75 GR"/>
    <n v="1.5"/>
    <n v="20"/>
    <n v="1.5"/>
    <d v="2025-08-04T00:00:00"/>
    <d v="2025-08-04T00:00:00"/>
    <x v="0"/>
  </r>
  <r>
    <m/>
    <m/>
    <d v="2025-07-31T00:00:00"/>
    <d v="1899-12-30T16:17:00"/>
    <d v="2025-08-04T00:00:00"/>
    <x v="68"/>
    <s v="BG22728"/>
    <d v="2025-08-01T00:00:00"/>
    <d v="1899-12-30T10:32:00"/>
    <x v="34"/>
    <s v="DON MATIAS"/>
    <s v="AMOXIN X 1 KG"/>
    <n v="20"/>
    <n v="20"/>
    <n v="3000000"/>
    <d v="2025-08-04T00:00:00"/>
    <d v="2025-08-04T00:00:00"/>
    <x v="0"/>
  </r>
  <r>
    <m/>
    <m/>
    <d v="2025-07-31T00:00:00"/>
    <d v="1899-12-30T16:17:00"/>
    <d v="2025-08-04T00:00:00"/>
    <x v="68"/>
    <s v="BG22728"/>
    <d v="2025-08-01T00:00:00"/>
    <d v="1899-12-30T10:32:00"/>
    <x v="34"/>
    <s v="DON MATIAS"/>
    <s v="FENIFLOR ORAL X 500 GR"/>
    <n v="5"/>
    <n v="10"/>
    <n v="525000"/>
    <d v="2025-08-04T00:00:00"/>
    <d v="2025-08-04T00:00:00"/>
    <x v="0"/>
  </r>
  <r>
    <m/>
    <s v="OC 023"/>
    <d v="2025-07-31T00:00:00"/>
    <d v="1899-12-30T09:37:00"/>
    <d v="2025-08-04T00:00:00"/>
    <x v="69"/>
    <s v="BG22727"/>
    <d v="2025-08-01T00:00:00"/>
    <d v="1899-12-30T11:01:00"/>
    <x v="35"/>
    <s v="RECOGE EN BODEGA DE MEDELLIN"/>
    <s v="TILOMIIX 250 PREMIX X 25 KG"/>
    <n v="125"/>
    <n v="5"/>
    <n v="9375000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AMOXIN X 1 KG"/>
    <n v="4"/>
    <n v="4"/>
    <n v="1403100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CIPROFLOX X 1KG"/>
    <n v="4"/>
    <n v="4"/>
    <n v="234000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SMOOTH SWEET X 75 GR"/>
    <n v="4"/>
    <n v="4"/>
    <n v="1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TRIMBAC X 5 KG"/>
    <n v="10"/>
    <n v="2"/>
    <n v="1600000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FENIFLOR ORAL X 500 GR"/>
    <n v="4"/>
    <n v="8"/>
    <n v="408000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NORFLOX X 1 KG"/>
    <n v="3"/>
    <n v="3"/>
    <n v="195000"/>
    <d v="2025-08-04T00:00:00"/>
    <d v="2025-08-04T00:00:00"/>
    <x v="0"/>
  </r>
  <r>
    <m/>
    <m/>
    <d v="2025-08-01T00:00:00"/>
    <d v="1899-12-30T09:06:00"/>
    <d v="2025-08-05T00:00:00"/>
    <x v="71"/>
    <s v="BG22726"/>
    <d v="2025-08-01T00:00:00"/>
    <d v="1899-12-30T11:38:00"/>
    <x v="36"/>
    <s v="ENTRERIOS"/>
    <s v="CLORTETRAX 20 % X 25 KG"/>
    <n v="150"/>
    <n v="6"/>
    <n v="2400000"/>
    <d v="2025-08-04T00:00:00"/>
    <d v="2025-08-05T00:00:00"/>
    <x v="6"/>
  </r>
  <r>
    <m/>
    <s v="COC-00000105"/>
    <d v="2025-08-01T00:00:00"/>
    <d v="1899-12-30T08:28:00"/>
    <d v="2025-08-04T00:00:00"/>
    <x v="72"/>
    <s v="BG22725"/>
    <d v="2025-08-01T00:00:00"/>
    <d v="1899-12-30T11:41:00"/>
    <x v="37"/>
    <s v="DON MATIAS"/>
    <s v="CLORTETRAX 20 % X 25 KG"/>
    <n v="350"/>
    <n v="14"/>
    <n v="5670000"/>
    <d v="2025-08-04T00:00:00"/>
    <d v="2025-08-04T00:00:00"/>
    <x v="0"/>
  </r>
  <r>
    <m/>
    <s v="001-SC-015321"/>
    <d v="2025-08-01T00:00:00"/>
    <d v="1899-12-30T11:38:00"/>
    <d v="2025-08-05T00:00:00"/>
    <x v="73"/>
    <s v="BG22814"/>
    <d v="2025-08-01T00:00:00"/>
    <d v="1899-12-30T12:59:00"/>
    <x v="38"/>
    <s v="YUMBO"/>
    <s v="HALQUINOX 800 X 25 KG"/>
    <n v="400"/>
    <n v="16"/>
    <n v="41000000"/>
    <d v="2025-08-05T00:00:00"/>
    <d v="2025-08-05T00:00:00"/>
    <x v="0"/>
  </r>
  <r>
    <s v="ASC"/>
    <s v="001-SC-015321"/>
    <d v="2025-08-01T00:00:00"/>
    <d v="1899-12-30T11:38:00"/>
    <d v="2025-08-12T00:00:00"/>
    <x v="73"/>
    <s v="BG22874"/>
    <d v="2025-08-01T00:00:00"/>
    <d v="1899-12-30T12:59:00"/>
    <x v="38"/>
    <s v="YUMBO"/>
    <s v="CLORTETRAX 20 % X 25 KG"/>
    <n v="400"/>
    <n v="16"/>
    <n v="6400000"/>
    <d v="2025-08-05T00:00:00"/>
    <d v="2025-08-12T00:00:00"/>
    <x v="14"/>
  </r>
  <r>
    <s v="CANCELADO"/>
    <s v="001-SC-015321"/>
    <d v="2025-08-01T00:00:00"/>
    <d v="1899-12-30T11:38:00"/>
    <m/>
    <x v="73"/>
    <s v="-"/>
    <d v="2025-08-01T00:00:00"/>
    <d v="1899-12-30T12:59:00"/>
    <x v="38"/>
    <s v="YUMBO"/>
    <s v="CLORTETRAX 20 % X 25 KG"/>
    <n v="200"/>
    <n v="8"/>
    <n v="3200000"/>
    <d v="2025-08-05T00:00:00"/>
    <m/>
    <x v="0"/>
  </r>
  <r>
    <m/>
    <s v="001-SC-015321"/>
    <d v="2025-08-01T00:00:00"/>
    <d v="1899-12-30T11:38:00"/>
    <d v="2025-08-05T00:00:00"/>
    <x v="73"/>
    <s v="BG22814"/>
    <d v="2025-08-01T00:00:00"/>
    <d v="1899-12-30T12:59:00"/>
    <x v="38"/>
    <s v="YUMBO"/>
    <s v="FENIFLOR PREMIX X 25 KG"/>
    <n v="25"/>
    <n v="1"/>
    <n v="1700000"/>
    <d v="2025-08-05T00:00:00"/>
    <d v="2025-08-05T00:00:00"/>
    <x v="0"/>
  </r>
  <r>
    <m/>
    <s v="MPN - 5,274"/>
    <d v="2025-08-01T00:00:00"/>
    <d v="1899-12-30T14:13:00"/>
    <d v="2025-08-05T00:00:00"/>
    <x v="74"/>
    <s v="BG22795 - BG22796"/>
    <d v="2025-08-01T00:00:00"/>
    <d v="1899-12-30T17:10:00"/>
    <x v="39"/>
    <s v="NUTREXCOL"/>
    <s v="CLORTETRAX 20 % X 25 KG"/>
    <n v="100"/>
    <n v="4"/>
    <n v="1600000"/>
    <d v="2025-08-05T00:00:00"/>
    <d v="2025-08-05T00:00:00"/>
    <x v="0"/>
  </r>
  <r>
    <m/>
    <s v="MED - 6,623"/>
    <d v="2025-08-01T00:00:00"/>
    <d v="1899-12-30T08:05:00"/>
    <d v="2025-08-04T00:00:00"/>
    <x v="75"/>
    <s v="BG22794"/>
    <d v="2025-08-01T00:00:00"/>
    <d v="1899-12-30T14:09:00"/>
    <x v="39"/>
    <s v="ARMENIA"/>
    <s v="FENIFLOR ORAL X 500 GR"/>
    <n v="3.5"/>
    <n v="7"/>
    <n v="358750"/>
    <d v="2025-08-04T00:00:00"/>
    <d v="2025-08-04T00:00:00"/>
    <x v="0"/>
  </r>
  <r>
    <m/>
    <s v="MED - 6,623"/>
    <d v="2025-08-01T00:00:00"/>
    <d v="1899-12-30T08:05:00"/>
    <d v="2025-08-04T00:00:00"/>
    <x v="75"/>
    <s v="BG22794"/>
    <d v="2025-08-01T00:00:00"/>
    <d v="1899-12-30T14:09:00"/>
    <x v="39"/>
    <s v="ARMENIA"/>
    <s v="NORFLOX X 1 KG"/>
    <n v="10"/>
    <n v="10"/>
    <n v="545000"/>
    <d v="2025-08-04T00:00:00"/>
    <d v="2025-08-04T00:00:00"/>
    <x v="0"/>
  </r>
  <r>
    <m/>
    <s v="1228256"/>
    <d v="2025-08-31T00:00:00"/>
    <d v="1899-12-30T18:21:00"/>
    <d v="2025-08-13T00:00:00"/>
    <x v="76"/>
    <s v="BG22753"/>
    <d v="2025-08-01T00:00:00"/>
    <d v="1899-12-30T15:51:00"/>
    <x v="6"/>
    <s v="RIVERA"/>
    <s v="ACCUREMAX X 25 KG"/>
    <n v="250"/>
    <n v="10"/>
    <n v="13250000"/>
    <d v="2025-08-06T00:00:00"/>
    <d v="2025-08-13T00:00:00"/>
    <x v="14"/>
  </r>
  <r>
    <m/>
    <s v="1228317 "/>
    <d v="2025-08-31T00:00:00"/>
    <d v="1899-12-30T20:47:00"/>
    <d v="2025-08-08T00:00:00"/>
    <x v="77"/>
    <s v="BG22740"/>
    <d v="2025-08-01T00:00:00"/>
    <d v="1899-12-30T15:53:00"/>
    <x v="5"/>
    <s v="BUCARAMANGA"/>
    <s v="FRACTAL P X 25 KG"/>
    <n v="4000"/>
    <n v="160"/>
    <n v="96000000"/>
    <d v="2025-08-07T00:00:00"/>
    <d v="2025-08-08T00:00:00"/>
    <x v="6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FRACTAL P X 25 KG"/>
    <n v="2500"/>
    <n v="100"/>
    <n v="6000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FENIFLOR PREMIX X 25 KG"/>
    <n v="500"/>
    <n v="20"/>
    <n v="2646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CIPROFLOX X 5 KG"/>
    <n v="400"/>
    <n v="16"/>
    <n v="1860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SMOOTH SWEET X 5 KG"/>
    <n v="30"/>
    <n v="1.2"/>
    <n v="3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CELMANAX X 25 KG"/>
    <n v="400"/>
    <n v="16"/>
    <n v="570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CIGNUS X 20 KILOS"/>
    <n v="100"/>
    <n v="4"/>
    <n v="345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CELERITY NP X 25 KG"/>
    <n v="400"/>
    <n v="16"/>
    <n v="6216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SAGAH X 25 KILOS"/>
    <n v="500"/>
    <n v="20"/>
    <n v="1510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CELERITY NP X 25 KG"/>
    <n v="4000"/>
    <n v="160"/>
    <n v="4264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DMB 11 X 25 KG"/>
    <n v="500"/>
    <n v="20"/>
    <n v="880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AVINOVA X 25 KG"/>
    <n v="25"/>
    <n v="1"/>
    <n v="467500"/>
    <d v="2025-08-05T00:00:00"/>
    <d v="2025-08-05T00:00:00"/>
    <x v="0"/>
  </r>
  <r>
    <m/>
    <s v="4500081757"/>
    <d v="2025-08-01T00:00:00"/>
    <d v="1899-12-30T08:50:00"/>
    <d v="2025-08-08T00:00:00"/>
    <x v="79"/>
    <s v="BG22815"/>
    <d v="2025-08-01T00:00:00"/>
    <d v="1899-12-30T16:43:00"/>
    <x v="40"/>
    <s v="GUARNE"/>
    <s v="CELERITY NP X 25 KG"/>
    <n v="10000"/>
    <n v="400"/>
    <n v="106600000"/>
    <d v="2025-08-08T00:00:00"/>
    <d v="2025-08-08T00:00:00"/>
    <x v="0"/>
  </r>
  <r>
    <m/>
    <n v="90824"/>
    <d v="2025-08-01T00:00:00"/>
    <d v="1899-12-30T09:55:00"/>
    <d v="2025-08-06T00:00:00"/>
    <x v="80"/>
    <s v="BG22800"/>
    <d v="2025-08-01T00:00:00"/>
    <d v="1899-12-30T16:50:00"/>
    <x v="41"/>
    <s v="BUGA"/>
    <s v="CLORTETRAX 20 % X 25 KG"/>
    <n v="450"/>
    <n v="18"/>
    <n v="7200000"/>
    <d v="2025-08-06T00:00:00"/>
    <d v="2025-08-06T00:00:00"/>
    <x v="0"/>
  </r>
  <r>
    <m/>
    <s v="004-OSC-48973"/>
    <d v="2025-08-01T00:00:00"/>
    <d v="1899-12-30T10:25:00"/>
    <d v="2025-08-05T00:00:00"/>
    <x v="81"/>
    <s v="BG22816"/>
    <d v="2025-08-01T00:00:00"/>
    <d v="1899-12-30T16:53:00"/>
    <x v="4"/>
    <s v="CARTAGO"/>
    <s v="DMB 11 X 25 KG"/>
    <n v="1100"/>
    <n v="44"/>
    <n v="20185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HALQUINOX 800 X 25 KG"/>
    <n v="200"/>
    <n v="8"/>
    <n v="20500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FENIFLOR PREMIX X 25 KG"/>
    <n v="600"/>
    <n v="24"/>
    <n v="39000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CLORTETRAX 20 % X 25 KG"/>
    <n v="300"/>
    <n v="12"/>
    <n v="4800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CIPROFLOX X 5 KG"/>
    <n v="100"/>
    <n v="4"/>
    <n v="5300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TILVASYN X 25 KG"/>
    <n v="150"/>
    <n v="6"/>
    <n v="28500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TILOMIIX 250 PREMIX X 25 KG"/>
    <n v="25"/>
    <n v="1"/>
    <n v="1412000"/>
    <d v="2025-08-05T00:00:00"/>
    <d v="2025-08-05T00:00:00"/>
    <x v="0"/>
  </r>
  <r>
    <m/>
    <m/>
    <d v="2025-08-01T00:00:00"/>
    <d v="1899-12-30T17:00:00"/>
    <d v="2025-08-04T00:00:00"/>
    <x v="83"/>
    <s v="BG22768"/>
    <d v="2025-08-01T00:00:00"/>
    <d v="1899-12-30T17:13:00"/>
    <x v="9"/>
    <s v="BUCARAMANGA"/>
    <s v="CIPROFLOX X 1KG"/>
    <n v="2"/>
    <n v="2"/>
    <n v="113700"/>
    <d v="2025-08-05T00:00:00"/>
    <d v="2025-08-04T00:00:00"/>
    <x v="10"/>
  </r>
  <r>
    <m/>
    <s v="004-OSC-49013"/>
    <d v="2025-08-01T00:00:00"/>
    <d v="1899-12-30T14:43:00"/>
    <d v="2025-08-05T00:00:00"/>
    <x v="84"/>
    <s v="BG22817"/>
    <d v="2025-08-01T00:00:00"/>
    <d v="1899-12-30T17:15:00"/>
    <x v="4"/>
    <s v="CARTAGO"/>
    <s v="LOTUS X 10 KG"/>
    <n v="150"/>
    <n v="15"/>
    <n v="5775000"/>
    <d v="2025-08-05T00:00:00"/>
    <d v="2025-08-05T00:00:00"/>
    <x v="0"/>
  </r>
  <r>
    <m/>
    <s v="103-OCC-00036185"/>
    <d v="2025-08-01T00:00:00"/>
    <d v="1899-12-30T12:30:00"/>
    <d v="2025-08-05T00:00:00"/>
    <x v="85"/>
    <s v="BG22731"/>
    <d v="2025-08-01T00:00:00"/>
    <d v="1899-12-30T17:22:00"/>
    <x v="13"/>
    <s v="GIRARDOTA"/>
    <s v="FRACTAL P X 25 KG"/>
    <n v="1000"/>
    <n v="40"/>
    <n v="25500000"/>
    <d v="2025-08-05T00:00:00"/>
    <d v="2025-08-05T00:00:00"/>
    <x v="0"/>
  </r>
  <r>
    <m/>
    <s v="CFMP-1316"/>
    <d v="2025-08-02T00:00:00"/>
    <d v="1899-12-30T09:24:00"/>
    <d v="2025-08-05T00:00:00"/>
    <x v="86"/>
    <s v="BG22780"/>
    <d v="2025-08-01T00:00:00"/>
    <d v="1899-12-30T09:45:00"/>
    <x v="14"/>
    <s v="NUTRITEC"/>
    <s v="FRACTAL P X 25 KG"/>
    <n v="150"/>
    <n v="6"/>
    <n v="3825000"/>
    <d v="2025-08-05T00:00:00"/>
    <d v="2025-08-05T00:00:00"/>
    <x v="0"/>
  </r>
  <r>
    <m/>
    <s v="CFMP-1316"/>
    <d v="2025-08-02T00:00:00"/>
    <d v="1899-12-30T09:24:00"/>
    <d v="2025-08-05T00:00:00"/>
    <x v="86"/>
    <s v="BG22780"/>
    <d v="2025-08-01T00:00:00"/>
    <d v="1899-12-30T09:45:00"/>
    <x v="14"/>
    <s v="NUTRITEC"/>
    <s v="CLORTETRAX 20 % X 25 KG"/>
    <n v="200"/>
    <n v="8"/>
    <n v="3240000"/>
    <d v="2025-08-05T00:00:00"/>
    <d v="2025-08-05T00:00:00"/>
    <x v="0"/>
  </r>
  <r>
    <s v="TRANSPORTE "/>
    <s v="001-OC -00008115"/>
    <d v="2025-08-01T00:00:00"/>
    <d v="1899-12-30T17:25:00"/>
    <d v="2025-08-05T00:00:00"/>
    <x v="87"/>
    <s v="BG22747"/>
    <d v="2025-08-04T00:00:00"/>
    <d v="1899-12-30T10:01:00"/>
    <x v="25"/>
    <s v="YUMBO"/>
    <s v="ACCUREMAX 10 % X 25 KG"/>
    <n v="50"/>
    <n v="2"/>
    <n v="11750000"/>
    <d v="2025-08-05T00:00:00"/>
    <d v="2025-08-05T00:00:00"/>
    <x v="0"/>
  </r>
  <r>
    <s v="TRANSPORTE "/>
    <s v="001-OC -00008115"/>
    <d v="2025-08-01T00:00:00"/>
    <d v="1899-12-30T17:25:00"/>
    <d v="2025-08-05T00:00:00"/>
    <x v="87"/>
    <s v="BG22747"/>
    <d v="2025-08-04T00:00:00"/>
    <d v="1899-12-30T10:01:00"/>
    <x v="25"/>
    <s v="YUMBO"/>
    <s v="FRACTAL P X 25 KG"/>
    <n v="500"/>
    <n v="20"/>
    <n v="12750000"/>
    <d v="2025-08-05T00:00:00"/>
    <d v="2025-08-05T00:00:00"/>
    <x v="0"/>
  </r>
  <r>
    <s v="TRANSPORTE "/>
    <s v="001-OC -00008115"/>
    <d v="2025-08-01T00:00:00"/>
    <d v="1899-12-30T17:25:00"/>
    <d v="2025-08-05T00:00:00"/>
    <x v="87"/>
    <s v="BG22747"/>
    <d v="2025-08-04T00:00:00"/>
    <d v="1899-12-30T10:01:00"/>
    <x v="25"/>
    <s v="YUMBO"/>
    <s v="CLORTETRAX 20 % X 25 KG"/>
    <n v="300"/>
    <n v="12"/>
    <n v="4800000"/>
    <d v="2025-08-05T00:00:00"/>
    <d v="2025-08-05T00:00:00"/>
    <x v="0"/>
  </r>
  <r>
    <m/>
    <s v="001-OC-070222"/>
    <d v="2025-08-04T00:00:00"/>
    <d v="1899-12-30T08:01:00"/>
    <d v="2025-08-04T00:00:00"/>
    <x v="88"/>
    <s v="BG22759"/>
    <d v="2025-08-04T00:00:00"/>
    <d v="1899-12-30T10:52:00"/>
    <x v="27"/>
    <s v="BUGA"/>
    <s v="FOSMYCINA 90 X 500 GR"/>
    <n v="20"/>
    <n v="40"/>
    <n v="9919800"/>
    <d v="2025-08-04T00:00:00"/>
    <d v="2025-08-04T00:00:00"/>
    <x v="0"/>
  </r>
  <r>
    <m/>
    <s v="001-OC-070222"/>
    <d v="2025-08-04T00:00:00"/>
    <d v="1899-12-30T08:01:00"/>
    <d v="2025-08-06T00:00:00"/>
    <x v="89"/>
    <s v="BG22760"/>
    <d v="2025-08-04T00:00:00"/>
    <d v="1899-12-30T10:52:00"/>
    <x v="27"/>
    <s v="BUGA"/>
    <s v="FOSMYCINA 90 X 500 GR"/>
    <n v="32"/>
    <n v="64"/>
    <n v="15871680"/>
    <d v="2025-08-04T00:00:00"/>
    <d v="2025-08-06T00:00:00"/>
    <x v="4"/>
  </r>
  <r>
    <m/>
    <s v="1228632"/>
    <d v="2025-08-01T00:00:00"/>
    <d v="1899-12-30T12:23:00"/>
    <d v="2025-08-11T00:00:00"/>
    <x v="90"/>
    <s v="BG22848"/>
    <d v="2025-08-04T00:00:00"/>
    <d v="1899-12-30T12:24:00"/>
    <x v="6"/>
    <s v="BOGOTA"/>
    <s v="ACCUREMAX X 25 KG"/>
    <n v="150"/>
    <n v="6"/>
    <n v="7950000"/>
    <d v="2025-08-11T00:00:00"/>
    <d v="2025-08-11T00:00:00"/>
    <x v="0"/>
  </r>
  <r>
    <m/>
    <s v="1228768 "/>
    <d v="2025-08-01T00:00:00"/>
    <d v="1899-12-30T12:20:00"/>
    <d v="2025-08-08T00:00:00"/>
    <x v="91"/>
    <s v="BG22847"/>
    <d v="2025-08-04T00:00:00"/>
    <d v="1899-12-30T12:24:00"/>
    <x v="5"/>
    <s v="BUGA"/>
    <s v="ACCUREMAX X 25 KG"/>
    <n v="250"/>
    <n v="10"/>
    <n v="13250000"/>
    <d v="2025-08-11T00:00:00"/>
    <d v="2025-08-08T00:00:00"/>
    <x v="2"/>
  </r>
  <r>
    <m/>
    <s v="1228787"/>
    <d v="2025-08-01T00:00:00"/>
    <d v="1899-12-30T15:27:00"/>
    <d v="2025-08-06T00:00:00"/>
    <x v="92"/>
    <s v="BG22741"/>
    <d v="2025-08-04T00:00:00"/>
    <d v="1899-12-30T12:37:00"/>
    <x v="5"/>
    <s v="CIENAGA"/>
    <s v="LOTUS X 10 KG"/>
    <n v="20"/>
    <n v="2"/>
    <n v="690000"/>
    <d v="2025-08-05T00:00:00"/>
    <d v="2025-08-06T00:00:00"/>
    <x v="6"/>
  </r>
  <r>
    <m/>
    <s v="1228914"/>
    <d v="2025-08-01T00:00:00"/>
    <d v="1899-12-30T16:50:00"/>
    <d v="2025-08-05T00:00:00"/>
    <x v="93"/>
    <s v="BG22742"/>
    <d v="2025-08-04T00:00:00"/>
    <d v="1899-12-30T12:40:00"/>
    <x v="5"/>
    <s v="BUCARAMANGA"/>
    <s v="LOTUS X 10 KG"/>
    <n v="40"/>
    <n v="4"/>
    <n v="1380000"/>
    <d v="2025-08-06T00:00:00"/>
    <d v="2025-08-05T00:00:00"/>
    <x v="10"/>
  </r>
  <r>
    <m/>
    <s v="1228945"/>
    <d v="2025-08-01T00:00:00"/>
    <d v="1899-12-30T17:09:00"/>
    <d v="2025-08-08T00:00:00"/>
    <x v="94"/>
    <s v="BG22846"/>
    <d v="2025-08-04T00:00:00"/>
    <d v="1899-12-30T12:55:00"/>
    <x v="6"/>
    <s v="CARTAGO"/>
    <s v="ACCUREMAX X 25 KG"/>
    <n v="100"/>
    <n v="4"/>
    <n v="5300000"/>
    <d v="2025-08-11T00:00:00"/>
    <d v="2025-08-08T00:00:00"/>
    <x v="2"/>
  </r>
  <r>
    <s v="INVENTARIO"/>
    <s v="1229052 "/>
    <d v="2025-08-01T00:00:00"/>
    <d v="1899-12-30T19:46:00"/>
    <d v="2025-08-08T00:00:00"/>
    <x v="95"/>
    <s v="BG22845"/>
    <d v="2025-08-04T00:00:00"/>
    <d v="1899-12-30T12:57:00"/>
    <x v="5"/>
    <s v="MOSQUERA"/>
    <s v="TILCOMIX PREMIX S X 5 KG"/>
    <n v="75"/>
    <n v="15"/>
    <n v="9922500"/>
    <d v="2025-08-08T00:00:00"/>
    <d v="2025-08-08T00:00:00"/>
    <x v="0"/>
  </r>
  <r>
    <m/>
    <s v="4500353403"/>
    <d v="2025-08-02T00:00:00"/>
    <d v="1899-12-30T12:34:00"/>
    <d v="2025-08-12T00:00:00"/>
    <x v="96"/>
    <s v="BG22865"/>
    <d v="2025-08-04T00:00:00"/>
    <d v="1899-12-30T13:13:00"/>
    <x v="2"/>
    <s v="BELLO"/>
    <s v="FRACTAL P X 25 KG"/>
    <n v="200"/>
    <n v="8"/>
    <n v="5100000"/>
    <d v="2025-08-15T00:00:00"/>
    <d v="2025-08-12T00:00:00"/>
    <x v="2"/>
  </r>
  <r>
    <m/>
    <s v="4500081749"/>
    <d v="2025-08-02T00:00:00"/>
    <d v="1899-12-30T13:08:00"/>
    <d v="2025-08-05T00:00:00"/>
    <x v="97"/>
    <s v="BG22786"/>
    <d v="2025-08-04T00:00:00"/>
    <d v="1899-12-30T13:18:00"/>
    <x v="42"/>
    <s v="PREMEX MEDELLIN"/>
    <s v="HALQUINOX 800 X 25 KG"/>
    <n v="2000"/>
    <n v="80"/>
    <n v="145734000"/>
    <d v="2025-08-05T00:00:00"/>
    <d v="2025-08-05T00:00:00"/>
    <x v="0"/>
  </r>
  <r>
    <m/>
    <s v="4500081749"/>
    <d v="2025-08-02T00:00:00"/>
    <d v="1899-12-30T13:08:00"/>
    <d v="2025-08-05T00:00:00"/>
    <x v="97"/>
    <s v="BG22786"/>
    <d v="2025-08-04T00:00:00"/>
    <d v="1899-12-30T13:18:00"/>
    <x v="42"/>
    <s v="PREMEX MEDELLIN"/>
    <s v="DINAMIX 800 X 25 KILOS"/>
    <n v="1000"/>
    <n v="40"/>
    <n v="123150000"/>
    <d v="2025-08-05T00:00:00"/>
    <d v="2025-08-05T00:00:00"/>
    <x v="0"/>
  </r>
  <r>
    <m/>
    <s v="1229348 "/>
    <d v="2025-08-04T00:00:00"/>
    <d v="1899-12-30T09:08:00"/>
    <d v="2025-08-05T00:00:00"/>
    <x v="98"/>
    <s v="BG22748"/>
    <d v="2025-08-04T00:00:00"/>
    <d v="1899-12-30T13:25:00"/>
    <x v="43"/>
    <s v="CALDAS- ANTIOQUIA"/>
    <s v="FRACTAL L X 20 KILOS"/>
    <n v="160"/>
    <n v="6.4"/>
    <n v="5520000"/>
    <d v="2025-08-05T00:00:00"/>
    <d v="2025-08-05T00:00:00"/>
    <x v="0"/>
  </r>
  <r>
    <m/>
    <s v="OCO-00009626"/>
    <d v="2025-08-04T00:00:00"/>
    <d v="1899-12-30T11:16:00"/>
    <d v="2025-08-08T00:00:00"/>
    <x v="99"/>
    <s v="BG22818"/>
    <d v="2025-08-04T00:00:00"/>
    <d v="1899-12-30T13:29:00"/>
    <x v="44"/>
    <s v="BOGOTA"/>
    <s v="NORFLOX X 1 KG"/>
    <n v="96"/>
    <n v="96"/>
    <n v="5328000"/>
    <d v="2025-08-05T00:00:00"/>
    <d v="2025-08-08T00:00:00"/>
    <x v="3"/>
  </r>
  <r>
    <m/>
    <s v="105-OCC-16565"/>
    <d v="2025-08-04T00:00:00"/>
    <d v="1899-12-30T11:19:00"/>
    <d v="2025-08-06T00:00:00"/>
    <x v="100"/>
    <s v="BG22765"/>
    <d v="2025-08-04T00:00:00"/>
    <d v="1899-12-30T13:32:00"/>
    <x v="13"/>
    <s v="PEREIRA"/>
    <s v="NEOCYN X 25 KG "/>
    <n v="200"/>
    <n v="8"/>
    <n v="14000000"/>
    <d v="2025-08-06T00:00:00"/>
    <d v="2025-08-06T00:00:00"/>
    <x v="0"/>
  </r>
  <r>
    <m/>
    <s v="105-OCC-16565"/>
    <d v="2025-08-04T00:00:00"/>
    <d v="1899-12-30T11:19:00"/>
    <d v="2025-08-06T00:00:00"/>
    <x v="100"/>
    <s v="BG22765"/>
    <d v="2025-08-04T00:00:00"/>
    <d v="1899-12-30T13:32:00"/>
    <x v="13"/>
    <s v="PEREIRA"/>
    <s v="DMB 11 X 25 KG"/>
    <n v="1000"/>
    <n v="40"/>
    <n v="18200000"/>
    <d v="2025-08-06T00:00:00"/>
    <d v="2025-08-06T00:00:00"/>
    <x v="0"/>
  </r>
  <r>
    <m/>
    <s v="90.929"/>
    <d v="2025-08-04T00:00:00"/>
    <d v="1899-12-30T11:41:00"/>
    <d v="2025-08-13T00:00:00"/>
    <x v="101"/>
    <s v="BG22864"/>
    <d v="2025-08-04T00:00:00"/>
    <d v="1899-12-30T13:38:00"/>
    <x v="45"/>
    <s v="BUGA"/>
    <s v="FOSMYCINA 90 X 500 GR"/>
    <n v="5"/>
    <n v="10"/>
    <n v="2475000"/>
    <d v="2025-08-13T00:00:00"/>
    <d v="2025-08-13T00:00:00"/>
    <x v="0"/>
  </r>
  <r>
    <m/>
    <s v="90.929"/>
    <d v="2025-08-04T00:00:00"/>
    <d v="1899-12-30T11:41:00"/>
    <d v="2025-08-13T00:00:00"/>
    <x v="101"/>
    <s v="BG22864"/>
    <d v="2025-08-04T00:00:00"/>
    <d v="1899-12-30T13:38:00"/>
    <x v="45"/>
    <s v="BUGA"/>
    <s v="FENIFLOR ORAL X 500 GR"/>
    <n v="10"/>
    <n v="20"/>
    <n v="972000"/>
    <d v="2025-08-13T00:00:00"/>
    <d v="2025-08-13T00:00:00"/>
    <x v="0"/>
  </r>
  <r>
    <m/>
    <s v="90.929"/>
    <d v="2025-08-04T00:00:00"/>
    <d v="1899-12-30T11:41:00"/>
    <d v="2025-08-13T00:00:00"/>
    <x v="101"/>
    <s v="BG22864"/>
    <d v="2025-08-04T00:00:00"/>
    <d v="1899-12-30T13:38:00"/>
    <x v="45"/>
    <s v="BUGA"/>
    <s v="AMOXIN X 1 KG"/>
    <n v="30"/>
    <n v="30"/>
    <n v="4350000"/>
    <d v="2025-08-13T00:00:00"/>
    <d v="2025-08-13T00:00:00"/>
    <x v="0"/>
  </r>
  <r>
    <m/>
    <s v="90.931"/>
    <d v="2025-08-04T00:00:00"/>
    <d v="1899-12-30T11:41:00"/>
    <d v="2025-08-06T00:00:00"/>
    <x v="102"/>
    <s v="BG22799"/>
    <d v="2025-08-04T00:00:00"/>
    <d v="1899-12-30T13:38:00"/>
    <x v="41"/>
    <s v="BUGA"/>
    <s v="FRACTAL L X 20 KILOS"/>
    <n v="1200"/>
    <n v="60"/>
    <n v="46620000"/>
    <d v="2025-08-06T00:00:00"/>
    <d v="2025-08-06T00:00:00"/>
    <x v="0"/>
  </r>
  <r>
    <m/>
    <s v="90.927"/>
    <d v="2025-08-04T00:00:00"/>
    <d v="1899-12-30T11:41:00"/>
    <d v="2025-08-13T00:00:00"/>
    <x v="103"/>
    <s v="BG22863"/>
    <d v="2025-08-04T00:00:00"/>
    <d v="1899-12-30T13:38:00"/>
    <x v="46"/>
    <s v="BUGA"/>
    <s v="FOSMYCINA 90 X 500 GR"/>
    <n v="10"/>
    <n v="20"/>
    <n v="4950000"/>
    <d v="2025-08-13T00:00:00"/>
    <d v="2025-08-13T00:00:00"/>
    <x v="0"/>
  </r>
  <r>
    <m/>
    <s v="90.927"/>
    <d v="2025-08-04T00:00:00"/>
    <d v="1899-12-30T11:41:00"/>
    <d v="2025-08-13T00:00:00"/>
    <x v="103"/>
    <s v="BG22863"/>
    <d v="2025-08-04T00:00:00"/>
    <d v="1899-12-30T13:38:00"/>
    <x v="46"/>
    <s v="BUGA"/>
    <s v="FENIFLOR ORAL X 500 GR"/>
    <n v="500"/>
    <n v="1000"/>
    <n v="48600000"/>
    <d v="2025-08-13T00:00:00"/>
    <d v="2025-08-13T00:00:00"/>
    <x v="0"/>
  </r>
  <r>
    <m/>
    <s v="90.927"/>
    <d v="2025-08-04T00:00:00"/>
    <d v="1899-12-30T11:41:00"/>
    <d v="2025-08-13T00:00:00"/>
    <x v="103"/>
    <s v="BG22863"/>
    <d v="2025-08-04T00:00:00"/>
    <d v="1899-12-30T13:38:00"/>
    <x v="46"/>
    <s v="BUGA"/>
    <s v="NORFLOX X 1 KG"/>
    <n v="30"/>
    <n v="30"/>
    <n v="1800000"/>
    <d v="2025-08-13T00:00:00"/>
    <d v="2025-08-13T00:00:00"/>
    <x v="0"/>
  </r>
  <r>
    <m/>
    <s v="90.927"/>
    <d v="2025-08-04T00:00:00"/>
    <d v="1899-12-30T11:41:00"/>
    <d v="2025-08-13T00:00:00"/>
    <x v="103"/>
    <s v="BG22863"/>
    <d v="2025-08-04T00:00:00"/>
    <d v="1899-12-30T13:38:00"/>
    <x v="46"/>
    <s v="BUGA"/>
    <s v="AMOXIN X 1 KG"/>
    <n v="60"/>
    <n v="60"/>
    <n v="8700000"/>
    <d v="2025-08-13T00:00:00"/>
    <d v="2025-08-13T00:00:00"/>
    <x v="0"/>
  </r>
  <r>
    <m/>
    <s v="90.930"/>
    <d v="2025-08-04T00:00:00"/>
    <d v="1899-12-30T11:41:00"/>
    <d v="2025-08-19T00:00:00"/>
    <x v="104"/>
    <s v="BG22922"/>
    <d v="2025-08-04T00:00:00"/>
    <d v="1899-12-30T13:55:00"/>
    <x v="47"/>
    <s v="BUGA"/>
    <s v="AMOXIN X 1 KG"/>
    <n v="12"/>
    <n v="12"/>
    <n v="1740000"/>
    <d v="2025-08-20T00:00:00"/>
    <d v="2025-08-19T00:00:00"/>
    <x v="10"/>
  </r>
  <r>
    <m/>
    <s v="90.928"/>
    <d v="2025-08-04T00:00:00"/>
    <d v="1899-12-30T11:41:00"/>
    <d v="2025-08-06T00:00:00"/>
    <x v="105"/>
    <s v="BG22819"/>
    <d v="2025-08-04T00:00:00"/>
    <d v="1899-12-30T13:38:00"/>
    <x v="46"/>
    <s v="BUGA"/>
    <s v="FOSMYCINA 90 X 500 GR"/>
    <n v="10"/>
    <n v="20"/>
    <n v="4950000"/>
    <d v="2025-08-06T00:00:00"/>
    <d v="2025-08-06T00:00:00"/>
    <x v="0"/>
  </r>
  <r>
    <m/>
    <s v="90.928"/>
    <d v="2025-08-04T00:00:00"/>
    <d v="1899-12-30T11:41:00"/>
    <d v="2025-08-06T00:00:00"/>
    <x v="105"/>
    <s v="BG22819"/>
    <d v="2025-08-04T00:00:00"/>
    <d v="1899-12-30T13:38:00"/>
    <x v="46"/>
    <s v="BUGA"/>
    <s v="FENIFLOR ORAL X 500 GR"/>
    <n v="500"/>
    <n v="1000"/>
    <n v="48600000"/>
    <d v="2025-08-06T00:00:00"/>
    <d v="2025-08-06T00:00:00"/>
    <x v="0"/>
  </r>
  <r>
    <m/>
    <s v="90.928"/>
    <d v="2025-08-04T00:00:00"/>
    <d v="1899-12-30T11:41:00"/>
    <d v="2025-08-06T00:00:00"/>
    <x v="105"/>
    <s v="BG22819"/>
    <d v="2025-08-04T00:00:00"/>
    <d v="1899-12-30T13:38:00"/>
    <x v="46"/>
    <s v="BUGA"/>
    <s v="NORFLOX X 1 KG"/>
    <n v="30"/>
    <n v="30"/>
    <n v="1800000"/>
    <d v="2025-08-06T00:00:00"/>
    <d v="2025-08-06T00:00:00"/>
    <x v="0"/>
  </r>
  <r>
    <m/>
    <s v="90.928"/>
    <d v="2025-08-04T00:00:00"/>
    <d v="1899-12-30T11:41:00"/>
    <d v="2025-08-06T00:00:00"/>
    <x v="105"/>
    <s v="BG22819"/>
    <d v="2025-08-04T00:00:00"/>
    <d v="1899-12-30T13:38:00"/>
    <x v="46"/>
    <s v="BUGA"/>
    <s v="AMOXIN X 1 KG"/>
    <n v="60"/>
    <n v="60"/>
    <n v="8700000"/>
    <d v="2025-08-06T00:00:00"/>
    <d v="2025-08-06T00:00:00"/>
    <x v="0"/>
  </r>
  <r>
    <m/>
    <s v="OC-COMPR-18079"/>
    <d v="2025-08-04T00:00:00"/>
    <d v="1899-12-30T12:14:00"/>
    <d v="2025-08-05T00:00:00"/>
    <x v="106"/>
    <s v="BG22745"/>
    <d v="2025-08-04T00:00:00"/>
    <d v="1899-12-30T14:03:00"/>
    <x v="19"/>
    <s v="RICAURTE"/>
    <s v="DQCICLIN X 1 KG"/>
    <n v="20"/>
    <n v="20"/>
    <n v="5000000"/>
    <d v="2025-08-06T00:00:00"/>
    <d v="2025-08-05T00:00:00"/>
    <x v="10"/>
  </r>
  <r>
    <m/>
    <s v="4503783234 "/>
    <d v="2025-08-04T00:00:00"/>
    <d v="1899-12-30T12:59:00"/>
    <d v="2025-08-05T00:00:00"/>
    <x v="107"/>
    <s v="BG22785"/>
    <d v="2025-08-04T00:00:00"/>
    <d v="1899-12-30T14:15:00"/>
    <x v="48"/>
    <s v="BUCARAMANGA"/>
    <s v="NORFLOX X 1 KG"/>
    <n v="144"/>
    <n v="144"/>
    <n v="7956000"/>
    <d v="2025-08-06T00:00:00"/>
    <d v="2025-08-05T00:00:00"/>
    <x v="10"/>
  </r>
  <r>
    <m/>
    <n v="4500138962"/>
    <d v="2025-08-04T00:00:00"/>
    <d v="1899-12-30T14:01:00"/>
    <d v="2025-08-05T00:00:00"/>
    <x v="108"/>
    <s v="BG22784"/>
    <d v="2025-08-04T00:00:00"/>
    <d v="1899-12-30T14:24:00"/>
    <x v="49"/>
    <s v="FUSAGASUGA"/>
    <s v="FOSMYCINA 90 X 500 GR"/>
    <n v="12"/>
    <n v="24"/>
    <n v="6090240"/>
    <d v="2025-08-06T00:00:00"/>
    <d v="2025-08-05T00:00:00"/>
    <x v="10"/>
  </r>
  <r>
    <m/>
    <s v="1229557 "/>
    <d v="2025-08-04T00:00:00"/>
    <d v="1899-12-30T13:15:00"/>
    <d v="2025-08-05T00:00:00"/>
    <x v="109"/>
    <s v="BG22754"/>
    <d v="2025-08-04T00:00:00"/>
    <d v="1899-12-30T14:27:00"/>
    <x v="6"/>
    <s v="BOGOTA"/>
    <s v="DINAMIX PREMIX X 25 KG"/>
    <n v="775"/>
    <n v="31"/>
    <n v="16840750"/>
    <d v="2025-08-05T00:00:00"/>
    <d v="2025-08-05T00:00:00"/>
    <x v="0"/>
  </r>
  <r>
    <m/>
    <s v="4500081807"/>
    <d v="2025-08-04T00:00:00"/>
    <d v="1899-12-30T12:30:00"/>
    <d v="2025-08-06T00:00:00"/>
    <x v="110"/>
    <s v="BG22792"/>
    <d v="2025-08-05T00:00:00"/>
    <d v="1899-12-30T10:38:00"/>
    <x v="0"/>
    <s v="CELTA"/>
    <s v="TILOMIIX 250 PREMIX X 25 KG"/>
    <n v="500"/>
    <n v="20"/>
    <n v="25450000"/>
    <d v="2025-08-06T00:00:00"/>
    <d v="2025-08-06T00:00:00"/>
    <x v="0"/>
  </r>
  <r>
    <m/>
    <s v="4500081807"/>
    <d v="2025-08-04T00:00:00"/>
    <d v="1899-12-30T12:30:00"/>
    <d v="2025-08-06T00:00:00"/>
    <x v="110"/>
    <s v="BG22792"/>
    <d v="2025-08-05T00:00:00"/>
    <d v="1899-12-30T10:38:00"/>
    <x v="0"/>
    <s v="CELTA"/>
    <s v="AVINOVA X 25 KG"/>
    <n v="75"/>
    <n v="3"/>
    <n v="1402500"/>
    <d v="2025-08-06T00:00:00"/>
    <d v="2025-08-06T00:00:00"/>
    <x v="0"/>
  </r>
  <r>
    <m/>
    <s v="4500081807"/>
    <d v="2025-08-04T00:00:00"/>
    <d v="1899-12-30T12:30:00"/>
    <d v="2025-08-06T00:00:00"/>
    <x v="110"/>
    <s v="BG22792"/>
    <d v="2025-08-05T00:00:00"/>
    <d v="1899-12-30T10:38:00"/>
    <x v="0"/>
    <s v="CELTA"/>
    <s v="FRACTAL P X 25 KG"/>
    <n v="200"/>
    <n v="8"/>
    <n v="4800000"/>
    <d v="2025-08-06T00:00:00"/>
    <d v="2025-08-06T00:00:00"/>
    <x v="0"/>
  </r>
  <r>
    <m/>
    <s v="4500081807"/>
    <d v="2025-08-04T00:00:00"/>
    <d v="1899-12-30T12:30:00"/>
    <d v="2025-08-06T00:00:00"/>
    <x v="110"/>
    <s v="BG22792"/>
    <d v="2025-08-05T00:00:00"/>
    <d v="1899-12-30T10:38:00"/>
    <x v="0"/>
    <s v="CELTA"/>
    <s v="MONECYL X 25 KG"/>
    <n v="1000"/>
    <n v="40"/>
    <n v="18850000"/>
    <d v="2025-08-06T00:00:00"/>
    <d v="2025-08-06T00:00:00"/>
    <x v="0"/>
  </r>
  <r>
    <m/>
    <s v="ORC-2508002"/>
    <d v="2025-08-04T00:00:00"/>
    <d v="1899-12-30T15:51:00"/>
    <d v="2025-08-06T00:00:00"/>
    <x v="111"/>
    <s v="BG22783"/>
    <d v="2025-08-05T00:00:00"/>
    <d v="1899-12-30T10:44:00"/>
    <x v="50"/>
    <s v="MANIZALES"/>
    <s v="CIPROFLOX X 5 KG"/>
    <n v="100"/>
    <n v="4"/>
    <n v="5500000"/>
    <d v="2025-08-06T00:00:00"/>
    <d v="2025-08-06T00:00:00"/>
    <x v="0"/>
  </r>
  <r>
    <m/>
    <s v="ORC-2508002"/>
    <d v="2025-08-04T00:00:00"/>
    <d v="1899-12-30T15:51:00"/>
    <d v="2025-08-06T00:00:00"/>
    <x v="111"/>
    <s v="BG22783"/>
    <d v="2025-08-05T00:00:00"/>
    <d v="1899-12-30T10:44:00"/>
    <x v="50"/>
    <s v="MANIZALES"/>
    <s v="FENIFLOR PREMIX X 25 KG"/>
    <n v="25"/>
    <n v="1"/>
    <n v="1812500"/>
    <d v="2025-08-06T00:00:00"/>
    <d v="2025-08-06T00:00:00"/>
    <x v="0"/>
  </r>
  <r>
    <m/>
    <s v="ORC-2508002"/>
    <d v="2025-08-04T00:00:00"/>
    <d v="1899-12-30T15:51:00"/>
    <d v="2025-08-06T00:00:00"/>
    <x v="111"/>
    <s v="BG22783"/>
    <d v="2025-08-05T00:00:00"/>
    <d v="1899-12-30T10:44:00"/>
    <x v="50"/>
    <s v="MANIZALES"/>
    <s v="FRACTAL P X 25 KG"/>
    <n v="100"/>
    <n v="4"/>
    <n v="2550000"/>
    <d v="2025-08-06T00:00:00"/>
    <d v="2025-08-06T00:00:00"/>
    <x v="0"/>
  </r>
  <r>
    <m/>
    <s v="ORC-2508002"/>
    <d v="2025-08-04T00:00:00"/>
    <d v="1899-12-30T15:51:00"/>
    <d v="2025-08-06T00:00:00"/>
    <x v="111"/>
    <s v="BG22783"/>
    <d v="2025-08-05T00:00:00"/>
    <d v="1899-12-30T10:44:00"/>
    <x v="50"/>
    <s v="MANIZALES"/>
    <s v="CELMANAX X 25 KG"/>
    <n v="250"/>
    <n v="10"/>
    <n v="4328750"/>
    <d v="2025-08-06T00:00:00"/>
    <d v="2025-08-06T00:00:00"/>
    <x v="0"/>
  </r>
  <r>
    <s v="INVENTARIO"/>
    <s v="1229765"/>
    <d v="2025-08-04T00:00:00"/>
    <d v="1899-12-30T16:56:00"/>
    <d v="2025-08-09T00:00:00"/>
    <x v="112"/>
    <s v="BG22844"/>
    <d v="2025-08-05T00:00:00"/>
    <d v="1899-12-30T11:00:00"/>
    <x v="6"/>
    <s v="ENVIGADO"/>
    <s v="TILCOMIX PREMIX S X 5 KG"/>
    <n v="225"/>
    <n v="45"/>
    <n v="29767500"/>
    <d v="2025-08-06T00:00:00"/>
    <d v="2025-08-09T00:00:00"/>
    <x v="3"/>
  </r>
  <r>
    <s v="INVENTARIO"/>
    <s v="1229861 "/>
    <d v="2025-08-04T00:00:00"/>
    <d v="1899-12-30T17:39:00"/>
    <d v="2025-08-12T00:00:00"/>
    <x v="113"/>
    <s v="BG22843"/>
    <d v="2025-08-05T00:00:00"/>
    <d v="1899-12-30T12:27:00"/>
    <x v="6"/>
    <s v="CARTAGO"/>
    <s v="TILCOMIX PREMIX S X 5 KG"/>
    <n v="25"/>
    <n v="5"/>
    <n v="3307500"/>
    <d v="2025-08-06T00:00:00"/>
    <d v="2025-08-12T00:00:00"/>
    <x v="9"/>
  </r>
  <r>
    <m/>
    <s v="1229902"/>
    <d v="2025-08-04T00:00:00"/>
    <d v="1899-12-30T19:12:00"/>
    <d v="2025-08-06T00:00:00"/>
    <x v="114"/>
    <s v="BG22749"/>
    <d v="2025-08-05T00:00:00"/>
    <d v="1899-12-30T12:34:00"/>
    <x v="43"/>
    <s v="PEREIRA"/>
    <s v="FOSMYCINA 90 X 500 GR"/>
    <n v="60"/>
    <n v="120"/>
    <n v="24648000"/>
    <d v="2025-08-06T00:00:00"/>
    <d v="2025-08-06T00:00:00"/>
    <x v="0"/>
  </r>
  <r>
    <m/>
    <s v="1230210"/>
    <d v="2025-08-05T00:00:00"/>
    <d v="1899-12-30T10:59:00"/>
    <d v="2025-08-09T00:00:00"/>
    <x v="115"/>
    <s v="BG22743"/>
    <d v="2025-08-05T00:00:00"/>
    <d v="1899-12-30T12:36:00"/>
    <x v="5"/>
    <s v="CIENAGA"/>
    <s v="ACCUREMAX X 25 KG"/>
    <n v="100"/>
    <n v="4"/>
    <n v="5300000"/>
    <d v="2025-08-08T00:00:00"/>
    <d v="2025-08-09T00:00:00"/>
    <x v="6"/>
  </r>
  <r>
    <m/>
    <s v="OC-COMPR-18121"/>
    <d v="2025-08-05T00:00:00"/>
    <d v="1899-12-30T11:39:00"/>
    <d v="2025-08-08T00:00:00"/>
    <x v="116"/>
    <s v="BG22820"/>
    <d v="2025-08-05T00:00:00"/>
    <d v="1899-12-30T13:15:00"/>
    <x v="19"/>
    <s v="RICAURTE"/>
    <s v="CLORTETRAX 20 % X 25 KG"/>
    <n v="50"/>
    <n v="2"/>
    <n v="1015000"/>
    <d v="2025-08-06T00:00:00"/>
    <d v="2025-08-08T00:00:00"/>
    <x v="4"/>
  </r>
  <r>
    <m/>
    <s v="OC-COMPR-18121"/>
    <d v="2025-08-05T00:00:00"/>
    <d v="1899-12-30T11:39:00"/>
    <d v="2025-08-08T00:00:00"/>
    <x v="116"/>
    <s v="BG22820"/>
    <d v="2025-08-05T00:00:00"/>
    <d v="1899-12-30T13:15:00"/>
    <x v="19"/>
    <s v="RICAURTE"/>
    <s v="CIGNUS X 20 KILOS"/>
    <n v="20"/>
    <n v="1"/>
    <n v="880000"/>
    <d v="2025-08-06T00:00:00"/>
    <d v="2025-08-08T00:00:00"/>
    <x v="4"/>
  </r>
  <r>
    <s v="INVENTARIO"/>
    <s v="OC-COMPR-18406"/>
    <d v="2025-08-05T00:00:00"/>
    <d v="1899-12-30T11:39:00"/>
    <d v="2025-08-20T00:00:00"/>
    <x v="116"/>
    <s v="BG22953"/>
    <d v="2025-08-05T00:00:00"/>
    <d v="1899-12-30T13:15:00"/>
    <x v="19"/>
    <s v="RICAURTE"/>
    <s v="CIGNUS X 20 KILOS"/>
    <n v="380"/>
    <n v="19"/>
    <n v="16720000"/>
    <d v="2025-08-06T00:00:00"/>
    <d v="2025-08-20T00:00:00"/>
    <x v="15"/>
  </r>
  <r>
    <m/>
    <s v="5503647874"/>
    <d v="2025-08-05T00:00:00"/>
    <d v="1899-12-30T07:53:00"/>
    <d v="2025-08-06T00:00:00"/>
    <x v="117"/>
    <s v="BG22821"/>
    <d v="2025-08-05T00:00:00"/>
    <d v="1899-12-30T13:23:00"/>
    <x v="51"/>
    <s v="BUCARAMANGA"/>
    <s v="TRIMBAC X 5 KG"/>
    <n v="50"/>
    <n v="10"/>
    <n v="7125000"/>
    <d v="2025-08-06T00:00:00"/>
    <d v="2025-08-06T00:00:00"/>
    <x v="0"/>
  </r>
  <r>
    <m/>
    <s v="OC7556"/>
    <d v="2025-08-05T00:00:00"/>
    <d v="1899-12-30T14:30:00"/>
    <d v="2025-08-06T00:00:00"/>
    <x v="118"/>
    <s v="BG22822"/>
    <d v="2025-08-05T00:00:00"/>
    <d v="1899-12-30T14:44:00"/>
    <x v="52"/>
    <s v="ALBATEQ"/>
    <s v="DINAMIX PREMIX X 25 KG"/>
    <n v="250"/>
    <n v="10"/>
    <n v="6519000"/>
    <d v="2025-08-06T00:00:00"/>
    <d v="2025-08-06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MICRO AID X 25 KG"/>
    <n v="250"/>
    <n v="10"/>
    <n v="130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DMB 11 X 25 KG"/>
    <n v="1500"/>
    <n v="60"/>
    <n v="264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CIPROFLOX X 5 KG"/>
    <n v="600"/>
    <n v="24"/>
    <n v="279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SMOOTH SWEET X 5 KG"/>
    <n v="45"/>
    <n v="1.8"/>
    <n v="45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CELERITY NP X 25 KG"/>
    <n v="5000"/>
    <n v="200"/>
    <n v="53300000"/>
    <d v="2025-08-08T00:00:00"/>
    <d v="2025-08-08T00:00:00"/>
    <x v="0"/>
  </r>
  <r>
    <s v="INVENTARIO"/>
    <s v="4500081859"/>
    <d v="2025-08-05T00:00:00"/>
    <d v="1899-12-30T12:21:00"/>
    <d v="2025-08-09T00:00:00"/>
    <x v="119"/>
    <s v="BG22803"/>
    <d v="2025-08-05T00:00:00"/>
    <d v="1899-12-30T16:43:00"/>
    <x v="0"/>
    <s v="MEDELLIN"/>
    <s v="TILCOMIX PREMIX S X 5 KG"/>
    <n v="500"/>
    <n v="200"/>
    <n v="66150000"/>
    <d v="2025-08-08T00:00:00"/>
    <d v="2025-08-09T00:00:00"/>
    <x v="6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TILOMIIX 250 PREMIX X 25 KG"/>
    <n v="1000"/>
    <n v="40"/>
    <n v="49900000"/>
    <d v="2025-08-08T00:00:00"/>
    <d v="2025-08-08T00:00:00"/>
    <x v="0"/>
  </r>
  <r>
    <s v="INVENTARIO"/>
    <s v="4500081859"/>
    <d v="2025-08-05T00:00:00"/>
    <d v="1899-12-30T12:21:00"/>
    <d v="2025-08-08T00:00:00"/>
    <x v="119"/>
    <s v="BG22872"/>
    <d v="2025-08-05T00:00:00"/>
    <d v="1899-12-30T16:43:00"/>
    <x v="0"/>
    <s v="MEDELLIN"/>
    <s v="FRACTAL P X 25 KG"/>
    <n v="50"/>
    <n v="2"/>
    <n v="126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FRACTAL P X 25 KG"/>
    <n v="950"/>
    <n v="38"/>
    <n v="234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MONECYL X 25 KG"/>
    <n v="1000"/>
    <n v="40"/>
    <n v="18850000"/>
    <d v="2025-08-08T00:00:00"/>
    <d v="2025-08-08T00:00:00"/>
    <x v="0"/>
  </r>
  <r>
    <s v="INVENTARIO"/>
    <s v="4500081859"/>
    <d v="2025-08-05T00:00:00"/>
    <d v="1899-12-30T12:21:00"/>
    <d v="2025-08-22T00:00:00"/>
    <x v="119"/>
    <s v="BG22959"/>
    <d v="2025-08-05T00:00:00"/>
    <d v="1899-12-30T16:43:00"/>
    <x v="0"/>
    <s v="MEDELLIN"/>
    <s v="CIGNUS X 20 KILOS"/>
    <n v="100"/>
    <n v="4"/>
    <n v="3450000"/>
    <d v="2025-08-08T00:00:00"/>
    <d v="2025-08-22T00:00:00"/>
    <x v="15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AMOXIN X 1 KG"/>
    <n v="100"/>
    <n v="4"/>
    <n v="13355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NEOCYN X 25 KG "/>
    <n v="300"/>
    <n v="12"/>
    <n v="1851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LOTUS X 10 KG"/>
    <n v="1000"/>
    <n v="40"/>
    <n v="318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SAGAH X 25 KILOS"/>
    <n v="500"/>
    <n v="20"/>
    <n v="151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FENIFLOR PREMIX X 25 KG"/>
    <n v="300"/>
    <n v="12"/>
    <n v="15876000"/>
    <d v="2025-08-08T00:00:00"/>
    <d v="2025-08-08T00:00:00"/>
    <x v="0"/>
  </r>
  <r>
    <s v="INVENTARIO"/>
    <s v="4500353459"/>
    <d v="2025-08-05T00:00:00"/>
    <d v="1899-12-30T14:03:00"/>
    <d v="2025-08-11T00:00:00"/>
    <x v="120"/>
    <s v="BG22842"/>
    <d v="2025-08-06T00:00:00"/>
    <d v="1899-12-30T09:05:00"/>
    <x v="2"/>
    <s v="BELLO"/>
    <s v="FRACTAL P X 25 KG"/>
    <n v="100"/>
    <n v="4"/>
    <n v="2550000"/>
    <d v="2025-08-08T00:00:00"/>
    <d v="2025-08-11T00:00:00"/>
    <x v="3"/>
  </r>
  <r>
    <m/>
    <m/>
    <d v="2025-08-05T00:00:00"/>
    <d v="1899-12-30T15:08:00"/>
    <d v="2025-08-06T00:00:00"/>
    <x v="121"/>
    <s v="BG22791"/>
    <d v="2025-08-06T00:00:00"/>
    <d v="1899-12-30T09:40:00"/>
    <x v="53"/>
    <s v="SAN PEDRO"/>
    <s v="NEOCYN X 25 KG "/>
    <n v="25"/>
    <n v="1"/>
    <n v="1800000"/>
    <d v="2025-08-06T00:00:00"/>
    <d v="2025-08-06T00:00:00"/>
    <x v="0"/>
  </r>
  <r>
    <m/>
    <m/>
    <d v="2025-08-05T00:00:00"/>
    <d v="1899-12-30T15:08:00"/>
    <d v="2025-08-06T00:00:00"/>
    <x v="121"/>
    <s v="BG22791"/>
    <d v="2025-08-06T00:00:00"/>
    <d v="1899-12-30T09:40:00"/>
    <x v="53"/>
    <s v="SAN PEDRO"/>
    <s v="DINAMIX 200 PREMIX X 25 KG"/>
    <n v="25"/>
    <n v="1"/>
    <n v="1300000"/>
    <d v="2025-08-06T00:00:00"/>
    <d v="2025-08-06T00:00:00"/>
    <x v="0"/>
  </r>
  <r>
    <m/>
    <m/>
    <d v="2025-08-05T00:00:00"/>
    <d v="1899-12-30T15:08:00"/>
    <d v="2025-08-06T00:00:00"/>
    <x v="121"/>
    <s v="BG22791"/>
    <d v="2025-08-06T00:00:00"/>
    <d v="1899-12-30T09:40:00"/>
    <x v="53"/>
    <s v="SAN PEDRO"/>
    <s v="CLORTETRAX 20 % X 25 KG"/>
    <n v="25"/>
    <n v="1"/>
    <n v="400000"/>
    <d v="2025-08-06T00:00:00"/>
    <d v="2025-08-06T00:00:00"/>
    <x v="0"/>
  </r>
  <r>
    <m/>
    <m/>
    <d v="2025-08-05T00:00:00"/>
    <d v="1899-12-30T15:08:00"/>
    <d v="2025-08-06T00:00:00"/>
    <x v="121"/>
    <s v="BG22791"/>
    <d v="2025-08-06T00:00:00"/>
    <d v="1899-12-30T09:40:00"/>
    <x v="53"/>
    <s v="SAN PEDRO"/>
    <s v="FENIFLOR PREMIX X 25 KG"/>
    <n v="20"/>
    <n v="4"/>
    <n v="1380000"/>
    <d v="2025-08-06T00:00:00"/>
    <d v="2025-08-06T00:00:00"/>
    <x v="0"/>
  </r>
  <r>
    <m/>
    <s v="OC 024"/>
    <d v="2025-08-05T00:00:00"/>
    <d v="1899-12-30T15:52:00"/>
    <d v="2025-08-08T00:00:00"/>
    <x v="122"/>
    <s v="BG22823"/>
    <d v="2025-08-06T00:00:00"/>
    <d v="1899-12-30T09:44:00"/>
    <x v="35"/>
    <s v="ITAGUI"/>
    <s v="DQCICLIN X 1 KG"/>
    <n v="20"/>
    <n v="20"/>
    <n v="5700000"/>
    <d v="2025-08-06T00:00:00"/>
    <d v="2025-08-08T00:00:00"/>
    <x v="4"/>
  </r>
  <r>
    <m/>
    <s v="4500081823"/>
    <d v="2025-08-05T00:00:00"/>
    <d v="1899-12-30T18:02:00"/>
    <d v="2025-08-06T00:00:00"/>
    <x v="123"/>
    <s v="BG22797"/>
    <d v="2025-08-06T00:00:00"/>
    <d v="1899-12-30T09:53:00"/>
    <x v="42"/>
    <s v="PREMEX CELTA"/>
    <s v="HALQUINOX 800 X 25 KG"/>
    <n v="1000"/>
    <n v="40"/>
    <n v="72867000"/>
    <d v="2025-08-06T00:00:00"/>
    <d v="2025-08-06T00:00:00"/>
    <x v="0"/>
  </r>
  <r>
    <m/>
    <s v="4500081823"/>
    <d v="2025-08-05T00:00:00"/>
    <d v="1899-12-30T18:02:00"/>
    <d v="2025-08-06T00:00:00"/>
    <x v="123"/>
    <s v="BG22797"/>
    <d v="2025-08-06T00:00:00"/>
    <d v="1899-12-30T09:53:00"/>
    <x v="42"/>
    <s v="PREMEX CELTA"/>
    <s v="DINAMIX 800 X 25 KILOS"/>
    <n v="100"/>
    <n v="4"/>
    <n v="12315000"/>
    <d v="2025-08-06T00:00:00"/>
    <d v="2025-08-06T00:00:00"/>
    <x v="0"/>
  </r>
  <r>
    <s v="INVENTARIO"/>
    <s v="5503646005"/>
    <d v="2025-08-04T00:00:00"/>
    <d v="1899-12-30T14:33:00"/>
    <d v="2025-08-28T00:00:00"/>
    <x v="124"/>
    <s v="BG23015"/>
    <d v="2025-08-06T00:00:00"/>
    <d v="1899-12-30T10:09:00"/>
    <x v="51"/>
    <s v="RESTREPO VALLE"/>
    <s v="TILOMIX ORAL X 1 KG"/>
    <n v="200"/>
    <n v="200"/>
    <n v="44268000"/>
    <d v="2025-08-15T00:00:00"/>
    <d v="2025-08-28T00:00:00"/>
    <x v="16"/>
  </r>
  <r>
    <s v="INVENTARIO"/>
    <s v="5503646005"/>
    <d v="2025-08-04T00:00:00"/>
    <d v="1899-12-30T14:33:00"/>
    <d v="2025-08-28T00:00:00"/>
    <x v="124"/>
    <s v="BG23015"/>
    <d v="2025-08-06T00:00:00"/>
    <d v="1899-12-30T10:09:00"/>
    <x v="51"/>
    <s v="RESTREPO VALLE"/>
    <s v="SMOOTH SWEET X 75 GR"/>
    <n v="15"/>
    <n v="200"/>
    <n v="15"/>
    <d v="2025-08-15T00:00:00"/>
    <d v="2025-08-28T00:00:00"/>
    <x v="16"/>
  </r>
  <r>
    <m/>
    <s v="4500353591"/>
    <s v="6/08/2025"/>
    <d v="1899-12-30T12:00:00"/>
    <d v="2025-08-06T00:00:00"/>
    <x v="125"/>
    <s v="BG22824"/>
    <d v="2025-08-06T00:00:00"/>
    <d v="1899-12-30T11:39:00"/>
    <x v="54"/>
    <s v="BUCARAMANGA"/>
    <s v="FRACTAL L X 20 KILOS"/>
    <n v="40"/>
    <n v="1.6"/>
    <n v="1554000"/>
    <d v="2025-08-06T00:00:00"/>
    <d v="2025-08-06T00:00:00"/>
    <x v="0"/>
  </r>
  <r>
    <m/>
    <n v="4500353591"/>
    <d v="2025-08-04T00:00:00"/>
    <d v="1899-12-30T12:00:00"/>
    <d v="2025-08-05T00:00:00"/>
    <x v="126"/>
    <s v="BG22824"/>
    <d v="2025-08-04T00:00:00"/>
    <d v="1899-12-30T12:44:00"/>
    <x v="54"/>
    <s v="BUCARAMANGA"/>
    <s v="FRACTAL L X 20 KILOS"/>
    <n v="20"/>
    <n v="0.8"/>
    <n v="777000"/>
    <d v="2025-08-04T00:00:00"/>
    <d v="2025-08-05T00:00:00"/>
    <x v="6"/>
  </r>
  <r>
    <m/>
    <n v="4500353591"/>
    <d v="2025-08-04T00:00:00"/>
    <d v="1899-12-30T12:00:00"/>
    <d v="2025-08-08T00:00:00"/>
    <x v="127"/>
    <s v="BG22824"/>
    <d v="2025-08-04T00:00:00"/>
    <d v="1899-12-30T12:44:00"/>
    <x v="54"/>
    <s v="BUCARAMANGA"/>
    <s v="FRACTAL L X 20 KILOS"/>
    <n v="20"/>
    <n v="0.8"/>
    <n v="777000"/>
    <d v="2025-08-04T00:00:00"/>
    <d v="2025-08-08T00:00:00"/>
    <x v="13"/>
  </r>
  <r>
    <m/>
    <m/>
    <d v="2025-08-05T00:00:00"/>
    <d v="1899-12-30T08:30:00"/>
    <d v="2025-08-08T00:00:00"/>
    <x v="128"/>
    <s v="BG22827"/>
    <d v="2025-08-06T00:00:00"/>
    <d v="1899-12-30T13:08:00"/>
    <x v="21"/>
    <s v="GUARNE"/>
    <s v="DMB 11 X 25 KG"/>
    <n v="300"/>
    <n v="12"/>
    <n v="5850000"/>
    <d v="2025-08-08T00:00:00"/>
    <d v="2025-08-08T00:00:00"/>
    <x v="0"/>
  </r>
  <r>
    <m/>
    <m/>
    <d v="2025-08-05T00:00:00"/>
    <d v="1899-12-30T08:30:00"/>
    <d v="2025-08-08T00:00:00"/>
    <x v="128"/>
    <s v="BG22827"/>
    <d v="2025-08-06T00:00:00"/>
    <d v="1899-12-30T13:08:00"/>
    <x v="21"/>
    <s v="GUARNE"/>
    <s v="DINAMIX 800 X 25 KILOS"/>
    <n v="50"/>
    <n v="2"/>
    <n v="8657250"/>
    <d v="2025-08-08T00:00:00"/>
    <d v="2025-08-08T00:00:00"/>
    <x v="0"/>
  </r>
  <r>
    <m/>
    <m/>
    <d v="2025-08-05T00:00:00"/>
    <d v="1899-12-30T08:30:00"/>
    <d v="2025-08-08T00:00:00"/>
    <x v="128"/>
    <s v="BG22827"/>
    <d v="2025-08-06T00:00:00"/>
    <d v="1899-12-30T13:08:00"/>
    <x v="21"/>
    <s v="GUARNE"/>
    <s v="DQCICLIN X 1 KG"/>
    <n v="70"/>
    <n v="2.8"/>
    <n v="17272500"/>
    <d v="2025-08-08T00:00:00"/>
    <d v="2025-08-08T00:00:00"/>
    <x v="0"/>
  </r>
  <r>
    <m/>
    <m/>
    <d v="2025-08-05T00:00:00"/>
    <d v="1899-12-30T08:30:00"/>
    <d v="2025-08-08T00:00:00"/>
    <x v="128"/>
    <s v="BG22827"/>
    <d v="2025-08-06T00:00:00"/>
    <d v="1899-12-30T13:08:00"/>
    <x v="21"/>
    <s v="GUARNE"/>
    <s v="FENIFLOR PREMIX X 25 KG"/>
    <n v="25"/>
    <n v="1"/>
    <n v="1725000"/>
    <d v="2025-08-08T00:00:00"/>
    <d v="2025-08-08T00:00:00"/>
    <x v="0"/>
  </r>
  <r>
    <s v="INVENTARIO"/>
    <m/>
    <d v="2025-08-05T00:00:00"/>
    <d v="1899-12-30T08:30:00"/>
    <d v="2025-08-08T00:00:00"/>
    <x v="128"/>
    <s v="BG22827"/>
    <d v="2025-08-06T00:00:00"/>
    <d v="1899-12-30T13:08:00"/>
    <x v="21"/>
    <s v="GUARNE"/>
    <s v="FRACTAL P X 25 KG"/>
    <n v="200"/>
    <n v="8"/>
    <n v="5100000"/>
    <d v="2025-08-08T00:00:00"/>
    <d v="2025-08-08T00:00:00"/>
    <x v="0"/>
  </r>
  <r>
    <m/>
    <m/>
    <d v="2025-08-05T00:00:00"/>
    <d v="1899-12-30T08:30:00"/>
    <d v="2025-08-08T00:00:00"/>
    <x v="128"/>
    <s v="BG22827"/>
    <d v="2025-08-06T00:00:00"/>
    <d v="1899-12-30T13:08:00"/>
    <x v="21"/>
    <s v="GUARNE"/>
    <s v="ESPELIN 88 X 5 KG"/>
    <n v="30"/>
    <n v="1.2"/>
    <n v="1620000"/>
    <d v="2025-08-08T00:00:00"/>
    <d v="2025-08-08T00:00:00"/>
    <x v="0"/>
  </r>
  <r>
    <s v="INVENTARIO"/>
    <m/>
    <d v="2025-08-05T00:00:00"/>
    <d v="1899-12-30T08:30:00"/>
    <d v="2025-08-08T00:00:00"/>
    <x v="128"/>
    <s v="BG22827"/>
    <d v="2025-08-06T00:00:00"/>
    <d v="1899-12-30T13:08:00"/>
    <x v="21"/>
    <s v="GUARNE"/>
    <s v="TILCOMIX PREMIX S X 5 KG"/>
    <n v="50"/>
    <n v="2"/>
    <n v="850500"/>
    <d v="2025-08-08T00:00:00"/>
    <d v="2025-08-08T00:00:00"/>
    <x v="0"/>
  </r>
  <r>
    <m/>
    <s v="4500353483"/>
    <d v="2025-08-05T00:00:00"/>
    <d v="1899-12-30T18:14:00"/>
    <d v="2025-08-08T00:00:00"/>
    <x v="129"/>
    <s v="BG22825"/>
    <d v="2025-08-06T00:00:00"/>
    <d v="1899-12-30T13:12:00"/>
    <x v="54"/>
    <s v="BUCARAMANGA"/>
    <s v="CIPROFLOX X 1KG"/>
    <n v="97"/>
    <n v="98"/>
    <n v="5423000"/>
    <d v="2025-08-06T00:00:00"/>
    <d v="2025-08-08T00:00:00"/>
    <x v="4"/>
  </r>
  <r>
    <m/>
    <s v="4500353483"/>
    <d v="2025-08-05T00:00:00"/>
    <d v="1899-12-30T18:14:00"/>
    <d v="2025-08-08T00:00:00"/>
    <x v="130"/>
    <s v="BG22825"/>
    <d v="2025-08-06T00:00:00"/>
    <d v="1899-12-30T13:12:00"/>
    <x v="54"/>
    <s v="BUCARAMANGA"/>
    <s v="CIPROFLOX X 1KG"/>
    <n v="3"/>
    <n v="2"/>
    <n v="168000"/>
    <d v="2025-08-06T00:00:00"/>
    <d v="2025-08-08T00:00:00"/>
    <x v="4"/>
  </r>
  <r>
    <m/>
    <m/>
    <d v="2025-08-06T00:00:00"/>
    <d v="1899-12-30T10:33:00"/>
    <d v="2025-08-08T00:00:00"/>
    <x v="131"/>
    <s v="BG22828"/>
    <d v="2025-08-06T00:00:00"/>
    <d v="1899-12-30T13:17:00"/>
    <x v="9"/>
    <s v="BUCARAMANGA"/>
    <s v="CIPROFLOX X 1KG"/>
    <n v="1"/>
    <n v="1"/>
    <n v="56850"/>
    <d v="2025-08-06T00:00:00"/>
    <d v="2025-08-08T00:00:00"/>
    <x v="4"/>
  </r>
  <r>
    <m/>
    <m/>
    <d v="2025-08-06T00:00:00"/>
    <d v="1899-12-30T09:40:00"/>
    <d v="2025-08-06T00:00:00"/>
    <x v="132"/>
    <s v="BG22829"/>
    <d v="2025-08-06T00:00:00"/>
    <d v="1899-12-30T10:35:00"/>
    <x v="55"/>
    <s v="ENTRERIOS"/>
    <s v="FENIFLOR PREMIX X 25 KG"/>
    <n v="250"/>
    <n v="10"/>
    <n v="17250000"/>
    <d v="2025-08-06T00:00:00"/>
    <d v="2025-08-06T00:00:00"/>
    <x v="0"/>
  </r>
  <r>
    <m/>
    <m/>
    <d v="2025-08-06T00:00:00"/>
    <d v="1899-12-30T09:40:00"/>
    <d v="2025-08-06T00:00:00"/>
    <x v="132"/>
    <s v="BG22829"/>
    <d v="2025-08-06T00:00:00"/>
    <d v="1899-12-30T10:35:00"/>
    <x v="55"/>
    <s v="ENTRERIOS"/>
    <s v="ESPELIN 88 X 25 KG"/>
    <n v="100"/>
    <n v="4"/>
    <n v="5400000"/>
    <d v="2025-08-06T00:00:00"/>
    <d v="2025-08-06T00:00:00"/>
    <x v="0"/>
  </r>
  <r>
    <m/>
    <s v="101-OCC-33841"/>
    <d v="2025-08-06T00:00:00"/>
    <d v="1899-12-30T11:28:00"/>
    <d v="2025-08-12T00:00:00"/>
    <x v="133"/>
    <s v="BG22830"/>
    <d v="2025-08-06T00:00:00"/>
    <d v="1899-12-30T13:28:00"/>
    <x v="13"/>
    <s v="PALMIRA"/>
    <s v="DMB 11 X 25 KG"/>
    <n v="500"/>
    <n v="20"/>
    <n v="9100000"/>
    <d v="2025-08-08T00:00:00"/>
    <d v="2025-08-12T00:00:00"/>
    <x v="13"/>
  </r>
  <r>
    <s v="TRANSPORTE "/>
    <m/>
    <d v="2025-08-06T00:00:00"/>
    <d v="1899-12-30T13:40:00"/>
    <d v="2025-08-11T00:00:00"/>
    <x v="134"/>
    <s v="BG22831"/>
    <d v="2025-08-06T00:00:00"/>
    <d v="1899-12-30T14:36:00"/>
    <x v="9"/>
    <s v="CUCUTA"/>
    <s v="TILVASYN X 25 KG"/>
    <n v="25"/>
    <n v="1"/>
    <n v="5375000"/>
    <d v="2025-08-08T00:00:00"/>
    <d v="2025-08-11T00:00:00"/>
    <x v="3"/>
  </r>
  <r>
    <s v="INVENTARIO"/>
    <m/>
    <d v="2025-08-06T00:00:00"/>
    <d v="1899-12-30T14:50:00"/>
    <d v="2025-08-15T00:00:00"/>
    <x v="135"/>
    <s v="BG22987"/>
    <d v="2025-08-06T00:00:00"/>
    <d v="1899-12-30T14:58:00"/>
    <x v="56"/>
    <s v="BUCARAMANGA"/>
    <s v="CIGNUS X 20 KILOS"/>
    <n v="20"/>
    <n v="0.8"/>
    <n v="760000"/>
    <d v="2025-08-08T00:00:00"/>
    <d v="2025-08-15T00:00:00"/>
    <x v="14"/>
  </r>
  <r>
    <m/>
    <s v="10544"/>
    <d v="2025-08-06T00:00:00"/>
    <d v="1899-12-30T14:39:00"/>
    <d v="2025-08-08T00:00:00"/>
    <x v="136"/>
    <s v="BG22956"/>
    <d v="2025-08-06T00:00:00"/>
    <d v="1899-12-30T14:57:00"/>
    <x v="10"/>
    <s v="BUCARAMANGA"/>
    <s v="FOSMYCINA 90 X 500 GR"/>
    <n v="7"/>
    <n v="14"/>
    <n v="3605000"/>
    <d v="2025-08-06T00:00:00"/>
    <d v="2025-08-08T00:00:00"/>
    <x v="4"/>
  </r>
  <r>
    <m/>
    <m/>
    <d v="2025-08-06T00:00:00"/>
    <d v="1899-12-30T14:29:00"/>
    <d v="2025-08-08T00:00:00"/>
    <x v="137"/>
    <s v="BG22802"/>
    <d v="2025-08-06T00:00:00"/>
    <d v="1899-12-30T15:01:00"/>
    <x v="28"/>
    <s v="BUGA"/>
    <s v="NEOCYN X 1 KG "/>
    <n v="10"/>
    <n v="10"/>
    <n v="720000"/>
    <d v="2025-08-08T00:00:00"/>
    <d v="2025-08-08T00:00:00"/>
    <x v="0"/>
  </r>
  <r>
    <m/>
    <m/>
    <d v="2025-08-06T00:00:00"/>
    <d v="1899-12-30T14:29:00"/>
    <d v="2025-08-08T00:00:00"/>
    <x v="137"/>
    <s v="BG22802"/>
    <d v="2025-08-06T00:00:00"/>
    <d v="1899-12-30T15:01:00"/>
    <x v="28"/>
    <s v="BUGA"/>
    <s v="FOSMYCINA 90 X 500 GR"/>
    <n v="3.5"/>
    <n v="7"/>
    <n v="1855000"/>
    <d v="2025-08-08T00:00:00"/>
    <d v="2025-08-08T00:00:00"/>
    <x v="0"/>
  </r>
  <r>
    <m/>
    <m/>
    <d v="2025-08-06T00:00:00"/>
    <d v="1899-12-30T13:46:00"/>
    <d v="2025-08-12T00:00:00"/>
    <x v="138"/>
    <s v="BG22832"/>
    <d v="2025-08-06T00:00:00"/>
    <d v="1899-12-30T15:03:00"/>
    <x v="57"/>
    <s v="CUCUTA"/>
    <s v="CELERITY NP X 25 KG"/>
    <n v="250"/>
    <n v="10"/>
    <n v="4200000"/>
    <d v="2025-08-08T00:00:00"/>
    <d v="2025-08-12T00:00:00"/>
    <x v="13"/>
  </r>
  <r>
    <m/>
    <s v="004-OSC-49041"/>
    <d v="2025-08-06T00:00:00"/>
    <d v="1899-12-30T08:09:00"/>
    <d v="2025-08-11T00:00:00"/>
    <x v="139"/>
    <s v="BG22833"/>
    <d v="2025-08-06T00:00:00"/>
    <d v="1899-12-30T15:20:00"/>
    <x v="4"/>
    <s v="CARTAGO"/>
    <s v="FRACTAL P X 25 KG"/>
    <n v="1000"/>
    <n v="40"/>
    <n v="25500000"/>
    <d v="2025-08-11T00:00:00"/>
    <d v="2025-08-11T00:00:00"/>
    <x v="0"/>
  </r>
  <r>
    <m/>
    <s v=" 1230804 "/>
    <d v="2025-08-05T00:00:00"/>
    <d v="1899-12-30T20:50:00"/>
    <d v="2025-08-11T00:00:00"/>
    <x v="140"/>
    <s v="BG22841"/>
    <d v="2025-08-08T00:00:00"/>
    <d v="1899-12-30T10:09:00"/>
    <x v="6"/>
    <s v="ENVIGADO"/>
    <s v="ACCUREMAX X 25 KG"/>
    <n v="100"/>
    <n v="4"/>
    <n v="5300000"/>
    <d v="2025-08-11T00:00:00"/>
    <d v="2025-08-11T00:00:00"/>
    <x v="0"/>
  </r>
  <r>
    <s v="INVENTARIO"/>
    <s v="1230884 "/>
    <d v="2025-08-06T00:00:00"/>
    <d v="1899-12-30T07:36:00"/>
    <d v="2025-08-21T00:00:00"/>
    <x v="141"/>
    <s v="BG22949"/>
    <d v="2025-08-08T00:00:00"/>
    <d v="1899-12-30T10:11:00"/>
    <x v="6"/>
    <s v="BARBOSA- ANTIOQUIA"/>
    <s v="CIGNUS X 20 KILOS"/>
    <n v="500"/>
    <n v="20"/>
    <n v="17250000"/>
    <d v="2025-08-12T00:00:00"/>
    <d v="2025-08-21T00:00:00"/>
    <x v="17"/>
  </r>
  <r>
    <m/>
    <s v="1231041 "/>
    <d v="2025-08-06T00:00:00"/>
    <d v="1899-12-30T09:55:00"/>
    <d v="2025-08-11T00:00:00"/>
    <x v="142"/>
    <s v="BG22840"/>
    <d v="2025-08-08T00:00:00"/>
    <d v="1899-12-30T10:15:00"/>
    <x v="5"/>
    <s v="CIENAGA"/>
    <s v="DINAMIX PREMIX X 25 KG"/>
    <n v="75"/>
    <n v="3"/>
    <n v="1629750"/>
    <d v="2025-08-11T00:00:00"/>
    <d v="2025-08-11T00:00:00"/>
    <x v="0"/>
  </r>
  <r>
    <m/>
    <s v="4500353703"/>
    <d v="2025-08-06T00:00:00"/>
    <d v="1899-12-30T16:48:00"/>
    <d v="2025-08-12T00:00:00"/>
    <x v="143"/>
    <s v="BG22826"/>
    <d v="2025-08-08T00:00:00"/>
    <d v="1899-12-30T10:18:00"/>
    <x v="54"/>
    <s v="BUCARAMANGA"/>
    <s v="CIPROFLOX X  5 KG"/>
    <n v="200"/>
    <n v="8"/>
    <n v="11200000"/>
    <d v="2025-08-11T00:00:00"/>
    <d v="2025-08-12T00:00:00"/>
    <x v="6"/>
  </r>
  <r>
    <m/>
    <s v="3131"/>
    <d v="2025-08-07T00:00:00"/>
    <d v="1899-12-30T10:18:00"/>
    <d v="2025-08-09T00:00:00"/>
    <x v="144"/>
    <s v="BG22804"/>
    <d v="2025-08-08T00:00:00"/>
    <d v="1899-12-30T10:22:00"/>
    <x v="15"/>
    <s v="BUGA"/>
    <s v="FRACTAL P X 25 KG"/>
    <n v="1250"/>
    <n v="50"/>
    <n v="31875000"/>
    <d v="2025-08-11T00:00:00"/>
    <d v="2025-08-09T00:00:00"/>
    <x v="5"/>
  </r>
  <r>
    <m/>
    <s v="3131"/>
    <d v="2025-08-07T00:00:00"/>
    <d v="1899-12-30T10:18:00"/>
    <d v="2025-08-09T00:00:00"/>
    <x v="144"/>
    <s v="BG22804"/>
    <d v="2025-08-08T00:00:00"/>
    <d v="1899-12-30T10:22:00"/>
    <x v="15"/>
    <s v="BUGA"/>
    <s v="LOTUS X 10 KG"/>
    <n v="500"/>
    <n v="20"/>
    <n v="19400000"/>
    <d v="2025-08-11T00:00:00"/>
    <d v="2025-08-09T00:00:00"/>
    <x v="5"/>
  </r>
  <r>
    <m/>
    <s v="3131"/>
    <d v="2025-08-07T00:00:00"/>
    <d v="1899-12-30T10:18:00"/>
    <d v="2025-08-09T00:00:00"/>
    <x v="144"/>
    <s v="BG22804"/>
    <d v="2025-08-08T00:00:00"/>
    <d v="1899-12-30T10:22:00"/>
    <x v="15"/>
    <s v="BUGA"/>
    <s v="DMB 11 X 25 KG"/>
    <n v="50"/>
    <n v="2"/>
    <n v="1000000"/>
    <d v="2025-08-11T00:00:00"/>
    <d v="2025-08-09T00:00:00"/>
    <x v="5"/>
  </r>
  <r>
    <m/>
    <s v="1231837 "/>
    <d v="2025-08-07T00:00:00"/>
    <d v="1899-12-30T15:54:00"/>
    <d v="2025-08-11T00:00:00"/>
    <x v="145"/>
    <s v="BG22839"/>
    <d v="2025-08-08T00:00:00"/>
    <d v="1899-12-30T10:29:00"/>
    <x v="5"/>
    <s v="MOSQUERA"/>
    <s v="FENIFLOR PREMIX X 25 KG"/>
    <n v="100"/>
    <n v="4"/>
    <n v="5292000"/>
    <d v="2025-08-12T00:00:00"/>
    <d v="2025-08-11T00:00:00"/>
    <x v="10"/>
  </r>
  <r>
    <m/>
    <s v="POP-00006980"/>
    <d v="2025-08-08T00:00:00"/>
    <d v="1899-12-30T07:31:00"/>
    <d v="2025-08-11T00:00:00"/>
    <x v="146"/>
    <s v="BG22838"/>
    <d v="2025-08-08T00:00:00"/>
    <d v="1899-12-30T12:14:00"/>
    <x v="58"/>
    <s v="MEJIA"/>
    <s v="DMB 11 X 25 KG"/>
    <n v="150"/>
    <n v="6"/>
    <n v="2730000"/>
    <d v="2025-08-11T00:00:00"/>
    <d v="2025-08-11T00:00:00"/>
    <x v="0"/>
  </r>
  <r>
    <m/>
    <s v="236-ORC-00008741"/>
    <d v="2025-08-08T00:00:00"/>
    <d v="1899-12-30T08:00:00"/>
    <d v="2025-08-14T00:00:00"/>
    <x v="147"/>
    <s v="BG22886"/>
    <d v="2025-08-08T00:00:00"/>
    <d v="1899-12-30T12:19:00"/>
    <x v="59"/>
    <s v="IBAGUE"/>
    <s v="DINAMIX PREMIX X 25 KG"/>
    <n v="3000"/>
    <n v="120"/>
    <n v="76128000"/>
    <d v="2025-08-14T00:00:00"/>
    <d v="2025-08-14T00:00:00"/>
    <x v="0"/>
  </r>
  <r>
    <s v="INVENTARIO"/>
    <s v="236-ORC-00008741"/>
    <d v="2025-08-08T00:00:00"/>
    <d v="1899-12-30T08:00:00"/>
    <d v="2025-08-26T00:00:00"/>
    <x v="147"/>
    <s v="BG23028"/>
    <d v="2025-08-08T00:00:00"/>
    <d v="1899-12-30T12:19:00"/>
    <x v="59"/>
    <s v="IBAGUE"/>
    <s v="DINAMIX PREMIX X 25 KG"/>
    <n v="2600"/>
    <n v="104"/>
    <n v="65977600"/>
    <d v="2025-08-27T00:00:00"/>
    <d v="2025-08-26T00:00:00"/>
    <x v="10"/>
  </r>
  <r>
    <m/>
    <s v="1232057 "/>
    <d v="2025-08-08T00:00:00"/>
    <d v="1899-12-30T09:19:00"/>
    <d v="2025-08-12T00:00:00"/>
    <x v="148"/>
    <s v="BG22837"/>
    <d v="2025-08-08T00:00:00"/>
    <d v="1899-12-30T12:30:00"/>
    <x v="5"/>
    <s v="BUGA"/>
    <s v="ACCUREMAX X 25 KG"/>
    <n v="225"/>
    <n v="9"/>
    <n v="11925000"/>
    <d v="2025-08-11T00:00:00"/>
    <d v="2025-08-12T00:00:00"/>
    <x v="6"/>
  </r>
  <r>
    <m/>
    <s v="1232088"/>
    <d v="2025-08-08T00:00:00"/>
    <d v="1899-12-30T09:39:00"/>
    <d v="2025-08-15T00:00:00"/>
    <x v="149"/>
    <s v="BG22905"/>
    <d v="2025-08-08T00:00:00"/>
    <d v="1899-12-30T12:33:00"/>
    <x v="5"/>
    <s v="BUCARAMANGA"/>
    <s v="ACCUREMAX X 25 KG"/>
    <n v="25"/>
    <n v="1"/>
    <n v="1325000"/>
    <d v="2025-08-18T00:00:00"/>
    <d v="2025-08-15T00:00:00"/>
    <x v="2"/>
  </r>
  <r>
    <m/>
    <s v="1232096 "/>
    <d v="2025-08-08T00:00:00"/>
    <d v="1899-12-30T09:41:00"/>
    <d v="2025-08-12T00:00:00"/>
    <x v="150"/>
    <s v="BG22862"/>
    <d v="2025-08-08T00:00:00"/>
    <d v="1899-12-30T12:35:00"/>
    <x v="6"/>
    <s v="ENVIGADO"/>
    <s v="TILCOMIX PREMIX S X 5 KG"/>
    <n v="200"/>
    <n v="8"/>
    <n v="26460000"/>
    <d v="2025-08-12T00:00:00"/>
    <d v="2025-08-12T00:00:00"/>
    <x v="0"/>
  </r>
  <r>
    <m/>
    <m/>
    <d v="2025-08-08T00:00:00"/>
    <d v="1899-12-30T09:57:00"/>
    <d v="2025-08-09T00:00:00"/>
    <x v="151"/>
    <s v="BG22834"/>
    <d v="2025-08-08T00:00:00"/>
    <d v="1899-12-30T12:40:00"/>
    <x v="60"/>
    <s v="GRANADA"/>
    <s v="CLORTETRAX 20 % X 25 KG"/>
    <n v="200"/>
    <n v="8"/>
    <n v="3680000"/>
    <d v="2025-08-12T00:00:00"/>
    <d v="2025-08-09T00:00:00"/>
    <x v="2"/>
  </r>
  <r>
    <m/>
    <m/>
    <d v="2025-08-08T00:00:00"/>
    <d v="1899-12-30T12:25:00"/>
    <d v="2025-08-11T00:00:00"/>
    <x v="152"/>
    <s v="BG22836"/>
    <d v="2025-08-08T00:00:00"/>
    <d v="1899-12-30T14:34:00"/>
    <x v="61"/>
    <s v="NEIVA"/>
    <s v="FRACTAL P X 25 KG"/>
    <n v="1000"/>
    <n v="40"/>
    <n v="25500000"/>
    <d v="2025-08-12T00:00:00"/>
    <d v="2025-08-11T00:00:00"/>
    <x v="10"/>
  </r>
  <r>
    <m/>
    <s v="004-OSC-49053"/>
    <d v="2025-08-08T00:00:00"/>
    <d v="1899-12-30T14:09:00"/>
    <d v="2025-08-11T00:00:00"/>
    <x v="153"/>
    <s v="BG22835"/>
    <d v="2025-08-08T00:00:00"/>
    <d v="1899-12-30T14:38:00"/>
    <x v="4"/>
    <s v="CARTAGO"/>
    <s v="DMB 11 X 25 KG"/>
    <n v="1000"/>
    <n v="40"/>
    <n v="18350000"/>
    <d v="2025-08-11T00:00:00"/>
    <d v="2025-08-11T00:00:00"/>
    <x v="0"/>
  </r>
  <r>
    <m/>
    <s v="004-OSC-49053"/>
    <d v="2025-08-08T00:00:00"/>
    <d v="1899-12-30T14:09:00"/>
    <d v="2025-08-11T00:00:00"/>
    <x v="153"/>
    <s v="BG22835"/>
    <d v="2025-08-08T00:00:00"/>
    <d v="1899-12-30T14:38:00"/>
    <x v="4"/>
    <s v="CARTAGO"/>
    <s v="CELMANAX X 25 KG"/>
    <n v="50"/>
    <n v="2"/>
    <n v="810000"/>
    <d v="2025-08-11T00:00:00"/>
    <d v="2025-08-11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CELERITY NP X 25 KG"/>
    <n v="800"/>
    <n v="32"/>
    <n v="12432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FRACTAL P X 25 KG"/>
    <n v="2000"/>
    <n v="80"/>
    <n v="48000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CELMANAX X 25 KG"/>
    <n v="500"/>
    <n v="20"/>
    <n v="7125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CELERITY NP X 25 KG"/>
    <n v="5000"/>
    <n v="200"/>
    <n v="53300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DMB 11 X 25 KG"/>
    <n v="1500"/>
    <n v="60"/>
    <n v="26400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LOTUS X 10 KG"/>
    <n v="1000"/>
    <n v="40"/>
    <n v="31800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MONECYL X 25 KG"/>
    <n v="1000"/>
    <n v="40"/>
    <n v="18850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TILOMIIX 250 PREMIX X 25 KG"/>
    <n v="1000"/>
    <n v="40"/>
    <n v="49900000"/>
    <d v="2025-08-12T00:00:00"/>
    <d v="2025-08-12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SAGAH X 25 KILOS"/>
    <n v="400"/>
    <n v="16"/>
    <n v="12080000"/>
    <d v="2025-08-11T00:00:00"/>
    <d v="2025-08-11T00:00:00"/>
    <x v="0"/>
  </r>
  <r>
    <m/>
    <s v="4500081994"/>
    <d v="2025-08-08T00:00:00"/>
    <d v="1899-12-30T16:31:00"/>
    <d v="2025-08-11T00:00:00"/>
    <x v="155"/>
    <s v="BG23007"/>
    <d v="2025-08-11T00:00:00"/>
    <d v="1899-12-30T09:00:00"/>
    <x v="0"/>
    <s v="CELTA"/>
    <s v="DMB 11 X 25 KG"/>
    <n v="400"/>
    <n v="16"/>
    <n v="7040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ACCUREMAX 20% X 25 KG"/>
    <n v="25"/>
    <n v="1"/>
    <n v="11000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MONECYL X 25 KG"/>
    <n v="1700"/>
    <n v="68"/>
    <n v="32045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CIPROFLOX X 5 KG"/>
    <n v="80"/>
    <n v="3.2"/>
    <n v="3720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SMOOTH SWEET X 5 KG"/>
    <n v="5"/>
    <n v="0.2"/>
    <n v="5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FRACTAL P X 25 KG"/>
    <n v="300"/>
    <n v="12"/>
    <n v="7200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TILOMIIX 250 PREMIX X 25 KG"/>
    <n v="300"/>
    <n v="12"/>
    <n v="14970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KIRA 24 X 25 KG"/>
    <n v="300"/>
    <n v="12"/>
    <n v="5703000"/>
    <d v="2025-08-11T00:00:00"/>
    <d v="2025-08-11T00:00:00"/>
    <x v="0"/>
  </r>
  <r>
    <m/>
    <s v="1232168 "/>
    <d v="2025-08-08T00:00:00"/>
    <d v="1899-12-30T10:38:00"/>
    <d v="2025-08-13T00:00:00"/>
    <x v="156"/>
    <s v="BG22859"/>
    <d v="2025-08-11T00:00:00"/>
    <d v="1899-12-30T10:01:00"/>
    <x v="5"/>
    <s v="CIENAGA"/>
    <s v="ACCUREMAX X 25 KG"/>
    <n v="150"/>
    <n v="6"/>
    <n v="7950000"/>
    <d v="2025-08-12T00:00:00"/>
    <d v="2025-08-13T00:00:00"/>
    <x v="6"/>
  </r>
  <r>
    <m/>
    <s v="1232473 "/>
    <d v="2025-08-08T00:00:00"/>
    <d v="1899-12-30T14:56:00"/>
    <d v="2025-08-12T00:00:00"/>
    <x v="157"/>
    <s v="BG22858"/>
    <d v="2025-08-11T00:00:00"/>
    <d v="1899-12-30T10:04:00"/>
    <x v="5"/>
    <s v="ITAGUI"/>
    <s v="LOTUS X 10 KG"/>
    <n v="40"/>
    <n v="4"/>
    <n v="1380000"/>
    <d v="2025-08-12T00:00:00"/>
    <d v="2025-08-12T00:00:00"/>
    <x v="0"/>
  </r>
  <r>
    <m/>
    <s v="1232515"/>
    <d v="2025-08-08T00:00:00"/>
    <d v="1899-12-30T15:37:00"/>
    <d v="2025-08-12T00:00:00"/>
    <x v="158"/>
    <s v="BG22881"/>
    <d v="2025-08-11T00:00:00"/>
    <d v="1899-12-30T10:08:00"/>
    <x v="43"/>
    <s v="BUCARAMANGA"/>
    <s v="CIPROFLOX X 5 KG"/>
    <n v="80"/>
    <n v="16"/>
    <n v="4360000"/>
    <d v="2025-08-12T00:00:00"/>
    <d v="2025-08-12T00:00:00"/>
    <x v="0"/>
  </r>
  <r>
    <m/>
    <s v="1232515"/>
    <d v="2025-08-08T00:00:00"/>
    <d v="1899-12-30T15:37:00"/>
    <d v="2025-08-12T00:00:00"/>
    <x v="158"/>
    <s v="BG22881"/>
    <d v="2025-08-11T00:00:00"/>
    <d v="1899-12-30T10:08:00"/>
    <x v="43"/>
    <s v="BUCARAMANGA"/>
    <s v="SMOOTH SWEET X 75 GR"/>
    <n v="6"/>
    <n v="80"/>
    <n v="6"/>
    <d v="2025-08-12T00:00:00"/>
    <d v="2025-08-12T00:00:00"/>
    <x v="0"/>
  </r>
  <r>
    <m/>
    <s v="1232576"/>
    <d v="2025-08-08T00:00:00"/>
    <d v="1899-12-30T16:33:00"/>
    <d v="2025-08-12T00:00:00"/>
    <x v="159"/>
    <s v="BG22857"/>
    <d v="2025-08-11T00:00:00"/>
    <d v="1899-12-30T10:10:00"/>
    <x v="5"/>
    <s v="BUGA"/>
    <s v="FENIFLOR PREMIX X 25 KG"/>
    <n v="50"/>
    <n v="2"/>
    <n v="2646000"/>
    <d v="2025-08-12T00:00:00"/>
    <d v="2025-08-12T00:00:00"/>
    <x v="0"/>
  </r>
  <r>
    <m/>
    <s v="1232583 "/>
    <d v="2025-08-08T00:00:00"/>
    <d v="1899-12-30T16:35:00"/>
    <d v="2025-08-12T00:00:00"/>
    <x v="160"/>
    <s v="BG22856"/>
    <d v="2025-08-11T00:00:00"/>
    <d v="1899-12-30T10:16:00"/>
    <x v="6"/>
    <s v="ENVIGADO"/>
    <s v="ACCUREMAX X 25 KG"/>
    <n v="300"/>
    <n v="12"/>
    <n v="15900000"/>
    <d v="2025-08-12T00:00:00"/>
    <d v="2025-08-12T00:00:00"/>
    <x v="0"/>
  </r>
  <r>
    <m/>
    <n v="4500096152"/>
    <d v="2025-08-08T00:00:00"/>
    <d v="1899-12-30T17:25:00"/>
    <d v="2025-08-14T00:00:00"/>
    <x v="161"/>
    <s v="BG22855"/>
    <d v="2025-08-11T00:00:00"/>
    <d v="1899-12-30T10:30:00"/>
    <x v="16"/>
    <s v="CIENAGA"/>
    <s v="SAGAH X 25 KILOS"/>
    <n v="50"/>
    <n v="2"/>
    <n v="1750000"/>
    <d v="2025-08-12T00:00:00"/>
    <d v="2025-08-14T00:00:00"/>
    <x v="4"/>
  </r>
  <r>
    <m/>
    <n v="4500096152"/>
    <d v="2025-08-08T00:00:00"/>
    <d v="1899-12-30T17:25:00"/>
    <d v="2025-08-14T00:00:00"/>
    <x v="161"/>
    <s v="BG22855"/>
    <d v="2025-08-11T00:00:00"/>
    <d v="1899-12-30T10:30:00"/>
    <x v="16"/>
    <s v="CIENAGA"/>
    <s v="CLORTETRAX 20 % X 25 KG"/>
    <n v="700"/>
    <n v="28"/>
    <n v="11200000"/>
    <d v="2025-08-12T00:00:00"/>
    <d v="2025-08-14T00:00:00"/>
    <x v="4"/>
  </r>
  <r>
    <m/>
    <s v="001-OSC-63691"/>
    <d v="2025-08-11T00:00:00"/>
    <d v="1899-12-30T09:08:00"/>
    <d v="2025-08-11T00:00:00"/>
    <x v="162"/>
    <s v="BG22854"/>
    <d v="2025-08-11T00:00:00"/>
    <d v="1899-12-30T10:34:00"/>
    <x v="4"/>
    <s v="BELLO"/>
    <s v="DMB 11 X 25 KG"/>
    <n v="2000"/>
    <n v="80"/>
    <n v="36700000"/>
    <d v="2025-08-12T00:00:00"/>
    <d v="2025-08-11T00:00:00"/>
    <x v="10"/>
  </r>
  <r>
    <m/>
    <m/>
    <d v="2025-08-11T00:00:00"/>
    <d v="1899-12-30T15:08:00"/>
    <d v="2025-08-21T00:00:00"/>
    <x v="163"/>
    <s v="BG22961"/>
    <d v="2025-08-11T00:00:00"/>
    <d v="1899-12-30T11:25:00"/>
    <x v="62"/>
    <s v="ECUADOR"/>
    <s v="HALQUINOX 500 X 25 KG"/>
    <n v="500"/>
    <n v="20"/>
    <s v="6500 USD"/>
    <d v="2025-08-21T00:00:00"/>
    <d v="2025-08-21T00:00:00"/>
    <x v="0"/>
  </r>
  <r>
    <m/>
    <m/>
    <d v="2025-08-11T00:00:00"/>
    <d v="1899-12-30T15:08:00"/>
    <d v="2025-08-21T00:00:00"/>
    <x v="163"/>
    <s v="BG22961"/>
    <d v="2025-08-11T00:00:00"/>
    <d v="1899-12-30T11:25:00"/>
    <x v="62"/>
    <s v="ECUADOR"/>
    <s v="DINAMIX 200 PREMIX X 25 KG"/>
    <n v="300"/>
    <n v="12"/>
    <s v="3300 USD"/>
    <d v="2025-08-21T00:00:00"/>
    <d v="2025-08-21T00:00:00"/>
    <x v="0"/>
  </r>
  <r>
    <m/>
    <m/>
    <d v="2025-08-11T00:00:00"/>
    <d v="1899-12-30T15:08:00"/>
    <d v="2025-08-21T00:00:00"/>
    <x v="163"/>
    <s v="BG22961"/>
    <d v="2025-08-11T00:00:00"/>
    <d v="1899-12-30T11:25:00"/>
    <x v="62"/>
    <s v="ECUADOR"/>
    <s v="NEOCYN X 25 KG "/>
    <n v="200"/>
    <n v="8"/>
    <s v="2950 USD"/>
    <d v="2025-08-21T00:00:00"/>
    <d v="2025-08-21T00:00:00"/>
    <x v="0"/>
  </r>
  <r>
    <m/>
    <m/>
    <d v="2025-08-11T00:00:00"/>
    <d v="1899-12-30T15:08:00"/>
    <d v="2025-08-21T00:00:00"/>
    <x v="163"/>
    <s v="BG22961"/>
    <d v="2025-08-11T00:00:00"/>
    <d v="1899-12-30T11:25:00"/>
    <x v="62"/>
    <s v="ECUADOR"/>
    <s v="CIPROFLOX X 5 KG"/>
    <n v="120"/>
    <n v="24"/>
    <s v="1617,6USD"/>
    <d v="2025-08-21T00:00:00"/>
    <d v="2025-08-21T00:00:00"/>
    <x v="0"/>
  </r>
  <r>
    <m/>
    <s v="OC PENDIENTE"/>
    <d v="2025-08-11T00:00:00"/>
    <d v="1899-12-30T07:15:00"/>
    <d v="2025-08-13T00:00:00"/>
    <x v="164"/>
    <s v="BG22851"/>
    <d v="2025-08-11T00:00:00"/>
    <d v="1899-12-30T11:29:00"/>
    <x v="11"/>
    <s v="EL BRUJAL"/>
    <s v="NEOCYN X 25 KG "/>
    <n v="300"/>
    <n v="12"/>
    <n v="20400000"/>
    <d v="2025-08-12T00:00:00"/>
    <d v="2025-08-13T00:00:00"/>
    <x v="6"/>
  </r>
  <r>
    <m/>
    <s v="10584"/>
    <d v="2025-08-11T00:00:00"/>
    <d v="1899-12-30T07:20:00"/>
    <d v="2025-08-11T00:00:00"/>
    <x v="165"/>
    <s v="BG22942"/>
    <d v="2025-08-11T00:00:00"/>
    <d v="1899-12-30T11:32:00"/>
    <x v="10"/>
    <s v="BUCARAMANGA"/>
    <s v="FOSMYCINA 90 X 500 GR"/>
    <n v="5"/>
    <n v="10"/>
    <n v="2575000"/>
    <d v="2025-08-12T00:00:00"/>
    <d v="2025-08-11T00:00:00"/>
    <x v="10"/>
  </r>
  <r>
    <m/>
    <s v="4503785261"/>
    <d v="2025-08-11T00:00:00"/>
    <d v="1899-12-30T07:31:00"/>
    <d v="2025-08-14T00:00:00"/>
    <x v="166"/>
    <s v="BG22885"/>
    <d v="2025-08-11T00:00:00"/>
    <d v="1899-12-30T11:36:00"/>
    <x v="63"/>
    <s v="BUGA"/>
    <s v="DMB 11 X 25 KG"/>
    <n v="9200"/>
    <n v="368"/>
    <n v="163300000"/>
    <d v="2025-08-14T00:00:00"/>
    <d v="2025-08-14T00:00:00"/>
    <x v="0"/>
  </r>
  <r>
    <m/>
    <m/>
    <d v="2025-08-11T00:00:00"/>
    <d v="1899-12-30T07:33:00"/>
    <d v="2025-08-11T00:00:00"/>
    <x v="167"/>
    <s v="BG22973"/>
    <d v="2025-08-11T00:00:00"/>
    <d v="1899-12-30T11:47:00"/>
    <x v="9"/>
    <s v="BUCARAMANGA"/>
    <s v="FENIFLOR ORAL X 500 GR"/>
    <d v="2025-05-12T00:00:00"/>
    <n v="25"/>
    <n v="1375000"/>
    <d v="2025-08-11T00:00:00"/>
    <d v="2025-08-11T00:00:00"/>
    <x v="0"/>
  </r>
  <r>
    <m/>
    <m/>
    <d v="2025-08-11T00:00:00"/>
    <d v="1899-12-30T09:49:00"/>
    <d v="2025-08-11T00:00:00"/>
    <x v="168"/>
    <s v="BG22880"/>
    <d v="2025-08-11T00:00:00"/>
    <d v="1899-12-30T11:53:00"/>
    <x v="64"/>
    <s v="SANTA ROSA DE OSOS"/>
    <s v="TILCOMIX ORAL X 1 LITRO"/>
    <n v="5"/>
    <n v="5"/>
    <n v="1125000"/>
    <d v="2025-08-11T00:00:00"/>
    <d v="2025-08-11T00:00:00"/>
    <x v="0"/>
  </r>
  <r>
    <m/>
    <m/>
    <d v="2025-08-11T00:00:00"/>
    <d v="1899-12-30T09:49:00"/>
    <d v="2025-08-11T00:00:00"/>
    <x v="168"/>
    <s v="BG22880"/>
    <d v="2025-08-11T00:00:00"/>
    <d v="1899-12-30T11:53:00"/>
    <x v="64"/>
    <s v="SANTA ROSA DE OSOS"/>
    <s v="SMOOTH SWEET X 75 GR"/>
    <n v="750"/>
    <n v="10"/>
    <n v="0.75"/>
    <d v="2025-08-11T00:00:00"/>
    <d v="2025-08-11T00:00:00"/>
    <x v="0"/>
  </r>
  <r>
    <m/>
    <m/>
    <d v="2025-08-11T00:00:00"/>
    <d v="1899-12-30T09:49:00"/>
    <d v="2025-08-11T00:00:00"/>
    <x v="168"/>
    <s v="BG22880"/>
    <d v="2025-08-11T00:00:00"/>
    <d v="1899-12-30T11:53:00"/>
    <x v="64"/>
    <s v="SANTA ROSA DE OSOS"/>
    <s v="ROFLOX X 1 LITRO"/>
    <n v="10"/>
    <n v="10"/>
    <n v="550000"/>
    <d v="2025-08-11T00:00:00"/>
    <d v="2025-08-11T00:00:00"/>
    <x v="0"/>
  </r>
  <r>
    <m/>
    <m/>
    <d v="2025-08-11T00:00:00"/>
    <d v="1899-12-30T09:49:00"/>
    <d v="2025-08-13T00:00:00"/>
    <x v="169"/>
    <s v="BG22879"/>
    <d v="2025-08-11T00:00:00"/>
    <d v="1899-12-30T11:53:00"/>
    <x v="64"/>
    <s v="SANTA ROSA DE OSOS"/>
    <s v="TILCOMIX ORAL X 1 LITRO"/>
    <n v="5"/>
    <n v="5"/>
    <n v="1125000"/>
    <d v="2025-08-11T00:00:00"/>
    <d v="2025-08-13T00:00:00"/>
    <x v="4"/>
  </r>
  <r>
    <m/>
    <m/>
    <d v="2025-08-11T00:00:00"/>
    <d v="1899-12-30T09:49:00"/>
    <d v="2025-08-13T00:00:00"/>
    <x v="169"/>
    <s v="BG22879"/>
    <d v="2025-08-11T00:00:00"/>
    <d v="1899-12-30T11:53:00"/>
    <x v="64"/>
    <s v="SANTA ROSA DE OSOS"/>
    <s v="FENIFLOR ORAL X 500 GR"/>
    <n v="10"/>
    <n v="20"/>
    <n v="1100000"/>
    <d v="2025-08-11T00:00:00"/>
    <d v="2025-08-13T00:00:00"/>
    <x v="4"/>
  </r>
  <r>
    <m/>
    <m/>
    <d v="2025-08-11T00:00:00"/>
    <d v="1899-12-30T10:07:00"/>
    <d v="2025-08-13T00:00:00"/>
    <x v="170"/>
    <s v="BG22850"/>
    <d v="2025-08-11T00:00:00"/>
    <d v="1899-12-30T12:13:00"/>
    <x v="37"/>
    <s v="SANTA ROSA DE OSOS"/>
    <s v="CIPROFLOX X 5 KG"/>
    <n v="100"/>
    <n v="4"/>
    <n v="5300000"/>
    <d v="2025-08-12T00:00:00"/>
    <d v="2025-08-13T00:00:00"/>
    <x v="6"/>
  </r>
  <r>
    <m/>
    <m/>
    <d v="2025-08-11T00:00:00"/>
    <d v="1899-12-30T10:07:00"/>
    <d v="2025-08-13T00:00:00"/>
    <x v="170"/>
    <s v="BG22850"/>
    <d v="2025-08-11T00:00:00"/>
    <d v="1899-12-30T12:13:00"/>
    <x v="37"/>
    <s v="SANTA ROSA DE OSOS"/>
    <s v="SMOOTH SWEET X 5 KG"/>
    <n v="5"/>
    <n v="0.2"/>
    <n v="5"/>
    <d v="2025-08-12T00:00:00"/>
    <d v="2025-08-13T00:00:00"/>
    <x v="6"/>
  </r>
  <r>
    <m/>
    <m/>
    <d v="2025-08-11T00:00:00"/>
    <d v="1899-12-30T10:07:00"/>
    <d v="2025-08-13T00:00:00"/>
    <x v="170"/>
    <s v="BG22850"/>
    <d v="2025-08-11T00:00:00"/>
    <d v="1899-12-30T12:13:00"/>
    <x v="37"/>
    <s v="SANTA ROSA DE OSOS"/>
    <s v="SMOOTH SWEET X 75 GR"/>
    <n v="2.5"/>
    <n v="0.1"/>
    <n v="2.2999999999999998"/>
    <d v="2025-08-12T00:00:00"/>
    <d v="2025-08-13T00:00:00"/>
    <x v="6"/>
  </r>
  <r>
    <s v="TRANSPORTE "/>
    <m/>
    <d v="2025-08-11T00:00:00"/>
    <d v="1899-12-30T10:07:00"/>
    <d v="2025-08-13T00:00:00"/>
    <x v="170"/>
    <s v="BG22850"/>
    <d v="2025-08-11T00:00:00"/>
    <d v="1899-12-30T12:13:00"/>
    <x v="37"/>
    <s v="SANTA ROSA DE OSOS"/>
    <s v="CLORTETRAX 20 % X 25 KG"/>
    <n v="200"/>
    <n v="8"/>
    <n v="3240000"/>
    <d v="2025-08-12T00:00:00"/>
    <d v="2025-08-13T00:00:00"/>
    <x v="6"/>
  </r>
  <r>
    <m/>
    <m/>
    <d v="2025-08-11T00:00:00"/>
    <d v="1899-12-30T10:07:00"/>
    <d v="2025-08-13T00:00:00"/>
    <x v="170"/>
    <s v="BG22850"/>
    <d v="2025-08-11T00:00:00"/>
    <d v="1899-12-30T12:13:00"/>
    <x v="37"/>
    <s v="SANTA ROSA DE OSOS"/>
    <s v="DMB 11 X 25 KG"/>
    <n v="50"/>
    <n v="2"/>
    <n v="931700"/>
    <d v="2025-08-12T00:00:00"/>
    <d v="2025-08-13T00:00:00"/>
    <x v="6"/>
  </r>
  <r>
    <m/>
    <m/>
    <d v="2025-08-11T00:00:00"/>
    <d v="1899-12-30T10:07:00"/>
    <d v="2025-08-13T00:00:00"/>
    <x v="170"/>
    <s v="BG22850"/>
    <d v="2025-08-11T00:00:00"/>
    <d v="1899-12-30T12:13:00"/>
    <x v="37"/>
    <s v="SANTA ROSA DE OSOS"/>
    <s v="NEOCYN X 25 KG "/>
    <n v="200"/>
    <n v="8"/>
    <n v="14400000"/>
    <d v="2025-08-12T00:00:00"/>
    <d v="2025-08-13T00:00:00"/>
    <x v="6"/>
  </r>
  <r>
    <m/>
    <m/>
    <d v="2025-08-11T00:00:00"/>
    <d v="1899-12-30T11:51:00"/>
    <d v="2025-08-11T00:00:00"/>
    <x v="171"/>
    <s v="BG22849"/>
    <d v="2025-08-11T00:00:00"/>
    <d v="1899-12-30T12:26:00"/>
    <x v="65"/>
    <s v="BUCARAMANGA"/>
    <s v="FOSMYCINA 90 X 500 GR"/>
    <n v="2.5"/>
    <n v="5"/>
    <n v="1300520"/>
    <d v="2025-08-11T00:00:00"/>
    <d v="2025-08-11T00:00:00"/>
    <x v="0"/>
  </r>
  <r>
    <m/>
    <s v="91.206"/>
    <d v="2025-08-11T00:00:00"/>
    <d v="1899-12-30T11:38:00"/>
    <d v="2025-08-13T00:00:00"/>
    <x v="172"/>
    <s v="BG22853"/>
    <d v="2025-08-11T00:00:00"/>
    <d v="1899-12-30T12:31:00"/>
    <x v="41"/>
    <s v="BUGA"/>
    <s v="AMOXIN X 1 KG"/>
    <n v="14"/>
    <n v="14"/>
    <n v="2030000"/>
    <d v="2025-08-12T00:00:00"/>
    <d v="2025-08-13T00:00:00"/>
    <x v="6"/>
  </r>
  <r>
    <m/>
    <s v="1001884133"/>
    <d v="2025-08-11T00:00:00"/>
    <d v="1899-12-30T10:50:00"/>
    <d v="2025-08-15T00:00:00"/>
    <x v="173"/>
    <s v="BG22908"/>
    <d v="2025-08-11T00:00:00"/>
    <d v="1899-12-30T12:36:00"/>
    <x v="66"/>
    <s v="MOSQUERA"/>
    <s v="CLORTETRAX 20 % X 25 KG"/>
    <n v="600"/>
    <n v="24"/>
    <n v="12120000"/>
    <d v="2025-08-15T00:00:00"/>
    <d v="2025-08-15T00:00:00"/>
    <x v="0"/>
  </r>
  <r>
    <m/>
    <s v="1001884133"/>
    <d v="2025-08-11T00:00:00"/>
    <d v="1899-12-30T10:50:00"/>
    <d v="2025-08-15T00:00:00"/>
    <x v="173"/>
    <s v="BG22908"/>
    <d v="2025-08-11T00:00:00"/>
    <d v="1899-12-30T12:36:00"/>
    <x v="66"/>
    <s v="MOSQUERA"/>
    <s v="ACCUREMAX 10 % X 25 KG"/>
    <n v="50"/>
    <n v="2"/>
    <n v="12000000"/>
    <d v="2025-08-15T00:00:00"/>
    <d v="2025-08-15T00:00:00"/>
    <x v="0"/>
  </r>
  <r>
    <m/>
    <s v="005-OSC-9650"/>
    <d v="2025-08-11T00:00:00"/>
    <d v="1899-12-30T09:50:00"/>
    <d v="2025-08-15T00:00:00"/>
    <x v="174"/>
    <s v="BG22907"/>
    <d v="2025-08-11T00:00:00"/>
    <d v="1899-12-30T12:38:00"/>
    <x v="4"/>
    <s v="MOSQUERA"/>
    <s v="CLORTETRAX 20 % X 25 KG"/>
    <n v="2000"/>
    <n v="80"/>
    <n v="32600000"/>
    <d v="2025-08-15T00:00:00"/>
    <d v="2025-08-15T00:00:00"/>
    <x v="0"/>
  </r>
  <r>
    <m/>
    <s v="OCO-00009661"/>
    <d v="2025-08-11T00:00:00"/>
    <d v="1899-12-30T13:23:00"/>
    <d v="2025-08-12T00:00:00"/>
    <x v="175"/>
    <s v="BG22852"/>
    <d v="2025-08-11T00:00:00"/>
    <d v="1899-12-30T14:12:00"/>
    <x v="44"/>
    <s v="BOGOTA"/>
    <s v="NORFLOX X 1 KG"/>
    <n v="96"/>
    <n v="96"/>
    <n v="5328000"/>
    <d v="2025-08-12T00:00:00"/>
    <d v="2025-08-12T00:00:00"/>
    <x v="0"/>
  </r>
  <r>
    <m/>
    <s v="O.C. 45666"/>
    <d v="2025-08-12T00:00:00"/>
    <d v="1899-12-30T07:23:00"/>
    <d v="2025-08-13T00:00:00"/>
    <x v="176"/>
    <s v="BG22869"/>
    <d v="2025-08-12T00:00:00"/>
    <d v="1899-12-30T09:55:00"/>
    <x v="67"/>
    <s v="ITAGUI"/>
    <s v="AMOXIN X 1 KG"/>
    <n v="10"/>
    <n v="10"/>
    <n v="1500000"/>
    <d v="2025-08-13T00:00:00"/>
    <d v="2025-08-13T00:00:00"/>
    <x v="0"/>
  </r>
  <r>
    <m/>
    <s v="O.C. 45666"/>
    <d v="2025-08-12T00:00:00"/>
    <d v="1899-12-30T07:23:00"/>
    <d v="2025-08-13T00:00:00"/>
    <x v="176"/>
    <s v="BG22869"/>
    <d v="2025-08-12T00:00:00"/>
    <d v="1899-12-30T09:55:00"/>
    <x v="67"/>
    <s v="ITAGUI"/>
    <s v="FENIFLOR ORAL X 500 GR"/>
    <n v="50"/>
    <n v="100"/>
    <n v="5250000"/>
    <d v="2025-08-13T00:00:00"/>
    <d v="2025-08-13T00:00:00"/>
    <x v="0"/>
  </r>
  <r>
    <m/>
    <s v="O.C. 45666"/>
    <d v="2025-08-12T00:00:00"/>
    <d v="1899-12-30T07:23:00"/>
    <d v="2025-08-13T00:00:00"/>
    <x v="176"/>
    <s v="BG22869"/>
    <d v="2025-08-12T00:00:00"/>
    <d v="1899-12-30T09:55:00"/>
    <x v="67"/>
    <s v="ITAGUI"/>
    <s v="NEOCYN X 1 KG "/>
    <n v="10"/>
    <n v="10"/>
    <n v="700000"/>
    <d v="2025-08-13T00:00:00"/>
    <d v="2025-08-13T00:00:00"/>
    <x v="0"/>
  </r>
  <r>
    <m/>
    <s v="10589"/>
    <d v="2025-08-11T00:00:00"/>
    <d v="1899-12-30T17:56:00"/>
    <d v="2025-08-13T00:00:00"/>
    <x v="177"/>
    <s v="BG22941"/>
    <d v="2025-08-12T00:00:00"/>
    <d v="1899-12-30T10:05:00"/>
    <x v="10"/>
    <s v="BUCARAMANGA"/>
    <s v="DMB 11 X 25 KG"/>
    <n v="875"/>
    <n v="35"/>
    <n v="18075000"/>
    <d v="2025-08-13T00:00:00"/>
    <d v="2025-08-13T00:00:00"/>
    <x v="0"/>
  </r>
  <r>
    <m/>
    <s v="10589"/>
    <d v="2025-08-11T00:00:00"/>
    <d v="1899-12-30T17:56:00"/>
    <d v="2025-08-13T00:00:00"/>
    <x v="177"/>
    <s v="BG22941"/>
    <d v="2025-08-12T00:00:00"/>
    <d v="1899-12-30T10:05:00"/>
    <x v="10"/>
    <s v="BUCARAMANGA"/>
    <s v="TILVASYN X 25 KG"/>
    <n v="25"/>
    <n v="1"/>
    <n v="5375000"/>
    <d v="2025-08-13T00:00:00"/>
    <d v="2025-08-13T00:00:00"/>
    <x v="0"/>
  </r>
  <r>
    <m/>
    <s v="1233493"/>
    <d v="2025-08-11T00:00:00"/>
    <d v="1899-12-30T14:51:00"/>
    <d v="2025-08-13T00:00:00"/>
    <x v="178"/>
    <s v="BG22868"/>
    <d v="2025-08-12T00:00:00"/>
    <d v="1899-12-30T10:15:00"/>
    <x v="5"/>
    <s v="BUGA"/>
    <s v="FENIFLOR PREMIX X 25 KG"/>
    <n v="75"/>
    <n v="3"/>
    <n v="3969000"/>
    <d v="2025-08-13T00:00:00"/>
    <d v="2025-08-13T00:00:00"/>
    <x v="0"/>
  </r>
  <r>
    <m/>
    <s v="AG-0032-25"/>
    <d v="2025-08-11T00:00:00"/>
    <d v="1899-12-30T15:01:00"/>
    <d v="2025-08-19T00:00:00"/>
    <x v="179"/>
    <s v="BG22921"/>
    <d v="2025-08-12T00:00:00"/>
    <d v="1899-12-30T10:22:00"/>
    <x v="23"/>
    <s v="PLANTA"/>
    <s v="AMOXIN X 1 KG"/>
    <n v="150"/>
    <n v="150"/>
    <n v="21207000"/>
    <d v="2025-08-20T00:00:00"/>
    <d v="2025-08-19T00:00:00"/>
    <x v="10"/>
  </r>
  <r>
    <m/>
    <s v="AG-0032-25"/>
    <d v="2025-08-11T00:00:00"/>
    <d v="1899-12-30T15:01:00"/>
    <d v="2025-08-19T00:00:00"/>
    <x v="179"/>
    <s v="BG22921"/>
    <d v="2025-08-12T00:00:00"/>
    <d v="1899-12-30T10:22:00"/>
    <x v="23"/>
    <s v="PLANTA"/>
    <s v="CLORTETRAX 20 % X 25 KG"/>
    <n v="500"/>
    <n v="20"/>
    <n v="8100000"/>
    <d v="2025-08-20T00:00:00"/>
    <d v="2025-08-19T00:00:00"/>
    <x v="10"/>
  </r>
  <r>
    <m/>
    <s v="1233680 "/>
    <d v="2025-08-11T00:00:00"/>
    <d v="1899-12-30T16:28:00"/>
    <d v="2025-08-13T00:00:00"/>
    <x v="180"/>
    <s v="BG22867"/>
    <d v="2025-08-12T00:00:00"/>
    <d v="1899-12-30T10:25:00"/>
    <x v="6"/>
    <s v="ENVIGADO"/>
    <s v="LOTUS X 10 KG"/>
    <n v="60"/>
    <n v="6"/>
    <n v="2070000"/>
    <d v="2025-08-12T00:00:00"/>
    <d v="2025-08-13T00:00:00"/>
    <x v="6"/>
  </r>
  <r>
    <m/>
    <s v="001-OSC-63770"/>
    <d v="2025-08-11T00:00:00"/>
    <d v="1899-12-30T16:52:00"/>
    <d v="2025-08-15T00:00:00"/>
    <x v="181"/>
    <s v="BG22898"/>
    <d v="2025-08-12T00:00:00"/>
    <d v="1899-12-30T10:29:00"/>
    <x v="4"/>
    <s v="BELLO"/>
    <s v="LOTUS X 10 KG"/>
    <n v="200"/>
    <n v="20"/>
    <n v="7700000"/>
    <d v="2025-08-18T00:00:00"/>
    <d v="2025-08-15T00:00:00"/>
    <x v="2"/>
  </r>
  <r>
    <m/>
    <s v="001-OC -00008166"/>
    <d v="2025-08-11T00:00:00"/>
    <d v="1899-12-30T18:05:00"/>
    <d v="2025-08-15T00:00:00"/>
    <x v="182"/>
    <s v="BG22896"/>
    <d v="2025-08-12T00:00:00"/>
    <d v="1899-12-30T12:00:00"/>
    <x v="25"/>
    <s v="YUMBO"/>
    <s v="CLORTETRAX 20 % X 25 KG"/>
    <n v="400"/>
    <n v="16"/>
    <n v="6400000"/>
    <d v="2025-08-15T00:00:00"/>
    <d v="2025-08-15T00:00:00"/>
    <x v="0"/>
  </r>
  <r>
    <m/>
    <s v="001-OC -00008166"/>
    <d v="2025-08-11T00:00:00"/>
    <d v="1899-12-30T18:05:00"/>
    <d v="2025-08-15T00:00:00"/>
    <x v="182"/>
    <s v="BG22896"/>
    <d v="2025-08-12T00:00:00"/>
    <d v="1899-12-30T12:00:00"/>
    <x v="25"/>
    <s v="YUMBO"/>
    <s v="ACCUREMAX 10 % X 25 KG"/>
    <n v="25"/>
    <n v="1"/>
    <n v="5875000"/>
    <d v="2025-08-15T00:00:00"/>
    <d v="2025-08-15T00:00:00"/>
    <x v="0"/>
  </r>
  <r>
    <m/>
    <s v="001-OC -00008166"/>
    <d v="2025-08-11T00:00:00"/>
    <d v="1899-12-30T18:05:00"/>
    <d v="2025-08-15T00:00:00"/>
    <x v="182"/>
    <s v="BG22896"/>
    <d v="2025-08-12T00:00:00"/>
    <d v="1899-12-30T12:00:00"/>
    <x v="25"/>
    <s v="YUMBO"/>
    <s v="DINAMIX 800 X 25 KILOS"/>
    <n v="25"/>
    <n v="1"/>
    <n v="4100000"/>
    <d v="2025-08-15T00:00:00"/>
    <d v="2025-08-15T00:00:00"/>
    <x v="0"/>
  </r>
  <r>
    <s v="INVENTARIO"/>
    <s v="001-OC -00008166"/>
    <d v="2025-08-11T00:00:00"/>
    <d v="1899-12-30T18:05:00"/>
    <d v="2025-08-15T00:00:00"/>
    <x v="182"/>
    <s v="BG22957"/>
    <d v="2025-08-12T00:00:00"/>
    <d v="1899-12-30T12:00:00"/>
    <x v="25"/>
    <s v="YUMBO"/>
    <s v="CIGNUS X 20 KILOS"/>
    <n v="100"/>
    <n v="4"/>
    <n v="4200000"/>
    <d v="2025-08-15T00:00:00"/>
    <d v="2025-08-15T00:00:00"/>
    <x v="0"/>
  </r>
  <r>
    <m/>
    <s v="001-OC -00008166"/>
    <d v="2025-08-11T00:00:00"/>
    <d v="1899-12-30T18:05:00"/>
    <d v="2025-08-15T00:00:00"/>
    <x v="182"/>
    <s v="BG22896"/>
    <d v="2025-08-12T00:00:00"/>
    <d v="1899-12-30T12:00:00"/>
    <x v="25"/>
    <s v="YUMBO"/>
    <s v="FRACTAL P X 25 KG"/>
    <n v="300"/>
    <n v="12"/>
    <n v="7650000"/>
    <d v="2025-08-15T00:00:00"/>
    <d v="2025-08-15T00:00:00"/>
    <x v="0"/>
  </r>
  <r>
    <m/>
    <s v="001-OC -00008166"/>
    <d v="2025-08-11T00:00:00"/>
    <d v="1899-12-30T18:05:00"/>
    <d v="2025-08-15T00:00:00"/>
    <x v="182"/>
    <s v="BG22896"/>
    <d v="2025-08-12T00:00:00"/>
    <d v="1899-12-30T12:00:00"/>
    <x v="25"/>
    <s v="YUMBO"/>
    <s v="HALQUINOX 800 X 25 KG"/>
    <n v="25"/>
    <n v="1"/>
    <n v="2675000"/>
    <d v="2025-08-15T00:00:00"/>
    <d v="2025-08-15T00:00:00"/>
    <x v="0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CLORTETRAX 20 % X 25 KG"/>
    <n v="400"/>
    <n v="16"/>
    <n v="6400000"/>
    <d v="2025-08-21T00:00:00"/>
    <d v="2025-08-15T00:00:00"/>
    <x v="18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ACCUREMAX 10 % X 25 KG"/>
    <n v="50"/>
    <n v="2"/>
    <n v="11750000"/>
    <d v="2025-08-21T00:00:00"/>
    <d v="2025-08-15T00:00:00"/>
    <x v="18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DINAMIX 800 X 25 KILOS"/>
    <n v="50"/>
    <n v="2"/>
    <n v="8200000"/>
    <d v="2025-08-21T00:00:00"/>
    <d v="2025-08-15T00:00:00"/>
    <x v="18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DMB 11 X 25 KG"/>
    <n v="50"/>
    <n v="2"/>
    <n v="975000"/>
    <d v="2025-08-21T00:00:00"/>
    <d v="2025-08-15T00:00:00"/>
    <x v="18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FRACTAL P X 25 KG"/>
    <n v="200"/>
    <n v="8"/>
    <n v="5100000"/>
    <d v="2025-08-21T00:00:00"/>
    <d v="2025-08-15T00:00:00"/>
    <x v="18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HALQUINOX 800 X 25 KG"/>
    <n v="50"/>
    <n v="2"/>
    <n v="2675000"/>
    <d v="2025-08-21T00:00:00"/>
    <d v="2025-08-15T00:00:00"/>
    <x v="18"/>
  </r>
  <r>
    <m/>
    <s v="001-OC -00008168"/>
    <d v="2025-08-11T00:00:00"/>
    <d v="1899-12-30T18:05:00"/>
    <d v="2025-08-26T00:00:00"/>
    <x v="184"/>
    <s v="BG23023"/>
    <d v="2025-08-12T00:00:00"/>
    <d v="1899-12-30T12:25:00"/>
    <x v="25"/>
    <s v="YUMBO"/>
    <s v="DMB 11 X 25 KG"/>
    <n v="100"/>
    <n v="4"/>
    <n v="1950000"/>
    <d v="2025-08-28T00:00:00"/>
    <d v="2025-08-26T00:00:00"/>
    <x v="5"/>
  </r>
  <r>
    <m/>
    <s v="001-OC -00008168"/>
    <d v="2025-08-11T00:00:00"/>
    <d v="1899-12-30T18:05:00"/>
    <d v="2025-08-26T00:00:00"/>
    <x v="184"/>
    <s v="BG23023"/>
    <d v="2025-08-12T00:00:00"/>
    <d v="1899-12-30T12:25:00"/>
    <x v="25"/>
    <s v="YUMBO"/>
    <s v="CIGNUS X 20 KILOS"/>
    <n v="100"/>
    <n v="4"/>
    <n v="4200000"/>
    <d v="2025-08-28T00:00:00"/>
    <d v="2025-08-26T00:00:00"/>
    <x v="5"/>
  </r>
  <r>
    <m/>
    <s v="1234287"/>
    <d v="2025-08-12T00:00:00"/>
    <d v="1899-12-30T11:11:00"/>
    <d v="2025-08-14T00:00:00"/>
    <x v="185"/>
    <s v="BG22890"/>
    <d v="2025-08-12T00:00:00"/>
    <d v="1899-12-30T13:00:00"/>
    <x v="6"/>
    <s v="BOGOTA"/>
    <s v="FENIFLOR PREMIX X 25 KG"/>
    <n v="75"/>
    <n v="3"/>
    <n v="3969000"/>
    <d v="2025-08-15T00:00:00"/>
    <d v="2025-08-14T00:00:00"/>
    <x v="10"/>
  </r>
  <r>
    <m/>
    <m/>
    <d v="2025-08-12T00:00:00"/>
    <d v="1899-12-30T11:25:00"/>
    <d v="2025-08-14T00:00:00"/>
    <x v="186"/>
    <s v="BG22878"/>
    <d v="2025-08-12T00:00:00"/>
    <d v="1899-12-30T13:06:00"/>
    <x v="26"/>
    <s v="CUCUTA"/>
    <s v="DINAMIX PREMIX X 25 KG"/>
    <n v="250"/>
    <n v="10"/>
    <n v="6500000"/>
    <d v="2025-08-13T00:00:00"/>
    <d v="2025-08-14T00:00:00"/>
    <x v="6"/>
  </r>
  <r>
    <m/>
    <m/>
    <d v="2025-08-12T00:00:00"/>
    <d v="1899-12-30T11:25:00"/>
    <d v="2025-08-14T00:00:00"/>
    <x v="186"/>
    <s v="BG22878"/>
    <d v="2025-08-12T00:00:00"/>
    <d v="1899-12-30T13:06:00"/>
    <x v="26"/>
    <s v="CUCUTA"/>
    <s v="MONECYL X 25 KG"/>
    <n v="50"/>
    <n v="2"/>
    <n v="1050000"/>
    <d v="2025-08-13T00:00:00"/>
    <d v="2025-08-14T00:00:00"/>
    <x v="6"/>
  </r>
  <r>
    <m/>
    <s v="4500354094"/>
    <d v="2025-08-12T00:00:00"/>
    <d v="1899-12-30T11:39:00"/>
    <d v="2025-08-26T00:00:00"/>
    <x v="187"/>
    <s v="BG23005"/>
    <d v="2025-08-13T00:00:00"/>
    <d v="1899-12-30T09:30:00"/>
    <x v="2"/>
    <s v="BUGA"/>
    <s v="FRACTAL P X 25 KG"/>
    <n v="1200"/>
    <n v="48"/>
    <n v="30600000"/>
    <d v="2025-08-26T00:00:00"/>
    <d v="2025-08-26T00:00:00"/>
    <x v="0"/>
  </r>
  <r>
    <m/>
    <s v="1234614 "/>
    <d v="2025-08-12T00:00:00"/>
    <d v="1899-12-30T15:22:00"/>
    <d v="2025-08-25T00:00:00"/>
    <x v="188"/>
    <s v="BG22948"/>
    <d v="2025-08-13T00:00:00"/>
    <d v="1899-12-30T09:34:00"/>
    <x v="6"/>
    <s v="CARTAGO"/>
    <s v="ACCUREMAX X 25 KG"/>
    <n v="50"/>
    <n v="2"/>
    <n v="2650000"/>
    <d v="2025-08-26T00:00:00"/>
    <d v="2025-08-25T00:00:00"/>
    <x v="10"/>
  </r>
  <r>
    <m/>
    <s v="1234641 "/>
    <d v="2025-08-12T00:00:00"/>
    <d v="1899-12-30T15:38:00"/>
    <d v="2025-08-14T00:00:00"/>
    <x v="189"/>
    <s v="BG22971"/>
    <d v="2025-08-13T00:00:00"/>
    <d v="1899-12-30T10:51:00"/>
    <x v="43"/>
    <s v="BUCARAMANGA"/>
    <s v="CIPROFLOX X 5 KG"/>
    <n v="60"/>
    <n v="12"/>
    <n v="3270000"/>
    <d v="2025-08-13T00:00:00"/>
    <d v="2025-08-14T00:00:00"/>
    <x v="6"/>
  </r>
  <r>
    <m/>
    <s v="1234641 "/>
    <d v="2025-08-12T00:00:00"/>
    <d v="1899-12-30T15:38:00"/>
    <d v="2025-08-14T00:00:00"/>
    <x v="190"/>
    <s v="BG23038"/>
    <d v="2025-08-13T00:00:00"/>
    <d v="1899-12-30T10:51:00"/>
    <x v="43"/>
    <s v="BUCARAMANGA"/>
    <s v="SMOOTH SWEET X 75 GR"/>
    <n v="4.5"/>
    <n v="60"/>
    <n v="4.5"/>
    <d v="2025-08-13T00:00:00"/>
    <d v="2025-08-14T00:00:00"/>
    <x v="6"/>
  </r>
  <r>
    <m/>
    <s v="A02-COC-280783"/>
    <d v="2025-08-12T00:00:00"/>
    <d v="1899-12-30T15:52:00"/>
    <d v="2025-08-19T00:00:00"/>
    <x v="191"/>
    <s v="BG22911"/>
    <d v="2025-08-13T00:00:00"/>
    <d v="1899-12-30T11:04:00"/>
    <x v="12"/>
    <s v="ITAGUI"/>
    <s v="DMB 11 X 25 KG"/>
    <n v="25"/>
    <n v="1"/>
    <n v="480000"/>
    <d v="2025-08-19T00:00:00"/>
    <d v="2025-08-19T00:00:00"/>
    <x v="0"/>
  </r>
  <r>
    <s v="INVENTARIO"/>
    <s v="A02-COC-280783"/>
    <d v="2025-08-12T00:00:00"/>
    <d v="1899-12-30T15:52:00"/>
    <d v="2025-08-21T00:00:00"/>
    <x v="191"/>
    <s v="BG22955"/>
    <d v="2025-08-13T00:00:00"/>
    <d v="1899-12-30T11:04:00"/>
    <x v="12"/>
    <s v="ITAGUI"/>
    <s v="CIGNUS X 20 KILOS"/>
    <n v="60"/>
    <n v="2.4"/>
    <n v="2520000"/>
    <d v="2025-08-19T00:00:00"/>
    <d v="2025-08-21T00:00:00"/>
    <x v="4"/>
  </r>
  <r>
    <m/>
    <s v="A02-COC-280783"/>
    <d v="2025-08-12T00:00:00"/>
    <d v="1899-12-30T15:52:00"/>
    <d v="2025-08-19T00:00:00"/>
    <x v="191"/>
    <s v="BG22911"/>
    <d v="2025-08-13T00:00:00"/>
    <d v="1899-12-30T11:04:00"/>
    <x v="12"/>
    <s v="ITAGUI"/>
    <s v="DINAMIX 800 X 25 KILOS"/>
    <n v="400"/>
    <n v="16"/>
    <n v="65600000"/>
    <d v="2025-08-19T00:00:00"/>
    <d v="2025-08-19T00:00:00"/>
    <x v="0"/>
  </r>
  <r>
    <m/>
    <s v="A02-COC-280783"/>
    <d v="2025-08-12T00:00:00"/>
    <d v="1899-12-30T15:52:00"/>
    <d v="2025-08-19T00:00:00"/>
    <x v="191"/>
    <s v="BG22911"/>
    <d v="2025-08-13T00:00:00"/>
    <d v="1899-12-30T11:04:00"/>
    <x v="12"/>
    <s v="ITAGUI"/>
    <s v="MONECYL X 25 KG"/>
    <n v="4000"/>
    <n v="160"/>
    <n v="82000000"/>
    <d v="2025-08-19T00:00:00"/>
    <d v="2025-08-19T00:00:00"/>
    <x v="0"/>
  </r>
  <r>
    <m/>
    <s v="28507"/>
    <d v="2025-08-13T00:00:00"/>
    <d v="1899-12-30T07:27:00"/>
    <d v="2025-08-20T00:00:00"/>
    <x v="192"/>
    <s v="BG22889"/>
    <d v="2025-08-13T00:00:00"/>
    <d v="1899-12-30T11:06:00"/>
    <x v="68"/>
    <s v="LA MESA"/>
    <s v="DQCICLIN X 1 KG"/>
    <n v="7"/>
    <n v="7"/>
    <n v="1960000"/>
    <d v="2025-08-14T00:00:00"/>
    <d v="2025-08-20T00:00:00"/>
    <x v="9"/>
  </r>
  <r>
    <m/>
    <s v="4500354301"/>
    <d v="2025-08-13T00:00:00"/>
    <d v="1899-12-30T08:19:00"/>
    <d v="2025-08-26T00:00:00"/>
    <x v="193"/>
    <s v="BG23004"/>
    <d v="2025-08-13T00:00:00"/>
    <d v="1899-12-30T11:29:00"/>
    <x v="2"/>
    <s v="BUGA"/>
    <s v="LOTUS X 10 KG"/>
    <n v="800"/>
    <n v="80"/>
    <n v="30800000"/>
    <d v="2025-08-26T00:00:00"/>
    <d v="2025-08-26T00:00:00"/>
    <x v="0"/>
  </r>
  <r>
    <m/>
    <s v="1235043 "/>
    <d v="2025-08-13T00:00:00"/>
    <d v="1899-12-30T08:52:00"/>
    <d v="2025-08-15T00:00:00"/>
    <x v="194"/>
    <s v="BG22904"/>
    <d v="2025-08-13T00:00:00"/>
    <d v="1899-12-30T11:31:00"/>
    <x v="5"/>
    <s v="BUGA"/>
    <s v="CELERITY NP X 25 KG"/>
    <n v="50"/>
    <n v="2"/>
    <n v="675000"/>
    <d v="2025-08-18T00:00:00"/>
    <d v="2025-08-15T00:00:00"/>
    <x v="2"/>
  </r>
  <r>
    <m/>
    <m/>
    <d v="2025-08-13T00:00:00"/>
    <d v="1899-12-30T11:22:00"/>
    <d v="2025-08-14T00:00:00"/>
    <x v="195"/>
    <s v="BG22894"/>
    <d v="2025-08-13T00:00:00"/>
    <d v="1899-12-30T12:11:00"/>
    <x v="31"/>
    <s v="RECOGE EN BODEGA"/>
    <s v="CLORTETRAX 20 % X 25 KG"/>
    <n v="200"/>
    <n v="8"/>
    <n v="3160000"/>
    <d v="2025-08-14T00:00:00"/>
    <d v="2025-08-14T00:00:00"/>
    <x v="0"/>
  </r>
  <r>
    <m/>
    <s v="Y-001-2831"/>
    <d v="2025-08-13T00:00:00"/>
    <d v="1899-12-30T11:48:00"/>
    <d v="2025-08-15T00:00:00"/>
    <x v="196"/>
    <s v="BG22888"/>
    <d v="2025-08-13T00:00:00"/>
    <d v="1899-12-30T12:14:00"/>
    <x v="69"/>
    <s v="PALMIRA"/>
    <s v="DMB 11 X 25 KG"/>
    <n v="75"/>
    <n v="3"/>
    <n v="1462500"/>
    <d v="2025-08-14T00:00:00"/>
    <d v="2025-08-15T00:00:00"/>
    <x v="6"/>
  </r>
  <r>
    <m/>
    <s v="4503792904"/>
    <d v="2025-08-13T00:00:00"/>
    <d v="1899-12-30T13:01:00"/>
    <d v="2025-08-15T00:00:00"/>
    <x v="197"/>
    <s v="BG22895"/>
    <d v="2025-08-13T00:00:00"/>
    <d v="1899-12-30T14:17:00"/>
    <x v="63"/>
    <s v="BUGA"/>
    <s v="CLORTETRAX 20 % X 25 KG"/>
    <n v="5000"/>
    <n v="200"/>
    <n v="77500000"/>
    <d v="2025-08-15T00:00:00"/>
    <d v="2025-08-15T00:00:00"/>
    <x v="0"/>
  </r>
  <r>
    <m/>
    <s v="4503792905"/>
    <d v="2025-08-13T00:00:00"/>
    <d v="1899-12-30T13:01:00"/>
    <d v="2025-08-22T00:00:00"/>
    <x v="198"/>
    <s v="BG22972"/>
    <d v="2025-08-13T00:00:00"/>
    <d v="1899-12-30T14:17:00"/>
    <x v="63"/>
    <s v="BUGA"/>
    <s v="CLORTETRAX 20 % X 25 KG"/>
    <n v="5000"/>
    <n v="200"/>
    <n v="77500000"/>
    <d v="2025-08-22T00:00:00"/>
    <d v="2025-08-22T00:00:00"/>
    <x v="0"/>
  </r>
  <r>
    <m/>
    <s v="4500354287"/>
    <d v="2025-08-13T00:00:00"/>
    <d v="1899-12-30T14:00:00"/>
    <d v="2025-08-14T00:00:00"/>
    <x v="199"/>
    <s v="BG22893"/>
    <d v="2025-08-13T00:00:00"/>
    <d v="1899-12-30T14:21:00"/>
    <x v="54"/>
    <s v="BUCARAMANGA"/>
    <s v="CIPROFLOX X 5 KG"/>
    <n v="200"/>
    <n v="80"/>
    <n v="11200000"/>
    <d v="2025-08-14T00:00:00"/>
    <d v="2025-08-14T00:00:00"/>
    <x v="0"/>
  </r>
  <r>
    <m/>
    <s v="OSC 62557"/>
    <d v="2025-06-25T00:00:00"/>
    <d v="1899-12-30T11:05:00"/>
    <s v="JULIO"/>
    <x v="200"/>
    <s v="BG22892"/>
    <d v="2025-06-25T00:00:00"/>
    <d v="1899-12-30T11:50:00"/>
    <x v="4"/>
    <s v="BELLO"/>
    <s v="FRACTAL P X 25 KG"/>
    <n v="75"/>
    <n v="3"/>
    <n v="1912500"/>
    <d v="2025-07-02T00:00:00"/>
    <s v="JULIO"/>
    <x v="0"/>
  </r>
  <r>
    <m/>
    <s v="OC-COMPR-18076"/>
    <d v="2025-08-12T00:00:00"/>
    <d v="1899-12-30T14:26:00"/>
    <d v="2025-08-15T00:00:00"/>
    <x v="201"/>
    <s v="BG22910"/>
    <d v="2025-08-13T00:00:00"/>
    <d v="1899-12-30T16:13:00"/>
    <x v="19"/>
    <s v="RICAURTE"/>
    <s v="BIMMU X 25 KG"/>
    <n v="190"/>
    <n v="7.6"/>
    <n v="6650000"/>
    <d v="2025-08-14T00:00:00"/>
    <d v="2025-08-15T00:00:00"/>
    <x v="6"/>
  </r>
  <r>
    <m/>
    <s v="4500081860"/>
    <d v="2025-08-14T00:00:00"/>
    <d v="1899-12-30T08:55:00"/>
    <d v="2025-08-15T00:00:00"/>
    <x v="202"/>
    <s v="BG22897"/>
    <d v="2025-08-14T00:00:00"/>
    <d v="1899-12-30T09:09:00"/>
    <x v="42"/>
    <s v="MEDELLIN"/>
    <s v="HALQUINOX 800 X 25 KG"/>
    <n v="2500"/>
    <n v="100"/>
    <n v="182167500"/>
    <d v="2025-08-15T00:00:00"/>
    <d v="2025-08-15T00:00:00"/>
    <x v="0"/>
  </r>
  <r>
    <m/>
    <s v="4500081860"/>
    <d v="2025-08-14T00:00:00"/>
    <d v="1899-12-30T08:55:00"/>
    <d v="2025-08-15T00:00:00"/>
    <x v="202"/>
    <s v="BG22897"/>
    <d v="2025-08-14T00:00:00"/>
    <d v="1899-12-30T09:09:00"/>
    <x v="42"/>
    <s v="MEDELLIN"/>
    <s v="DINAMIX 800 X 25 KILOS"/>
    <n v="1500"/>
    <n v="60"/>
    <n v="184725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TILOMIIX 250 PREMIX X 25 KG"/>
    <n v="1000"/>
    <n v="40"/>
    <n v="4990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CELERITY NP X 25 KG"/>
    <n v="2000"/>
    <n v="80"/>
    <n v="2132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CELMANAX X 25 KG"/>
    <n v="250"/>
    <n v="10"/>
    <n v="35625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DMB 11 X 25 KG"/>
    <n v="2000"/>
    <n v="80"/>
    <n v="3520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FENIFLOR PREMIX X 25 KG"/>
    <n v="300"/>
    <n v="12"/>
    <n v="15876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NEOCYN X 25 KG "/>
    <n v="400"/>
    <n v="16"/>
    <n v="2468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AMOXIN X 1 KG"/>
    <n v="200"/>
    <n v="8"/>
    <n v="2710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CIPROFLOX X 5 KG"/>
    <n v="300"/>
    <n v="12"/>
    <n v="13950000"/>
    <d v="2025-08-15T00:00:00"/>
    <d v="2025-08-15T00:00:00"/>
    <x v="0"/>
  </r>
  <r>
    <s v="INVENTARIO"/>
    <s v="4500082125"/>
    <d v="2025-08-13T00:00:00"/>
    <d v="1899-12-30T18:21:00"/>
    <d v="2025-08-15T00:00:00"/>
    <x v="203"/>
    <s v="BG23047"/>
    <d v="2025-08-14T00:00:00"/>
    <d v="1899-12-30T08:30:00"/>
    <x v="0"/>
    <s v="MEDELLIN"/>
    <s v="CIPROFLOX X 5 KG"/>
    <n v="700"/>
    <n v="28"/>
    <n v="3255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SMOOTH SWEET X 5 KG"/>
    <n v="30"/>
    <n v="1.2"/>
    <n v="30"/>
    <d v="2025-08-15T00:00:00"/>
    <d v="2025-08-15T00:00:00"/>
    <x v="0"/>
  </r>
  <r>
    <s v="INVENTARIO"/>
    <s v="4500082125"/>
    <d v="2025-08-13T00:00:00"/>
    <d v="1899-12-30T18:21:00"/>
    <d v="2025-08-15T00:00:00"/>
    <x v="204"/>
    <s v="BG23047"/>
    <d v="2025-08-14T00:00:00"/>
    <d v="1899-12-30T08:30:00"/>
    <x v="0"/>
    <s v="MEDELLIN"/>
    <s v="SMOOTH SWEET X 5 KG"/>
    <n v="15"/>
    <n v="0.6"/>
    <n v="15"/>
    <d v="2025-08-15T00:00:00"/>
    <d v="2025-08-15T00:00:00"/>
    <x v="0"/>
  </r>
  <r>
    <s v="INVENTARIO"/>
    <s v="4500082125"/>
    <d v="2025-08-13T00:00:00"/>
    <d v="1899-12-30T18:21:00"/>
    <d v="2025-08-15T00:00:00"/>
    <x v="203"/>
    <s v="BG23047"/>
    <d v="2025-08-14T00:00:00"/>
    <d v="1899-12-30T08:30:00"/>
    <x v="0"/>
    <s v="MEDELLIN"/>
    <s v="SMOOTH SWEET X 5 KG"/>
    <n v="30"/>
    <n v="1.2"/>
    <n v="45"/>
    <d v="2025-08-15T00:00:00"/>
    <d v="2025-08-15T00:00:00"/>
    <x v="0"/>
  </r>
  <r>
    <s v="INVENTARIO"/>
    <s v="1235660 "/>
    <d v="2025-08-14T00:00:00"/>
    <d v="1899-12-30T07:18:00"/>
    <d v="2025-08-23T00:00:00"/>
    <x v="205"/>
    <s v="BG22943"/>
    <d v="2025-08-14T00:00:00"/>
    <d v="1899-12-30T11:59:00"/>
    <x v="6"/>
    <s v="BOGOTA"/>
    <s v="DINAMIX PREMIX X 25 KG"/>
    <n v="75"/>
    <n v="3"/>
    <n v="1629750"/>
    <d v="2025-08-18T00:00:00"/>
    <d v="2025-08-23T00:00:00"/>
    <x v="8"/>
  </r>
  <r>
    <m/>
    <s v="1235660 "/>
    <d v="2025-08-14T00:00:00"/>
    <d v="1899-12-30T07:18:00"/>
    <d v="2025-08-15T00:00:00"/>
    <x v="206"/>
    <s v="BG22903"/>
    <d v="2025-08-14T00:00:00"/>
    <d v="1899-12-30T11:59:00"/>
    <x v="6"/>
    <s v="BOGOTA"/>
    <s v="DINAMIX PREMIX X 25 KG"/>
    <n v="200"/>
    <n v="8"/>
    <n v="4346000"/>
    <d v="2025-08-18T00:00:00"/>
    <d v="2025-08-15T00:00:00"/>
    <x v="2"/>
  </r>
  <r>
    <m/>
    <s v="1235660 "/>
    <d v="2025-08-14T00:00:00"/>
    <d v="1899-12-30T07:18:00"/>
    <d v="2025-08-15T00:00:00"/>
    <x v="207"/>
    <s v="BG22902"/>
    <d v="2025-08-14T00:00:00"/>
    <d v="1899-12-30T11:59:00"/>
    <x v="6"/>
    <s v="BOGOTA"/>
    <s v="LOTUS X 10 KG"/>
    <n v="60"/>
    <n v="6"/>
    <n v="2070000"/>
    <d v="2025-08-18T00:00:00"/>
    <d v="2025-08-15T00:00:00"/>
    <x v="2"/>
  </r>
  <r>
    <m/>
    <s v="022-OC-005268"/>
    <d v="2025-08-14T00:00:00"/>
    <d v="1899-12-30T07:36:00"/>
    <d v="2025-08-15T00:00:00"/>
    <x v="208"/>
    <s v="BG22901"/>
    <d v="2025-08-14T00:00:00"/>
    <d v="1899-12-30T12:09:00"/>
    <x v="27"/>
    <s v="ITALCOL FUNZA"/>
    <s v="LOTUS X 10 KG"/>
    <n v="200"/>
    <n v="8"/>
    <n v="7700000"/>
    <d v="2025-08-15T00:00:00"/>
    <d v="2025-08-15T00:00:00"/>
    <x v="0"/>
  </r>
  <r>
    <m/>
    <s v="1235875"/>
    <d v="2025-08-14T00:00:00"/>
    <d v="1899-12-30T08:50:00"/>
    <d v="2025-08-15T00:00:00"/>
    <x v="209"/>
    <s v="BG22900"/>
    <d v="2025-08-14T00:00:00"/>
    <d v="1899-12-30T12:12:00"/>
    <x v="5"/>
    <s v="BUCARAMANGA"/>
    <s v="TILVASYN X 25 KG"/>
    <n v="50"/>
    <n v="2"/>
    <n v="8750000"/>
    <d v="2025-08-15T00:00:00"/>
    <d v="2025-08-15T00:00:00"/>
    <x v="0"/>
  </r>
  <r>
    <m/>
    <s v="4500082143"/>
    <d v="2025-08-14T00:00:00"/>
    <d v="1899-12-30T10:10:00"/>
    <d v="2025-08-20T00:00:00"/>
    <x v="210"/>
    <s v="BG22924"/>
    <d v="2025-08-14T00:00:00"/>
    <d v="1899-12-30T12:39:00"/>
    <x v="0"/>
    <s v="MEDELLIN"/>
    <s v="CELMANAX X 25 KG"/>
    <n v="500"/>
    <n v="20"/>
    <n v="7125000"/>
    <d v="2025-08-20T00:00:00"/>
    <d v="2025-08-20T00:00:00"/>
    <x v="0"/>
  </r>
  <r>
    <m/>
    <s v="4500082143"/>
    <d v="2025-08-14T00:00:00"/>
    <d v="1899-12-30T10:10:00"/>
    <d v="2025-08-20T00:00:00"/>
    <x v="210"/>
    <s v="BG22924"/>
    <d v="2025-08-14T00:00:00"/>
    <d v="1899-12-30T12:39:00"/>
    <x v="0"/>
    <s v="MEDELLIN"/>
    <s v="LOTUS X 10 KG"/>
    <n v="1000"/>
    <n v="40"/>
    <n v="31800000"/>
    <d v="2025-08-20T00:00:00"/>
    <d v="2025-08-20T00:00:00"/>
    <x v="0"/>
  </r>
  <r>
    <m/>
    <s v="4500082143"/>
    <d v="2025-08-14T00:00:00"/>
    <d v="1899-12-30T10:10:00"/>
    <d v="2025-08-20T00:00:00"/>
    <x v="210"/>
    <s v="BG22924"/>
    <d v="2025-08-14T00:00:00"/>
    <d v="1899-12-30T12:39:00"/>
    <x v="0"/>
    <s v="MEDELLIN"/>
    <s v="CELERITY NP X 25 KG"/>
    <n v="2000"/>
    <n v="80"/>
    <n v="21320000"/>
    <d v="2025-08-20T00:00:00"/>
    <d v="2025-08-20T00:00:00"/>
    <x v="0"/>
  </r>
  <r>
    <m/>
    <s v="4500082142"/>
    <d v="2025-08-14T00:00:00"/>
    <d v="1899-12-30T10:10:00"/>
    <d v="2025-08-15T00:00:00"/>
    <x v="211"/>
    <s v="BG22914"/>
    <d v="2025-08-14T00:00:00"/>
    <d v="1899-12-30T10:43:00"/>
    <x v="0"/>
    <s v="MEDELLIN"/>
    <s v="CELERITY NP X 25 KG"/>
    <n v="600"/>
    <n v="24"/>
    <n v="9324000"/>
    <d v="2025-08-15T00:00:00"/>
    <d v="2025-08-15T00:00:00"/>
    <x v="0"/>
  </r>
  <r>
    <m/>
    <s v="P-1286"/>
    <d v="2025-08-14T00:00:00"/>
    <d v="1899-12-30T11:42:00"/>
    <d v="2025-08-15T00:00:00"/>
    <x v="212"/>
    <s v="BG22899"/>
    <d v="2025-08-14T00:00:00"/>
    <d v="1899-12-30T12:46:00"/>
    <x v="32"/>
    <s v="CALI"/>
    <s v="FOSMYCINA 90 X 500 GR"/>
    <n v="4.5"/>
    <n v="9"/>
    <m/>
    <d v="2025-08-15T00:00:00"/>
    <d v="2025-08-15T00:00:00"/>
    <x v="0"/>
  </r>
  <r>
    <s v="SAC ( MAL FACTURADO)"/>
    <n v="1202632"/>
    <d v="2025-06-25T00:00:00"/>
    <d v="1899-12-30T14:02:00"/>
    <m/>
    <x v="213"/>
    <s v="BG23045"/>
    <d v="2025-06-26T00:00:00"/>
    <d v="1899-12-30T11:49:00"/>
    <x v="43"/>
    <s v="CALDAS - ANTIOQUIA"/>
    <s v="FOSMYCINA 90 X 500 GR"/>
    <n v="12.5"/>
    <n v="25"/>
    <n v="5135000"/>
    <d v="2025-07-03T00:00:00"/>
    <m/>
    <x v="0"/>
  </r>
  <r>
    <m/>
    <m/>
    <d v="2025-08-14T00:00:00"/>
    <d v="1899-12-30T10:30:00"/>
    <d v="2025-08-15T00:00:00"/>
    <x v="214"/>
    <s v="BG22912"/>
    <d v="2025-08-15T00:00:00"/>
    <d v="1899-12-30T09:13:00"/>
    <x v="70"/>
    <s v="SABANETA"/>
    <s v="ROFLOX X 1 LITRO"/>
    <n v="7"/>
    <n v="7"/>
    <n v="446250"/>
    <d v="2025-08-15T00:00:00"/>
    <d v="2025-08-15T00:00:00"/>
    <x v="0"/>
  </r>
  <r>
    <m/>
    <s v="4500139591"/>
    <d v="2025-08-15T00:00:00"/>
    <d v="1899-12-30T08:07:00"/>
    <d v="2025-08-15T00:00:00"/>
    <x v="215"/>
    <s v="BG22909"/>
    <d v="2025-08-15T00:00:00"/>
    <d v="1899-12-30T09:17:00"/>
    <x v="49"/>
    <s v="FUSAGASUGA"/>
    <s v="FOSMYCINA 90 X 500 GR"/>
    <n v="24"/>
    <n v="48"/>
    <n v="12180000"/>
    <d v="2025-08-15T00:00:00"/>
    <d v="2025-08-15T00:00:00"/>
    <x v="0"/>
  </r>
  <r>
    <m/>
    <s v="432-25"/>
    <d v="2025-08-14T00:00:00"/>
    <d v="1899-12-30T14:58:00"/>
    <d v="2025-08-20T00:00:00"/>
    <x v="216"/>
    <s v="BG22919"/>
    <d v="2025-08-15T00:00:00"/>
    <d v="1899-12-30T10:01:00"/>
    <x v="22"/>
    <s v="RIONEGRO"/>
    <s v="FRACTAL P X 25 KG"/>
    <n v="250"/>
    <n v="10"/>
    <n v="6375000"/>
    <d v="2025-08-18T00:00:00"/>
    <d v="2025-08-20T00:00:00"/>
    <x v="4"/>
  </r>
  <r>
    <m/>
    <s v="O.C. 45714 "/>
    <d v="2025-08-14T00:00:00"/>
    <d v="1899-12-30T15:10:00"/>
    <d v="2025-08-20T00:00:00"/>
    <x v="217"/>
    <s v="BG22918"/>
    <d v="2025-08-15T00:00:00"/>
    <d v="1899-12-30T10:25:00"/>
    <x v="71"/>
    <s v="ITAGUI"/>
    <s v="FRACTAL L X 20 KILOS"/>
    <n v="60"/>
    <n v="3"/>
    <n v="2310000"/>
    <d v="2025-08-18T00:00:00"/>
    <d v="2025-08-20T00:00:00"/>
    <x v="4"/>
  </r>
  <r>
    <m/>
    <s v="O.C. 45714 "/>
    <d v="2025-08-14T00:00:00"/>
    <d v="1899-12-30T15:10:00"/>
    <d v="2025-08-20T00:00:00"/>
    <x v="217"/>
    <s v="BG22918"/>
    <d v="2025-08-15T00:00:00"/>
    <d v="1899-12-30T10:25:00"/>
    <x v="71"/>
    <s v="ITAGUI"/>
    <s v="ROFLOX X 1 LITRO"/>
    <n v="5"/>
    <n v="5"/>
    <n v="275000"/>
    <d v="2025-08-18T00:00:00"/>
    <d v="2025-08-20T00:00:00"/>
    <x v="4"/>
  </r>
  <r>
    <s v="INVENTARIO"/>
    <s v="1236319"/>
    <d v="2025-08-14T00:00:00"/>
    <d v="1899-12-30T15:35:00"/>
    <s v="DIA DE HOY"/>
    <x v="218"/>
    <s v="BG22940"/>
    <d v="2025-08-15T00:00:00"/>
    <d v="1899-12-30T10:49:00"/>
    <x v="5"/>
    <s v="BUGA"/>
    <s v="DINAMIX PREMIX X 25 KG"/>
    <n v="75"/>
    <n v="3"/>
    <n v="1629750"/>
    <d v="2025-08-18T00:00:00"/>
    <d v="2025-08-18T00:00:00"/>
    <x v="0"/>
  </r>
  <r>
    <m/>
    <s v="A02-COC-281283"/>
    <d v="2025-08-14T00:00:00"/>
    <d v="1899-12-30T15:55:00"/>
    <d v="2025-08-19T00:00:00"/>
    <x v="219"/>
    <s v="BG22917"/>
    <d v="2025-08-15T00:00:00"/>
    <d v="1899-12-30T10:52:00"/>
    <x v="12"/>
    <s v="ITAGUI"/>
    <s v="CLORTETRAX 20 % X 25 KG"/>
    <n v="2500"/>
    <n v="100"/>
    <n v="40000000"/>
    <d v="2025-08-19T00:00:00"/>
    <d v="2025-08-19T00:00:00"/>
    <x v="0"/>
  </r>
  <r>
    <m/>
    <s v="004-OSC-49123"/>
    <d v="2025-08-14T00:00:00"/>
    <d v="1899-12-30T16:23:00"/>
    <d v="2025-08-20T00:00:00"/>
    <x v="220"/>
    <s v="BG22947"/>
    <d v="2025-08-15T00:00:00"/>
    <d v="1899-12-30T11:24:00"/>
    <x v="4"/>
    <s v="CARTAGO"/>
    <s v="LOTUS X 10 KG"/>
    <n v="100"/>
    <n v="4"/>
    <n v="3850000"/>
    <d v="2025-08-21T00:00:00"/>
    <d v="2025-08-20T00:00:00"/>
    <x v="10"/>
  </r>
  <r>
    <m/>
    <s v="004-OSC-49123"/>
    <d v="2025-08-14T00:00:00"/>
    <d v="1899-12-30T16:23:00"/>
    <d v="2025-08-20T00:00:00"/>
    <x v="220"/>
    <s v="BG22947"/>
    <d v="2025-08-15T00:00:00"/>
    <d v="1899-12-30T11:24:00"/>
    <x v="4"/>
    <s v="CARTAGO"/>
    <s v="CELMANAX X 25 KG"/>
    <n v="50"/>
    <n v="2"/>
    <n v="810000"/>
    <d v="2025-08-21T00:00:00"/>
    <d v="2025-08-20T00:00:00"/>
    <x v="10"/>
  </r>
  <r>
    <m/>
    <s v="004-OSC-49123"/>
    <d v="2025-08-14T00:00:00"/>
    <d v="1899-12-30T16:23:00"/>
    <d v="2025-08-20T00:00:00"/>
    <x v="220"/>
    <s v="BG22947"/>
    <d v="2025-08-15T00:00:00"/>
    <d v="1899-12-30T11:24:00"/>
    <x v="4"/>
    <s v="CARTAGO"/>
    <s v="FRACTAL P X 25 KG"/>
    <n v="1000"/>
    <n v="40"/>
    <n v="25500000"/>
    <d v="2025-08-21T00:00:00"/>
    <d v="2025-08-20T00:00:00"/>
    <x v="10"/>
  </r>
  <r>
    <m/>
    <s v="1236496"/>
    <d v="2025-08-14T00:00:00"/>
    <d v="1899-12-30T18:21:00"/>
    <d v="2025-08-19T00:00:00"/>
    <x v="221"/>
    <s v="BG22970"/>
    <d v="2025-08-15T00:00:00"/>
    <d v="1899-12-30T11:40:00"/>
    <x v="43"/>
    <s v="CALDAS - ANTIOQUIA"/>
    <s v="ROFLOX X 1 LITRO"/>
    <n v="72"/>
    <n v="72"/>
    <n v="3355200"/>
    <d v="2025-08-18T00:00:00"/>
    <d v="2025-08-19T00:00:00"/>
    <x v="6"/>
  </r>
  <r>
    <m/>
    <s v="1236797 "/>
    <d v="2025-08-15T00:00:00"/>
    <d v="1899-12-30T08:57:00"/>
    <d v="2025-08-25T00:00:00"/>
    <x v="222"/>
    <s v="BG23002"/>
    <d v="2025-08-15T00:00:00"/>
    <d v="1899-12-30T11:44:00"/>
    <x v="6"/>
    <s v="BOGOTA"/>
    <s v="ACCUREMAX X 25 KG"/>
    <n v="150"/>
    <n v="6"/>
    <n v="7950000"/>
    <d v="2025-08-25T00:00:00"/>
    <d v="2025-08-25T00:00:00"/>
    <x v="0"/>
  </r>
  <r>
    <m/>
    <m/>
    <d v="2025-08-15T00:00:00"/>
    <d v="1899-12-30T11:01:00"/>
    <d v="2025-08-15T00:00:00"/>
    <x v="223"/>
    <s v="BG22969"/>
    <d v="2025-08-15T00:00:00"/>
    <d v="1899-12-30T11:57:00"/>
    <x v="9"/>
    <s v="BUCARAMANGA"/>
    <s v="TILOMIX ORAL X 1 KG"/>
    <n v="1"/>
    <n v="1"/>
    <n v="210800"/>
    <d v="2025-08-15T00:00:00"/>
    <d v="2025-08-15T00:00:00"/>
    <x v="0"/>
  </r>
  <r>
    <m/>
    <m/>
    <d v="2025-08-15T00:00:00"/>
    <d v="1899-12-30T11:01:00"/>
    <d v="2025-08-15T00:00:00"/>
    <x v="223"/>
    <s v="BG22969"/>
    <d v="2025-08-15T00:00:00"/>
    <d v="1899-12-30T11:57:00"/>
    <x v="9"/>
    <s v="BUCARAMANGA"/>
    <s v="SMOOTH SWEET X 15 GR"/>
    <n v="1.4999999999999999E-2"/>
    <n v="1"/>
    <n v="1"/>
    <d v="2025-08-15T00:00:00"/>
    <d v="2025-08-15T00:00:00"/>
    <x v="0"/>
  </r>
  <r>
    <m/>
    <s v="1236978 "/>
    <d v="2025-08-15T00:00:00"/>
    <d v="1899-12-30T11:36:00"/>
    <d v="2025-08-22T00:00:00"/>
    <x v="224"/>
    <s v="BG22968"/>
    <d v="2025-08-15T00:00:00"/>
    <d v="1899-12-30T12:16:00"/>
    <x v="5"/>
    <s v="BUGA"/>
    <s v="ACCUREMAX X 25 KG"/>
    <n v="275"/>
    <n v="11"/>
    <n v="14575000"/>
    <d v="2025-08-25T00:00:00"/>
    <d v="2025-08-22T00:00:00"/>
    <x v="2"/>
  </r>
  <r>
    <m/>
    <s v="No. COC-00000140"/>
    <d v="2025-08-15T00:00:00"/>
    <d v="1899-12-30T12:12:00"/>
    <d v="2025-08-19T00:00:00"/>
    <x v="225"/>
    <s v="BG22916"/>
    <d v="2025-08-15T00:00:00"/>
    <d v="1899-12-30T13:01:00"/>
    <x v="37"/>
    <s v="DON MATIAS"/>
    <s v="CIPROFLOX X 5 KG"/>
    <n v="165"/>
    <n v="6.6"/>
    <n v="8745000"/>
    <d v="2025-08-18T00:00:00"/>
    <d v="2025-08-19T00:00:00"/>
    <x v="6"/>
  </r>
  <r>
    <m/>
    <s v="No. COC-00000140"/>
    <d v="2025-08-15T00:00:00"/>
    <d v="1899-12-30T12:12:00"/>
    <d v="2025-08-19T00:00:00"/>
    <x v="225"/>
    <s v="BG22916"/>
    <d v="2025-08-15T00:00:00"/>
    <d v="1899-12-30T13:01:00"/>
    <x v="37"/>
    <s v="DON MATIAS"/>
    <s v="SMOOTH SWEET X 5 KG"/>
    <n v="30"/>
    <n v="6"/>
    <n v="30"/>
    <d v="2025-08-18T00:00:00"/>
    <d v="2025-08-19T00:00:00"/>
    <x v="6"/>
  </r>
  <r>
    <m/>
    <s v="No. COC-00000140"/>
    <d v="2025-08-15T00:00:00"/>
    <d v="1899-12-30T12:12:00"/>
    <d v="2025-08-19T00:00:00"/>
    <x v="225"/>
    <s v="BG22916"/>
    <d v="2025-08-15T00:00:00"/>
    <d v="1899-12-30T13:01:00"/>
    <x v="37"/>
    <s v="DON MATIAS"/>
    <s v="TILVASYN X 25 KG"/>
    <n v="150"/>
    <n v="6"/>
    <n v="30000000"/>
    <d v="2025-08-18T00:00:00"/>
    <d v="2025-08-19T00:00:00"/>
    <x v="6"/>
  </r>
  <r>
    <m/>
    <s v="No. COC-00000140"/>
    <d v="2025-08-15T00:00:00"/>
    <d v="1899-12-30T12:12:00"/>
    <d v="2025-08-19T00:00:00"/>
    <x v="225"/>
    <s v="BG22916"/>
    <d v="2025-08-15T00:00:00"/>
    <d v="1899-12-30T13:01:00"/>
    <x v="37"/>
    <s v="DON MATIAS"/>
    <s v="TILCOMIX PREMIX S X 5 KG"/>
    <n v="100"/>
    <n v="4"/>
    <n v="16000000"/>
    <d v="2025-08-18T00:00:00"/>
    <d v="2025-08-19T00:00:00"/>
    <x v="6"/>
  </r>
  <r>
    <m/>
    <s v="No. COC-00000140"/>
    <d v="2025-08-15T00:00:00"/>
    <d v="1899-12-30T12:12:00"/>
    <d v="2025-08-19T00:00:00"/>
    <x v="225"/>
    <s v="BG22916"/>
    <d v="2025-08-15T00:00:00"/>
    <d v="1899-12-30T13:01:00"/>
    <x v="37"/>
    <s v="DON MATIAS"/>
    <s v="CIPROFLOX X 1KG"/>
    <n v="35"/>
    <n v="35"/>
    <n v="1855000"/>
    <d v="2025-08-18T00:00:00"/>
    <d v="2025-08-19T00:00:00"/>
    <x v="6"/>
  </r>
  <r>
    <m/>
    <s v="No. COC-00000140"/>
    <d v="2025-08-15T00:00:00"/>
    <d v="1899-12-30T12:12:00"/>
    <d v="2025-08-19T00:00:00"/>
    <x v="226"/>
    <s v="BG22923"/>
    <d v="2025-08-15T00:00:00"/>
    <d v="1899-12-30T13:01:00"/>
    <x v="37"/>
    <s v="DON MATIAS"/>
    <s v="CIPROFLOX X 5 KG"/>
    <n v="100"/>
    <n v="20"/>
    <n v="5300000"/>
    <d v="2025-08-18T00:00:00"/>
    <d v="2025-08-19T00:00:00"/>
    <x v="6"/>
  </r>
  <r>
    <m/>
    <m/>
    <d v="2025-08-15T00:00:00"/>
    <d v="1899-12-30T12:43:00"/>
    <d v="2025-08-19T00:00:00"/>
    <x v="227"/>
    <s v="BG22915"/>
    <d v="2025-08-15T00:00:00"/>
    <d v="1899-12-30T13:17:00"/>
    <x v="34"/>
    <s v="DON MATIAS"/>
    <s v="FRACTAL L X 20 KILOS"/>
    <n v="40"/>
    <n v="1.6"/>
    <n v="1540000"/>
    <d v="2025-08-18T00:00:00"/>
    <d v="2025-08-19T00:00:00"/>
    <x v="6"/>
  </r>
  <r>
    <m/>
    <m/>
    <d v="2025-08-15T00:00:00"/>
    <d v="1899-12-30T13:00:00"/>
    <d v="2025-08-19T00:00:00"/>
    <x v="228"/>
    <s v="BG22920"/>
    <d v="2025-08-15T00:00:00"/>
    <d v="1899-12-30T14:48:00"/>
    <x v="72"/>
    <s v="BARCON"/>
    <s v="CLORTETRAX 20 % X 25 KG"/>
    <n v="450"/>
    <n v="18"/>
    <n v="7110000"/>
    <d v="2025-08-20T00:00:00"/>
    <d v="2025-08-19T00:00:00"/>
    <x v="10"/>
  </r>
  <r>
    <s v="CANCELADO"/>
    <s v="OSC 62557"/>
    <d v="2025-06-25T00:00:00"/>
    <d v="1899-12-30T11:05:00"/>
    <s v="3 DE JULIO"/>
    <x v="200"/>
    <s v="BG22892"/>
    <d v="2025-06-25T00:00:00"/>
    <d v="1899-12-30T11:50:00"/>
    <x v="4"/>
    <s v="BELLO"/>
    <s v="FRACTAL P X 25 KG"/>
    <n v="75"/>
    <n v="3"/>
    <n v="1912500"/>
    <d v="2025-07-02T00:00:00"/>
    <s v="3 DE JULIO"/>
    <x v="0"/>
  </r>
  <r>
    <m/>
    <s v="4503791390"/>
    <d v="2025-08-15T00:00:00"/>
    <d v="1899-12-30T12:48:00"/>
    <d v="2025-08-21T00:00:00"/>
    <x v="229"/>
    <s v="BG22939"/>
    <d v="2025-08-19T00:00:00"/>
    <d v="1899-12-30T08:10:00"/>
    <x v="63"/>
    <s v="BUGA"/>
    <s v="SAGAH X 25 KILOS"/>
    <n v="200"/>
    <n v="8"/>
    <n v="6200000"/>
    <d v="2025-08-20T00:00:00"/>
    <d v="2025-08-21T00:00:00"/>
    <x v="6"/>
  </r>
  <r>
    <m/>
    <s v="4503791401"/>
    <d v="2025-08-15T00:00:00"/>
    <d v="1899-12-30T12:48:00"/>
    <d v="2025-08-21T00:00:00"/>
    <x v="230"/>
    <s v="BG22938"/>
    <d v="2025-08-19T00:00:00"/>
    <d v="1899-12-30T08:10:00"/>
    <x v="48"/>
    <s v="BUGA"/>
    <s v="SAGAH X 25 KILOS"/>
    <n v="11000"/>
    <n v="440"/>
    <n v="341000000"/>
    <d v="2025-08-20T00:00:00"/>
    <d v="2025-08-21T00:00:00"/>
    <x v="6"/>
  </r>
  <r>
    <m/>
    <s v="CFMP-1350"/>
    <d v="2025-08-16T00:00:00"/>
    <d v="1899-12-30T10:20:00"/>
    <d v="2025-08-20T00:00:00"/>
    <x v="231"/>
    <s v="BG22925"/>
    <d v="2025-08-19T00:00:00"/>
    <d v="1899-12-30T08:24:00"/>
    <x v="14"/>
    <s v="NUTRITEC"/>
    <s v="DMB 11 X 25 KG"/>
    <n v="125"/>
    <n v="5"/>
    <n v="2486000"/>
    <d v="2025-08-20T00:00:00"/>
    <d v="2025-08-20T00:00:00"/>
    <x v="0"/>
  </r>
  <r>
    <s v="TRANSPORTE "/>
    <s v="CFMP-1350"/>
    <d v="2025-08-16T00:00:00"/>
    <d v="1899-12-30T10:20:00"/>
    <d v="2025-08-20T00:00:00"/>
    <x v="231"/>
    <s v="BG22925"/>
    <d v="2025-08-19T00:00:00"/>
    <d v="1899-12-30T08:24:00"/>
    <x v="14"/>
    <s v="NUTRITEC"/>
    <s v="CLORTETRAX 20 % X 25 KG"/>
    <n v="650"/>
    <n v="26"/>
    <n v="10530000"/>
    <d v="2025-08-20T00:00:00"/>
    <d v="2025-08-20T00:00:00"/>
    <x v="0"/>
  </r>
  <r>
    <m/>
    <s v="CFMP-1350"/>
    <d v="2025-08-16T00:00:00"/>
    <d v="1899-12-30T10:20:00"/>
    <d v="2025-08-20T00:00:00"/>
    <x v="231"/>
    <s v="BG22925"/>
    <d v="2025-08-19T00:00:00"/>
    <d v="1899-12-30T08:24:00"/>
    <x v="14"/>
    <s v="NUTRITEC"/>
    <s v="FRACTAL P X 25 KG"/>
    <n v="370"/>
    <n v="14.8"/>
    <n v="8925000"/>
    <d v="2025-08-20T00:00:00"/>
    <d v="2025-08-20T00:00:00"/>
    <x v="0"/>
  </r>
  <r>
    <m/>
    <s v="CFMP-1350"/>
    <d v="2025-08-16T00:00:00"/>
    <d v="1899-12-30T10:20:00"/>
    <d v="2025-08-20T00:00:00"/>
    <x v="231"/>
    <s v="BG22925"/>
    <d v="2025-08-19T00:00:00"/>
    <d v="1899-12-30T08:24:00"/>
    <x v="14"/>
    <s v="NUTRITEC"/>
    <s v="HALQUINOX 800 X 25 KG"/>
    <n v="75"/>
    <n v="3"/>
    <n v="7687500"/>
    <d v="2025-08-20T00:00:00"/>
    <d v="2025-08-20T00:00:00"/>
    <x v="0"/>
  </r>
  <r>
    <s v="INVENTARIO"/>
    <s v="CFMP-1350"/>
    <d v="2025-08-16T00:00:00"/>
    <d v="1899-12-30T10:20:00"/>
    <d v="2025-08-25T00:00:00"/>
    <x v="231"/>
    <s v="BG22954"/>
    <d v="2025-08-19T00:00:00"/>
    <d v="1899-12-30T08:24:00"/>
    <x v="14"/>
    <s v="NUTRITEC"/>
    <s v="CIGNUS X 20 KILOS"/>
    <n v="40"/>
    <n v="1.6"/>
    <n v="1680000"/>
    <d v="2025-08-20T00:00:00"/>
    <d v="2025-08-25T00:00:00"/>
    <x v="8"/>
  </r>
  <r>
    <m/>
    <n v="4500082189"/>
    <d v="2025-08-15T00:00:00"/>
    <d v="1899-12-30T11:40:00"/>
    <d v="2025-08-20T00:00:00"/>
    <x v="232"/>
    <s v="BG22937"/>
    <d v="2025-08-19T00:00:00"/>
    <d v="1899-12-30T11:28:00"/>
    <x v="0"/>
    <s v="CELTA"/>
    <s v="FRACTAL P X 25 KG"/>
    <n v="200"/>
    <n v="8"/>
    <n v="4800000"/>
    <d v="2025-08-20T00:00:00"/>
    <d v="2025-08-20T00:00:00"/>
    <x v="0"/>
  </r>
  <r>
    <m/>
    <n v="4500082189"/>
    <d v="2025-08-15T00:00:00"/>
    <d v="1899-12-30T11:40:00"/>
    <d v="2025-08-20T00:00:00"/>
    <x v="232"/>
    <s v="BG22937"/>
    <d v="2025-08-19T00:00:00"/>
    <d v="1899-12-30T11:28:00"/>
    <x v="0"/>
    <s v="CELTA"/>
    <s v="MONECYL X 25 KG"/>
    <n v="700"/>
    <n v="28"/>
    <n v="13195000"/>
    <d v="2025-08-20T00:00:00"/>
    <d v="2025-08-20T00:00:00"/>
    <x v="0"/>
  </r>
  <r>
    <m/>
    <n v="4500082189"/>
    <d v="2025-08-15T00:00:00"/>
    <d v="1899-12-30T11:40:00"/>
    <d v="2025-08-20T00:00:00"/>
    <x v="232"/>
    <s v="BG22937"/>
    <d v="2025-08-19T00:00:00"/>
    <d v="1899-12-30T11:28:00"/>
    <x v="0"/>
    <s v="CELTA"/>
    <s v="PRENEO X 25 KG"/>
    <n v="50"/>
    <n v="2"/>
    <n v="3100000"/>
    <d v="2025-08-20T00:00:00"/>
    <d v="2025-08-20T00:00:00"/>
    <x v="0"/>
  </r>
  <r>
    <m/>
    <s v="001-OSC-63950"/>
    <d v="2025-08-15T00:00:00"/>
    <d v="1899-12-30T13:49:00"/>
    <d v="2025-08-20T00:00:00"/>
    <x v="233"/>
    <s v="BG22936"/>
    <d v="2025-08-19T00:00:00"/>
    <d v="1899-12-30T11:31:00"/>
    <x v="4"/>
    <s v="BELLO"/>
    <s v="CLORTETRAX 20 % X 25 KG"/>
    <n v="2000"/>
    <n v="80"/>
    <n v="32600000"/>
    <d v="2025-08-20T00:00:00"/>
    <d v="2025-08-20T00:00:00"/>
    <x v="0"/>
  </r>
  <r>
    <m/>
    <s v="001-OSC-63950"/>
    <d v="2025-08-15T00:00:00"/>
    <d v="1899-12-30T13:49:00"/>
    <d v="2025-08-20T00:00:00"/>
    <x v="233"/>
    <s v="BG22936"/>
    <d v="2025-08-19T00:00:00"/>
    <d v="1899-12-30T11:31:00"/>
    <x v="4"/>
    <s v="BELLO"/>
    <s v="DMB 11 X 25 KG"/>
    <n v="1000"/>
    <n v="40"/>
    <n v="18350000"/>
    <d v="2025-08-20T00:00:00"/>
    <d v="2025-08-20T00:00:00"/>
    <x v="0"/>
  </r>
  <r>
    <m/>
    <s v="3016-0948"/>
    <d v="2025-08-15T00:00:00"/>
    <d v="1899-12-30T14:15:00"/>
    <d v="2025-08-21T00:00:00"/>
    <x v="234"/>
    <s v="BG22951"/>
    <d v="2025-08-19T00:00:00"/>
    <d v="1899-12-30T11:36:00"/>
    <x v="29"/>
    <s v="BOGOTA"/>
    <s v="CIPROFLOX X 1 KG"/>
    <n v="15"/>
    <n v="0.6"/>
    <n v="912300"/>
    <d v="2025-08-20T00:00:00"/>
    <d v="2025-08-21T00:00:00"/>
    <x v="6"/>
  </r>
  <r>
    <s v="INVENTARIO"/>
    <s v="3016-0948"/>
    <d v="2025-08-15T00:00:00"/>
    <d v="1899-12-30T14:15:00"/>
    <d v="2025-08-21T00:00:00"/>
    <x v="234"/>
    <s v="BG22951"/>
    <d v="2025-08-19T00:00:00"/>
    <d v="1899-12-30T11:36:00"/>
    <x v="29"/>
    <s v="BOGOTA"/>
    <s v="CIPROFLOX X 5 KG"/>
    <n v="25"/>
    <n v="1"/>
    <n v="1520500"/>
    <d v="2025-08-20T00:00:00"/>
    <d v="2025-08-21T00:00:00"/>
    <x v="6"/>
  </r>
  <r>
    <m/>
    <s v="3016-0948"/>
    <d v="2025-08-15T00:00:00"/>
    <d v="1899-12-30T14:15:00"/>
    <d v="2025-08-21T00:00:00"/>
    <x v="234"/>
    <s v="BG22951"/>
    <d v="2025-08-19T00:00:00"/>
    <d v="1899-12-30T11:36:00"/>
    <x v="29"/>
    <s v="BOGOTA"/>
    <s v="SMOOTH SWEET X 75 GR"/>
    <n v="3"/>
    <n v="0.12"/>
    <n v="3"/>
    <d v="2025-08-20T00:00:00"/>
    <d v="2025-08-21T00:00:00"/>
    <x v="6"/>
  </r>
  <r>
    <m/>
    <s v="3016-0948"/>
    <d v="2025-08-15T00:00:00"/>
    <d v="1899-12-30T14:15:00"/>
    <d v="2025-08-21T00:00:00"/>
    <x v="234"/>
    <s v="BG22951"/>
    <d v="2025-08-19T00:00:00"/>
    <d v="1899-12-30T11:36:00"/>
    <x v="29"/>
    <s v="BOGOTA"/>
    <s v="DQCICLIN X 1 KG"/>
    <n v="20"/>
    <n v="0.8"/>
    <n v="4700000"/>
    <d v="2025-08-20T00:00:00"/>
    <d v="2025-08-21T00:00:00"/>
    <x v="6"/>
  </r>
  <r>
    <m/>
    <s v="100-CON-00022443"/>
    <d v="2025-08-15T00:00:00"/>
    <d v="1899-12-30T15:17:00"/>
    <d v="2025-08-22T00:00:00"/>
    <x v="235"/>
    <s v="BG22967"/>
    <d v="2025-08-19T00:00:00"/>
    <d v="1899-12-30T11:39:00"/>
    <x v="30"/>
    <s v="GIRARDOTA"/>
    <s v="TILVASYN X 25 KG"/>
    <n v="200"/>
    <n v="8"/>
    <n v="39040000"/>
    <d v="2025-08-22T00:00:00"/>
    <d v="2025-08-22T00:00:00"/>
    <x v="0"/>
  </r>
  <r>
    <m/>
    <s v="100-CON-00022443"/>
    <d v="2025-08-15T00:00:00"/>
    <d v="1899-12-30T15:17:00"/>
    <d v="2025-08-22T00:00:00"/>
    <x v="235"/>
    <s v="BG22967"/>
    <d v="2025-08-19T00:00:00"/>
    <d v="1899-12-30T11:39:00"/>
    <x v="30"/>
    <s v="GIRARDOTA"/>
    <s v="CLORTETRAX 20 % X 25 KG"/>
    <n v="3000"/>
    <n v="120"/>
    <n v="47100000"/>
    <d v="2025-08-22T00:00:00"/>
    <d v="2025-08-22T00:00:00"/>
    <x v="0"/>
  </r>
  <r>
    <m/>
    <s v="4500082157"/>
    <d v="2025-08-15T00:00:00"/>
    <d v="1899-12-30T15:24:00"/>
    <d v="2025-08-20T00:00:00"/>
    <x v="236"/>
    <s v="BG22935"/>
    <d v="2025-08-19T00:00:00"/>
    <d v="1899-12-30T11:56:00"/>
    <x v="42"/>
    <s v="PREMEX MEDELLIN"/>
    <s v="HALQUINOX 800 X 25 KG"/>
    <n v="3000"/>
    <n v="120"/>
    <n v="218601000"/>
    <d v="2025-08-20T00:00:00"/>
    <d v="2025-08-20T00:00:00"/>
    <x v="0"/>
  </r>
  <r>
    <m/>
    <s v="4500082157"/>
    <d v="2025-08-15T00:00:00"/>
    <d v="1899-12-30T15:24:00"/>
    <d v="2025-08-20T00:00:00"/>
    <x v="236"/>
    <s v="BG22935"/>
    <d v="2025-08-19T00:00:00"/>
    <d v="1899-12-30T11:56:00"/>
    <x v="42"/>
    <s v="PREMEX MEDELLIN"/>
    <s v="DINAMIX 800 X 25 KILOS"/>
    <n v="1000"/>
    <n v="40"/>
    <n v="12515000"/>
    <d v="2025-08-20T00:00:00"/>
    <d v="2025-08-20T00:00:00"/>
    <x v="0"/>
  </r>
  <r>
    <s v="INVENTARIO"/>
    <s v="1237232 "/>
    <d v="2025-08-15T00:00:00"/>
    <d v="1899-12-30T15:38:00"/>
    <d v="2025-08-21T00:00:00"/>
    <x v="237"/>
    <s v="BG22966"/>
    <d v="2025-08-19T00:00:00"/>
    <d v="1899-12-30T12:04:00"/>
    <x v="43"/>
    <s v="BUCARAMANGA"/>
    <s v="CIPROFLOX X 5 KG"/>
    <n v="100"/>
    <n v="4"/>
    <n v="5450000"/>
    <d v="2025-08-22T00:00:00"/>
    <d v="2025-08-21T00:00:00"/>
    <x v="10"/>
  </r>
  <r>
    <m/>
    <s v="1237232 "/>
    <d v="2025-08-15T00:00:00"/>
    <d v="1899-12-30T15:38:00"/>
    <d v="2025-08-21T00:00:00"/>
    <x v="237"/>
    <s v="BG22966"/>
    <d v="2025-08-19T00:00:00"/>
    <d v="1899-12-30T12:04:00"/>
    <x v="43"/>
    <s v="BUCARAMANGA"/>
    <s v="SMOOTH SWEET X 75 GR"/>
    <n v="7.5"/>
    <n v="100"/>
    <n v="7.5"/>
    <d v="2025-08-22T00:00:00"/>
    <d v="2025-08-21T00:00:00"/>
    <x v="10"/>
  </r>
  <r>
    <m/>
    <s v="005-OSC-9698"/>
    <d v="2025-08-15T00:00:00"/>
    <d v="1899-12-30T08:46:00"/>
    <d v="2025-08-22T00:00:00"/>
    <x v="238"/>
    <s v="BG22988"/>
    <d v="2025-08-19T00:00:00"/>
    <d v="1899-12-30T12:07:00"/>
    <x v="4"/>
    <s v="MOSQUERA"/>
    <s v="CLORTETRAX 20 % X 25 KG"/>
    <n v="3000"/>
    <n v="120"/>
    <n v="48900000"/>
    <d v="2025-08-22T00:00:00"/>
    <d v="2025-08-22T00:00:00"/>
    <x v="0"/>
  </r>
  <r>
    <m/>
    <s v="005-OSC-9698"/>
    <d v="2025-08-15T00:00:00"/>
    <d v="1899-12-30T08:46:00"/>
    <d v="2025-08-22T00:00:00"/>
    <x v="238"/>
    <s v="BG22988"/>
    <d v="2025-08-19T00:00:00"/>
    <d v="1899-12-30T12:07:00"/>
    <x v="4"/>
    <s v="MOSQUERA"/>
    <s v="DMB 11 X 25 KG"/>
    <n v="500"/>
    <n v="20"/>
    <n v="9175000"/>
    <d v="2025-08-22T00:00:00"/>
    <d v="2025-08-22T00:00:00"/>
    <x v="0"/>
  </r>
  <r>
    <m/>
    <m/>
    <d v="2025-08-18T00:00:00"/>
    <d v="1899-12-30T21:18:00"/>
    <d v="2025-08-20T00:00:00"/>
    <x v="239"/>
    <s v="BG22965"/>
    <d v="2025-08-19T00:00:00"/>
    <d v="1899-12-30T12:18:00"/>
    <x v="73"/>
    <s v="BUGA"/>
    <s v="MONECYL X 25 KG"/>
    <n v="100"/>
    <n v="4"/>
    <n v="2100000"/>
    <d v="2025-08-20T00:00:00"/>
    <d v="2025-08-20T00:00:00"/>
    <x v="0"/>
  </r>
  <r>
    <m/>
    <s v="OCO-00009710"/>
    <d v="2025-08-19T00:00:00"/>
    <d v="1899-12-30T08:54:00"/>
    <d v="2025-08-20T00:00:00"/>
    <x v="240"/>
    <s v="BG22930"/>
    <d v="2025-08-19T00:00:00"/>
    <d v="1899-12-30T12:20:00"/>
    <x v="44"/>
    <s v="BOGOTA"/>
    <s v="NORFLOX X 1 KG"/>
    <n v="96"/>
    <n v="96"/>
    <n v="5328000"/>
    <d v="2025-08-20T00:00:00"/>
    <d v="2025-08-20T00:00:00"/>
    <x v="0"/>
  </r>
  <r>
    <m/>
    <m/>
    <d v="2025-08-19T00:00:00"/>
    <d v="1899-12-30T09:21:00"/>
    <d v="2025-08-21T00:00:00"/>
    <x v="241"/>
    <s v="BG22929"/>
    <d v="2025-08-19T00:00:00"/>
    <d v="1899-12-30T12:36:00"/>
    <x v="74"/>
    <s v="BUGA"/>
    <s v="DINAMIX 200 PREMIX X 25 KG"/>
    <n v="25"/>
    <n v="1"/>
    <n v="1446250"/>
    <d v="2025-08-20T00:00:00"/>
    <d v="2025-08-21T00:00:00"/>
    <x v="6"/>
  </r>
  <r>
    <m/>
    <m/>
    <d v="2025-08-19T00:00:00"/>
    <d v="1899-12-30T09:21:00"/>
    <d v="2025-08-21T00:00:00"/>
    <x v="241"/>
    <s v="BG22929"/>
    <d v="2025-08-19T00:00:00"/>
    <d v="1899-12-30T12:36:00"/>
    <x v="74"/>
    <s v="BUGA"/>
    <s v="CLORTETRAX 20 % X 25 KG"/>
    <n v="125"/>
    <n v="5"/>
    <n v="2312500"/>
    <d v="2025-08-20T00:00:00"/>
    <d v="2025-08-21T00:00:00"/>
    <x v="6"/>
  </r>
  <r>
    <m/>
    <m/>
    <d v="2025-08-19T00:00:00"/>
    <d v="1899-12-30T12:50:00"/>
    <d v="2025-08-19T00:00:00"/>
    <x v="242"/>
    <s v="BG22975"/>
    <d v="2025-08-19T00:00:00"/>
    <d v="1899-12-30T12:55:00"/>
    <x v="75"/>
    <s v="SANTA ROSA DE OSOS"/>
    <s v="FENIFLOR PREMIX X 5 KG"/>
    <n v="25"/>
    <n v="1"/>
    <n v="1620000"/>
    <d v="2025-08-20T00:00:00"/>
    <d v="2025-08-19T00:00:00"/>
    <x v="10"/>
  </r>
  <r>
    <m/>
    <m/>
    <d v="2025-08-19T00:00:00"/>
    <d v="1899-12-30T12:50:00"/>
    <d v="2025-08-21T00:00:00"/>
    <x v="243"/>
    <s v="BG22976"/>
    <d v="2025-08-19T00:00:00"/>
    <d v="1899-12-30T12:55:00"/>
    <x v="75"/>
    <s v="SANTA ROSA DE OSOS"/>
    <s v="CIPROFLOX X 1 KG"/>
    <n v="200"/>
    <n v="200"/>
    <n v="11400000"/>
    <d v="2025-08-20T00:00:00"/>
    <d v="2025-08-21T00:00:00"/>
    <x v="6"/>
  </r>
  <r>
    <m/>
    <m/>
    <d v="2025-08-19T00:00:00"/>
    <d v="1899-12-30T12:50:00"/>
    <d v="2025-08-21T00:00:00"/>
    <x v="243"/>
    <s v="BG22976"/>
    <d v="2025-08-19T00:00:00"/>
    <d v="1899-12-30T12:55:00"/>
    <x v="75"/>
    <s v="SANTA ROSA DE OSOS"/>
    <s v="SMOOTH SWEET X 5 KG"/>
    <n v="15"/>
    <n v="3"/>
    <n v="15"/>
    <d v="2025-08-20T00:00:00"/>
    <d v="2025-08-21T00:00:00"/>
    <x v="6"/>
  </r>
  <r>
    <m/>
    <m/>
    <d v="2025-08-19T00:00:00"/>
    <d v="1899-12-30T12:50:00"/>
    <d v="2025-08-21T00:00:00"/>
    <x v="243"/>
    <s v="BG22976"/>
    <d v="2025-08-19T00:00:00"/>
    <d v="1899-12-30T12:55:00"/>
    <x v="75"/>
    <s v="SANTA ROSA DE OSOS"/>
    <s v="FENIFLOR PREMIX X 5 KG"/>
    <n v="270"/>
    <n v="54"/>
    <n v="14580000"/>
    <d v="2025-08-20T00:00:00"/>
    <d v="2025-08-21T00:00:00"/>
    <x v="6"/>
  </r>
  <r>
    <m/>
    <s v="OC-1-493"/>
    <d v="2025-08-19T00:00:00"/>
    <d v="1899-12-30T10:46:00"/>
    <d v="2025-08-21T00:00:00"/>
    <x v="244"/>
    <s v="BG22927"/>
    <d v="2025-08-19T00:00:00"/>
    <d v="1899-12-30T13:15:00"/>
    <x v="76"/>
    <s v="YARUMAL"/>
    <s v="CLORTETRAX 20 % X 25 KG"/>
    <n v="100"/>
    <n v="4"/>
    <n v="1600000"/>
    <d v="2025-08-20T00:00:00"/>
    <d v="2025-08-21T00:00:00"/>
    <x v="6"/>
  </r>
  <r>
    <m/>
    <m/>
    <d v="2025-08-19T00:00:00"/>
    <d v="1899-12-30T12:00:00"/>
    <d v="2025-08-20T00:00:00"/>
    <x v="245"/>
    <s v="BG22928"/>
    <d v="2025-08-19T00:00:00"/>
    <d v="1899-12-30T13:30:00"/>
    <x v="77"/>
    <s v="GRANADA"/>
    <s v="DINAMIX 200 PREMIX X 25 KG"/>
    <n v="100"/>
    <n v="4"/>
    <n v="5450000"/>
    <d v="2025-08-20T00:00:00"/>
    <d v="2025-08-20T00:00:00"/>
    <x v="0"/>
  </r>
  <r>
    <m/>
    <s v="691"/>
    <d v="2025-08-19T00:00:00"/>
    <d v="1899-12-30T06:53:00"/>
    <d v="2025-08-20T00:00:00"/>
    <x v="246"/>
    <s v="BG22931"/>
    <d v="2025-08-19T00:00:00"/>
    <d v="1899-12-30T15:01:00"/>
    <x v="78"/>
    <s v="LERIDA"/>
    <s v="FRACTAL P X 25 KG"/>
    <n v="550"/>
    <n v="22"/>
    <n v="14025000"/>
    <d v="2025-08-21T00:00:00"/>
    <d v="2025-08-20T00:00:00"/>
    <x v="10"/>
  </r>
  <r>
    <s v="INVENTARIO"/>
    <s v="ORC-2508007"/>
    <d v="2025-08-19T00:00:00"/>
    <d v="1899-12-30T09:57:00"/>
    <d v="2025-08-21T00:00:00"/>
    <x v="247"/>
    <s v="BG22974"/>
    <d v="2025-08-19T00:00:00"/>
    <d v="1899-12-30T15:29:00"/>
    <x v="50"/>
    <s v="MANIZALES"/>
    <s v="CIPROFLOX X 1 KG"/>
    <n v="100"/>
    <n v="4"/>
    <n v="5500000"/>
    <d v="2025-08-21T00:00:00"/>
    <d v="2025-08-21T00:00:00"/>
    <x v="0"/>
  </r>
  <r>
    <m/>
    <s v="ORC-2508007"/>
    <d v="2025-08-19T00:00:00"/>
    <d v="1899-12-30T09:57:00"/>
    <d v="2025-08-21T00:00:00"/>
    <x v="247"/>
    <s v="BG22974"/>
    <d v="2025-08-19T00:00:00"/>
    <d v="1899-12-30T15:29:00"/>
    <x v="50"/>
    <s v="MANIZALES"/>
    <s v="FRACTAL P X 25 KG"/>
    <n v="150"/>
    <n v="6"/>
    <n v="3825000"/>
    <d v="2025-08-21T00:00:00"/>
    <d v="2025-08-21T00:00:00"/>
    <x v="0"/>
  </r>
  <r>
    <m/>
    <s v="ORC-2508007"/>
    <d v="2025-08-19T00:00:00"/>
    <d v="1899-12-30T09:57:00"/>
    <d v="2025-08-21T00:00:00"/>
    <x v="247"/>
    <s v="BG22974"/>
    <d v="2025-08-19T00:00:00"/>
    <d v="1899-12-30T15:29:00"/>
    <x v="50"/>
    <s v="MANIZALES"/>
    <s v="CELMANAX X 25 KG"/>
    <n v="250"/>
    <n v="10"/>
    <n v="4328750"/>
    <d v="2025-08-21T00:00:00"/>
    <d v="2025-08-21T00:00:00"/>
    <x v="0"/>
  </r>
  <r>
    <m/>
    <s v="ORC-2508007"/>
    <d v="2025-08-19T00:00:00"/>
    <d v="1899-12-30T09:57:00"/>
    <d v="2025-08-21T00:00:00"/>
    <x v="247"/>
    <s v="BG22974"/>
    <d v="2025-08-19T00:00:00"/>
    <d v="1899-12-30T15:29:00"/>
    <x v="50"/>
    <s v="MANIZALES"/>
    <s v="TILCOMIX PREMIX S X 5 KG"/>
    <n v="25"/>
    <n v="1"/>
    <n v="3875000"/>
    <d v="2025-08-21T00:00:00"/>
    <d v="2025-08-21T00:00:00"/>
    <x v="0"/>
  </r>
  <r>
    <m/>
    <s v="ORC-2508007"/>
    <d v="2025-08-19T00:00:00"/>
    <d v="1899-12-30T09:57:00"/>
    <d v="2025-08-21T00:00:00"/>
    <x v="247"/>
    <s v="BG22974"/>
    <d v="2025-08-19T00:00:00"/>
    <d v="1899-12-30T15:29:00"/>
    <x v="50"/>
    <s v="MANIZALES"/>
    <s v="SMOOTH SWEET X 5 KG"/>
    <n v="15"/>
    <n v="5"/>
    <n v="15"/>
    <d v="2025-08-21T00:00:00"/>
    <d v="2025-08-21T00:00:00"/>
    <x v="0"/>
  </r>
  <r>
    <m/>
    <s v="ORC-2508013"/>
    <d v="2025-08-19T00:00:00"/>
    <d v="1899-12-30T09:57:00"/>
    <d v="2025-08-21T00:00:00"/>
    <x v="248"/>
    <s v="BG22933"/>
    <d v="2025-08-19T00:00:00"/>
    <d v="1899-12-30T15:29:00"/>
    <x v="50"/>
    <s v="MANIZALES"/>
    <s v="ACCUREMAX X 25 KG"/>
    <n v="100"/>
    <n v="4"/>
    <n v="6400000"/>
    <d v="2025-08-21T00:00:00"/>
    <d v="2025-08-21T00:00:00"/>
    <x v="0"/>
  </r>
  <r>
    <m/>
    <s v="ORC-2508013"/>
    <d v="2025-08-19T00:00:00"/>
    <d v="1899-12-30T09:57:00"/>
    <d v="2025-08-21T00:00:00"/>
    <x v="248"/>
    <s v="BG22933"/>
    <d v="2025-08-19T00:00:00"/>
    <d v="1899-12-30T15:29:00"/>
    <x v="50"/>
    <s v="MANIZALES"/>
    <s v="FRACTAL P X 25 KG"/>
    <n v="200"/>
    <n v="8"/>
    <n v="5100000"/>
    <d v="2025-08-21T00:00:00"/>
    <d v="2025-08-21T00:00:00"/>
    <x v="0"/>
  </r>
  <r>
    <m/>
    <s v="ORC-2508013"/>
    <d v="2025-08-19T00:00:00"/>
    <d v="1899-12-30T09:57:00"/>
    <d v="2025-08-21T00:00:00"/>
    <x v="248"/>
    <s v="BG22933"/>
    <d v="2025-08-19T00:00:00"/>
    <d v="1899-12-30T15:29:00"/>
    <x v="50"/>
    <s v="MANIZALES"/>
    <s v="CELMANAX X 25 KG"/>
    <n v="250"/>
    <n v="10"/>
    <n v="4328750"/>
    <d v="2025-08-21T00:00:00"/>
    <d v="2025-08-21T00:00:00"/>
    <x v="0"/>
  </r>
  <r>
    <m/>
    <s v="ORC-2508013"/>
    <d v="2025-08-19T00:00:00"/>
    <d v="1899-12-30T09:57:00"/>
    <d v="2025-08-21T00:00:00"/>
    <x v="248"/>
    <s v="BG22933"/>
    <d v="2025-08-19T00:00:00"/>
    <d v="1899-12-30T15:29:00"/>
    <x v="50"/>
    <s v="MANIZALES"/>
    <s v="CELERITY NP X 25 KG"/>
    <n v="100"/>
    <n v="4"/>
    <n v="1617000"/>
    <d v="2025-08-21T00:00:00"/>
    <d v="2025-08-21T00:00:00"/>
    <x v="0"/>
  </r>
  <r>
    <m/>
    <s v="ORC-2508013"/>
    <d v="2025-08-19T00:00:00"/>
    <d v="1899-12-30T09:57:00"/>
    <d v="2025-08-21T00:00:00"/>
    <x v="248"/>
    <s v="BG22933"/>
    <d v="2025-08-19T00:00:00"/>
    <d v="1899-12-30T15:29:00"/>
    <x v="50"/>
    <s v="MANIZALES"/>
    <s v="DMB 11 X 25 KG"/>
    <n v="200"/>
    <n v="8"/>
    <n v="4100000"/>
    <d v="2025-08-21T00:00:00"/>
    <d v="2025-08-21T00:00:00"/>
    <x v="0"/>
  </r>
  <r>
    <m/>
    <s v="103-OCC-36339"/>
    <d v="2025-08-19T00:00:00"/>
    <d v="1899-12-30T15:49:00"/>
    <d v="2025-08-21T00:00:00"/>
    <x v="249"/>
    <s v="BG22932"/>
    <d v="2025-08-19T00:00:00"/>
    <d v="1899-12-30T16:06:00"/>
    <x v="13"/>
    <s v="GIRARDOTA"/>
    <s v="FRACTAL P X 25 KG"/>
    <n v="600"/>
    <n v="24"/>
    <n v="15300000"/>
    <d v="2025-08-21T00:00:00"/>
    <d v="2025-08-21T00:00:00"/>
    <x v="0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CIGNUS X 20 KILOS"/>
    <n v="600"/>
    <n v="24"/>
    <n v="2070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LOTUS X 25 KG"/>
    <n v="4000"/>
    <n v="160"/>
    <n v="127200000"/>
    <d v="2025-08-21T00:00:00"/>
    <d v="2025-08-22T00:00:00"/>
    <x v="6"/>
  </r>
  <r>
    <s v="INVENTARIO"/>
    <s v="4500082246"/>
    <d v="2025-08-19T00:00:00"/>
    <d v="1899-12-30T22:20:00"/>
    <d v="2025-08-22T00:00:00"/>
    <x v="250"/>
    <s v="BG22952"/>
    <d v="2025-08-20T00:00:00"/>
    <d v="1899-12-30T08:15:00"/>
    <x v="0"/>
    <s v="MEDELLIN"/>
    <s v="CIPROFLOX X 5 KG"/>
    <n v="1000"/>
    <n v="40"/>
    <n v="46500000"/>
    <d v="2025-08-21T00:00:00"/>
    <d v="2025-08-22T00:00:00"/>
    <x v="6"/>
  </r>
  <r>
    <m/>
    <s v="4500082246"/>
    <d v="2025-08-19T00:00:00"/>
    <d v="1899-12-30T22:20:00"/>
    <d v="2025-08-28T00:00:00"/>
    <x v="250"/>
    <s v="BG22952"/>
    <d v="2025-08-20T00:00:00"/>
    <d v="1899-12-30T08:15:00"/>
    <x v="0"/>
    <s v="MEDELLIN"/>
    <s v="SMOOTH SWEET X 5 KG"/>
    <n v="25"/>
    <n v="1"/>
    <n v="25"/>
    <d v="2025-08-21T00:00:00"/>
    <d v="2025-08-28T00:00:00"/>
    <x v="14"/>
  </r>
  <r>
    <s v="INVENTARIO"/>
    <s v="4500082246"/>
    <d v="2025-08-19T00:00:00"/>
    <d v="1899-12-30T22:20:00"/>
    <d v="2025-08-28T00:00:00"/>
    <x v="250"/>
    <s v="BG23047"/>
    <d v="2025-08-20T00:00:00"/>
    <d v="1899-12-30T08:15:00"/>
    <x v="0"/>
    <s v="MEDELLIN"/>
    <s v="SMOOTH SWEET X 5 KG"/>
    <n v="50"/>
    <n v="2"/>
    <n v="50"/>
    <d v="2025-08-21T00:00:00"/>
    <d v="2025-08-28T00:00:00"/>
    <x v="14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NEOCYN X 25 KG "/>
    <n v="700"/>
    <n v="28"/>
    <n v="4319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CELERITY NP X 25 KG"/>
    <n v="5000"/>
    <n v="200"/>
    <n v="5330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TILOMIIX 250 PREMIX X 25 KG"/>
    <n v="800"/>
    <n v="32"/>
    <n v="3992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AMOXIN X 1 KG"/>
    <n v="200"/>
    <n v="8"/>
    <n v="2710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CELMANAX X 25 KG"/>
    <n v="400"/>
    <n v="16"/>
    <n v="570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DMB 11 X 25 KG"/>
    <n v="1000"/>
    <n v="40"/>
    <n v="1760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FENIFLOR PREMIX X 25 KG"/>
    <n v="150"/>
    <n v="6"/>
    <n v="7938000"/>
    <d v="2025-08-22T00:00:00"/>
    <d v="2025-08-22T00:00:00"/>
    <x v="0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MICRO AID X 25 KG"/>
    <n v="50"/>
    <n v="2"/>
    <n v="2600000"/>
    <d v="2025-08-22T00:00:00"/>
    <d v="2025-08-22T00:00:00"/>
    <x v="0"/>
  </r>
  <r>
    <m/>
    <s v="39-S"/>
    <d v="2025-08-19T00:00:00"/>
    <d v="1899-12-30T16:56:00"/>
    <d v="2025-08-22T00:00:00"/>
    <x v="251"/>
    <s v="BG22934"/>
    <d v="2025-08-20T00:00:00"/>
    <d v="1899-12-30T08:22:00"/>
    <x v="4"/>
    <s v="DON MATIAS"/>
    <s v="NORFLOX X 1 KG"/>
    <n v="10"/>
    <n v="10"/>
    <n v="680000"/>
    <d v="2025-08-21T00:00:00"/>
    <d v="2025-08-22T00:00:00"/>
    <x v="6"/>
  </r>
  <r>
    <m/>
    <s v="39-S"/>
    <d v="2025-08-19T00:00:00"/>
    <d v="1899-12-30T16:56:00"/>
    <d v="2025-08-22T00:00:00"/>
    <x v="251"/>
    <s v="BG22934"/>
    <d v="2025-08-20T00:00:00"/>
    <d v="1899-12-30T08:22:00"/>
    <x v="4"/>
    <s v="DON MATIAS"/>
    <s v="TILCOMIX ORAL X 1 LITRO"/>
    <n v="10"/>
    <n v="10"/>
    <n v="2310000"/>
    <d v="2025-08-21T00:00:00"/>
    <d v="2025-08-22T00:00:00"/>
    <x v="6"/>
  </r>
  <r>
    <m/>
    <s v="39-S"/>
    <d v="2025-08-19T00:00:00"/>
    <d v="1899-12-30T16:56:00"/>
    <d v="2025-08-22T00:00:00"/>
    <x v="251"/>
    <s v="BG22934"/>
    <d v="2025-08-20T00:00:00"/>
    <d v="1899-12-30T08:22:00"/>
    <x v="4"/>
    <s v="DON MATIAS"/>
    <s v="SMOOTH SWEET X 75 GR"/>
    <n v="0.75"/>
    <n v="10"/>
    <n v="1"/>
    <d v="2025-08-21T00:00:00"/>
    <d v="2025-08-22T00:00:00"/>
    <x v="6"/>
  </r>
  <r>
    <s v="INVENTARIO"/>
    <s v="1238232 "/>
    <d v="2025-08-19T00:00:00"/>
    <d v="1899-12-30T15:44:00"/>
    <d v="2025-08-26T00:00:00"/>
    <x v="252"/>
    <s v="BG23022"/>
    <d v="2025-08-20T00:00:00"/>
    <d v="1899-12-30T10:15:00"/>
    <x v="6"/>
    <s v="RIVERA"/>
    <s v="DINAMIX PREMIX X 25 KG"/>
    <n v="175"/>
    <n v="7"/>
    <n v="3802750"/>
    <d v="2025-08-25T00:00:00"/>
    <d v="2025-08-26T00:00:00"/>
    <x v="6"/>
  </r>
  <r>
    <s v="CANCELADO"/>
    <s v="1238232 "/>
    <d v="2025-08-19T00:00:00"/>
    <d v="1899-12-30T15:44:00"/>
    <m/>
    <x v="253"/>
    <s v="CANCELADO"/>
    <d v="2025-08-20T00:00:00"/>
    <d v="1899-12-30T10:15:00"/>
    <x v="6"/>
    <s v="RIVERA"/>
    <s v="DINAMIX PREMIX X 25 KG"/>
    <n v="100"/>
    <n v="4"/>
    <n v="2173000"/>
    <d v="2025-08-25T00:00:00"/>
    <m/>
    <x v="0"/>
  </r>
  <r>
    <m/>
    <s v="1238251 "/>
    <d v="2025-08-19T00:00:00"/>
    <d v="1899-12-30T16:07:00"/>
    <d v="2025-08-22T00:00:00"/>
    <x v="254"/>
    <s v="BG22964"/>
    <d v="2025-08-20T00:00:00"/>
    <d v="1899-12-30T10:21:00"/>
    <x v="5"/>
    <s v="BUGA"/>
    <s v="FENIFLOR PREMIX X 25 KG"/>
    <n v="125"/>
    <n v="5"/>
    <n v="6615000"/>
    <d v="2025-08-25T00:00:00"/>
    <d v="2025-08-22T00:00:00"/>
    <x v="2"/>
  </r>
  <r>
    <m/>
    <s v="1238286"/>
    <d v="2025-08-19T00:00:00"/>
    <d v="1899-12-30T16:22:00"/>
    <d v="2025-08-26T00:00:00"/>
    <x v="255"/>
    <s v="BG23013"/>
    <d v="2025-08-20T00:00:00"/>
    <d v="1899-12-30T12:29:00"/>
    <x v="6"/>
    <s v="CARTAGO"/>
    <s v="ACCUREMAX X 25 KG"/>
    <n v="100"/>
    <n v="4"/>
    <n v="5300000"/>
    <d v="2025-08-28T00:00:00"/>
    <d v="2025-08-26T00:00:00"/>
    <x v="5"/>
  </r>
  <r>
    <m/>
    <s v="AG-0033-25"/>
    <d v="2025-08-19T00:00:00"/>
    <d v="1899-12-30T16:42:00"/>
    <d v="2025-08-21T00:00:00"/>
    <x v="256"/>
    <s v="BG22946"/>
    <d v="2025-08-20T00:00:00"/>
    <d v="1899-12-30T12:32:00"/>
    <x v="23"/>
    <s v="PLANTA"/>
    <s v="AMOXIN X 1 KG"/>
    <n v="150"/>
    <n v="150"/>
    <n v="21207000"/>
    <d v="2025-08-21T00:00:00"/>
    <d v="2025-08-21T00:00:00"/>
    <x v="0"/>
  </r>
  <r>
    <m/>
    <s v="AG-0033-25"/>
    <d v="2025-08-19T00:00:00"/>
    <d v="1899-12-30T16:42:00"/>
    <d v="2025-08-21T00:00:00"/>
    <x v="256"/>
    <s v="BG22946"/>
    <d v="2025-08-20T00:00:00"/>
    <d v="1899-12-30T12:32:00"/>
    <x v="23"/>
    <s v="PLANTA"/>
    <s v="FRACTAL P X 25 KG"/>
    <n v="200"/>
    <n v="8"/>
    <n v="5100000"/>
    <d v="2025-08-21T00:00:00"/>
    <d v="2025-08-21T00:00:00"/>
    <x v="0"/>
  </r>
  <r>
    <m/>
    <m/>
    <d v="2025-08-20T00:00:00"/>
    <d v="1899-12-30T09:55:00"/>
    <d v="2025-08-22T00:00:00"/>
    <x v="257"/>
    <s v="BG22990"/>
    <d v="2025-08-20T00:00:00"/>
    <d v="1899-12-30T12:55:00"/>
    <x v="79"/>
    <s v="EL ROBLE"/>
    <s v="FENIFLOR ORAL X 500 GR"/>
    <n v="30"/>
    <n v="60"/>
    <n v="3300000"/>
    <d v="2025-08-21T00:00:00"/>
    <d v="2025-08-22T00:00:00"/>
    <x v="6"/>
  </r>
  <r>
    <m/>
    <m/>
    <d v="2025-08-20T00:00:00"/>
    <d v="1899-12-30T09:55:00"/>
    <d v="2025-08-22T00:00:00"/>
    <x v="257"/>
    <s v="BG22990"/>
    <d v="2025-08-20T00:00:00"/>
    <d v="1899-12-30T12:55:00"/>
    <x v="79"/>
    <s v="EL ROBLE"/>
    <s v="AMOXIN X 1 KG"/>
    <n v="30"/>
    <n v="30"/>
    <n v="4500000"/>
    <d v="2025-08-21T00:00:00"/>
    <d v="2025-08-22T00:00:00"/>
    <x v="6"/>
  </r>
  <r>
    <m/>
    <m/>
    <d v="2025-08-20T00:00:00"/>
    <d v="1899-12-30T09:55:00"/>
    <d v="2025-08-22T00:00:00"/>
    <x v="258"/>
    <s v="BG23027"/>
    <d v="2025-08-20T00:00:00"/>
    <d v="1899-12-30T12:55:00"/>
    <x v="79"/>
    <s v="EL ROBLE"/>
    <s v="TILVASYN X 5 KG"/>
    <n v="5"/>
    <n v="1"/>
    <n v="1000000"/>
    <d v="2025-08-22T00:00:00"/>
    <d v="2025-08-22T00:00:00"/>
    <x v="0"/>
  </r>
  <r>
    <m/>
    <s v="60574 "/>
    <d v="2025-08-19T00:00:00"/>
    <d v="1899-12-30T16:52:00"/>
    <d v="2025-08-21T00:00:00"/>
    <x v="259"/>
    <s v="BG22986"/>
    <d v="2025-08-20T00:00:00"/>
    <d v="1899-12-30T13:02:00"/>
    <x v="56"/>
    <s v="BUCARAMANGA"/>
    <s v="CIGNUS X 20 KILOS"/>
    <n v="300"/>
    <n v="12"/>
    <n v="11400000"/>
    <d v="2025-08-22T00:00:00"/>
    <d v="2025-08-21T00:00:00"/>
    <x v="10"/>
  </r>
  <r>
    <m/>
    <s v="10786"/>
    <d v="2025-08-20T00:00:00"/>
    <d v="1899-12-30T07:58:00"/>
    <d v="2025-08-20T00:00:00"/>
    <x v="260"/>
    <s v="BG23014"/>
    <d v="2025-08-20T00:00:00"/>
    <d v="1899-12-30T13:06:00"/>
    <x v="10"/>
    <s v="LEBRIJA"/>
    <s v="FOSMYCINA 90 X 500 GR"/>
    <n v="8"/>
    <n v="16"/>
    <n v="4120000"/>
    <d v="2025-08-20T00:00:00"/>
    <d v="2025-08-20T00:00:00"/>
    <x v="0"/>
  </r>
  <r>
    <m/>
    <s v="OCO-0042524"/>
    <d v="2025-08-20T00:00:00"/>
    <d v="1899-12-30T14:00:00"/>
    <d v="2025-08-21T00:00:00"/>
    <x v="261"/>
    <s v="BG22945"/>
    <d v="2025-08-20T00:00:00"/>
    <d v="1899-12-30T14:17:00"/>
    <x v="14"/>
    <s v="TULUA"/>
    <s v="AMOXIN X 1 KG"/>
    <n v="70"/>
    <n v="2.8"/>
    <n v="10493000"/>
    <d v="2025-08-21T00:00:00"/>
    <d v="2025-08-21T00:00:00"/>
    <x v="0"/>
  </r>
  <r>
    <m/>
    <s v="OCO-0042524"/>
    <d v="2025-08-20T00:00:00"/>
    <d v="1899-12-30T14:00:00"/>
    <d v="2025-08-21T00:00:00"/>
    <x v="261"/>
    <s v="BG22945"/>
    <d v="2025-08-20T00:00:00"/>
    <d v="1899-12-30T14:17:00"/>
    <x v="14"/>
    <s v="TULUA"/>
    <s v="NEOCYN X 1 KG "/>
    <n v="25"/>
    <n v="1"/>
    <n v="1570000"/>
    <d v="2025-08-21T00:00:00"/>
    <d v="2025-08-21T00:00:00"/>
    <x v="0"/>
  </r>
  <r>
    <m/>
    <s v="OCO-0042524"/>
    <d v="2025-08-20T00:00:00"/>
    <d v="1899-12-30T14:00:00"/>
    <d v="2025-08-21T00:00:00"/>
    <x v="261"/>
    <s v="BG22945"/>
    <d v="2025-08-20T00:00:00"/>
    <d v="1899-12-30T14:17:00"/>
    <x v="14"/>
    <s v="TULUA"/>
    <s v="FRACTAL L X 20 KILOS"/>
    <n v="100"/>
    <n v="5"/>
    <n v="3885000"/>
    <d v="2025-08-21T00:00:00"/>
    <d v="2025-08-21T00:00:00"/>
    <x v="0"/>
  </r>
  <r>
    <m/>
    <m/>
    <d v="2025-08-20T00:00:00"/>
    <d v="1899-12-30T12:00:00"/>
    <d v="2025-08-21T00:00:00"/>
    <x v="262"/>
    <s v="BG22944"/>
    <d v="2025-08-20T00:00:00"/>
    <d v="1899-12-30T14:30:00"/>
    <x v="23"/>
    <s v="PLANTA"/>
    <s v="FRACTAL P X 25 KG"/>
    <n v="100"/>
    <n v="4"/>
    <n v="2550000"/>
    <d v="2025-08-21T00:00:00"/>
    <d v="2025-08-21T00:00:00"/>
    <x v="0"/>
  </r>
  <r>
    <m/>
    <m/>
    <d v="2025-08-20T00:00:00"/>
    <d v="1899-12-30T12:00:00"/>
    <d v="2025-08-21T00:00:00"/>
    <x v="262"/>
    <s v="BG22944"/>
    <d v="2025-08-20T00:00:00"/>
    <d v="1899-12-30T14:30:00"/>
    <x v="23"/>
    <s v="PLANTA"/>
    <s v="LOTUS X 10 KG"/>
    <n v="200"/>
    <n v="8"/>
    <n v="7760000"/>
    <d v="2025-08-21T00:00:00"/>
    <d v="2025-08-21T00:00:00"/>
    <x v="0"/>
  </r>
  <r>
    <m/>
    <s v="Y-001-2839"/>
    <d v="2025-08-20T00:00:00"/>
    <d v="1899-12-30T17:44:00"/>
    <d v="2025-08-21T00:00:00"/>
    <x v="263"/>
    <s v="BG22958"/>
    <d v="2025-08-21T00:00:00"/>
    <d v="1899-12-30T08:51:00"/>
    <x v="69"/>
    <s v="RECOGE EN BODEGA"/>
    <s v="FENIFLOR ORAL X 500 GR"/>
    <n v="15"/>
    <n v="30"/>
    <n v="1749000"/>
    <d v="2025-08-21T00:00:00"/>
    <d v="2025-08-21T00:00:00"/>
    <x v="0"/>
  </r>
  <r>
    <m/>
    <s v="1239316 "/>
    <d v="2025-08-20T00:00:00"/>
    <d v="1899-12-30T16:13:00"/>
    <d v="2025-08-25T00:00:00"/>
    <x v="264"/>
    <s v="BG22963"/>
    <d v="2025-08-21T00:00:00"/>
    <d v="1899-12-30T09:11:00"/>
    <x v="5"/>
    <s v="CIENAGA"/>
    <s v="ACCUREMAX X 25 KG"/>
    <n v="250"/>
    <n v="10"/>
    <n v="13250000"/>
    <d v="2025-08-27T00:00:00"/>
    <d v="2025-08-25T00:00:00"/>
    <x v="5"/>
  </r>
  <r>
    <m/>
    <s v="1239366 "/>
    <d v="2025-08-20T00:00:00"/>
    <d v="1899-12-30T16:32:00"/>
    <d v="2025-08-27T00:00:00"/>
    <x v="265"/>
    <s v="BG23041"/>
    <d v="2025-08-21T00:00:00"/>
    <d v="1899-12-30T09:11:00"/>
    <x v="5"/>
    <s v="MOSQUERA"/>
    <s v="ACCUREMAX X 25 KG"/>
    <n v="250"/>
    <n v="10"/>
    <n v="13250000"/>
    <d v="2025-08-27T00:00:00"/>
    <d v="2025-08-27T00:00:00"/>
    <x v="0"/>
  </r>
  <r>
    <m/>
    <m/>
    <d v="2025-08-20T00:00:00"/>
    <d v="1899-12-30T15:28:00"/>
    <d v="2025-08-23T00:00:00"/>
    <x v="266"/>
    <s v="BG22962"/>
    <d v="2025-08-21T00:00:00"/>
    <d v="1899-12-30T09:24:00"/>
    <x v="19"/>
    <s v="RICAURTE"/>
    <s v="CLORTETRAX 20 % X 25 KG"/>
    <n v="50"/>
    <n v="2"/>
    <n v="1015000"/>
    <d v="2025-08-22T00:00:00"/>
    <d v="2025-08-23T00:00:00"/>
    <x v="6"/>
  </r>
  <r>
    <m/>
    <s v="OC-COMP-18406"/>
    <d v="2025-08-20T00:00:00"/>
    <d v="1899-12-30T15:28:00"/>
    <d v="2025-08-27T00:00:00"/>
    <x v="267"/>
    <s v="BG23017"/>
    <d v="2025-08-21T00:00:00"/>
    <d v="1899-12-30T11:22:00"/>
    <x v="19"/>
    <s v="RICAURTE"/>
    <s v="BIMMU X 25 KG"/>
    <n v="300"/>
    <n v="12"/>
    <n v="10500000"/>
    <d v="2025-08-22T00:00:00"/>
    <d v="2025-08-27T00:00:00"/>
    <x v="8"/>
  </r>
  <r>
    <m/>
    <s v="5503698655"/>
    <d v="2025-08-20T00:00:00"/>
    <d v="1899-12-30T16:37:00"/>
    <d v="2025-08-25T00:00:00"/>
    <x v="268"/>
    <s v="BG22996"/>
    <d v="2025-08-21T00:00:00"/>
    <d v="1899-12-30T09:36:00"/>
    <x v="51"/>
    <s v="CAVASA"/>
    <s v="NEOCYN X 25 KG "/>
    <n v="1000"/>
    <n v="40"/>
    <n v="67500000"/>
    <d v="2025-08-25T00:00:00"/>
    <d v="2025-08-25T00:00:00"/>
    <x v="0"/>
  </r>
  <r>
    <s v="INVENTARIO"/>
    <s v=" 1239481"/>
    <d v="2025-08-20T00:00:00"/>
    <d v="1899-12-30T17:36:00"/>
    <d v="2025-08-27T00:00:00"/>
    <x v="269"/>
    <s v="BG23035"/>
    <d v="2025-08-21T00:00:00"/>
    <d v="1899-12-30T09:39:00"/>
    <x v="5"/>
    <s v="BUGA"/>
    <s v="DINAMIX PREMIX X 25 KG"/>
    <n v="100"/>
    <n v="4"/>
    <n v="2173000"/>
    <d v="2025-08-27T00:00:00"/>
    <d v="2025-08-27T00:00:00"/>
    <x v="0"/>
  </r>
  <r>
    <m/>
    <s v="4500082284_x000a_"/>
    <d v="2025-08-20T00:00:00"/>
    <d v="1899-12-30T18:11:00"/>
    <d v="2025-08-26T00:00:00"/>
    <x v="270"/>
    <s v="BG23003"/>
    <d v="2025-08-21T00:00:00"/>
    <d v="1899-12-30T09:42:00"/>
    <x v="42"/>
    <s v="PREMEX MEDELLIN"/>
    <s v="DINAMIX 800 X 25 KILOS"/>
    <n v="300"/>
    <n v="12"/>
    <n v="36945000"/>
    <d v="2025-08-26T00:00:00"/>
    <d v="2025-08-26T00:00:00"/>
    <x v="0"/>
  </r>
  <r>
    <m/>
    <s v="4500082284_x000a_"/>
    <d v="2025-08-20T00:00:00"/>
    <d v="1899-12-30T18:11:00"/>
    <d v="2025-08-26T00:00:00"/>
    <x v="270"/>
    <s v="BG23003"/>
    <d v="2025-08-21T00:00:00"/>
    <d v="1899-12-30T09:42:00"/>
    <x v="42"/>
    <s v="PREMEX MEDELLIN"/>
    <s v="HALQUINOX 800 X 25 KG"/>
    <n v="3000"/>
    <n v="120"/>
    <n v="218601000"/>
    <d v="2025-08-26T00:00:00"/>
    <d v="2025-08-26T00:00:00"/>
    <x v="0"/>
  </r>
  <r>
    <m/>
    <s v="1239701 "/>
    <d v="2025-08-21T00:00:00"/>
    <d v="1899-12-30T08:13:00"/>
    <d v="2025-08-27T00:00:00"/>
    <x v="271"/>
    <s v="BG23021"/>
    <d v="2025-08-21T00:00:00"/>
    <d v="1899-12-30T12:27:00"/>
    <x v="6"/>
    <s v="BARBOSA ANTIOQUIA"/>
    <s v="CIGNUS X 20 KILOS"/>
    <n v="1000"/>
    <n v="50"/>
    <n v="34500000"/>
    <d v="2025-08-27T00:00:00"/>
    <d v="2025-08-27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HALQUINOX 800 X 25 KG"/>
    <n v="200"/>
    <n v="8"/>
    <n v="20500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FENIFLOR PREMIX X 25 KG"/>
    <n v="750"/>
    <n v="30"/>
    <n v="48750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TILOMIIX 250 PREMIX X 25 KG"/>
    <n v="50"/>
    <n v="2"/>
    <n v="2825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CIPROFLOX X 5 KG"/>
    <n v="100"/>
    <n v="4"/>
    <n v="5300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TYLVASIN X 25 KG"/>
    <n v="25"/>
    <n v="1"/>
    <n v="4750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FRACTAL P X 25 KG"/>
    <n v="25"/>
    <n v="1"/>
    <n v="6375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CLORTETRAX 20 % X 25 KG"/>
    <n v="200"/>
    <n v="8"/>
    <n v="3200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SMOOTH SWEET X 75 GR"/>
    <n v="7.5"/>
    <n v="100"/>
    <n v="7.5"/>
    <d v="2025-08-25T00:00:00"/>
    <d v="2025-08-25T00:00:00"/>
    <x v="0"/>
  </r>
  <r>
    <m/>
    <s v="P-1301"/>
    <d v="2025-08-21T00:00:00"/>
    <d v="1899-12-30T11:33:00"/>
    <d v="2025-08-22T00:00:00"/>
    <x v="273"/>
    <s v="BG22982"/>
    <d v="2025-08-21T00:00:00"/>
    <d v="1899-12-30T13:08:00"/>
    <x v="32"/>
    <s v="CALI"/>
    <s v="FOSMYCINA 90 X 500 GR"/>
    <n v="1"/>
    <n v="2"/>
    <n v="501176"/>
    <d v="2025-08-22T00:00:00"/>
    <d v="2025-08-22T00:00:00"/>
    <x v="0"/>
  </r>
  <r>
    <m/>
    <s v="COC-00001807"/>
    <d v="2025-08-21T00:00:00"/>
    <d v="1899-12-30T16:20:00"/>
    <d v="2025-08-22T00:00:00"/>
    <x v="274"/>
    <s v="BG22989"/>
    <d v="2025-08-22T00:00:00"/>
    <d v="1899-12-30T08:51:00"/>
    <x v="31"/>
    <s v="RECOGE EN BODEGA"/>
    <s v="CLORTETRAX 20 % X 25 KG"/>
    <n v="300"/>
    <n v="12"/>
    <n v="4740000"/>
    <d v="2025-08-22T00:00:00"/>
    <d v="2025-08-22T00:00:00"/>
    <x v="0"/>
  </r>
  <r>
    <m/>
    <s v="001-OSC-64080"/>
    <d v="2025-08-21T00:00:00"/>
    <d v="1899-12-30T10:40:00"/>
    <d v="2025-08-25T00:00:00"/>
    <x v="275"/>
    <s v="BG22998"/>
    <d v="2025-08-22T00:00:00"/>
    <d v="1899-12-30T11:08:00"/>
    <x v="4"/>
    <s v="BELLO"/>
    <s v="FRACTAL P X 25 KG"/>
    <n v="75"/>
    <n v="3"/>
    <n v="1912000"/>
    <d v="2025-08-27T00:00:00"/>
    <d v="2025-08-25T00:00:00"/>
    <x v="5"/>
  </r>
  <r>
    <m/>
    <s v="001-OSC-64080"/>
    <d v="2025-08-21T00:00:00"/>
    <d v="1899-12-30T10:40:00"/>
    <d v="2025-08-25T00:00:00"/>
    <x v="275"/>
    <s v="BG22998"/>
    <d v="2025-08-22T00:00:00"/>
    <d v="1899-12-30T11:08:00"/>
    <x v="4"/>
    <s v="BELLO"/>
    <s v="CLORTETRAX 20 % X 25 KG"/>
    <n v="2000"/>
    <n v="80"/>
    <n v="32600000"/>
    <d v="2025-08-27T00:00:00"/>
    <d v="2025-08-25T00:00:00"/>
    <x v="5"/>
  </r>
  <r>
    <m/>
    <s v="001-OSC-64080"/>
    <d v="2025-08-21T00:00:00"/>
    <d v="1899-12-30T10:40:00"/>
    <d v="2025-08-25T00:00:00"/>
    <x v="275"/>
    <s v="BG22998"/>
    <d v="2025-08-22T00:00:00"/>
    <d v="1899-12-30T11:08:00"/>
    <x v="4"/>
    <s v="BELLO"/>
    <s v="DMB 11 X 25 KG"/>
    <n v="3000"/>
    <n v="120"/>
    <n v="55050000"/>
    <d v="2025-08-27T00:00:00"/>
    <d v="2025-08-25T00:00:00"/>
    <x v="5"/>
  </r>
  <r>
    <m/>
    <s v="1240347"/>
    <d v="2025-08-21T00:00:00"/>
    <d v="1899-12-30T16:07:00"/>
    <d v="2025-08-27T00:00:00"/>
    <x v="276"/>
    <s v="BG23012"/>
    <d v="2025-08-22T00:00:00"/>
    <d v="1899-12-30T11:11:00"/>
    <x v="5"/>
    <s v="BUCARAMANGA"/>
    <s v="ACCUREMAX X 25 KG"/>
    <n v="25"/>
    <n v="1"/>
    <n v="1325000"/>
    <d v="2025-08-26T00:00:00"/>
    <d v="2025-08-27T00:00:00"/>
    <x v="6"/>
  </r>
  <r>
    <m/>
    <s v="1240347"/>
    <d v="2025-08-21T00:00:00"/>
    <d v="1899-12-30T16:07:00"/>
    <d v="2025-08-27T00:00:00"/>
    <x v="277"/>
    <s v="BG23011"/>
    <d v="2025-08-22T00:00:00"/>
    <d v="1899-12-30T11:11:00"/>
    <x v="5"/>
    <s v="BUCARAMANGA"/>
    <s v="TILVASYN X 25 KG"/>
    <n v="25"/>
    <n v="1"/>
    <n v="4375000"/>
    <d v="2025-08-26T00:00:00"/>
    <d v="2025-08-27T00:00:00"/>
    <x v="6"/>
  </r>
  <r>
    <m/>
    <s v="3153"/>
    <d v="2025-08-21T00:00:00"/>
    <d v="1899-12-30T16:10:00"/>
    <d v="2025-08-26T00:00:00"/>
    <x v="278"/>
    <s v="BG22994"/>
    <d v="2025-08-22T00:00:00"/>
    <d v="1899-12-30T11:22:00"/>
    <x v="15"/>
    <s v="SAN PEDRO"/>
    <s v="FRACTAL P X 25 KG"/>
    <n v="275"/>
    <n v="11"/>
    <n v="7012500"/>
    <d v="2025-08-25T00:00:00"/>
    <d v="2025-08-26T00:00:00"/>
    <x v="6"/>
  </r>
  <r>
    <m/>
    <s v="3153"/>
    <d v="2025-08-21T00:00:00"/>
    <d v="1899-12-30T16:10:00"/>
    <d v="2025-08-26T00:00:00"/>
    <x v="278"/>
    <s v="BG22994"/>
    <d v="2025-08-22T00:00:00"/>
    <d v="1899-12-30T11:22:00"/>
    <x v="15"/>
    <s v="SAN PEDRO"/>
    <s v="LOTUS X 10 KG"/>
    <n v="440"/>
    <n v="44"/>
    <n v="17072000"/>
    <d v="2025-08-25T00:00:00"/>
    <d v="2025-08-26T00:00:00"/>
    <x v="6"/>
  </r>
  <r>
    <m/>
    <s v="1240844 "/>
    <d v="2025-08-22T00:00:00"/>
    <d v="1899-12-30T09:36:00"/>
    <d v="2025-08-26T00:00:00"/>
    <x v="279"/>
    <s v="BG23001"/>
    <d v="2025-08-22T00:00:00"/>
    <d v="1899-12-30T11:24:00"/>
    <x v="5"/>
    <s v="CIENAGA"/>
    <s v="LOTUS X 10 KG"/>
    <n v="20"/>
    <n v="2"/>
    <n v="690000"/>
    <d v="2025-08-25T00:00:00"/>
    <d v="2025-08-26T00:00:00"/>
    <x v="6"/>
  </r>
  <r>
    <m/>
    <s v="100-CON-00022562_x000a_"/>
    <d v="2025-08-22T00:00:00"/>
    <d v="1899-12-30T10:14:00"/>
    <d v="2025-08-25T00:00:00"/>
    <x v="280"/>
    <s v="BG22997"/>
    <d v="2025-08-22T00:00:00"/>
    <d v="1899-12-30T11:40:00"/>
    <x v="30"/>
    <s v="GIRARDOTA"/>
    <s v="LOTUS X 10 KG"/>
    <n v="160"/>
    <n v="6.4"/>
    <n v="5600000"/>
    <d v="2025-08-25T00:00:00"/>
    <d v="2025-08-25T00:00:00"/>
    <x v="0"/>
  </r>
  <r>
    <m/>
    <s v="100-CON-00022562_x000a_"/>
    <d v="2025-08-22T00:00:00"/>
    <d v="1899-12-30T10:14:00"/>
    <d v="2025-08-25T00:00:00"/>
    <x v="280"/>
    <s v="BG22997"/>
    <d v="2025-08-22T00:00:00"/>
    <d v="1899-12-30T11:40:00"/>
    <x v="30"/>
    <s v="GIRARDOTA"/>
    <s v="FRACTAL P X 25 KG"/>
    <n v="100"/>
    <n v="4"/>
    <n v="2550000"/>
    <d v="2025-08-25T00:00:00"/>
    <d v="2025-08-25T00:00:00"/>
    <x v="0"/>
  </r>
  <r>
    <m/>
    <s v="91.880"/>
    <d v="2025-08-22T00:00:00"/>
    <d v="1899-12-30T10:48:00"/>
    <d v="2025-08-26T00:00:00"/>
    <x v="281"/>
    <s v="BG23000"/>
    <d v="2025-08-22T00:00:00"/>
    <d v="1899-12-30T11:44:00"/>
    <x v="41"/>
    <s v="BUGA"/>
    <s v="CLORTETRAX 20 % X 25 KG"/>
    <n v="150"/>
    <n v="6"/>
    <n v="2400000"/>
    <d v="2025-08-25T00:00:00"/>
    <d v="2025-08-26T00:00:00"/>
    <x v="6"/>
  </r>
  <r>
    <m/>
    <s v="103-OCC-36384"/>
    <d v="2025-08-21T00:00:00"/>
    <d v="1899-12-30T08:46:00"/>
    <d v="2025-08-26T00:00:00"/>
    <x v="282"/>
    <s v="BG22992"/>
    <d v="2025-08-22T00:00:00"/>
    <d v="1899-12-30T12:19:00"/>
    <x v="13"/>
    <s v="GIRARDOTA"/>
    <s v="FRACTAL P X 25 KG"/>
    <n v="1000"/>
    <n v="40"/>
    <n v="25500000"/>
    <d v="2025-08-25T00:00:00"/>
    <d v="2025-08-26T00:00:00"/>
    <x v="6"/>
  </r>
  <r>
    <m/>
    <s v="103-OCC-36384"/>
    <d v="2025-08-21T00:00:00"/>
    <d v="1899-12-30T08:46:00"/>
    <d v="2025-08-26T00:00:00"/>
    <x v="282"/>
    <s v="BG22992"/>
    <d v="2025-08-22T00:00:00"/>
    <d v="1899-12-30T12:19:00"/>
    <x v="13"/>
    <s v="GIRARDOTA"/>
    <s v="DMB 11 X 25 KG"/>
    <n v="200"/>
    <n v="8"/>
    <n v="3640000"/>
    <d v="2025-08-25T00:00:00"/>
    <d v="2025-08-26T00:00:00"/>
    <x v="6"/>
  </r>
  <r>
    <m/>
    <m/>
    <d v="2025-08-22T00:00:00"/>
    <d v="1899-12-30T12:25:00"/>
    <d v="2025-08-26T00:00:00"/>
    <x v="283"/>
    <s v="BG23024"/>
    <d v="2025-08-22T00:00:00"/>
    <d v="1899-12-30T14:22:00"/>
    <x v="81"/>
    <s v="RISARALDA"/>
    <s v="CLORTETRAX 20 % X 25 KG"/>
    <n v="100"/>
    <n v="4"/>
    <n v="1700000"/>
    <d v="2025-08-25T00:00:00"/>
    <d v="2025-08-26T00:00:00"/>
    <x v="6"/>
  </r>
  <r>
    <m/>
    <m/>
    <d v="2025-08-22T00:00:00"/>
    <d v="1899-12-30T12:35:00"/>
    <d v="2025-08-26T00:00:00"/>
    <x v="283"/>
    <s v="BG23024"/>
    <d v="2025-08-22T00:00:00"/>
    <d v="1899-12-30T14:22:00"/>
    <x v="81"/>
    <s v="RISARALDA"/>
    <s v="TILVASYN X 25 KG"/>
    <n v="50"/>
    <n v="2"/>
    <n v="10750000"/>
    <d v="2025-08-25T00:00:00"/>
    <d v="2025-08-26T00:00:00"/>
    <x v="6"/>
  </r>
  <r>
    <s v="CANCELADO"/>
    <m/>
    <d v="2025-08-22T00:00:00"/>
    <d v="1899-12-30T14:00:00"/>
    <s v="FRACCIONAMIENTO"/>
    <x v="284"/>
    <m/>
    <d v="2025-08-22T00:00:00"/>
    <d v="1899-12-30T14:26:00"/>
    <x v="79"/>
    <s v="EL ROBLE"/>
    <s v="TILVASYN X 5 KG"/>
    <n v="10"/>
    <n v="2"/>
    <n v="2000000"/>
    <d v="2025-08-25T00:00:00"/>
    <s v="FRACCIONAMIENTO"/>
    <x v="0"/>
  </r>
  <r>
    <m/>
    <m/>
    <d v="2025-08-22T00:00:00"/>
    <d v="1899-12-30T14:30:00"/>
    <d v="2025-08-26T00:00:00"/>
    <x v="285"/>
    <s v="BG22999"/>
    <d v="2025-08-22T00:00:00"/>
    <d v="1899-12-30T14:35:00"/>
    <x v="82"/>
    <s v="BUGA"/>
    <s v="CLORTETRAX 20 % X 25 KG"/>
    <n v="200"/>
    <n v="8"/>
    <n v="3260000"/>
    <d v="2025-08-25T00:00:00"/>
    <d v="2025-08-26T00:00:00"/>
    <x v="6"/>
  </r>
  <r>
    <m/>
    <m/>
    <d v="2025-08-25T00:00:00"/>
    <d v="1899-12-30T08:00:00"/>
    <d v="2025-08-26T00:00:00"/>
    <x v="286"/>
    <s v="BG23020"/>
    <d v="2025-08-25T00:00:00"/>
    <d v="1899-12-30T08:50:00"/>
    <x v="83"/>
    <s v="RECOGE EN BODEGA"/>
    <s v="CLORTETRAX 20 % X 25 KG"/>
    <n v="400"/>
    <n v="16"/>
    <n v="6320000"/>
    <d v="2025-08-25T00:00:00"/>
    <d v="2025-08-26T00:00:00"/>
    <x v="6"/>
  </r>
  <r>
    <s v="INVENTARIO"/>
    <s v="1241128"/>
    <d v="2025-08-22T00:00:00"/>
    <d v="1899-12-30T14:19:00"/>
    <d v="2025-08-27T00:00:00"/>
    <x v="287"/>
    <s v="BG23034"/>
    <d v="2025-08-25T00:00:00"/>
    <d v="1899-12-30T12:01:00"/>
    <x v="6"/>
    <s v="CARTAGO"/>
    <s v="DINAMIX PREMIX X 25 KG"/>
    <n v="50"/>
    <n v="2"/>
    <n v="1086500"/>
    <d v="2025-08-26T00:00:00"/>
    <d v="2025-08-27T00:00:00"/>
    <x v="6"/>
  </r>
  <r>
    <m/>
    <s v="OC PENDIENTE"/>
    <d v="2025-08-25T00:00:00"/>
    <d v="1899-12-30T10:00:00"/>
    <d v="2025-08-26T00:00:00"/>
    <x v="288"/>
    <s v="BG23036"/>
    <d v="2025-08-25T00:00:00"/>
    <d v="1899-12-30T10:30:00"/>
    <x v="19"/>
    <s v="RICAURTE"/>
    <s v="CIPROFLOX X 5 KG"/>
    <n v="5"/>
    <n v="1"/>
    <m/>
    <d v="2025-08-25T00:00:00"/>
    <d v="2025-08-26T00:00:00"/>
    <x v="6"/>
  </r>
  <r>
    <m/>
    <s v="OC PENDIENTE"/>
    <d v="2025-08-25T00:00:00"/>
    <d v="1899-12-30T10:00:00"/>
    <d v="2025-08-26T00:00:00"/>
    <x v="288"/>
    <s v="BG23036"/>
    <d v="2025-08-25T00:00:00"/>
    <d v="1899-12-30T10:30:00"/>
    <x v="19"/>
    <s v="RICAURTE"/>
    <s v="SMOOTH SWEET X 75 GR"/>
    <n v="0.375"/>
    <n v="5"/>
    <m/>
    <d v="2025-08-25T00:00:00"/>
    <d v="2025-08-26T00:00:00"/>
    <x v="6"/>
  </r>
  <r>
    <m/>
    <s v="005-OSC-9721"/>
    <d v="2025-08-22T00:00:00"/>
    <d v="1899-12-30T14:30:00"/>
    <d v="2025-08-27T00:00:00"/>
    <x v="289"/>
    <s v="BG23040"/>
    <d v="2025-08-25T00:00:00"/>
    <d v="1899-12-30T12:17:00"/>
    <x v="4"/>
    <s v="MOSQUERA"/>
    <s v="DMB 11 X 25 KG"/>
    <n v="500"/>
    <n v="20"/>
    <n v="9175000"/>
    <d v="2025-08-27T00:00:00"/>
    <d v="2025-08-27T00:00:00"/>
    <x v="0"/>
  </r>
  <r>
    <m/>
    <s v="001-OSC-64169"/>
    <d v="2025-08-22T00:00:00"/>
    <d v="1899-12-30T16:00:00"/>
    <d v="2025-08-26T00:00:00"/>
    <x v="290"/>
    <s v="BG23008"/>
    <d v="2025-08-25T00:00:00"/>
    <d v="1899-12-30T12:26:00"/>
    <x v="4"/>
    <s v="BELLO"/>
    <s v="DMB 11 X 25 KG"/>
    <n v="400"/>
    <n v="16"/>
    <n v="7340000"/>
    <d v="2025-08-25T00:00:00"/>
    <d v="2025-08-26T00:00:00"/>
    <x v="6"/>
  </r>
  <r>
    <m/>
    <s v="001-SC-015404"/>
    <d v="2025-08-22T00:00:00"/>
    <d v="1899-12-30T14:56:00"/>
    <d v="2025-08-26T00:00:00"/>
    <x v="291"/>
    <s v="BG23018"/>
    <d v="2025-08-25T00:00:00"/>
    <d v="1899-12-30T13:03:00"/>
    <x v="38"/>
    <s v="ARMENIA"/>
    <s v="FENIFLOR PREMIX X 5 KG"/>
    <n v="25"/>
    <n v="1"/>
    <n v="1725000"/>
    <d v="2025-08-26T00:00:00"/>
    <d v="2025-08-26T00:00:00"/>
    <x v="0"/>
  </r>
  <r>
    <m/>
    <s v="004-OSC-49176"/>
    <d v="2025-08-22T00:00:00"/>
    <d v="1899-12-30T15:03:00"/>
    <d v="2025-08-28T00:00:00"/>
    <x v="292"/>
    <s v="BG23043"/>
    <d v="2025-08-25T00:00:00"/>
    <d v="1899-12-30T13:05:00"/>
    <x v="4"/>
    <s v="CARTAGO"/>
    <s v="LOTUS X 25 KG"/>
    <n v="100"/>
    <n v="4"/>
    <n v="3850000"/>
    <d v="2025-08-28T00:00:00"/>
    <d v="2025-08-28T00:00:00"/>
    <x v="0"/>
  </r>
  <r>
    <m/>
    <s v="004-OSC-49176"/>
    <d v="2025-08-22T00:00:00"/>
    <d v="1899-12-30T15:03:00"/>
    <d v="2025-08-28T00:00:00"/>
    <x v="292"/>
    <s v="BG23043"/>
    <d v="2025-08-25T00:00:00"/>
    <d v="1899-12-30T13:05:00"/>
    <x v="4"/>
    <s v="CARTAGO"/>
    <s v="CELMANAX X 25 KG"/>
    <n v="50"/>
    <n v="2"/>
    <n v="810000"/>
    <d v="2025-08-28T00:00:00"/>
    <d v="2025-08-28T00:00:00"/>
    <x v="0"/>
  </r>
  <r>
    <m/>
    <s v="004-OSC-49176"/>
    <d v="2025-08-22T00:00:00"/>
    <d v="1899-12-30T15:03:00"/>
    <d v="2025-08-28T00:00:00"/>
    <x v="292"/>
    <s v="BG23043"/>
    <d v="2025-08-25T00:00:00"/>
    <d v="1899-12-30T13:05:00"/>
    <x v="4"/>
    <s v="CARTAGO"/>
    <s v="CLORTETRAX 20 % X 25 KG"/>
    <n v="1000"/>
    <n v="40"/>
    <n v="16300000"/>
    <d v="2025-08-28T00:00:00"/>
    <d v="2025-08-28T00:00:00"/>
    <x v="0"/>
  </r>
  <r>
    <m/>
    <s v="4500355106"/>
    <d v="2025-08-22T00:00:00"/>
    <d v="1899-12-30T16:51:00"/>
    <d v="2025-08-27T00:00:00"/>
    <x v="293"/>
    <s v="BG23010"/>
    <d v="2025-08-25T00:00:00"/>
    <d v="1899-12-30T14:26:00"/>
    <x v="54"/>
    <s v="BUCARAMANGA"/>
    <s v="FRACTAL L X 20 KILOS"/>
    <n v="300"/>
    <n v="15"/>
    <n v="11655000"/>
    <d v="2025-08-26T00:00:00"/>
    <d v="2025-08-27T00:00:00"/>
    <x v="6"/>
  </r>
  <r>
    <m/>
    <s v="1241879 "/>
    <d v="2025-08-22T00:00:00"/>
    <d v="1899-12-30T08:37:00"/>
    <d v="2025-08-28T00:00:00"/>
    <x v="294"/>
    <s v="BG23019"/>
    <d v="2025-08-25T00:00:00"/>
    <d v="1899-12-30T14:28:00"/>
    <x v="6"/>
    <s v="ENVIGADO"/>
    <s v="FRACTAL P X 25 KG"/>
    <n v="75"/>
    <n v="3"/>
    <n v="1800000"/>
    <d v="2025-08-26T00:00:00"/>
    <d v="2025-08-28T00:00:00"/>
    <x v="4"/>
  </r>
  <r>
    <m/>
    <m/>
    <d v="2025-08-25T00:00:00"/>
    <d v="1899-12-30T15:12:00"/>
    <d v="2025-08-26T00:00:00"/>
    <x v="295"/>
    <s v="BG23009"/>
    <d v="2025-08-25T00:00:00"/>
    <d v="1899-12-30T15:02:00"/>
    <x v="28"/>
    <s v="BUGA"/>
    <s v="CLORTETRAX 20 % X 25 KG"/>
    <n v="25"/>
    <n v="1"/>
    <n v="425000"/>
    <d v="2025-08-26T00:00:00"/>
    <d v="2025-08-26T00:00:00"/>
    <x v="0"/>
  </r>
  <r>
    <s v="CARTERA"/>
    <m/>
    <d v="2025-08-25T00:00:00"/>
    <d v="1899-12-30T15:00:00"/>
    <d v="2025-08-27T00:00:00"/>
    <x v="296"/>
    <s v="BG23033"/>
    <d v="2025-08-25T00:00:00"/>
    <d v="1899-12-30T15:40:00"/>
    <x v="84"/>
    <s v="BUCARAMANGA"/>
    <s v="FOSMYCINA 90 X 500 GR"/>
    <n v="10"/>
    <n v="20"/>
    <n v="5202080"/>
    <d v="2025-08-25T00:00:00"/>
    <d v="2025-08-27T00:00:00"/>
    <x v="4"/>
  </r>
  <r>
    <m/>
    <s v="1241736"/>
    <d v="2025-08-24T00:00:00"/>
    <d v="1899-12-30T14:17:00"/>
    <d v="2025-08-27T00:00:00"/>
    <x v="297"/>
    <s v="BG23039"/>
    <d v="2025-08-25T00:00:00"/>
    <d v="1899-12-30T15:48:00"/>
    <x v="5"/>
    <s v="MOSQUERA"/>
    <s v="DINAMIX 200 PREMIX X 25 KG"/>
    <n v="100"/>
    <n v="4"/>
    <n v="3990000"/>
    <d v="2025-08-28T00:00:00"/>
    <d v="2025-08-27T00:00:00"/>
    <x v="1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ESPELIN 88 X 25 KG"/>
    <n v="400"/>
    <n v="16"/>
    <n v="14821600"/>
    <d v="2025-08-27T00:00:00"/>
    <d v="2025-08-27T00:00:00"/>
    <x v="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FENIFLOR PREMIX X 25 KG"/>
    <n v="100"/>
    <n v="4"/>
    <n v="5292000"/>
    <d v="2025-08-27T00:00:00"/>
    <d v="2025-08-27T00:00:00"/>
    <x v="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FRACTAL P X 25 KG"/>
    <n v="100"/>
    <n v="4"/>
    <n v="2400000"/>
    <d v="2025-08-27T00:00:00"/>
    <d v="2025-08-27T00:00:00"/>
    <x v="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TILOMIX 250 PREMIX X 25 KG"/>
    <n v="500"/>
    <n v="20"/>
    <n v="24950000"/>
    <d v="2025-08-27T00:00:00"/>
    <d v="2025-08-27T00:00:00"/>
    <x v="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MONECYL X 25 KG"/>
    <n v="1200"/>
    <n v="48"/>
    <n v="22620000"/>
    <d v="2025-08-27T00:00:00"/>
    <d v="2025-08-27T00:00:00"/>
    <x v="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SAGAH X 25 KILOS"/>
    <n v="100"/>
    <n v="4"/>
    <n v="3020000"/>
    <d v="2025-08-27T00:00:00"/>
    <d v="2025-08-27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CIPROFLOX X 1 KG"/>
    <n v="169"/>
    <n v="6.76"/>
    <n v="101738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FOSMYCINA 90 X 500 GR"/>
    <n v="60"/>
    <n v="2.4"/>
    <n v="3007056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NEOCYN X 1KG"/>
    <n v="64"/>
    <n v="2.56"/>
    <n v="448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ESPELIN 88 X 5 KG"/>
    <n v="55"/>
    <n v="2.2000000000000002"/>
    <n v="308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CLORTETRAX 20 % X 25 KG"/>
    <n v="150"/>
    <n v="6"/>
    <n v="240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FENIFLOR ORAL X 500 GR"/>
    <n v="65.5"/>
    <n v="2.62"/>
    <n v="6681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DQCICLIN X 1 KG"/>
    <n v="51"/>
    <n v="2.04"/>
    <n v="1479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CIPROFLOX X 5 KG"/>
    <n v="50"/>
    <n v="2"/>
    <n v="301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NEOCYN X 25 KG "/>
    <n v="125"/>
    <n v="5"/>
    <n v="875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ESPELIN 88 X 25 KG"/>
    <n v="250"/>
    <n v="10"/>
    <n v="1400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TILVASYN X 25 KG"/>
    <n v="25"/>
    <n v="1"/>
    <n v="5250000"/>
    <d v="2025-08-25T00:00:00"/>
    <d v="2025-08-25T00:00:00"/>
    <x v="0"/>
  </r>
  <r>
    <s v="CARTERA"/>
    <s v="144"/>
    <d v="2025-08-26T00:00:00"/>
    <d v="1899-12-30T09:27:00"/>
    <d v="2025-08-26T00:00:00"/>
    <x v="300"/>
    <s v="BG23032"/>
    <d v="2025-08-26T00:00:00"/>
    <d v="1899-12-30T09:47:00"/>
    <x v="86"/>
    <s v="BUCARAMANGA"/>
    <s v="DQCICLIN X 1 KG"/>
    <n v="6"/>
    <n v="6"/>
    <n v="1948116"/>
    <d v="2025-08-26T00:00:00"/>
    <d v="2025-08-26T00:00:00"/>
    <x v="0"/>
  </r>
  <r>
    <s v="CARTERA"/>
    <s v="144"/>
    <d v="2025-08-26T00:00:00"/>
    <d v="1899-12-30T09:27:00"/>
    <d v="2025-08-26T00:00:00"/>
    <x v="300"/>
    <s v="BG23032"/>
    <d v="2025-08-26T00:00:00"/>
    <d v="1899-12-30T09:47:00"/>
    <x v="86"/>
    <s v="BUCARAMANGA"/>
    <s v="FOSMYCINA 90 X 500 GR"/>
    <n v="7.5"/>
    <n v="15"/>
    <n v="3901560"/>
    <d v="2025-08-26T00:00:00"/>
    <d v="2025-08-26T00:00:00"/>
    <x v="0"/>
  </r>
  <r>
    <m/>
    <s v="47162"/>
    <d v="2025-08-25T00:00:00"/>
    <d v="1899-12-30T11:52:00"/>
    <s v="ela en mandar y servir 27/08/2025"/>
    <x v="301"/>
    <s v="BG23037"/>
    <d v="2025-08-26T00:00:00"/>
    <d v="1899-12-30T09:50:00"/>
    <x v="79"/>
    <s v="EL ROBLE"/>
    <s v="TILVASYN X 5 KG"/>
    <n v="5"/>
    <n v="1"/>
    <n v="1000000"/>
    <d v="2025-08-27T00:00:00"/>
    <d v="2025-08-27T00:00:00"/>
    <x v="0"/>
  </r>
  <r>
    <m/>
    <s v="AG-0033-25"/>
    <d v="2025-08-25T00:00:00"/>
    <d v="1899-12-30T17:41:00"/>
    <d v="2025-08-27T00:00:00"/>
    <x v="302"/>
    <s v="BG23029"/>
    <d v="2025-08-26T00:00:00"/>
    <d v="1899-12-30T10:09:00"/>
    <x v="23"/>
    <s v="PLANTA"/>
    <s v="CLORTETRAX 20 % X 25 KG"/>
    <n v="500"/>
    <n v="20"/>
    <n v="8100000"/>
    <d v="2025-08-28T00:00:00"/>
    <d v="2025-08-27T00:00:00"/>
    <x v="10"/>
  </r>
  <r>
    <m/>
    <s v="AG-0033-25"/>
    <d v="2025-08-25T00:00:00"/>
    <d v="1899-12-30T17:41:00"/>
    <d v="2025-08-27T00:00:00"/>
    <x v="302"/>
    <s v="BG23029"/>
    <d v="2025-08-26T00:00:00"/>
    <d v="1899-12-30T10:09:00"/>
    <x v="23"/>
    <s v="PLANTA"/>
    <s v="SALINOMIX 12% X 25 KG"/>
    <n v="75"/>
    <n v="3"/>
    <n v="900000"/>
    <d v="2025-08-28T00:00:00"/>
    <d v="2025-08-27T00:00:00"/>
    <x v="1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AMOXIN X 1 KG"/>
    <n v="30"/>
    <n v="1.2"/>
    <n v="48000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TILOMIX 250 PREMIX X 25 KG"/>
    <n v="35"/>
    <n v="1.4"/>
    <n v="15500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FENIFLOR PREMIX X 25 KG"/>
    <n v="25"/>
    <n v="1"/>
    <n v="18125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TILCOMIX PREMIX S X 5 KG"/>
    <n v="25"/>
    <n v="1"/>
    <n v="38750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CIPROFLOX X 5 KG"/>
    <n v="200"/>
    <n v="8"/>
    <n v="110000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SMOOTH SWEET X 75 GR"/>
    <n v="15"/>
    <n v="200"/>
    <n v="15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CIGNUS X 20 KILOS"/>
    <n v="60"/>
    <n v="3"/>
    <n v="25200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CELMANAX X 25 KG"/>
    <n v="500"/>
    <n v="20"/>
    <n v="8657500"/>
    <d v="2025-08-27T00:00:00"/>
    <d v="2025-08-27T00:00:00"/>
    <x v="0"/>
  </r>
  <r>
    <m/>
    <s v="1242991 "/>
    <d v="2025-08-26T00:00:00"/>
    <d v="1899-12-30T11:19:00"/>
    <d v="2025-08-27T00:00:00"/>
    <x v="304"/>
    <s v="BG23038"/>
    <d v="2025-08-26T00:00:00"/>
    <d v="1899-12-30T12:14:00"/>
    <x v="43"/>
    <s v="BUCARAMANGA"/>
    <s v="CIPROFLOX X 5 KG"/>
    <n v="80"/>
    <n v="3.2"/>
    <n v="4360000"/>
    <d v="2025-08-27T00:00:00"/>
    <d v="2025-08-27T00:00:00"/>
    <x v="0"/>
  </r>
  <r>
    <m/>
    <s v="1242991 "/>
    <d v="2025-08-26T00:00:00"/>
    <d v="1899-12-30T11:19:00"/>
    <d v="2025-08-27T00:00:00"/>
    <x v="305"/>
    <s v="BG23038"/>
    <d v="2025-08-26T00:00:00"/>
    <d v="1899-12-30T12:14:00"/>
    <x v="43"/>
    <s v="BUCARAMANGA"/>
    <s v="SMOOTH SWEET X 75 GR"/>
    <n v="6"/>
    <n v="80"/>
    <n v="6"/>
    <d v="2025-08-27T00:00:00"/>
    <d v="2025-08-27T00:00:00"/>
    <x v="0"/>
  </r>
  <r>
    <m/>
    <s v="4500082360"/>
    <d v="2025-08-26T00:00:00"/>
    <d v="1899-12-30T11:24:00"/>
    <d v="2025-08-27T00:00:00"/>
    <x v="306"/>
    <s v="BG23042"/>
    <d v="2025-08-26T00:00:00"/>
    <d v="1899-12-30T12:19:00"/>
    <x v="42"/>
    <s v="PREMEX CELTA"/>
    <s v="HALQUINOX 800 X 25 KG"/>
    <n v="500"/>
    <n v="20"/>
    <n v="36433500"/>
    <d v="2025-08-27T00:00:00"/>
    <d v="2025-08-27T00:00:00"/>
    <x v="0"/>
  </r>
  <r>
    <m/>
    <s v="4500082360"/>
    <d v="2025-08-26T00:00:00"/>
    <d v="1899-12-30T11:24:00"/>
    <d v="2025-08-27T00:00:00"/>
    <x v="306"/>
    <s v="BG23042"/>
    <d v="2025-08-26T00:00:00"/>
    <d v="1899-12-30T12:19:00"/>
    <x v="42"/>
    <s v="PREMEX CELTA"/>
    <s v="DINAMIX 800 X 25 KILOS"/>
    <n v="350"/>
    <n v="14"/>
    <n v="43102500"/>
    <d v="2025-08-27T00:00:00"/>
    <d v="2025-08-27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FENIFLOR PREMIX X 25 KG"/>
    <n v="1000"/>
    <n v="40"/>
    <n v="5292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TILOMIX 250 PREMIX X 25 KG"/>
    <n v="2000"/>
    <n v="80"/>
    <n v="998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ACCUREMAX 20% X 25 KG"/>
    <n v="400"/>
    <n v="16"/>
    <n v="1760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CELMANAX X 25 KG"/>
    <n v="1000"/>
    <n v="40"/>
    <n v="1425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DMB 11 X 25 KG"/>
    <n v="2500"/>
    <n v="100"/>
    <n v="440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CIPROFLOX X 5 KG"/>
    <n v="200"/>
    <n v="8"/>
    <n v="9300000"/>
    <d v="2025-08-28T00:00:00"/>
    <d v="2025-08-28T00:00:00"/>
    <x v="0"/>
  </r>
  <r>
    <s v="INVENTARIO"/>
    <s v="4500082398"/>
    <d v="2025-08-26T00:00:00"/>
    <d v="1899-12-30T12:41:00"/>
    <d v="2025-08-28T00:00:00"/>
    <x v="307"/>
    <s v="BG23048"/>
    <d v="2025-08-26T00:00:00"/>
    <d v="1899-12-30T16:33:00"/>
    <x v="0"/>
    <s v="MEDELLIN"/>
    <s v="SMOOTH SWEET X 5 KG"/>
    <n v="75"/>
    <n v="3"/>
    <n v="75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MONECYL X 25 KG"/>
    <n v="1200"/>
    <n v="48"/>
    <n v="2262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CIGNUS X 20 KILOS"/>
    <n v="260"/>
    <n v="10.4"/>
    <n v="897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CELERITY NP X 25 KG"/>
    <n v="3000"/>
    <n v="120"/>
    <n v="3198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AMOXIN X 1 KG"/>
    <n v="200"/>
    <n v="8"/>
    <n v="271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SAGAH X 25 KILOS"/>
    <n v="500"/>
    <n v="20"/>
    <n v="151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MICRO AID X 25 KG"/>
    <n v="100"/>
    <n v="4"/>
    <n v="52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DQCICLIN X 1 KG"/>
    <n v="40"/>
    <n v="1.6"/>
    <n v="7000000"/>
    <d v="2025-08-28T00:00:00"/>
    <d v="2025-08-28T00:00:00"/>
    <x v="0"/>
  </r>
  <r>
    <m/>
    <s v="4500082414"/>
    <d v="2025-08-26T00:00:00"/>
    <d v="1899-12-30T16:51:00"/>
    <d v="2025-08-28T00:00:00"/>
    <x v="308"/>
    <s v="BG23049"/>
    <d v="2025-08-26T00:00:00"/>
    <d v="1899-12-30T17:09:00"/>
    <x v="0"/>
    <s v="MEDELLIN"/>
    <s v="DMB 11 X 25 KG"/>
    <n v="2000"/>
    <n v="80"/>
    <m/>
    <d v="2025-08-28T00:00:00"/>
    <d v="2025-08-28T00:00:00"/>
    <x v="0"/>
  </r>
  <r>
    <m/>
    <s v="NA"/>
    <d v="2025-08-28T00:00:00"/>
    <d v="1899-12-30T07:00:00"/>
    <d v="2025-08-28T00:00:00"/>
    <x v="309"/>
    <s v="BG23128"/>
    <d v="2025-08-28T00:00:00"/>
    <d v="1899-12-30T08:25:00"/>
    <x v="87"/>
    <s v="SANTA ROSA DE OSOS"/>
    <s v="ROFLOX X 1 LITRO"/>
    <n v="4"/>
    <n v="4"/>
    <n v="220000"/>
    <d v="2025-08-28T00:00:00"/>
    <d v="2025-08-28T00:00:00"/>
    <x v="0"/>
  </r>
  <r>
    <m/>
    <s v="NA"/>
    <d v="2025-08-28T00:00:00"/>
    <d v="1899-12-30T07:00:00"/>
    <d v="2025-08-28T00:00:00"/>
    <x v="309"/>
    <s v="BG23128"/>
    <d v="2025-08-28T00:00:00"/>
    <d v="1899-12-30T08:25:00"/>
    <x v="87"/>
    <s v="SANTA ROSA DE OSOS"/>
    <s v="NORFLOX X 1 KG"/>
    <n v="1"/>
    <n v="1"/>
    <n v="65000"/>
    <d v="2025-08-28T00:00:00"/>
    <d v="2025-08-28T00:00:00"/>
    <x v="0"/>
  </r>
  <r>
    <m/>
    <s v="NA"/>
    <d v="2025-08-28T00:00:00"/>
    <d v="1899-12-30T07:00:00"/>
    <d v="2025-08-28T00:00:00"/>
    <x v="310"/>
    <s v="BG23129"/>
    <d v="2025-08-28T00:00:00"/>
    <d v="1899-12-30T08:25:00"/>
    <x v="87"/>
    <s v="SANTA ROSA DE OSOS"/>
    <s v="ROFLOX X 1 LITRO"/>
    <n v="2"/>
    <n v="2"/>
    <n v="110000"/>
    <d v="2025-08-28T00:00:00"/>
    <d v="2025-08-28T00:00:00"/>
    <x v="0"/>
  </r>
  <r>
    <m/>
    <s v="NA"/>
    <d v="2025-08-28T00:00:00"/>
    <d v="1899-12-30T08:38:00"/>
    <d v="2025-08-29T00:00:00"/>
    <x v="311"/>
    <s v="BG23056"/>
    <d v="2025-08-28T00:00:00"/>
    <d v="1899-12-30T09:24:00"/>
    <x v="88"/>
    <s v="VILLAVICENCIO"/>
    <s v="HALQUINOX 800 X 25 KG"/>
    <n v="25"/>
    <n v="1"/>
    <n v="2874375"/>
    <d v="2025-08-30T00:00:00"/>
    <d v="2025-08-29T00:00:00"/>
    <x v="10"/>
  </r>
  <r>
    <m/>
    <s v="01-OC -00003850"/>
    <d v="2025-08-27T00:00:00"/>
    <d v="1899-12-30T10:21:00"/>
    <d v="2025-08-29T00:00:00"/>
    <x v="312"/>
    <s v="BG23051"/>
    <d v="2025-08-27T00:00:00"/>
    <d v="1899-12-30T13:24:00"/>
    <x v="7"/>
    <s v="NUTRITEC"/>
    <s v="DMB 11 X 25 KG"/>
    <n v="125"/>
    <n v="5"/>
    <n v="2425000"/>
    <d v="2025-08-28T00:00:00"/>
    <d v="2025-08-29T00:00:00"/>
    <x v="6"/>
  </r>
  <r>
    <m/>
    <s v="OC00001612BX"/>
    <d v="2025-08-27T00:00:00"/>
    <d v="1899-12-30T11:16:00"/>
    <d v="2025-08-30T00:00:00"/>
    <x v="313"/>
    <s v="BG23057"/>
    <d v="2025-08-27T00:00:00"/>
    <d v="1899-12-30T14:57:00"/>
    <x v="8"/>
    <s v="SABANETA"/>
    <s v="CLORTETRAX 20 % X 25 KG"/>
    <n v="500"/>
    <n v="20"/>
    <n v="8000000"/>
    <d v="2025-09-02T00:00:00"/>
    <d v="2025-08-30T00:00:00"/>
    <x v="2"/>
  </r>
  <r>
    <m/>
    <s v=" 1242824"/>
    <d v="2025-08-26T00:00:00"/>
    <d v="1899-12-30T09:10:00"/>
    <d v="2025-08-30T00:00:00"/>
    <x v="314"/>
    <s v="BG23059"/>
    <d v="2025-08-26T00:00:00"/>
    <d v="1899-12-30T12:04:00"/>
    <x v="89"/>
    <s v="CARTAGO"/>
    <s v="DINAMIX PREMIX X 25 KG"/>
    <n v="50"/>
    <n v="2"/>
    <n v="1086500"/>
    <d v="2025-09-03T00:00:00"/>
    <d v="2025-08-30T00:00:00"/>
    <x v="19"/>
  </r>
  <r>
    <m/>
    <m/>
    <d v="2025-08-25T00:00:00"/>
    <d v="1899-12-30T15:12:00"/>
    <d v="2025-08-30T00:00:00"/>
    <x v="315"/>
    <s v="BG23060"/>
    <d v="2025-08-25T00:00:00"/>
    <d v="1899-12-30T15:02:00"/>
    <x v="28"/>
    <s v="BUGA"/>
    <s v="CLORTETRAX 20 % X 25 KG"/>
    <n v="25"/>
    <n v="1"/>
    <n v="425000"/>
    <d v="2025-09-02T00:00:00"/>
    <d v="2025-08-30T00:00:0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">
  <r>
    <m/>
    <x v="0"/>
    <d v="2025-12-01T00:00:00"/>
    <d v="1899-12-30T12:02:00"/>
    <x v="0"/>
    <m/>
    <m/>
    <m/>
    <s v="PREMEX S.A.S."/>
    <s v="MEDELLIN"/>
    <s v="CLORTETRAX 20 X 25 KG"/>
    <n v="26000"/>
    <n v="1040"/>
    <n v="322400000"/>
    <d v="2026-04-11T00:00:00"/>
    <n v="12312"/>
    <n v="320112000"/>
    <m/>
    <m/>
  </r>
  <r>
    <m/>
    <x v="1"/>
    <d v="2026-01-28T00:00:00"/>
    <d v="1899-12-30T17:53:00"/>
    <x v="0"/>
    <m/>
    <d v="2026-04-20T00:00:00"/>
    <d v="1899-12-30T14:25:00"/>
    <s v="PREMEX S.A.S."/>
    <s v="MEDELLIN"/>
    <s v="CLORTETRAX 20 X 25 KG"/>
    <n v="26000"/>
    <n v="1040"/>
    <n v="322504000"/>
    <d v="2026-04-18T00:00:00"/>
    <n v="12312"/>
    <n v="320112000"/>
    <m/>
    <m/>
  </r>
  <r>
    <m/>
    <x v="2"/>
    <d v="2026-01-28T00:00:00"/>
    <d v="1899-12-30T17:53:00"/>
    <x v="1"/>
    <s v="BG25854"/>
    <d v="2026-04-09T00:00:00"/>
    <d v="1899-12-30T12:47:00"/>
    <s v="PREMEX S.A.S."/>
    <s v="MEDELLIN"/>
    <s v="CLORTETRAX 20 X 25 KG"/>
    <n v="26000"/>
    <n v="1040"/>
    <n v="416000000"/>
    <d v="2026-04-11T00:00:00"/>
    <m/>
    <n v="1200000000"/>
    <m/>
    <m/>
  </r>
  <r>
    <s v="PDNIENTE CONFIRMAR ENVIO CLIENTE"/>
    <x v="3"/>
    <d v="2026-04-15T00:00:00"/>
    <d v="1899-12-30T11:21:00"/>
    <x v="0"/>
    <m/>
    <m/>
    <m/>
    <s v="POLLOS EL BUCANERO"/>
    <s v="SUPER AGRO"/>
    <s v="NORFLOX X 1 LITRO"/>
    <n v="100"/>
    <n v="100"/>
    <n v="5550000"/>
    <d v="2026-05-25T00:00:00"/>
    <m/>
    <m/>
    <m/>
    <m/>
  </r>
  <r>
    <s v="PDNIENTE CONFIRMAR ENVIO CLIENTE"/>
    <x v="3"/>
    <d v="2026-04-15T00:00:00"/>
    <d v="1899-12-30T11:21:00"/>
    <x v="0"/>
    <m/>
    <m/>
    <m/>
    <s v="POLLOS EL BUCANERO"/>
    <s v="SUPER AGRO"/>
    <s v="NORFLOX X 1 LITRO"/>
    <n v="100"/>
    <n v="100"/>
    <n v="5550000"/>
    <d v="2026-05-25T00:00:00"/>
    <m/>
    <m/>
    <m/>
    <m/>
  </r>
  <r>
    <m/>
    <x v="4"/>
    <d v="2025-01-20T00:00:00"/>
    <d v="1899-12-30T10:40:00"/>
    <x v="2"/>
    <s v="BG25808"/>
    <d v="2026-04-08T00:00:00"/>
    <d v="1899-12-30T14:39:00"/>
    <s v="ALIMENTOS POLAR COLOMBIA SAS"/>
    <s v="REFRILOGISTICA"/>
    <s v="MICRO AID X 25 KG"/>
    <n v="1375"/>
    <n v="55"/>
    <n v="106843750"/>
    <d v="2026-03-11T00:00:00"/>
    <m/>
    <m/>
    <m/>
    <m/>
  </r>
  <r>
    <m/>
    <x v="5"/>
    <m/>
    <m/>
    <x v="3"/>
    <m/>
    <d v="2026-04-08T00:00:00"/>
    <d v="1899-12-30T14:42:00"/>
    <s v="ALIMENTOS POLAR COLOMBIA SAS"/>
    <s v="REFILOGISTICA"/>
    <s v="MICRO AID X 25 KG"/>
    <n v="2000"/>
    <n v="80"/>
    <n v="126240000"/>
    <d v="2026-04-09T00:00:00"/>
    <m/>
    <m/>
    <m/>
    <m/>
  </r>
  <r>
    <m/>
    <x v="6"/>
    <d v="2026-03-13T00:00:00"/>
    <d v="1899-12-30T08:00:00"/>
    <x v="4"/>
    <s v="BG25861"/>
    <d v="2026-03-13T00:00:00"/>
    <d v="1899-12-30T11:19:00"/>
    <s v="PORCICULTORES APA"/>
    <s v="GIRARDOTA"/>
    <s v="FRACTAL P X 25 KG"/>
    <n v="200"/>
    <n v="8"/>
    <n v="5260000"/>
    <d v="2026-04-10T00:00:00"/>
    <m/>
    <m/>
    <m/>
    <m/>
  </r>
  <r>
    <m/>
    <x v="6"/>
    <d v="2026-03-13T00:00:00"/>
    <d v="1899-12-30T08:00:00"/>
    <x v="4"/>
    <s v="BG25861"/>
    <d v="2026-03-13T00:00:00"/>
    <d v="1899-12-30T11:19:00"/>
    <s v="PORCICULTORES APA"/>
    <s v="GIRARDOTA"/>
    <s v="LOTUS X 25 KG"/>
    <n v="350"/>
    <n v="14"/>
    <n v="14175000"/>
    <d v="2026-04-10T00:00:00"/>
    <m/>
    <m/>
    <m/>
    <m/>
  </r>
  <r>
    <m/>
    <x v="7"/>
    <d v="2026-03-13T00:00:00"/>
    <d v="1899-12-30T08:00:00"/>
    <x v="5"/>
    <s v="BG25858"/>
    <d v="2026-04-04T00:00:00"/>
    <d v="1899-12-30T14:50:00"/>
    <s v="PORCICULTORES APA"/>
    <s v="GIRARDOTA"/>
    <s v="FOSMYCINA 90 X 500 GR"/>
    <n v="20"/>
    <n v="1"/>
    <n v="10380000"/>
    <d v="2026-04-10T00:00:00"/>
    <m/>
    <m/>
    <m/>
    <m/>
  </r>
  <r>
    <m/>
    <x v="8"/>
    <d v="2026-03-16T00:00:00"/>
    <d v="1899-12-30T07:48:00"/>
    <x v="6"/>
    <s v="BG25731"/>
    <d v="2026-03-16T00:00:00"/>
    <d v="1899-12-30T16:14:00"/>
    <s v="SOLLA S.A."/>
    <s v="BUGA"/>
    <s v="FRACTAL P X 25 KG"/>
    <n v="950"/>
    <n v="38"/>
    <n v="24985000"/>
    <d v="2026-04-07T00:00:00"/>
    <m/>
    <m/>
    <m/>
    <m/>
  </r>
  <r>
    <m/>
    <x v="8"/>
    <d v="2026-03-16T00:00:00"/>
    <d v="1899-12-30T07:48:00"/>
    <x v="6"/>
    <s v="BG25731"/>
    <d v="2026-03-16T00:00:00"/>
    <d v="1899-12-30T16:14:00"/>
    <s v="SOLLA S.A."/>
    <s v="BUGA"/>
    <s v="LOTUS X 25 KG"/>
    <n v="200"/>
    <n v="8"/>
    <n v="8100000"/>
    <d v="2026-04-07T00:00:00"/>
    <m/>
    <m/>
    <m/>
    <m/>
  </r>
  <r>
    <m/>
    <x v="9"/>
    <d v="2026-03-18T00:00:00"/>
    <d v="1899-12-30T10:01:00"/>
    <x v="7"/>
    <s v="BG25786"/>
    <d v="2026-03-19T00:00:00"/>
    <d v="1899-12-30T11:51:00"/>
    <s v="MEZCLAS BIOMIX"/>
    <s v="ITAGUI"/>
    <s v="CLORTETRAX 20 X 25 KG"/>
    <n v="200"/>
    <n v="8"/>
    <n v="3200000"/>
    <d v="2026-04-07T00:00:00"/>
    <m/>
    <m/>
    <m/>
    <m/>
  </r>
  <r>
    <s v="TRANSPORTE"/>
    <x v="9"/>
    <d v="2026-03-18T00:00:00"/>
    <d v="1899-12-30T10:01:00"/>
    <x v="8"/>
    <s v="BG25763"/>
    <d v="2026-03-19T00:00:00"/>
    <d v="1899-12-30T11:51:00"/>
    <s v="MEZCLAS BIOMIX"/>
    <s v="ITAGUI"/>
    <s v="CLORTETRAX 20 X 25 KG"/>
    <n v="800"/>
    <n v="32"/>
    <n v="12800000"/>
    <d v="2026-04-07T00:00:00"/>
    <m/>
    <m/>
    <m/>
    <m/>
  </r>
  <r>
    <m/>
    <x v="10"/>
    <d v="2026-03-20T00:00:00"/>
    <d v="1899-12-30T12:11:00"/>
    <x v="9"/>
    <s v="BG25785"/>
    <d v="2026-03-24T00:00:00"/>
    <d v="1899-12-30T07:53:00"/>
    <s v="PREMEZCLAS LATINOAMERICANAS PRALSA"/>
    <s v="GUATEMALA"/>
    <s v="HALQUINOX 500 X 25 KG"/>
    <n v="5000"/>
    <n v="200"/>
    <s v="63950 USD"/>
    <d v="2026-04-08T00:00:00"/>
    <m/>
    <m/>
    <m/>
    <m/>
  </r>
  <r>
    <m/>
    <x v="11"/>
    <d v="2026-03-24T00:00:00"/>
    <d v="1899-12-30T07:05:00"/>
    <x v="10"/>
    <s v="BG25787"/>
    <d v="2026-03-24T00:00:00"/>
    <d v="1899-12-30T08:03:00"/>
    <s v="PREMEZCLAS LATINOAMERICANAS"/>
    <s v="PERU"/>
    <s v="CLORTETRAX 20 X 25 KG"/>
    <n v="2500"/>
    <n v="100"/>
    <s v="9250 USD"/>
    <d v="2026-04-08T00:00:00"/>
    <m/>
    <m/>
    <m/>
    <m/>
  </r>
  <r>
    <m/>
    <x v="12"/>
    <d v="2026-03-20T00:00:00"/>
    <d v="1899-12-30T13:44:00"/>
    <x v="11"/>
    <s v="BG25976"/>
    <d v="2026-03-24T00:00:00"/>
    <d v="1899-12-30T11:33:00"/>
    <s v="COMPAÑIA INDUSTRIAL DE PRODUCTOS AGROPECUARIOS S.A"/>
    <s v="CARTAGO"/>
    <s v="CLORTETRAX 20 X 25 KG"/>
    <n v="270000"/>
    <n v="10800"/>
    <n v="426600000"/>
    <d v="2026-04-20T00:00:00"/>
    <m/>
    <m/>
    <m/>
    <m/>
  </r>
  <r>
    <m/>
    <x v="13"/>
    <d v="2026-03-24T00:00:00"/>
    <d v="1899-12-30T18:45:00"/>
    <x v="12"/>
    <s v="BG25762"/>
    <d v="2026-03-25T00:00:00"/>
    <d v="1899-12-30T08:15:00"/>
    <s v="AGROINDUSTRIAL SAN JOSE"/>
    <s v="PLANTA"/>
    <s v="FRACTAL P X 25 KG"/>
    <n v="400"/>
    <n v="16"/>
    <n v="10520000"/>
    <d v="2026-04-01T00:00:00"/>
    <m/>
    <m/>
    <m/>
    <m/>
  </r>
  <r>
    <m/>
    <x v="14"/>
    <d v="2026-03-24T00:00:00"/>
    <d v="1899-12-30T17:06:00"/>
    <x v="13"/>
    <s v="BG25889"/>
    <d v="2026-03-26T00:00:00"/>
    <d v="1899-12-30T08:01:00"/>
    <s v="PREMEZCLAS LATINOAMERICANAS PRALSA"/>
    <s v="GUATEMALA"/>
    <s v="HALQUINOX 500 X 25 KG"/>
    <n v="10000"/>
    <n v="400"/>
    <s v="127900 USD"/>
    <d v="2026-04-13T00:00:00"/>
    <m/>
    <m/>
    <m/>
    <m/>
  </r>
  <r>
    <m/>
    <x v="15"/>
    <d v="2026-03-25T00:00:00"/>
    <d v="1899-12-30T12:25:00"/>
    <x v="14"/>
    <s v="BG25761"/>
    <d v="2026-03-26T00:00:00"/>
    <d v="1899-12-30T10:14:00"/>
    <s v="ITALCOL DE OCCIDENTE"/>
    <s v="PEREIRA"/>
    <s v="DMB 11 X 25 KG"/>
    <n v="1000"/>
    <n v="40"/>
    <n v="19500000"/>
    <d v="2026-03-31T00:00:00"/>
    <m/>
    <m/>
    <m/>
    <m/>
  </r>
  <r>
    <s v="TRANSPORTE"/>
    <x v="16"/>
    <d v="2026-03-25T00:00:00"/>
    <d v="1899-12-30T22:16:00"/>
    <x v="15"/>
    <s v="BG25760"/>
    <d v="2026-03-26T00:00:00"/>
    <d v="1899-12-30T10:58:00"/>
    <s v="FINCA S.A.S."/>
    <s v="CIENAGA"/>
    <s v="FENIFLOR PREMIX X 25 Kg"/>
    <n v="75"/>
    <n v="3"/>
    <n v="3889500"/>
    <d v="2026-04-01T00:00:00"/>
    <m/>
    <m/>
    <m/>
    <m/>
  </r>
  <r>
    <m/>
    <x v="17"/>
    <d v="2026-03-26T00:00:00"/>
    <d v="1899-12-30T08:57:00"/>
    <x v="16"/>
    <s v="BG25825"/>
    <d v="2026-03-26T00:00:00"/>
    <d v="1899-12-30T11:12:00"/>
    <s v="AVICOLA EL GUAMITO"/>
    <s v="LEBRIJA"/>
    <s v="FRACTAL P X 25 KG"/>
    <n v="2000"/>
    <n v="80"/>
    <n v="51000000"/>
    <d v="2026-03-27T00:00:00"/>
    <m/>
    <m/>
    <m/>
    <m/>
  </r>
  <r>
    <m/>
    <x v="18"/>
    <d v="2026-03-26T00:00:00"/>
    <d v="1899-12-30T08:57:00"/>
    <x v="17"/>
    <s v="BG25826"/>
    <d v="2026-03-26T00:00:00"/>
    <d v="1899-12-30T11:12:00"/>
    <s v="AVICOLA EL GUAMITO"/>
    <s v="EL BRUJAL"/>
    <s v="FRACTAL P X 25 KG"/>
    <n v="1000"/>
    <n v="40"/>
    <n v="25500000"/>
    <d v="2026-03-27T00:00:00"/>
    <m/>
    <m/>
    <m/>
    <m/>
  </r>
  <r>
    <m/>
    <x v="19"/>
    <d v="2026-03-26T00:00:00"/>
    <d v="1899-12-30T10:51:00"/>
    <x v="18"/>
    <s v="BG25759"/>
    <d v="2026-03-26T00:00:00"/>
    <d v="1899-12-30T13:00:00"/>
    <s v="COLOMBIANA DE INCUBACION SAS INCUBACOL"/>
    <s v="FUSA"/>
    <s v="FOSMYCINA 90 X 500 GR"/>
    <n v="13"/>
    <n v="1"/>
    <n v="6760000"/>
    <d v="2026-03-30T00:00:00"/>
    <m/>
    <m/>
    <m/>
    <m/>
  </r>
  <r>
    <m/>
    <x v="20"/>
    <d v="2026-03-26T00:00:00"/>
    <d v="1899-12-30T17:33:00"/>
    <x v="19"/>
    <s v="BG25755"/>
    <d v="2026-03-27T00:00:00"/>
    <d v="1899-12-30T10:07:00"/>
    <s v="FINCA S.A.S."/>
    <s v="BUCARAMANGA"/>
    <s v="LOTUS X 25 KG"/>
    <n v="75"/>
    <n v="3"/>
    <n v="2587000"/>
    <d v="2026-04-01T00:00:00"/>
    <m/>
    <m/>
    <m/>
    <m/>
  </r>
  <r>
    <m/>
    <x v="21"/>
    <d v="2026-03-26T00:00:00"/>
    <d v="1899-12-30T15:07:00"/>
    <x v="20"/>
    <s v="BG25771"/>
    <d v="2026-03-27T00:00:00"/>
    <d v="1899-12-30T11:24:00"/>
    <s v="SOLLA S.A."/>
    <s v="BUGA"/>
    <s v="MONECYL X 25 KG"/>
    <n v="7000"/>
    <n v="280"/>
    <n v="136500000"/>
    <d v="2026-04-09T00:00:00"/>
    <m/>
    <m/>
    <m/>
    <m/>
  </r>
  <r>
    <m/>
    <x v="22"/>
    <d v="2026-03-27T00:00:00"/>
    <d v="1899-12-30T07:52:00"/>
    <x v="21"/>
    <s v="BG25754"/>
    <d v="2026-03-27T00:00:00"/>
    <d v="1899-12-30T14:48:00"/>
    <s v="RIBARCO"/>
    <s v="BARCON"/>
    <s v="DMB 11 X 25 KG"/>
    <n v="500"/>
    <n v="20"/>
    <n v="10000000"/>
    <d v="2026-03-31T00:00:00"/>
    <m/>
    <m/>
    <m/>
    <m/>
  </r>
  <r>
    <s v="CARTERA"/>
    <x v="23"/>
    <d v="2026-03-27T00:00:00"/>
    <d v="1899-12-30T08:05:00"/>
    <x v="22"/>
    <s v="BG25753"/>
    <d v="2026-03-27T00:00:00"/>
    <d v="1899-12-30T14:55:00"/>
    <s v="INVERSIONES ESCALA"/>
    <s v="NUTRITEC"/>
    <s v="DMB 11 X 25 KG"/>
    <n v="200"/>
    <n v="8"/>
    <n v="3900000"/>
    <d v="2026-03-31T00:00:00"/>
    <m/>
    <m/>
    <m/>
    <m/>
  </r>
  <r>
    <s v="CARTERA"/>
    <x v="23"/>
    <d v="2026-03-27T00:00:00"/>
    <d v="1899-12-30T08:05:00"/>
    <x v="23"/>
    <s v="BG25752"/>
    <d v="2026-03-27T00:00:00"/>
    <d v="1899-12-30T14:55:00"/>
    <s v="INVERSIONES ESCALA"/>
    <s v="NUTRITEC"/>
    <s v="ACCUREMAX 10% X 25 KG"/>
    <n v="100"/>
    <n v="4"/>
    <n v="24000000"/>
    <d v="2026-03-31T00:00:00"/>
    <m/>
    <m/>
    <m/>
    <m/>
  </r>
  <r>
    <m/>
    <x v="24"/>
    <d v="2026-03-27T00:00:00"/>
    <d v="1899-12-30T11:45:00"/>
    <x v="24"/>
    <s v="BG25751"/>
    <d v="2026-03-27T00:00:00"/>
    <d v="1899-12-30T15:08:00"/>
    <s v="AVICOLA LA DOMINGA"/>
    <s v="NEIVA"/>
    <s v="FRACTAL P X 25 KG"/>
    <n v="1000"/>
    <n v="40"/>
    <n v="26300000"/>
    <d v="2026-03-31T00:00:00"/>
    <m/>
    <m/>
    <m/>
    <m/>
  </r>
  <r>
    <m/>
    <x v="24"/>
    <d v="2026-03-27T00:00:00"/>
    <d v="1899-12-30T14:30:00"/>
    <x v="25"/>
    <m/>
    <d v="2026-03-27T00:00:00"/>
    <d v="1899-12-30T15:19:00"/>
    <s v="INVERSIONES CARDONA RIOS (AVICOLA LA MARIA)"/>
    <s v="LA CEJA"/>
    <s v="FENIFLOR ORAL X 500 GR"/>
    <n v="15"/>
    <n v="1"/>
    <n v="1575000"/>
    <d v="2026-03-28T00:00:00"/>
    <m/>
    <m/>
    <m/>
    <m/>
  </r>
  <r>
    <m/>
    <x v="25"/>
    <d v="2026-03-27T00:00:00"/>
    <d v="1899-12-30T14:30:00"/>
    <x v="26"/>
    <s v="BG25750"/>
    <d v="2026-03-27T00:00:00"/>
    <d v="1899-12-30T16:19:00"/>
    <s v="COOPERATIVA DE PORCICULTORES DEL EJE CAFETERO"/>
    <s v="ARMENIA"/>
    <s v="FENIFLOR ORAL X 500 GR"/>
    <n v="7.5"/>
    <n v="0"/>
    <n v="768750"/>
    <d v="2026-03-31T00:00:00"/>
    <m/>
    <m/>
    <m/>
    <m/>
  </r>
  <r>
    <m/>
    <x v="25"/>
    <d v="2026-03-27T00:00:00"/>
    <d v="1899-12-30T14:30:00"/>
    <x v="26"/>
    <s v="BG25750"/>
    <d v="2026-03-27T00:00:00"/>
    <d v="1899-12-30T16:19:00"/>
    <s v="COOPERATIVA DE PORCICULTORES DEL EJE CAFETERO"/>
    <s v="ARMENIA"/>
    <s v="NORFLOX X 1 LITRO"/>
    <n v="8"/>
    <n v="0"/>
    <n v="436000"/>
    <d v="2026-03-31T00:00:00"/>
    <m/>
    <m/>
    <m/>
    <m/>
  </r>
  <r>
    <s v="CARTERA"/>
    <x v="26"/>
    <d v="2026-03-05T00:00:00"/>
    <d v="1899-12-30T09:53:00"/>
    <x v="27"/>
    <s v="BG25921"/>
    <d v="2026-03-05T00:00:00"/>
    <d v="1899-12-30T10:29:00"/>
    <s v="CERDOS DEL VALLE"/>
    <s v="BUGA"/>
    <s v="FRACTAL L X 20 LITROS"/>
    <n v="800"/>
    <n v="32"/>
    <n v="32000000"/>
    <d v="2026-03-06T00:00:00"/>
    <m/>
    <m/>
    <m/>
    <m/>
  </r>
  <r>
    <s v="CARTERA"/>
    <x v="26"/>
    <d v="2026-03-05T00:00:00"/>
    <d v="1899-12-30T09:53:00"/>
    <x v="28"/>
    <m/>
    <d v="2026-03-05T00:00:00"/>
    <d v="1899-12-30T10:29:00"/>
    <s v="CERDOS DEL VALLE"/>
    <s v="BUGA"/>
    <s v="FRACTAL L X 20 LITROS"/>
    <n v="200"/>
    <n v="8"/>
    <n v="8000000"/>
    <d v="2026-03-06T00:00:00"/>
    <m/>
    <m/>
    <m/>
    <m/>
  </r>
  <r>
    <s v="CARTERA"/>
    <x v="27"/>
    <d v="2026-03-09T00:00:00"/>
    <d v="1899-12-30T08:11:00"/>
    <x v="29"/>
    <s v="BG25953"/>
    <d v="2026-03-09T00:00:00"/>
    <d v="1899-12-30T11:50:00"/>
    <s v="CERDOS DEL VALLE"/>
    <s v="BUGA"/>
    <s v="FENIFLOR ORAL X 500 GR"/>
    <n v="100"/>
    <n v="0"/>
    <n v="9720000"/>
    <d v="2026-03-11T00:00:00"/>
    <m/>
    <m/>
    <m/>
    <m/>
  </r>
  <r>
    <s v="CARTERA //INVENTARIO"/>
    <x v="27"/>
    <d v="2026-03-09T00:00:00"/>
    <d v="1899-12-30T08:11:00"/>
    <x v="30"/>
    <m/>
    <d v="2026-03-09T00:00:00"/>
    <d v="1899-12-30T11:50:00"/>
    <s v="CERDOS DEL VALLE"/>
    <s v="BUGA"/>
    <s v="AMOXIN X 1 KILO"/>
    <n v="50"/>
    <n v="2"/>
    <n v="7250000"/>
    <d v="2026-03-11T00:00:00"/>
    <m/>
    <m/>
    <m/>
    <m/>
  </r>
  <r>
    <s v="CARTERA"/>
    <x v="28"/>
    <d v="2026-03-21T00:00:00"/>
    <d v="1899-12-30T11:12:00"/>
    <x v="31"/>
    <s v="BG25952"/>
    <d v="2026-03-25T00:00:00"/>
    <d v="1899-12-30T11:05:00"/>
    <s v="CERDOS DEL VALLE"/>
    <s v="BUGA"/>
    <s v="CLORTETRAX 20 X 25 KG"/>
    <n v="750"/>
    <n v="30"/>
    <n v="11850000"/>
    <d v="2026-03-26T00:00:00"/>
    <m/>
    <m/>
    <m/>
    <m/>
  </r>
  <r>
    <s v="TRANSPORTE"/>
    <x v="29"/>
    <d v="2026-03-27T00:00:00"/>
    <d v="1899-12-30T13:16:00"/>
    <x v="32"/>
    <s v="BG25749"/>
    <d v="2026-03-30T00:00:00"/>
    <d v="1899-12-30T13:06:00"/>
    <s v="COOPERATIVA COLANTA"/>
    <s v="ITAGUI"/>
    <s v="MONECYL X 25 KG"/>
    <n v="3000"/>
    <n v="120"/>
    <n v="61500000"/>
    <d v="2026-04-07T00:00:00"/>
    <m/>
    <m/>
    <m/>
    <m/>
  </r>
  <r>
    <m/>
    <x v="30"/>
    <d v="2026-03-27T00:00:00"/>
    <d v="1899-12-30T09:19:00"/>
    <x v="33"/>
    <s v="BG25748"/>
    <d v="2026-03-30T00:00:00"/>
    <d v="1899-12-30T14:04:00"/>
    <s v="FINCA S.A.S."/>
    <s v="BUGA"/>
    <s v="FENIFLOR PREMIX X 25 Kg"/>
    <n v="125"/>
    <n v="5"/>
    <n v="6482500"/>
    <d v="2026-04-07T00:00:00"/>
    <m/>
    <m/>
    <m/>
    <m/>
  </r>
  <r>
    <m/>
    <x v="31"/>
    <d v="2026-03-30T00:00:00"/>
    <d v="1899-12-30T12:13:00"/>
    <x v="34"/>
    <s v="BG25709"/>
    <d v="2026-03-30T00:00:00"/>
    <d v="1899-12-30T14:07:00"/>
    <s v="AGROAVICOLA SAN MARINO"/>
    <s v="GIRON"/>
    <s v="FOSMYCINA 90 X 500 GR"/>
    <n v="3"/>
    <n v="6"/>
    <n v="1560000"/>
    <d v="2026-03-30T00:00:00"/>
    <m/>
    <m/>
    <m/>
    <m/>
  </r>
  <r>
    <m/>
    <x v="32"/>
    <d v="2026-03-30T00:00:00"/>
    <d v="1899-12-30T14:05:00"/>
    <x v="35"/>
    <s v="BG25747"/>
    <d v="2026-03-30T00:00:00"/>
    <d v="1899-12-30T14:10:00"/>
    <s v="CONTEGRAL S.A.S."/>
    <s v="BOGOTA"/>
    <s v="TILVASYYN x 25 KG"/>
    <n v="50"/>
    <n v="2"/>
    <n v="9010000"/>
    <d v="2026-04-07T00:00:00"/>
    <m/>
    <m/>
    <m/>
    <m/>
  </r>
  <r>
    <s v="PDNIENTE CONFIRMAR ENVIO CLIENTE"/>
    <x v="33"/>
    <d v="2026-04-21T00:00:00"/>
    <d v="1899-12-30T11:21:00"/>
    <x v="0"/>
    <m/>
    <m/>
    <m/>
    <s v="POLLOS EL BUCANERO"/>
    <s v="SUPER AGRO"/>
    <s v="ROFLOX X 1 LITRO"/>
    <n v="100"/>
    <n v="100"/>
    <n v="5550000"/>
    <s v="PENDIENTE"/>
    <m/>
    <m/>
    <m/>
    <m/>
  </r>
  <r>
    <s v="PDNIENTE CONFIRMAR ENVIO CLIENTE"/>
    <x v="34"/>
    <d v="2026-04-21T00:00:00"/>
    <d v="1899-12-30T11:21:00"/>
    <x v="0"/>
    <m/>
    <m/>
    <m/>
    <s v="POLLOS EL BUCANERO"/>
    <s v="SUPER AGRO"/>
    <s v="NORFLOX X 1 LITRO"/>
    <n v="100"/>
    <n v="100"/>
    <n v="5550000"/>
    <s v="PENDIENTE"/>
    <m/>
    <m/>
    <m/>
    <m/>
  </r>
  <r>
    <s v="TRANSPORTE"/>
    <x v="35"/>
    <d v="2026-03-30T00:00:00"/>
    <d v="1899-12-30T17:50:00"/>
    <x v="36"/>
    <s v="BG25745"/>
    <d v="2026-03-31T00:00:00"/>
    <d v="1899-12-30T07:32:00"/>
    <s v="POLLOS EL BUCANERO"/>
    <s v="CAVASA"/>
    <s v="DMB 11 X 25 KG"/>
    <n v="8000"/>
    <n v="320"/>
    <n v="146800000"/>
    <d v="2026-04-01T00:00:00"/>
    <m/>
    <m/>
    <m/>
    <m/>
  </r>
  <r>
    <m/>
    <x v="36"/>
    <d v="2026-03-31T00:00:00"/>
    <d v="1899-12-30T08:20:00"/>
    <x v="37"/>
    <s v="BG25744"/>
    <d v="2026-03-31T00:00:00"/>
    <d v="1899-12-30T08:41:00"/>
    <s v="COMPAÑIA INDUSTRIAL DE PRODUCTOS AGROPECUARIOS S.A"/>
    <s v="CARTAGO"/>
    <s v="DMB 11 X 25 KG"/>
    <n v="1000"/>
    <n v="40"/>
    <n v="19500000"/>
    <d v="2026-04-01T00:00:00"/>
    <m/>
    <m/>
    <m/>
    <m/>
  </r>
  <r>
    <m/>
    <x v="24"/>
    <d v="2026-03-31T00:00:00"/>
    <d v="1899-12-30T08:00:00"/>
    <x v="38"/>
    <s v="BG25743"/>
    <d v="2026-03-31T00:00:00"/>
    <d v="1899-12-30T08:46:00"/>
    <s v="MARIA JOSE ORTIZ"/>
    <s v="BUCARAMANGA"/>
    <s v="DQCICLIN X 1 KG"/>
    <n v="2"/>
    <n v="0"/>
    <n v="500000"/>
    <d v="2026-03-31T00:00:00"/>
    <m/>
    <m/>
    <m/>
    <m/>
  </r>
  <r>
    <m/>
    <x v="37"/>
    <d v="2026-03-30T00:00:00"/>
    <d v="1899-12-30T15:49:00"/>
    <x v="39"/>
    <s v="BG25784"/>
    <d v="2026-03-31T00:00:00"/>
    <d v="1899-12-30T08:49:00"/>
    <s v="CONTEGRAL S.A.S."/>
    <s v="ENVIGADO"/>
    <s v="LOTUS X 25 KG"/>
    <n v="75"/>
    <n v="3"/>
    <n v="2587000"/>
    <d v="2026-04-07T00:00:00"/>
    <m/>
    <m/>
    <m/>
    <m/>
  </r>
  <r>
    <m/>
    <x v="24"/>
    <d v="2026-03-31T00:00:00"/>
    <d v="1899-12-30T09:56:00"/>
    <x v="40"/>
    <s v="BG25908"/>
    <d v="2026-03-31T00:00:00"/>
    <d v="1899-12-30T10:37:00"/>
    <s v="ECUADPREMEX"/>
    <s v="ECUADOR"/>
    <s v="HALQUINOX 500 X 25 KG"/>
    <n v="500"/>
    <n v="20"/>
    <s v="6500 USD"/>
    <d v="2026-04-16T00:00:00"/>
    <m/>
    <m/>
    <m/>
    <m/>
  </r>
  <r>
    <m/>
    <x v="24"/>
    <d v="2026-03-31T00:00:00"/>
    <d v="1899-12-30T09:56:00"/>
    <x v="40"/>
    <s v="BG25908"/>
    <d v="2026-03-31T00:00:00"/>
    <d v="1899-12-30T10:37:00"/>
    <s v="ECUADPREMEX"/>
    <s v="ECUADOR"/>
    <s v="CLORTETRAX 20 X 25 KG"/>
    <n v="300"/>
    <n v="12"/>
    <s v="1449 USD"/>
    <d v="2026-04-16T00:00:00"/>
    <m/>
    <m/>
    <m/>
    <m/>
  </r>
  <r>
    <m/>
    <x v="24"/>
    <d v="2026-03-31T00:00:00"/>
    <d v="1899-12-30T09:56:00"/>
    <x v="40"/>
    <s v="BG25908"/>
    <d v="2026-03-31T00:00:00"/>
    <d v="1899-12-30T10:37:00"/>
    <s v="ECUADPREMEX"/>
    <s v="ECUADOR"/>
    <s v="ACCUREMAX X 25 KG"/>
    <n v="500"/>
    <n v="20"/>
    <s v="5275 USD"/>
    <d v="2026-04-16T00:00:00"/>
    <m/>
    <m/>
    <m/>
    <m/>
  </r>
  <r>
    <m/>
    <x v="24"/>
    <d v="2026-03-31T00:00:00"/>
    <d v="1899-12-30T09:56:00"/>
    <x v="40"/>
    <s v="BG25908"/>
    <d v="2026-03-31T00:00:00"/>
    <d v="1899-12-30T10:37:00"/>
    <s v="ECUADPREMEX"/>
    <s v="ECUADOR"/>
    <s v="MONECYL X 25 KG"/>
    <n v="100"/>
    <n v="4"/>
    <s v="451 USD"/>
    <d v="2026-04-16T00:00:00"/>
    <m/>
    <m/>
    <m/>
    <m/>
  </r>
  <r>
    <m/>
    <x v="24"/>
    <d v="2026-03-31T00:00:00"/>
    <d v="1899-12-30T09:56:00"/>
    <x v="40"/>
    <s v="BG25908"/>
    <d v="2026-03-31T00:00:00"/>
    <d v="1899-12-30T10:37:00"/>
    <s v="ECUADPREMEX"/>
    <s v="ECUADOR"/>
    <s v="AVINOVA X 25 Kg"/>
    <n v="700"/>
    <n v="28"/>
    <s v="3080 USD"/>
    <d v="2026-04-16T00:00:00"/>
    <m/>
    <m/>
    <m/>
    <m/>
  </r>
  <r>
    <m/>
    <x v="24"/>
    <d v="2026-03-31T00:00:00"/>
    <d v="1899-12-30T09:56:00"/>
    <x v="40"/>
    <s v="BG25908"/>
    <d v="2026-03-31T00:00:00"/>
    <d v="1899-12-30T10:37:00"/>
    <s v="ECUADPREMEX"/>
    <s v="ECUADOR"/>
    <s v="CIPROFLOX X 5 KG"/>
    <n v="200"/>
    <n v="8"/>
    <s v="2426 USD"/>
    <d v="2026-04-16T00:00:00"/>
    <m/>
    <m/>
    <m/>
    <m/>
  </r>
  <r>
    <m/>
    <x v="24"/>
    <d v="2026-03-31T00:00:00"/>
    <d v="1899-12-30T09:56:00"/>
    <x v="41"/>
    <s v="BG25908"/>
    <d v="2026-03-31T00:00:00"/>
    <d v="1899-12-30T10:37:00"/>
    <s v="ECUADPREMEX"/>
    <s v="ECUADOR"/>
    <s v="ACCUREMAX X 25 KG"/>
    <n v="200"/>
    <n v="8"/>
    <s v="2110 USD"/>
    <d v="2026-04-16T00:00:00"/>
    <m/>
    <m/>
    <m/>
    <m/>
  </r>
  <r>
    <m/>
    <x v="24"/>
    <d v="2026-03-31T00:00:00"/>
    <d v="1899-12-30T07:59:00"/>
    <x v="42"/>
    <s v="BG25849"/>
    <d v="2026-03-31T00:00:00"/>
    <d v="1899-12-30T10:40:00"/>
    <s v="INCUBADORA SANTANDER"/>
    <s v="BUCARAMANGA"/>
    <s v="DINAMIX 800 X 25 KG"/>
    <n v="500"/>
    <n v="20"/>
    <n v="89750000"/>
    <d v="2026-04-07T00:00:00"/>
    <m/>
    <m/>
    <m/>
    <m/>
  </r>
  <r>
    <s v="TRANSPORTE"/>
    <x v="38"/>
    <d v="2026-03-30T00:00:00"/>
    <d v="1899-12-30T16:46:00"/>
    <x v="43"/>
    <s v="BG25742"/>
    <d v="2026-03-31T00:00:00"/>
    <d v="1899-12-30T12:23:00"/>
    <s v="CONCENTRADOS DEL CAMPO"/>
    <s v="SAN PEDRO"/>
    <s v="LOTUS X 25 KG"/>
    <n v="250"/>
    <n v="10"/>
    <n v="9625000"/>
    <d v="2026-04-07T00:00:00"/>
    <m/>
    <m/>
    <m/>
    <m/>
  </r>
  <r>
    <s v="TRANSPORTE"/>
    <x v="38"/>
    <d v="2026-03-30T00:00:00"/>
    <d v="1899-12-30T16:46:00"/>
    <x v="43"/>
    <s v="BG25742"/>
    <d v="2026-03-31T00:00:00"/>
    <d v="1899-12-30T12:23:00"/>
    <s v="CONCENTRADOS DEL CAMPO"/>
    <s v="SAN PEDRO"/>
    <s v="FRACTAL P X 25 KG"/>
    <n v="250"/>
    <n v="10"/>
    <n v="6375000"/>
    <d v="2026-04-07T00:00:00"/>
    <m/>
    <m/>
    <m/>
    <m/>
  </r>
  <r>
    <s v="CARTERA"/>
    <x v="39"/>
    <d v="2026-03-30T00:00:00"/>
    <d v="1899-12-30T19:35:00"/>
    <x v="44"/>
    <s v="BG25954"/>
    <d v="2026-03-31T00:00:00"/>
    <d v="1899-12-30T12:33:00"/>
    <s v="CERDOS DEL VALLE"/>
    <s v="BUGA"/>
    <s v="FOSMYCINA 90 X 500 GR"/>
    <n v="25"/>
    <n v="1"/>
    <n v="12870000"/>
    <d v="2026-04-08T00:00:00"/>
    <m/>
    <m/>
    <m/>
    <m/>
  </r>
  <r>
    <s v="CARTERA"/>
    <x v="39"/>
    <d v="2026-03-30T00:00:00"/>
    <d v="1899-12-30T19:35:00"/>
    <x v="44"/>
    <s v="BG25954"/>
    <d v="2026-03-31T00:00:00"/>
    <d v="1899-12-30T12:33:00"/>
    <s v="CERDOS DEL VALLE"/>
    <s v="BUGA"/>
    <s v="NORFLOX X 1 LITRO"/>
    <n v="30"/>
    <n v="1"/>
    <n v="2130000"/>
    <d v="2026-04-08T00:00:00"/>
    <m/>
    <m/>
    <m/>
    <m/>
  </r>
  <r>
    <s v="CARTERA //INVENTARIO"/>
    <x v="39"/>
    <d v="2026-03-30T00:00:00"/>
    <d v="1899-12-30T19:35:00"/>
    <x v="45"/>
    <m/>
    <d v="2026-03-31T00:00:00"/>
    <d v="1899-12-30T12:33:00"/>
    <s v="CERDOS DEL VALLE"/>
    <s v="BUGA"/>
    <s v="AMOXIN X 1 KILO"/>
    <n v="50"/>
    <n v="2"/>
    <n v="7250000"/>
    <d v="2026-04-08T00:00:00"/>
    <m/>
    <m/>
    <m/>
    <m/>
  </r>
  <r>
    <s v="CARTERA"/>
    <x v="39"/>
    <d v="2026-03-30T00:00:00"/>
    <d v="1899-12-30T19:35:00"/>
    <x v="44"/>
    <s v="BG25954"/>
    <d v="2026-03-31T00:00:00"/>
    <d v="1899-12-30T12:33:00"/>
    <s v="CERDOS DEL VALLE"/>
    <s v="BUGA"/>
    <s v="FRACTAL L X 20 LITROS"/>
    <n v="200"/>
    <n v="8"/>
    <n v="8000000"/>
    <d v="2026-04-08T00:00:00"/>
    <m/>
    <m/>
    <m/>
    <m/>
  </r>
  <r>
    <s v="TRANSPORTE"/>
    <x v="40"/>
    <d v="2026-03-31T00:00:00"/>
    <d v="1899-12-30T08:45:00"/>
    <x v="46"/>
    <s v="BG25741"/>
    <d v="2026-03-31T00:00:00"/>
    <d v="1899-12-30T12:39:00"/>
    <s v="COMPAÑIA INDUSTRIAL DE PRODUCTOS AGROPECUARIOS S.A"/>
    <s v="BELLO"/>
    <s v="LOTUS X 25 KG"/>
    <n v="200"/>
    <n v="8"/>
    <n v="8100000"/>
    <d v="2026-04-07T00:00:00"/>
    <m/>
    <m/>
    <m/>
    <m/>
  </r>
  <r>
    <s v="TRANSPORTE"/>
    <x v="40"/>
    <d v="2026-03-31T00:00:00"/>
    <d v="1899-12-30T08:45:00"/>
    <x v="46"/>
    <s v="BG25741"/>
    <d v="2026-03-31T00:00:00"/>
    <d v="1899-12-30T12:39:00"/>
    <s v="COMPAÑIA INDUSTRIAL DE PRODUCTOS AGROPECUARIOS S.A"/>
    <s v="BELLO"/>
    <s v="FRACTAL P X 25 KG"/>
    <n v="500"/>
    <n v="20"/>
    <n v="13150000"/>
    <d v="2026-04-07T00:00:00"/>
    <m/>
    <m/>
    <m/>
    <m/>
  </r>
  <r>
    <s v="TRANSPORTE"/>
    <x v="40"/>
    <d v="2026-03-31T00:00:00"/>
    <d v="1899-12-30T08:45:00"/>
    <x v="46"/>
    <s v="BG25741"/>
    <d v="2026-03-31T00:00:00"/>
    <d v="1899-12-30T12:39:00"/>
    <s v="COMPAÑIA INDUSTRIAL DE PRODUCTOS AGROPECUARIOS S.A"/>
    <s v="BELLO"/>
    <s v="DMB 11 X 25 KG"/>
    <n v="2000"/>
    <n v="80"/>
    <n v="39000000"/>
    <d v="2026-04-07T00:00:00"/>
    <m/>
    <m/>
    <m/>
    <m/>
  </r>
  <r>
    <s v="CARTERA"/>
    <x v="24"/>
    <d v="2026-03-31T00:00:00"/>
    <d v="1899-12-30T11:30:00"/>
    <x v="47"/>
    <s v="BG26055"/>
    <d v="2026-03-31T00:00:00"/>
    <d v="1899-12-30T12:45:00"/>
    <s v="PORCICOLA EMMANUEL S.A.S."/>
    <s v="ARMENIA"/>
    <s v="TRIMBAC X 5KG"/>
    <n v="10"/>
    <n v="0"/>
    <n v="1680000"/>
    <d v="2026-04-06T00:00:00"/>
    <m/>
    <m/>
    <m/>
    <m/>
  </r>
  <r>
    <s v="CARTERA"/>
    <x v="41"/>
    <d v="2026-03-31T00:00:00"/>
    <d v="1899-12-30T11:57:00"/>
    <x v="48"/>
    <m/>
    <d v="2026-03-31T00:00:00"/>
    <d v="1899-12-30T12:51:00"/>
    <s v="LA CASA MAYOR"/>
    <s v="HATILLO"/>
    <s v="FRACTAL L X 20 LITROS"/>
    <n v="60"/>
    <n v="3"/>
    <n v="2400000"/>
    <d v="2026-04-16T00:00:00"/>
    <m/>
    <m/>
    <m/>
    <m/>
  </r>
  <r>
    <m/>
    <x v="42"/>
    <d v="2026-03-31T00:00:00"/>
    <d v="1899-12-30T13:48:00"/>
    <x v="49"/>
    <s v="BG25739"/>
    <d v="2026-03-31T00:00:00"/>
    <d v="1899-12-30T14:54:00"/>
    <s v="AGROPECUARIA ALFA"/>
    <s v="RICAURTE"/>
    <s v="BIMMU X 25 KG"/>
    <n v="100"/>
    <n v="4"/>
    <n v="3500000"/>
    <d v="2026-04-06T00:00:00"/>
    <m/>
    <m/>
    <m/>
    <m/>
  </r>
  <r>
    <s v="INVENTARIO"/>
    <x v="42"/>
    <d v="2026-03-31T00:00:00"/>
    <d v="1899-12-30T13:48:00"/>
    <x v="49"/>
    <s v="BG25823"/>
    <d v="2026-03-31T00:00:00"/>
    <d v="1899-12-30T14:54:00"/>
    <s v="AGROPECUARIA ALFA"/>
    <s v="RICAURTE"/>
    <s v="BIMMU X 25 KG"/>
    <n v="100"/>
    <n v="4"/>
    <n v="3500000"/>
    <d v="2026-04-06T00:00:00"/>
    <m/>
    <m/>
    <m/>
    <m/>
  </r>
  <r>
    <m/>
    <x v="42"/>
    <d v="2026-03-31T00:00:00"/>
    <d v="1899-12-30T13:48:00"/>
    <x v="49"/>
    <s v="BG25739"/>
    <d v="2026-03-31T00:00:00"/>
    <d v="1899-12-30T14:54:00"/>
    <s v="AGROPECUARIA ALFA"/>
    <s v="RICAURTE"/>
    <s v="CLORTETRAX 20 X 25 KG"/>
    <n v="25"/>
    <n v="1"/>
    <n v="481250"/>
    <d v="2026-04-06T00:00:00"/>
    <m/>
    <m/>
    <m/>
    <m/>
  </r>
  <r>
    <m/>
    <x v="43"/>
    <d v="2026-03-30T00:00:00"/>
    <d v="1899-12-30T14:59:00"/>
    <x v="50"/>
    <s v="BG25746"/>
    <d v="2026-03-30T00:00:00"/>
    <d v="1899-12-30T16:26:00"/>
    <s v="COMPAÑIA INDUSTRIAL DE PRODUCTOS AGROPECUARIOS S.A"/>
    <s v="CARTAGO"/>
    <s v="CELMANAX X 25 KG"/>
    <n v="50"/>
    <n v="2"/>
    <n v="810000"/>
    <d v="2026-03-31T00:00:00"/>
    <m/>
    <m/>
    <m/>
    <m/>
  </r>
  <r>
    <s v="PRODUCCION"/>
    <x v="44"/>
    <d v="2026-03-31T00:00:00"/>
    <d v="1899-12-30T12:31:00"/>
    <x v="51"/>
    <s v="BG25901"/>
    <d v="2026-03-31T00:00:00"/>
    <d v="1899-12-30T16:42:00"/>
    <s v="PREMEX S.A.S."/>
    <s v="CELTA"/>
    <s v="200 MONECYL R X 25 KG"/>
    <n v="2500"/>
    <n v="100"/>
    <n v="48125000"/>
    <d v="2026-04-06T00:00:00"/>
    <m/>
    <m/>
    <m/>
    <m/>
  </r>
  <r>
    <m/>
    <x v="44"/>
    <d v="2026-03-31T00:00:00"/>
    <d v="1899-12-30T12:31:00"/>
    <x v="51"/>
    <s v="BG25738"/>
    <d v="2026-03-31T00:00:00"/>
    <d v="1899-12-30T16:42:00"/>
    <s v="PREMEX S.A.S."/>
    <s v="CELTA"/>
    <s v="MONECYL X 25 KG"/>
    <n v="1500"/>
    <n v="60"/>
    <n v="28875000"/>
    <d v="2026-04-06T00:00:00"/>
    <m/>
    <m/>
    <m/>
    <m/>
  </r>
  <r>
    <m/>
    <x v="44"/>
    <d v="2026-03-31T00:00:00"/>
    <d v="1899-12-30T12:31:00"/>
    <x v="51"/>
    <s v="BG25738"/>
    <d v="2026-03-31T00:00:00"/>
    <d v="1899-12-30T16:42:00"/>
    <s v="PREMEX S.A.S."/>
    <s v="CELTA"/>
    <s v="ESPELIN X 25 KG"/>
    <n v="400"/>
    <n v="16"/>
    <n v="15560000"/>
    <d v="2026-04-06T00:00:00"/>
    <m/>
    <m/>
    <m/>
    <m/>
  </r>
  <r>
    <m/>
    <x v="44"/>
    <d v="2026-03-31T00:00:00"/>
    <d v="1899-12-30T12:31:00"/>
    <x v="51"/>
    <s v="BG25738"/>
    <d v="2026-03-31T00:00:00"/>
    <d v="1899-12-30T16:42:00"/>
    <s v="PREMEX S.A.S."/>
    <s v="CELTA"/>
    <s v="KIRA X 25 KG"/>
    <n v="400"/>
    <n v="16"/>
    <n v="7870000"/>
    <d v="2026-04-06T00:00:00"/>
    <m/>
    <m/>
    <m/>
    <m/>
  </r>
  <r>
    <m/>
    <x v="44"/>
    <d v="2026-03-31T00:00:00"/>
    <d v="1899-12-30T12:31:00"/>
    <x v="51"/>
    <s v="BG25738"/>
    <d v="2026-03-31T00:00:00"/>
    <d v="1899-12-30T16:42:00"/>
    <s v="PREMEX S.A.S."/>
    <s v="CELTA"/>
    <s v="FRACTAL P X 25 KG"/>
    <n v="400"/>
    <n v="16"/>
    <n v="9900000"/>
    <d v="2026-04-06T00:00:00"/>
    <m/>
    <m/>
    <m/>
    <m/>
  </r>
  <r>
    <m/>
    <x v="44"/>
    <d v="2026-03-31T00:00:00"/>
    <d v="1899-12-30T12:31:00"/>
    <x v="51"/>
    <s v="BG25738"/>
    <d v="2026-03-31T00:00:00"/>
    <d v="1899-12-30T16:42:00"/>
    <s v="PREMEX S.A.S."/>
    <s v="CELTA"/>
    <s v="TILOMIX 250 PREMIX X 25 KG"/>
    <n v="400"/>
    <n v="16"/>
    <n v="20760000"/>
    <d v="2026-04-06T00:00:00"/>
    <m/>
    <m/>
    <m/>
    <m/>
  </r>
  <r>
    <m/>
    <x v="44"/>
    <d v="2026-03-31T00:00:00"/>
    <d v="1899-12-30T12:31:00"/>
    <x v="51"/>
    <s v="BG25738"/>
    <d v="2026-03-31T00:00:00"/>
    <d v="1899-12-30T16:42:00"/>
    <s v="PREMEX S.A.S."/>
    <s v="CELTA"/>
    <s v="SAGAH X 25 KILOS"/>
    <n v="100"/>
    <n v="4"/>
    <n v="3020000"/>
    <d v="2026-04-06T00:00:00"/>
    <m/>
    <m/>
    <m/>
    <m/>
  </r>
  <r>
    <m/>
    <x v="44"/>
    <d v="2026-03-31T00:00:00"/>
    <d v="1899-12-30T12:31:00"/>
    <x v="51"/>
    <s v="BG25738"/>
    <d v="2026-03-31T00:00:00"/>
    <d v="1899-12-30T16:42:00"/>
    <s v="PREMEX S.A.S."/>
    <s v="CELTA"/>
    <s v="NEOCYN X 25 KG"/>
    <n v="50"/>
    <n v="2"/>
    <n v="3085000"/>
    <d v="2026-04-06T00:00:00"/>
    <m/>
    <m/>
    <m/>
    <m/>
  </r>
  <r>
    <m/>
    <x v="45"/>
    <d v="2026-03-31T00:00:00"/>
    <d v="1899-12-30T11:36:00"/>
    <x v="52"/>
    <s v="BG25782"/>
    <d v="2026-04-06T00:00:00"/>
    <d v="1899-12-30T09:15:00"/>
    <s v="GARCIA GOMEZ AGROINVERSIONES S.A."/>
    <s v="BUGA"/>
    <s v="NORFLOX X 1 LITRO"/>
    <n v="20"/>
    <n v="1"/>
    <n v="1430000"/>
    <d v="2026-04-08T00:00:00"/>
    <m/>
    <m/>
    <m/>
    <m/>
  </r>
  <r>
    <s v="INVENTARIO"/>
    <x v="45"/>
    <d v="2026-03-31T00:00:00"/>
    <d v="1899-12-30T11:36:00"/>
    <x v="52"/>
    <s v="BG26054"/>
    <d v="2026-04-06T00:00:00"/>
    <d v="1899-12-30T09:15:00"/>
    <s v="GARCIA GOMEZ AGROINVERSIONES S.A."/>
    <s v="BUGA"/>
    <s v="AMOXIN X 1 KILO"/>
    <n v="20"/>
    <n v="1"/>
    <n v="2900000"/>
    <d v="2026-04-08T00:00:00"/>
    <m/>
    <m/>
    <m/>
    <m/>
  </r>
  <r>
    <s v="INVENTARIO"/>
    <x v="45"/>
    <d v="2026-03-31T00:00:00"/>
    <d v="1899-12-30T11:36:00"/>
    <x v="52"/>
    <s v="BG25955"/>
    <d v="2026-04-06T00:00:00"/>
    <d v="1899-12-30T09:15:00"/>
    <s v="GARCIA GOMEZ AGROINVERSIONES S.A."/>
    <s v="BUGA"/>
    <s v="FENIFLOR ORAL X 500 GR"/>
    <n v="63"/>
    <m/>
    <n v="6123600"/>
    <d v="2026-04-08T00:00:00"/>
    <m/>
    <m/>
    <m/>
    <m/>
  </r>
  <r>
    <m/>
    <x v="45"/>
    <d v="2026-03-31T00:00:00"/>
    <d v="1899-12-30T11:36:00"/>
    <x v="52"/>
    <s v="BG25782"/>
    <d v="2026-04-06T00:00:00"/>
    <d v="1899-12-30T09:15:00"/>
    <s v="GARCIA GOMEZ AGROINVERSIONES S.A."/>
    <s v="BUGA"/>
    <s v="FENIFLOR ORAL X 500 GR"/>
    <n v="37"/>
    <n v="1"/>
    <n v="3596400"/>
    <d v="2026-04-08T00:00:00"/>
    <m/>
    <m/>
    <m/>
    <m/>
  </r>
  <r>
    <m/>
    <x v="45"/>
    <d v="2026-03-31T00:00:00"/>
    <d v="1899-12-30T11:36:00"/>
    <x v="52"/>
    <s v="BG25782"/>
    <d v="2026-04-06T00:00:00"/>
    <d v="1899-12-30T09:15:00"/>
    <s v="GARCIA GOMEZ AGROINVERSIONES S.A."/>
    <s v="BUGA"/>
    <s v="FOSMYCINA 90 X 500 GR"/>
    <n v="15"/>
    <n v="1"/>
    <n v="7722000"/>
    <d v="2026-04-08T00:00:00"/>
    <m/>
    <m/>
    <m/>
    <m/>
  </r>
  <r>
    <m/>
    <x v="46"/>
    <d v="2026-03-31T00:00:00"/>
    <d v="1899-12-30T12:03:00"/>
    <x v="53"/>
    <s v="BG25864"/>
    <d v="2026-04-06T00:00:00"/>
    <d v="1899-12-30T08:35:00"/>
    <s v="MEJIA &amp; CIA"/>
    <s v="MOSQUERA"/>
    <s v="HALQUINOX 800 X 25 KG"/>
    <n v="500"/>
    <n v="20"/>
    <n v="51250000"/>
    <d v="2026-04-13T00:00:00"/>
    <m/>
    <m/>
    <m/>
    <m/>
  </r>
  <r>
    <m/>
    <x v="47"/>
    <d v="2026-03-31T00:00:00"/>
    <d v="1899-12-30T16:24:00"/>
    <x v="54"/>
    <m/>
    <d v="2026-04-06T00:00:00"/>
    <d v="1899-12-30T08:57:00"/>
    <s v="COOPERATIVA DE PORCICULTORES DEL EJE CAFETERO"/>
    <s v="NUTREXCOL"/>
    <s v="CIPROFLOX X 5 KG"/>
    <n v="100"/>
    <n v="4"/>
    <n v="5300000"/>
    <d v="2026-04-07T00:00:00"/>
    <m/>
    <m/>
    <m/>
    <m/>
  </r>
  <r>
    <m/>
    <x v="47"/>
    <d v="2026-03-31T00:00:00"/>
    <d v="1899-12-30T16:24:00"/>
    <x v="54"/>
    <m/>
    <d v="2026-04-06T00:00:00"/>
    <d v="1899-12-30T08:57:00"/>
    <s v="COOPERATIVA DE PORCICULTORES DEL EJE CAFETERO"/>
    <s v="NUTREXCOL"/>
    <s v="FRACTAL P X 25 KG"/>
    <n v="300"/>
    <n v="12"/>
    <n v="7650000"/>
    <d v="2026-04-07T00:00:00"/>
    <m/>
    <m/>
    <m/>
    <m/>
  </r>
  <r>
    <m/>
    <x v="47"/>
    <d v="2026-03-31T00:00:00"/>
    <d v="1899-12-30T16:24:00"/>
    <x v="55"/>
    <s v="BG25775"/>
    <d v="2026-04-06T00:00:00"/>
    <d v="1899-12-30T08:57:00"/>
    <s v="COOPERATIVA DE PORCICULTORES DEL EJE CAFETERO"/>
    <s v="NUTREXCOL"/>
    <s v="SMOOT SWEET X 75 GR"/>
    <n v="7.5"/>
    <n v="0"/>
    <n v="0"/>
    <d v="2026-04-07T00:00:00"/>
    <m/>
    <m/>
    <m/>
    <m/>
  </r>
  <r>
    <s v="CARTERA"/>
    <x v="48"/>
    <d v="2026-03-31T00:00:00"/>
    <d v="1899-12-30T14:40:00"/>
    <x v="56"/>
    <m/>
    <d v="2026-04-06T00:00:00"/>
    <d v="1899-12-30T09:20:00"/>
    <s v="LA CASA MAYOR"/>
    <s v="EL ROBLE"/>
    <s v="FRACTAL L X 20 LITROS"/>
    <n v="40"/>
    <n v="2"/>
    <n v="1600000"/>
    <d v="2026-04-06T00:00:00"/>
    <m/>
    <m/>
    <m/>
    <m/>
  </r>
  <r>
    <s v="CARTERA E INVENTARIO"/>
    <x v="49"/>
    <d v="2026-03-31T00:00:00"/>
    <d v="1899-12-30T15:25:00"/>
    <x v="57"/>
    <s v="BG25975"/>
    <d v="2026-04-06T00:00:00"/>
    <d v="1899-12-30T09:27:00"/>
    <s v="GRUPO PORCINO"/>
    <s v="BUGA"/>
    <s v="AMOXIN X 1 KILO"/>
    <n v="100"/>
    <n v="4"/>
    <n v="14500000"/>
    <d v="2026-04-08T00:00:00"/>
    <m/>
    <m/>
    <m/>
    <m/>
  </r>
  <r>
    <s v="CARTERA E INVENTARIO"/>
    <x v="49"/>
    <d v="2026-03-31T00:00:00"/>
    <d v="1899-12-30T15:25:00"/>
    <x v="57"/>
    <s v="BG25951"/>
    <d v="2026-04-06T00:00:00"/>
    <d v="1899-12-30T09:27:00"/>
    <s v="GRUPO PORCINO"/>
    <s v="BUGA"/>
    <s v="FENIFLOR ORAL X 500 GR"/>
    <n v="450"/>
    <n v="18"/>
    <n v="43750000"/>
    <d v="2026-04-08T00:00:00"/>
    <m/>
    <m/>
    <m/>
    <m/>
  </r>
  <r>
    <m/>
    <x v="50"/>
    <d v="2026-04-01T00:00:00"/>
    <d v="1899-12-30T10:05:00"/>
    <x v="58"/>
    <s v="BG25781"/>
    <d v="2026-04-06T00:00:00"/>
    <d v="1899-12-30T09:32:00"/>
    <s v="FINCA S.A.S."/>
    <s v="MOSQUERA"/>
    <s v="TRIMBAC X 5KG"/>
    <n v="100"/>
    <n v="4"/>
    <n v="14700000"/>
    <d v="2026-04-07T00:00:00"/>
    <m/>
    <m/>
    <m/>
    <m/>
  </r>
  <r>
    <m/>
    <x v="50"/>
    <d v="2026-04-01T00:00:00"/>
    <d v="1899-12-30T10:05:00"/>
    <x v="58"/>
    <s v="BG25781"/>
    <d v="2026-04-06T00:00:00"/>
    <d v="1899-12-30T09:32:00"/>
    <s v="FINCA S.A.S."/>
    <s v="MOSQUERA"/>
    <s v="FRACTAL P X 25 KG"/>
    <n v="200"/>
    <n v="8"/>
    <n v="4950000"/>
    <d v="2026-04-07T00:00:00"/>
    <m/>
    <m/>
    <m/>
    <m/>
  </r>
  <r>
    <m/>
    <x v="50"/>
    <d v="2026-04-01T00:00:00"/>
    <d v="1899-12-30T10:05:00"/>
    <x v="58"/>
    <s v="BG25822"/>
    <d v="2026-04-06T00:00:00"/>
    <d v="1899-12-30T09:32:00"/>
    <s v="FINCA S.A.S."/>
    <s v="MOSQUERA"/>
    <s v="BIMMU X 25 KG"/>
    <n v="100"/>
    <n v="4"/>
    <n v="3000000"/>
    <d v="2026-04-07T00:00:00"/>
    <m/>
    <m/>
    <m/>
    <m/>
  </r>
  <r>
    <m/>
    <x v="24"/>
    <d v="2026-04-01T00:00:00"/>
    <d v="1899-12-30T14:08:00"/>
    <x v="59"/>
    <s v="BG25737"/>
    <d v="2026-04-06T00:00:00"/>
    <d v="1899-12-30T09:38:00"/>
    <s v="INVERSIONES CARDONA RIOS (AVICOLA LA MARIA)"/>
    <s v="LA CEJA"/>
    <s v="FENIFLOR ORAL X 500 GR"/>
    <n v="34"/>
    <n v="1"/>
    <n v="3570000"/>
    <d v="2026-04-03T00:00:00"/>
    <m/>
    <m/>
    <m/>
    <m/>
  </r>
  <r>
    <s v="CARTERA"/>
    <x v="51"/>
    <d v="2026-04-01T00:00:00"/>
    <d v="1899-12-30T15:20:00"/>
    <x v="60"/>
    <s v="BG25818"/>
    <d v="2026-04-06T00:00:00"/>
    <d v="1899-12-30T09:48:00"/>
    <s v="DISTRIBUIDORA AGRO-PLUS SAS"/>
    <s v="DON MATIAS"/>
    <s v="TILCOMIX ORAL X 1 KG"/>
    <n v="60"/>
    <n v="2"/>
    <n v="13500000"/>
    <d v="2026-04-07T00:00:00"/>
    <m/>
    <m/>
    <m/>
    <m/>
  </r>
  <r>
    <s v="CARTERA"/>
    <x v="51"/>
    <d v="2026-04-01T00:00:00"/>
    <d v="1899-12-30T15:20:00"/>
    <x v="60"/>
    <s v="BG25818"/>
    <d v="2026-04-06T00:00:00"/>
    <d v="1899-12-30T09:48:00"/>
    <s v="DISTRIBUIDORA AGRO-PLUS SAS"/>
    <s v="DON MATIAS"/>
    <s v="FOSMYCINA 90 X 500 GR"/>
    <n v="25"/>
    <n v="1"/>
    <n v="12975000"/>
    <d v="2026-04-07T00:00:00"/>
    <m/>
    <m/>
    <m/>
    <m/>
  </r>
  <r>
    <s v="CARTERA E INVENTARIO"/>
    <x v="51"/>
    <d v="2026-04-01T00:00:00"/>
    <d v="1899-12-30T15:20:00"/>
    <x v="60"/>
    <s v="BG25974"/>
    <d v="2026-04-06T00:00:00"/>
    <d v="1899-12-30T09:48:00"/>
    <s v="DISTRIBUIDORA AGRO-PLUS SAS"/>
    <s v="DON MATIAS"/>
    <s v="AMOXIN X 1 KILO"/>
    <n v="40"/>
    <n v="2"/>
    <n v="6200000"/>
    <d v="2026-04-07T00:00:00"/>
    <m/>
    <m/>
    <m/>
    <m/>
  </r>
  <r>
    <s v="CARTERA E INVENTARIO"/>
    <x v="51"/>
    <d v="2026-04-01T00:00:00"/>
    <d v="1899-12-30T15:20:00"/>
    <x v="60"/>
    <s v="BG25959"/>
    <d v="2026-04-06T00:00:00"/>
    <d v="1899-12-30T09:48:00"/>
    <s v="DISTRIBUIDORA AGRO-PLUS SAS"/>
    <s v="DON MATIAS"/>
    <s v="FENIFLOR ORAL X 500 GR"/>
    <n v="10"/>
    <n v="0"/>
    <n v="1020000"/>
    <d v="2026-04-07T00:00:00"/>
    <m/>
    <m/>
    <m/>
    <m/>
  </r>
  <r>
    <s v="CARTERA"/>
    <x v="51"/>
    <d v="2026-04-01T00:00:00"/>
    <d v="1899-12-30T15:20:00"/>
    <x v="60"/>
    <s v="BG25818"/>
    <d v="2026-04-06T00:00:00"/>
    <d v="1899-12-30T09:48:00"/>
    <s v="DISTRIBUIDORA AGRO-PLUS SAS"/>
    <s v="DON MATIAS"/>
    <s v="NORFLOX X 1 LITRO"/>
    <n v="5"/>
    <n v="0"/>
    <n v="350000"/>
    <d v="2026-04-07T00:00:00"/>
    <m/>
    <m/>
    <m/>
    <m/>
  </r>
  <r>
    <s v="CARTERA"/>
    <x v="51"/>
    <d v="2026-04-01T00:00:00"/>
    <d v="1899-12-30T15:20:00"/>
    <x v="61"/>
    <s v="BG25817"/>
    <d v="2026-04-06T00:00:00"/>
    <d v="1899-12-30T09:48:00"/>
    <s v="DISTRIBUIDORA AGRO-PLUS SAS"/>
    <s v="DON MATIAS"/>
    <s v="SMOOT SWEET X 75 GR"/>
    <n v="4.5"/>
    <n v="0"/>
    <n v="0"/>
    <d v="2026-04-07T00:00:00"/>
    <m/>
    <m/>
    <m/>
    <m/>
  </r>
  <r>
    <m/>
    <x v="24"/>
    <d v="2026-04-01T00:00:00"/>
    <d v="1899-12-30T10:30:00"/>
    <x v="62"/>
    <s v="BG25860"/>
    <d v="2026-04-06T00:00:00"/>
    <d v="1899-12-30T10:09:00"/>
    <s v="COLOMBIANA DE AVES COLAVES"/>
    <s v="BUCARAMANGA"/>
    <s v="FOSMYCINA 90 X 500 GR"/>
    <n v="11"/>
    <n v="0"/>
    <n v="6490000"/>
    <d v="2026-04-07T00:00:00"/>
    <m/>
    <m/>
    <m/>
    <m/>
  </r>
  <r>
    <m/>
    <x v="24"/>
    <d v="2026-04-01T00:00:00"/>
    <d v="1899-12-30T10:58:00"/>
    <x v="63"/>
    <s v="BG25736"/>
    <d v="2026-04-06T00:00:00"/>
    <d v="1899-12-30T10:13:00"/>
    <s v="MARIA JOSE ORTIZ"/>
    <s v="BUCARAMANGA"/>
    <s v="DQCICLIN X 1 KG"/>
    <n v="3"/>
    <n v="0"/>
    <n v="750000"/>
    <d v="2026-04-06T00:00:00"/>
    <m/>
    <m/>
    <m/>
    <m/>
  </r>
  <r>
    <m/>
    <x v="52"/>
    <d v="2026-04-01T00:00:00"/>
    <d v="1899-12-30T10:26:00"/>
    <x v="64"/>
    <s v="BG25780"/>
    <d v="2026-04-06T00:00:00"/>
    <d v="1899-12-30T10:23:00"/>
    <s v="EMPOLLADORA COLOMBIANA"/>
    <s v="ALBATEC"/>
    <s v="DINAMIX PREMIX X 25 KG"/>
    <n v="100"/>
    <n v="4"/>
    <n v="2500000"/>
    <d v="2026-04-07T00:00:00"/>
    <m/>
    <m/>
    <m/>
    <m/>
  </r>
  <r>
    <m/>
    <x v="53"/>
    <d v="2026-04-01T00:00:00"/>
    <d v="1899-12-30T13:06:00"/>
    <x v="65"/>
    <s v="BG25735"/>
    <d v="2026-04-06T00:00:00"/>
    <d v="1899-12-30T10:53:00"/>
    <s v="OPERADORA AVICOLA COLOMBIA S.A.S."/>
    <s v="BUCARAMANGA"/>
    <s v="FOSMYCINA 90 X 500 GR"/>
    <n v="15"/>
    <n v="1"/>
    <n v="6408750"/>
    <d v="2026-04-06T00:00:00"/>
    <m/>
    <m/>
    <m/>
    <m/>
  </r>
  <r>
    <s v="CARTERA"/>
    <x v="54"/>
    <d v="2026-04-01T00:00:00"/>
    <d v="1899-12-30T13:33:00"/>
    <x v="66"/>
    <s v="BG25832"/>
    <d v="2026-04-06T00:00:00"/>
    <d v="1899-12-30T11:04:00"/>
    <s v="AGRIFEED"/>
    <s v="CIENAGA"/>
    <s v="AMOXIN X 1 KILO"/>
    <n v="100"/>
    <n v="4"/>
    <n v="15600000"/>
    <d v="2026-04-07T00:00:00"/>
    <m/>
    <m/>
    <m/>
    <m/>
  </r>
  <r>
    <s v="CARTERA"/>
    <x v="54"/>
    <d v="2026-04-01T00:00:00"/>
    <d v="1899-12-30T13:33:00"/>
    <x v="66"/>
    <s v="BG25832"/>
    <d v="2026-04-06T00:00:00"/>
    <d v="1899-12-30T11:04:00"/>
    <s v="AGRIFEED"/>
    <s v="CIENAGA"/>
    <s v="FRACTAL P X 25 KG"/>
    <n v="200"/>
    <n v="8"/>
    <n v="5260000"/>
    <d v="2026-04-07T00:00:00"/>
    <m/>
    <m/>
    <m/>
    <m/>
  </r>
  <r>
    <m/>
    <x v="55"/>
    <d v="2026-04-01T00:00:00"/>
    <d v="1899-12-30T16:13:00"/>
    <x v="67"/>
    <s v="BG25816"/>
    <d v="2026-04-06T00:00:00"/>
    <d v="1899-12-30T11:22:00"/>
    <s v="CERDON S.A.S"/>
    <s v="DON MATIAS"/>
    <s v="CLORTETRAX 20 X 25 KG"/>
    <n v="450"/>
    <n v="18"/>
    <n v="7425000"/>
    <d v="2026-04-09T00:00:00"/>
    <m/>
    <m/>
    <m/>
    <m/>
  </r>
  <r>
    <m/>
    <x v="56"/>
    <d v="2026-04-01T00:00:00"/>
    <d v="1899-12-30T17:20:00"/>
    <x v="68"/>
    <s v="BG25769"/>
    <d v="2026-04-06T00:00:00"/>
    <d v="1899-12-30T11:33:00"/>
    <s v="NUTRICION EXPERTA DE COLOMBIA"/>
    <s v="ARMENIA"/>
    <s v="HALQUINOX 800 X 25 KG"/>
    <n v="200"/>
    <n v="8"/>
    <n v="20500000"/>
    <d v="2026-04-07T00:00:00"/>
    <m/>
    <m/>
    <m/>
    <m/>
  </r>
  <r>
    <m/>
    <x v="56"/>
    <d v="2026-04-01T00:00:00"/>
    <d v="1899-12-30T17:20:00"/>
    <x v="68"/>
    <s v="BG25769"/>
    <d v="2026-04-06T00:00:00"/>
    <d v="1899-12-30T11:33:00"/>
    <s v="NUTRICION EXPERTA DE COLOMBIA"/>
    <s v="ARMENIA"/>
    <s v="ACCUREMAX 10% X 25 KG"/>
    <n v="100"/>
    <n v="4"/>
    <n v="24000000"/>
    <d v="2026-04-07T00:00:00"/>
    <m/>
    <m/>
    <m/>
    <m/>
  </r>
  <r>
    <m/>
    <x v="57"/>
    <d v="2026-04-01T00:00:00"/>
    <d v="1899-12-30T17:56:00"/>
    <x v="69"/>
    <s v="BG25779"/>
    <d v="2026-04-06T00:00:00"/>
    <d v="1899-12-30T11:35:00"/>
    <s v="COMPAÑIA INDUSTRIAL DE PRODUCTOS AGROPECUARIOS S.A"/>
    <s v="CARTAGO"/>
    <s v="LOTUS X 25 KG"/>
    <n v="500"/>
    <n v="20"/>
    <n v="20250000"/>
    <d v="2026-04-08T00:00:00"/>
    <m/>
    <m/>
    <m/>
    <m/>
  </r>
  <r>
    <m/>
    <x v="57"/>
    <d v="2026-04-01T00:00:00"/>
    <d v="1899-12-30T17:56:00"/>
    <x v="69"/>
    <s v="BG25779"/>
    <d v="2026-04-06T00:00:00"/>
    <d v="1899-12-30T11:35:00"/>
    <s v="COMPAÑIA INDUSTRIAL DE PRODUCTOS AGROPECUARIOS S.A"/>
    <s v="CARTAGO"/>
    <s v="FRACTAL P X 25 KG"/>
    <n v="1200"/>
    <n v="48"/>
    <n v="31560000"/>
    <d v="2026-04-08T00:00:00"/>
    <m/>
    <m/>
    <m/>
    <m/>
  </r>
  <r>
    <m/>
    <x v="58"/>
    <d v="2026-04-02T00:00:00"/>
    <d v="1899-12-30T10:21:00"/>
    <x v="70"/>
    <s v="BG25772"/>
    <d v="2026-04-06T00:00:00"/>
    <d v="1899-12-30T12:34:00"/>
    <s v="PREMEX S.A.S."/>
    <s v="MEDELLIN"/>
    <s v="ESPELIN 88 X 25 KG"/>
    <n v="700"/>
    <n v="28"/>
    <n v="27230000"/>
    <d v="2026-04-07T00:00:00"/>
    <m/>
    <m/>
    <m/>
    <m/>
  </r>
  <r>
    <m/>
    <x v="58"/>
    <d v="2026-04-02T00:00:00"/>
    <d v="1899-12-30T10:21:00"/>
    <x v="70"/>
    <s v="BG25772"/>
    <d v="2026-04-06T00:00:00"/>
    <d v="1899-12-30T12:34:00"/>
    <s v="PREMEX S.A.S."/>
    <s v="MEDELLIN"/>
    <s v="CIPROFLOX X 5 KG"/>
    <n v="800"/>
    <n v="32"/>
    <n v="42000000"/>
    <d v="2026-04-07T00:00:00"/>
    <m/>
    <m/>
    <m/>
    <m/>
  </r>
  <r>
    <m/>
    <x v="58"/>
    <d v="2026-04-02T00:00:00"/>
    <d v="1899-12-30T10:21:00"/>
    <x v="70"/>
    <s v="BG25772"/>
    <d v="2026-04-06T00:00:00"/>
    <d v="1899-12-30T12:34:00"/>
    <s v="PREMEX S.A.S."/>
    <s v="MEDELLIN"/>
    <s v="ACCUREMAX 20 % X 25 KG"/>
    <n v="400"/>
    <n v="16"/>
    <n v="179500000"/>
    <d v="2026-04-07T00:00:00"/>
    <m/>
    <m/>
    <m/>
    <m/>
  </r>
  <r>
    <m/>
    <x v="58"/>
    <d v="2026-04-02T00:00:00"/>
    <d v="1899-12-30T10:21:00"/>
    <x v="70"/>
    <s v="BG25772"/>
    <d v="2026-04-06T00:00:00"/>
    <d v="1899-12-30T12:34:00"/>
    <s v="PREMEX S.A.S."/>
    <s v="MEDELLIN"/>
    <s v="KIRA X 25 KG"/>
    <n v="600"/>
    <n v="24"/>
    <n v="11805000"/>
    <d v="2026-04-07T00:00:00"/>
    <m/>
    <m/>
    <m/>
    <m/>
  </r>
  <r>
    <m/>
    <x v="58"/>
    <d v="2026-04-02T00:00:00"/>
    <d v="1899-12-30T10:21:00"/>
    <x v="70"/>
    <s v="BG25772"/>
    <d v="2026-04-06T00:00:00"/>
    <d v="1899-12-30T12:34:00"/>
    <s v="PREMEX S.A.S."/>
    <s v="MEDELLIN"/>
    <s v="NEOCYN X 25 KG"/>
    <n v="350"/>
    <n v="14"/>
    <n v="21595000"/>
    <d v="2026-04-07T00:00:00"/>
    <m/>
    <m/>
    <m/>
    <m/>
  </r>
  <r>
    <m/>
    <x v="58"/>
    <d v="2026-04-02T00:00:00"/>
    <d v="1899-12-30T10:21:00"/>
    <x v="70"/>
    <s v="BG25772"/>
    <d v="2026-04-06T00:00:00"/>
    <d v="1899-12-30T12:34:00"/>
    <s v="PREMEX S.A.S."/>
    <s v="MEDELLIN"/>
    <s v="DQCICLIN X 1 KG"/>
    <n v="40"/>
    <n v="2"/>
    <n v="7000000"/>
    <d v="2026-04-07T00:00:00"/>
    <m/>
    <m/>
    <m/>
    <m/>
  </r>
  <r>
    <m/>
    <x v="58"/>
    <d v="2026-04-02T00:00:00"/>
    <d v="1899-12-30T10:21:00"/>
    <x v="70"/>
    <s v="BG25772"/>
    <d v="2026-04-06T00:00:00"/>
    <d v="1899-12-30T12:34:00"/>
    <s v="PREMEX S.A.S."/>
    <s v="MEDELLIN"/>
    <s v="TILOMIX 250 PREMIX X 25 KG"/>
    <n v="1000"/>
    <n v="40"/>
    <n v="51900000"/>
    <d v="2026-04-07T00:00:00"/>
    <m/>
    <m/>
    <m/>
    <m/>
  </r>
  <r>
    <m/>
    <x v="58"/>
    <d v="2026-04-02T00:00:00"/>
    <d v="1899-12-30T10:21:00"/>
    <x v="71"/>
    <s v="BG25774"/>
    <d v="2026-04-06T00:00:00"/>
    <d v="1899-12-30T12:34:00"/>
    <s v="PREMEX S.A.S."/>
    <s v="MEDELLIN"/>
    <s v="SMOOT SWEET X 75 GR"/>
    <n v="60"/>
    <n v="2"/>
    <n v="0"/>
    <d v="2026-04-07T00:00:00"/>
    <m/>
    <m/>
    <m/>
    <m/>
  </r>
  <r>
    <m/>
    <x v="58"/>
    <d v="2026-04-02T00:00:00"/>
    <d v="1899-12-30T10:21:00"/>
    <x v="72"/>
    <s v="BG25807"/>
    <d v="2026-04-06T00:00:00"/>
    <d v="1899-12-30T12:34:00"/>
    <s v="PREMEX S.A.S."/>
    <s v="MEDELLIN"/>
    <s v="FRACTAL P X 25 KG"/>
    <n v="5000"/>
    <n v="200"/>
    <n v="123750000"/>
    <d v="2026-04-07T00:00:00"/>
    <m/>
    <m/>
    <m/>
    <m/>
  </r>
  <r>
    <m/>
    <x v="59"/>
    <d v="2026-04-02T00:00:00"/>
    <d v="1899-12-30T10:34:00"/>
    <x v="73"/>
    <s v="BG25778"/>
    <d v="2026-04-06T00:00:00"/>
    <d v="1899-12-30T12:48:00"/>
    <s v="CONTEGRAL S.A.S."/>
    <s v="CARTAGO"/>
    <s v="ESPELIN 88 X 25 KG"/>
    <n v="100"/>
    <n v="4"/>
    <n v="3890000"/>
    <d v="2026-04-07T00:00:00"/>
    <m/>
    <m/>
    <m/>
    <m/>
  </r>
  <r>
    <m/>
    <x v="60"/>
    <d v="2026-04-02T00:00:00"/>
    <d v="1899-12-30T10:34:00"/>
    <x v="74"/>
    <s v="BG25777"/>
    <d v="2026-04-06T00:00:00"/>
    <d v="1899-12-30T12:50:00"/>
    <s v="FINCA S.A.S."/>
    <s v="BUGA"/>
    <s v="FENIFLOR PREMIX X 25 Kg"/>
    <n v="150"/>
    <n v="6"/>
    <n v="7779000"/>
    <d v="2026-04-07T00:00:00"/>
    <m/>
    <m/>
    <m/>
    <m/>
  </r>
  <r>
    <m/>
    <x v="61"/>
    <d v="2026-02-04T00:00:00"/>
    <d v="1899-12-30T11:33:00"/>
    <x v="75"/>
    <s v="BG25795"/>
    <d v="2026-04-06T00:00:00"/>
    <d v="1899-12-30T12:59:00"/>
    <s v="AGROPECUARIA DE OCCIDENTE"/>
    <s v="CALI"/>
    <s v="FOSMYCINA 90 X 500 GR"/>
    <n v="5"/>
    <n v="0"/>
    <n v="2600000"/>
    <d v="2026-04-07T00:00:00"/>
    <m/>
    <m/>
    <m/>
    <m/>
  </r>
  <r>
    <s v="INVENTARIO"/>
    <x v="61"/>
    <d v="2026-02-04T00:00:00"/>
    <d v="1899-12-30T11:33:00"/>
    <x v="76"/>
    <s v="BG25767"/>
    <d v="2026-04-06T00:00:00"/>
    <d v="1899-12-30T12:59:00"/>
    <s v="AGROPECUARIA DE OCCIDENTE"/>
    <s v="CALI"/>
    <s v="AMOXIN X 1 KILO"/>
    <n v="10"/>
    <n v="0"/>
    <n v="1550000"/>
    <d v="2026-04-07T00:00:00"/>
    <m/>
    <m/>
    <m/>
    <m/>
  </r>
  <r>
    <m/>
    <x v="62"/>
    <d v="2026-02-06T00:00:00"/>
    <d v="1899-12-30T07:00:00"/>
    <x v="77"/>
    <s v="BG25806"/>
    <d v="2026-04-06T00:00:00"/>
    <d v="1899-12-30T13:04:00"/>
    <s v="INVERSIONES J.V. S.A.S."/>
    <s v="BUCARAMANGA"/>
    <s v="CELMANAX X 25 KG"/>
    <n v="700"/>
    <n v="28"/>
    <n v="12110000"/>
    <d v="2026-04-07T00:00:00"/>
    <m/>
    <m/>
    <m/>
    <m/>
  </r>
  <r>
    <m/>
    <x v="63"/>
    <d v="2026-02-06T00:00:00"/>
    <d v="1899-12-30T07:00:00"/>
    <x v="78"/>
    <s v="BG25805"/>
    <d v="2026-04-06T00:00:00"/>
    <d v="1899-12-30T13:04:00"/>
    <s v="INVERSIONES J.V. S.A.S."/>
    <s v="BUCARAMANGA"/>
    <s v="MONECYL X 25 KG"/>
    <n v="25"/>
    <n v="1"/>
    <n v="525000"/>
    <d v="2026-04-07T00:00:00"/>
    <m/>
    <m/>
    <m/>
    <m/>
  </r>
  <r>
    <m/>
    <x v="64"/>
    <d v="2026-02-06T00:00:00"/>
    <d v="1899-12-30T07:13:00"/>
    <x v="79"/>
    <s v="BG25827"/>
    <d v="2026-04-06T00:00:00"/>
    <d v="1899-12-30T13:24:00"/>
    <s v="AVICOLA EL GUAMITO"/>
    <s v="BUCARAMANGA"/>
    <s v="FENIFLOR ORAL X 500 GR"/>
    <n v="190"/>
    <n v="8"/>
    <n v="19308000"/>
    <d v="2026-04-07T00:00:00"/>
    <m/>
    <m/>
    <m/>
    <m/>
  </r>
  <r>
    <m/>
    <x v="64"/>
    <d v="2026-02-06T00:00:00"/>
    <d v="1899-12-30T07:13:00"/>
    <x v="79"/>
    <s v="BG25827"/>
    <d v="2026-04-06T00:00:00"/>
    <d v="1899-12-30T13:24:00"/>
    <s v="AVICOLA EL GUAMITO"/>
    <s v="BUCARAMANGA"/>
    <s v="FENIFLOR ORAL X 500 GR"/>
    <n v="13"/>
    <m/>
    <n v="1326000"/>
    <d v="2026-04-07T00:00:00"/>
    <m/>
    <m/>
    <m/>
    <m/>
  </r>
  <r>
    <s v="TRANSPORTE"/>
    <x v="64"/>
    <d v="2026-02-06T00:00:00"/>
    <d v="1899-12-30T07:13:00"/>
    <x v="80"/>
    <s v="BG25828"/>
    <d v="2026-04-06T00:00:00"/>
    <d v="1899-12-30T13:24:00"/>
    <s v="AVICOLA EL GUAMITO"/>
    <s v="LEBRIJA"/>
    <s v="FENIFLOR ORAL X 500 GR"/>
    <n v="147"/>
    <n v="6"/>
    <n v="14994000"/>
    <d v="2026-04-07T00:00:00"/>
    <m/>
    <m/>
    <m/>
    <m/>
  </r>
  <r>
    <m/>
    <x v="24"/>
    <d v="2026-02-06T00:00:00"/>
    <d v="1899-12-30T08:23:00"/>
    <x v="81"/>
    <s v="BG25768"/>
    <d v="2026-04-06T00:00:00"/>
    <d v="1899-12-30T13:54:00"/>
    <s v="NELSON GARCIA MONSALVE"/>
    <s v="SANTA ROSA DE OSOS"/>
    <s v="FENIFLOR ORAL X 500 GR"/>
    <n v="6"/>
    <n v="0"/>
    <n v="690000"/>
    <d v="2026-04-06T00:00:00"/>
    <m/>
    <m/>
    <m/>
    <m/>
  </r>
  <r>
    <m/>
    <x v="24"/>
    <d v="2026-02-06T00:00:00"/>
    <d v="1899-12-30T09:04:00"/>
    <x v="82"/>
    <s v="BG25732"/>
    <d v="2026-04-06T00:00:00"/>
    <d v="1899-12-30T14:07:00"/>
    <s v="TECNOCAMPO"/>
    <s v="BUCARAMANGA"/>
    <s v="NEOCYN X 1KG"/>
    <n v="20"/>
    <n v="1"/>
    <n v="1440000"/>
    <d v="2026-04-06T00:00:00"/>
    <m/>
    <m/>
    <m/>
    <m/>
  </r>
  <r>
    <s v="INVENTARIO"/>
    <x v="24"/>
    <d v="2026-02-06T00:00:00"/>
    <d v="1899-12-30T09:04:00"/>
    <x v="82"/>
    <s v="BG25732"/>
    <d v="2026-04-06T00:00:00"/>
    <d v="1899-12-30T14:07:00"/>
    <s v="TECNOCAMPO"/>
    <s v="BUCARAMANGA"/>
    <s v="AMOXIN X 1 KILO"/>
    <n v="10"/>
    <n v="0"/>
    <n v="1550000"/>
    <d v="2026-04-06T00:00:00"/>
    <m/>
    <m/>
    <m/>
    <m/>
  </r>
  <r>
    <m/>
    <x v="24"/>
    <d v="2026-02-06T00:00:00"/>
    <d v="1899-12-30T09:04:00"/>
    <x v="82"/>
    <s v="BG25732"/>
    <d v="2026-04-06T00:00:00"/>
    <d v="1899-12-30T14:07:00"/>
    <s v="TECNOCAMPO"/>
    <s v="BUCARAMANGA"/>
    <s v="TILOMIX ORAL x 1 Kg"/>
    <n v="20"/>
    <n v="1"/>
    <n v="4690000"/>
    <d v="2026-04-06T00:00:00"/>
    <m/>
    <m/>
    <m/>
    <m/>
  </r>
  <r>
    <m/>
    <x v="24"/>
    <d v="2026-02-06T00:00:00"/>
    <d v="1899-12-30T09:04:00"/>
    <x v="82"/>
    <s v="BG25732"/>
    <d v="2026-04-06T00:00:00"/>
    <d v="1899-12-30T14:07:00"/>
    <s v="TECNOCAMPO"/>
    <s v="BUCARAMANGA"/>
    <s v="FOSMYCINA 90 X 500 GR"/>
    <n v="8"/>
    <n v="0"/>
    <n v="4152000"/>
    <d v="2026-04-06T00:00:00"/>
    <m/>
    <m/>
    <m/>
    <m/>
  </r>
  <r>
    <m/>
    <x v="24"/>
    <d v="2026-02-06T00:00:00"/>
    <d v="1899-12-30T09:04:00"/>
    <x v="83"/>
    <s v="BG25765"/>
    <d v="2026-04-06T00:00:00"/>
    <d v="1899-12-30T14:07:00"/>
    <s v="TECNOCAMPO"/>
    <s v="BUCARAMANGA"/>
    <s v="SMOOT SWEET X 75 GR"/>
    <n v="3"/>
    <n v="0"/>
    <n v="0"/>
    <d v="2026-04-06T00:00:00"/>
    <m/>
    <m/>
    <m/>
    <m/>
  </r>
  <r>
    <m/>
    <x v="65"/>
    <d v="2026-02-06T00:00:00"/>
    <d v="1899-12-30T08:52:00"/>
    <x v="84"/>
    <s v="BG25766"/>
    <d v="2026-04-06T00:00:00"/>
    <d v="1899-12-30T14:14:00"/>
    <s v="AGROAVICOLA SAN MARINO"/>
    <s v="GIRARDOT"/>
    <s v="FRACTAL L X 20 LITROS"/>
    <n v="20"/>
    <n v="1"/>
    <n v="810000"/>
    <d v="2026-04-07T00:00:00"/>
    <m/>
    <m/>
    <m/>
    <m/>
  </r>
  <r>
    <m/>
    <x v="66"/>
    <d v="2026-02-06T00:00:00"/>
    <d v="1899-12-30T13:38:00"/>
    <x v="85"/>
    <s v="BG25821"/>
    <d v="2026-04-06T00:00:00"/>
    <d v="1899-12-30T14:57:00"/>
    <s v="POLLO FIESTA"/>
    <s v="BOGOTA"/>
    <s v="FOSMYCINA 90 X 500 GR"/>
    <n v="50"/>
    <n v="2"/>
    <n v="25850000"/>
    <d v="2026-04-07T00:00:00"/>
    <m/>
    <m/>
    <m/>
    <m/>
  </r>
  <r>
    <m/>
    <x v="67"/>
    <d v="2026-02-06T00:00:00"/>
    <d v="1899-12-30T13:38:00"/>
    <x v="85"/>
    <s v="BG25820"/>
    <d v="2026-04-06T00:00:00"/>
    <d v="1899-12-30T14:57:00"/>
    <s v="POLLO FIESTA"/>
    <s v="BOGOTA"/>
    <s v="TRIMBAC X 5KG"/>
    <n v="40"/>
    <n v="2"/>
    <n v="6720000"/>
    <d v="2026-04-07T00:00:00"/>
    <m/>
    <m/>
    <m/>
    <m/>
  </r>
  <r>
    <s v="INVENTARIO"/>
    <x v="68"/>
    <d v="2026-02-06T00:00:00"/>
    <d v="1899-12-30T13:20:00"/>
    <x v="86"/>
    <s v="BG25800"/>
    <d v="2026-04-06T00:00:00"/>
    <d v="1899-12-30T15:08:00"/>
    <s v="AGROPECUARIA GOLOSO"/>
    <s v="CAMPO ALEGRE"/>
    <s v="FENIFLOR ORAL X 500 GR"/>
    <n v="25"/>
    <n v="1"/>
    <n v="2625000"/>
    <d v="2026-04-07T00:00:00"/>
    <m/>
    <m/>
    <m/>
    <m/>
  </r>
  <r>
    <s v="INVENTARIO"/>
    <x v="68"/>
    <d v="2026-02-06T00:00:00"/>
    <d v="1899-12-30T13:20:00"/>
    <x v="87"/>
    <s v="BG25788"/>
    <d v="2026-04-06T00:00:00"/>
    <d v="1899-12-30T15:08:00"/>
    <s v="AGROPECUARIA GOLOSO"/>
    <s v="CAMPO ALEGRE"/>
    <s v="AMOXIN X 1 KILO"/>
    <n v="50"/>
    <n v="2"/>
    <n v="7495000"/>
    <d v="2026-04-07T00:00:00"/>
    <m/>
    <m/>
    <m/>
    <m/>
  </r>
  <r>
    <m/>
    <x v="24"/>
    <d v="2026-02-06T00:00:00"/>
    <d v="1899-12-30T14:20:00"/>
    <x v="88"/>
    <s v="BG25772"/>
    <d v="2026-04-06T00:00:00"/>
    <d v="1899-12-30T15:22:00"/>
    <s v="PROFARM DE LOS ANDES"/>
    <s v="BUCARAMANGA"/>
    <s v="FOSMYCINA 90 X 500 GR"/>
    <n v="25"/>
    <n v="1"/>
    <n v="12975000"/>
    <d v="2026-04-06T00:00:00"/>
    <m/>
    <m/>
    <m/>
    <m/>
  </r>
  <r>
    <s v="CARTERA"/>
    <x v="24"/>
    <d v="2026-02-06T00:00:00"/>
    <d v="1899-12-30T14:37:00"/>
    <x v="89"/>
    <s v="BG25829"/>
    <d v="2026-04-06T00:00:00"/>
    <d v="1899-12-30T15:46:00"/>
    <s v="COMERCIALIZADORA G&amp;M"/>
    <s v="MAICAO"/>
    <s v="MONECYL X 25 KG"/>
    <n v="175"/>
    <n v="7"/>
    <n v="3675000"/>
    <d v="2026-04-08T00:00:00"/>
    <m/>
    <m/>
    <m/>
    <m/>
  </r>
  <r>
    <s v="CARTERA"/>
    <x v="24"/>
    <d v="2026-02-06T00:00:00"/>
    <d v="1899-12-30T14:37:00"/>
    <x v="89"/>
    <s v="BG25829"/>
    <d v="2026-04-06T00:00:00"/>
    <d v="1899-12-30T15:46:00"/>
    <s v="COMERCIALIZADORA G&amp;M"/>
    <s v="MAICAO"/>
    <s v="DINAMIX 200 PREMIX X 25 KG"/>
    <n v="1125"/>
    <n v="45"/>
    <n v="57375000"/>
    <d v="2026-04-08T00:00:00"/>
    <m/>
    <m/>
    <m/>
    <m/>
  </r>
  <r>
    <m/>
    <x v="24"/>
    <d v="2026-02-06T00:00:00"/>
    <d v="1899-12-30T12:54:00"/>
    <x v="90"/>
    <s v="BG25815"/>
    <d v="2026-04-06T00:00:00"/>
    <d v="1899-12-30T16:04:00"/>
    <s v="REVEEX NUTRICION SAS"/>
    <s v="GUARNE"/>
    <s v="DMB 11 X 25 KG"/>
    <n v="75"/>
    <n v="3"/>
    <n v="1462000"/>
    <d v="2026-04-07T00:00:00"/>
    <m/>
    <m/>
    <m/>
    <m/>
  </r>
  <r>
    <m/>
    <x v="24"/>
    <d v="2026-02-06T00:00:00"/>
    <d v="1899-12-30T12:54:00"/>
    <x v="90"/>
    <s v="BG25815"/>
    <d v="2026-04-06T00:00:00"/>
    <d v="1899-12-30T16:04:00"/>
    <s v="REVEEX NUTRICION SAS"/>
    <s v="GUARNE"/>
    <s v="DINAMIX 800 X 25 KG"/>
    <n v="75"/>
    <n v="3"/>
    <n v="12300000"/>
    <d v="2026-04-07T00:00:00"/>
    <m/>
    <m/>
    <m/>
    <m/>
  </r>
  <r>
    <m/>
    <x v="24"/>
    <d v="2026-02-06T00:00:00"/>
    <d v="1899-12-30T12:54:00"/>
    <x v="90"/>
    <s v="BG25815"/>
    <d v="2026-04-06T00:00:00"/>
    <d v="1899-12-30T16:04:00"/>
    <s v="REVEEX NUTRICION SAS"/>
    <s v="GUARNE"/>
    <s v="DQCICLIN X 1 KG"/>
    <n v="40"/>
    <n v="2"/>
    <n v="9200000"/>
    <d v="2026-04-07T00:00:00"/>
    <m/>
    <m/>
    <m/>
    <m/>
  </r>
  <r>
    <m/>
    <x v="24"/>
    <d v="2026-02-06T00:00:00"/>
    <d v="1899-12-30T12:54:00"/>
    <x v="90"/>
    <s v="BG25815"/>
    <d v="2026-04-06T00:00:00"/>
    <d v="1899-12-30T16:04:00"/>
    <s v="REVEEX NUTRICION SAS"/>
    <s v="GUARNE"/>
    <s v="FENIFLOR PREMIX X 25 Kg"/>
    <n v="50"/>
    <n v="2"/>
    <n v="3400000"/>
    <d v="2026-04-07T00:00:00"/>
    <m/>
    <m/>
    <m/>
    <m/>
  </r>
  <r>
    <m/>
    <x v="24"/>
    <d v="2026-02-06T00:00:00"/>
    <d v="1899-12-30T12:54:00"/>
    <x v="91"/>
    <s v="BG25814"/>
    <d v="2026-04-06T00:00:00"/>
    <d v="1899-12-30T16:07:00"/>
    <s v="REVEEX NUTRICION SAS"/>
    <s v="GUARNE"/>
    <s v="CLORTETRAX 20 X 25 KG"/>
    <n v="400"/>
    <n v="16"/>
    <n v="6320000"/>
    <d v="2025-04-08T00:00:00"/>
    <m/>
    <m/>
    <m/>
    <m/>
  </r>
  <r>
    <m/>
    <x v="24"/>
    <d v="2026-02-06T00:00:00"/>
    <d v="1899-12-30T12:54:00"/>
    <x v="91"/>
    <s v="BG25814"/>
    <d v="2026-04-06T00:00:00"/>
    <d v="1899-12-30T16:07:00"/>
    <s v="REVEEX NUTRICION SAS"/>
    <s v="GUARNE"/>
    <s v="ESPELIN X 25 KG"/>
    <n v="75"/>
    <n v="3"/>
    <n v="3862500"/>
    <d v="2025-04-08T00:00:00"/>
    <m/>
    <m/>
    <m/>
    <m/>
  </r>
  <r>
    <m/>
    <x v="24"/>
    <d v="2026-02-06T00:00:00"/>
    <d v="1899-12-30T12:54:00"/>
    <x v="91"/>
    <s v="BG25814"/>
    <d v="2026-04-06T00:00:00"/>
    <d v="1899-12-30T16:07:00"/>
    <s v="REVEEX NUTRICION SAS"/>
    <s v="GUARNE"/>
    <s v="TILCOMIX PREMIX S X 5KG"/>
    <n v="25"/>
    <n v="1"/>
    <n v="400000"/>
    <d v="2025-04-08T00:00:00"/>
    <m/>
    <m/>
    <m/>
    <m/>
  </r>
  <r>
    <s v="CARTERA"/>
    <x v="69"/>
    <d v="2026-03-26T00:00:00"/>
    <d v="1899-12-30T09:26:00"/>
    <x v="92"/>
    <m/>
    <d v="2026-03-26T00:00:00"/>
    <d v="1899-12-30T12:40:00"/>
    <s v="LA CASA MAYOR"/>
    <s v="DON MATIAS"/>
    <s v="FENIFLOR ORAL X 500 GR"/>
    <n v="30"/>
    <n v="1"/>
    <n v="3300000"/>
    <d v="2026-03-26T00:00:00"/>
    <m/>
    <m/>
    <m/>
    <m/>
  </r>
  <r>
    <s v="CARTERA"/>
    <x v="70"/>
    <d v="2026-04-06T00:00:00"/>
    <d v="1899-12-30T16:59:00"/>
    <x v="93"/>
    <s v="BG25888"/>
    <d v="2026-04-06T00:00:00"/>
    <d v="1899-12-30T16:58:00"/>
    <s v="INCUBADORA SANTANDER"/>
    <s v="BUCARAMANGA"/>
    <s v="DINAMIX 800 X 25 KG"/>
    <n v="150"/>
    <n v="6"/>
    <n v="26925000"/>
    <d v="2025-04-08T00:00:00"/>
    <m/>
    <m/>
    <m/>
    <m/>
  </r>
  <r>
    <s v="CARTERA"/>
    <x v="24"/>
    <d v="2026-02-06T00:00:00"/>
    <d v="1899-12-30T10:20:00"/>
    <x v="94"/>
    <m/>
    <d v="2026-04-07T00:00:00"/>
    <d v="1899-12-30T08:22:00"/>
    <s v="PORCICOLA EMMANUEL S.A.S."/>
    <s v="ARMENIA"/>
    <s v="FRACTAL L X 20 LITROS"/>
    <n v="40"/>
    <n v="2"/>
    <n v="1600000"/>
    <d v="2025-04-08T00:00:00"/>
    <m/>
    <m/>
    <m/>
    <m/>
  </r>
  <r>
    <s v="CARTERA"/>
    <x v="24"/>
    <d v="2026-02-06T00:00:00"/>
    <d v="1899-12-30T10:20:00"/>
    <x v="94"/>
    <m/>
    <d v="2026-04-07T00:00:00"/>
    <d v="1899-12-30T08:22:00"/>
    <s v="PORCICOLA EMMANUEL S.A.S."/>
    <s v="ARMENIA"/>
    <s v="FOSMYCINA 90 X 500 GR"/>
    <n v="7.5"/>
    <n v="0"/>
    <n v="3861000"/>
    <d v="2025-04-08T00:00:00"/>
    <m/>
    <m/>
    <m/>
    <m/>
  </r>
  <r>
    <m/>
    <x v="24"/>
    <d v="2026-03-31T00:00:00"/>
    <d v="1899-12-30T15:00:00"/>
    <x v="95"/>
    <m/>
    <d v="2026-04-07T00:00:00"/>
    <d v="1899-12-30T08:37:00"/>
    <s v="CONCENTRADOS ESPARTACO"/>
    <s v="BUCARAMANGA"/>
    <s v="HALQUINOX 500 X 25 KG"/>
    <n v="100"/>
    <n v="4"/>
    <n v="6700000"/>
    <d v="2025-04-08T00:00:00"/>
    <m/>
    <m/>
    <m/>
    <m/>
  </r>
  <r>
    <m/>
    <x v="24"/>
    <d v="2026-03-31T00:00:00"/>
    <d v="1899-12-30T15:00:00"/>
    <x v="95"/>
    <m/>
    <d v="2026-04-07T00:00:00"/>
    <d v="1899-12-30T08:37:00"/>
    <s v="CONCENTRADOS ESPARTACO"/>
    <s v="BUCARAMANGA"/>
    <s v="ACCUREMAX X 25 KG"/>
    <n v="50"/>
    <n v="2"/>
    <n v="3160000"/>
    <d v="2025-04-08T00:00:00"/>
    <m/>
    <m/>
    <m/>
    <m/>
  </r>
  <r>
    <m/>
    <x v="24"/>
    <d v="2026-04-06T00:00:00"/>
    <d v="1899-12-30T16:22:00"/>
    <x v="96"/>
    <s v="BG25819"/>
    <d v="2026-04-07T00:00:00"/>
    <d v="1899-12-30T08:42:00"/>
    <s v="GRUPO AGROBOX"/>
    <s v="GRANADA"/>
    <s v="CLORTETRAX 20 X 25 KG"/>
    <n v="150"/>
    <n v="6"/>
    <n v="2400000"/>
    <d v="2025-04-09T00:00:00"/>
    <m/>
    <m/>
    <m/>
    <m/>
  </r>
  <r>
    <m/>
    <x v="71"/>
    <d v="2026-04-06T00:00:00"/>
    <d v="1899-12-30T16:59:00"/>
    <x v="97"/>
    <m/>
    <d v="2026-04-07T00:00:00"/>
    <d v="1899-12-30T09:51:00"/>
    <s v="PORCICOLA PRADERA S.A."/>
    <s v="MANIZALES"/>
    <s v="DMB 11 X 25 KG"/>
    <n v="100"/>
    <n v="4"/>
    <n v="2050000"/>
    <d v="2025-04-08T00:00:00"/>
    <m/>
    <m/>
    <m/>
    <m/>
  </r>
  <r>
    <m/>
    <x v="71"/>
    <d v="2026-04-06T00:00:00"/>
    <d v="1899-12-30T16:59:00"/>
    <x v="97"/>
    <m/>
    <d v="2026-04-07T00:00:00"/>
    <d v="1899-12-30T09:51:00"/>
    <s v="PORCICOLA PRADERA S.A."/>
    <s v="MANIZALES"/>
    <s v="ACCUREMAX X 25 KG"/>
    <n v="50"/>
    <n v="2"/>
    <n v="3040000"/>
    <d v="2025-04-08T00:00:00"/>
    <m/>
    <m/>
    <m/>
    <m/>
  </r>
  <r>
    <s v="INVENTARIO"/>
    <x v="71"/>
    <d v="2026-04-06T00:00:00"/>
    <d v="1899-12-30T16:59:00"/>
    <x v="97"/>
    <s v="BG25794"/>
    <d v="2026-04-07T00:00:00"/>
    <d v="1899-12-30T09:51:00"/>
    <s v="PORCICOLA PRADERA S.A."/>
    <s v="MANIZALES"/>
    <s v="AMOXIN X 1 KILO"/>
    <n v="20"/>
    <n v="1"/>
    <n v="3200000"/>
    <d v="2025-04-08T00:00:00"/>
    <m/>
    <m/>
    <m/>
    <m/>
  </r>
  <r>
    <m/>
    <x v="72"/>
    <d v="2026-04-06T00:00:00"/>
    <d v="1899-12-30T16:59:00"/>
    <x v="98"/>
    <s v="BG25813"/>
    <d v="2026-04-07T00:00:00"/>
    <d v="1899-12-30T09:54:00"/>
    <s v="AGROPECUARIA ALIAR"/>
    <s v="PUERTO GAITAN"/>
    <s v="DINAMIX 800 X 25 KG"/>
    <n v="750"/>
    <n v="30"/>
    <n v="105000000"/>
    <d v="2026-04-16T00:00:00"/>
    <m/>
    <m/>
    <m/>
    <m/>
  </r>
  <r>
    <m/>
    <x v="73"/>
    <d v="2026-04-07T00:00:00"/>
    <d v="1899-12-30T07:38:00"/>
    <x v="99"/>
    <m/>
    <d v="2026-04-07T00:00:00"/>
    <d v="1899-12-30T10:04:00"/>
    <s v="COMPAÑIA INDUSTRIAL DE PRODUCTOS AGROPECUARIOS S.A"/>
    <s v="BELLO"/>
    <s v="LOTUS X 25 KG"/>
    <n v="200"/>
    <n v="8"/>
    <n v="8100000"/>
    <d v="2026-04-17T00:00:00"/>
    <m/>
    <m/>
    <m/>
    <m/>
  </r>
  <r>
    <m/>
    <x v="73"/>
    <d v="2026-04-07T00:00:00"/>
    <d v="1899-12-30T07:38:00"/>
    <x v="99"/>
    <m/>
    <d v="2026-04-07T00:00:00"/>
    <d v="1899-12-30T10:04:00"/>
    <s v="COMPAÑIA INDUSTRIAL DE PRODUCTOS AGROPECUARIOS S.A"/>
    <s v="BELLO"/>
    <s v="FRACTAL P X 25 KG"/>
    <n v="400"/>
    <n v="16"/>
    <n v="10520000"/>
    <d v="2026-04-17T00:00:00"/>
    <m/>
    <m/>
    <m/>
    <m/>
  </r>
  <r>
    <m/>
    <x v="24"/>
    <d v="2026-04-07T00:00:00"/>
    <d v="1899-12-30T08:11:00"/>
    <x v="100"/>
    <s v="BG25776"/>
    <d v="2026-04-07T00:00:00"/>
    <d v="1899-12-30T10:10:00"/>
    <s v="ARANGO HERMANOS"/>
    <s v="DON MATIAS"/>
    <s v="TILOMIX 250 PREMIX X 25 KG"/>
    <n v="25"/>
    <n v="1"/>
    <n v="1500000"/>
    <d v="2026-04-07T00:00:00"/>
    <m/>
    <m/>
    <m/>
    <m/>
  </r>
  <r>
    <m/>
    <x v="74"/>
    <d v="2026-04-07T00:00:00"/>
    <d v="1899-12-30T09:42:00"/>
    <x v="101"/>
    <m/>
    <d v="2026-04-07T00:00:00"/>
    <d v="1899-12-30T10:15:00"/>
    <s v="AVSA"/>
    <s v="CHIMITA"/>
    <s v="DMB 11 X 25 KG"/>
    <n v="1300"/>
    <n v="52"/>
    <n v="23075000"/>
    <d v="2026-04-08T00:00:00"/>
    <m/>
    <m/>
    <m/>
    <m/>
  </r>
  <r>
    <s v="CARTERA"/>
    <x v="75"/>
    <d v="2026-04-07T00:00:00"/>
    <d v="1899-12-30T09:43:00"/>
    <x v="102"/>
    <s v="BG25859"/>
    <d v="2026-04-07T00:00:00"/>
    <d v="1899-12-30T10:24:00"/>
    <s v="AVIDESA DE OCCIDENTE"/>
    <s v="BUGA"/>
    <s v="DMB 11 X 25 KG"/>
    <n v="1300"/>
    <n v="52"/>
    <n v="23075000"/>
    <d v="2026-04-08T00:00:00"/>
    <m/>
    <m/>
    <m/>
    <m/>
  </r>
  <r>
    <m/>
    <x v="76"/>
    <d v="2026-04-07T00:00:00"/>
    <d v="1899-12-30T09:56:00"/>
    <x v="103"/>
    <s v="BG25887"/>
    <d v="2026-04-07T00:00:00"/>
    <d v="1899-12-30T10:30:00"/>
    <s v="OPERADORA AVICOLA COLOMBIA S.A.S."/>
    <s v="PEREIRA"/>
    <s v="TILOMIX ORAL x 1 Kg"/>
    <n v="36"/>
    <n v="1"/>
    <n v="8287000"/>
    <d v="2026-04-08T00:00:00"/>
    <m/>
    <m/>
    <m/>
    <m/>
  </r>
  <r>
    <s v="CANCELADO"/>
    <x v="24"/>
    <d v="2026-04-07T00:00:00"/>
    <d v="1899-12-30T09:56:00"/>
    <x v="104"/>
    <m/>
    <d v="2026-04-07T00:00:00"/>
    <d v="1899-12-30T10:30:00"/>
    <s v="OPERADORA AVICOLA COLOMBIA S.A.S."/>
    <s v="PEREIRA"/>
    <s v="SMOOT SWEET X 75 GR"/>
    <n v="0.6"/>
    <n v="0"/>
    <n v="0"/>
    <d v="2026-04-08T00:00:00"/>
    <m/>
    <m/>
    <m/>
    <m/>
  </r>
  <r>
    <s v="CARTERA"/>
    <x v="24"/>
    <d v="2026-03-26T00:00:00"/>
    <d v="1899-12-30T13:10:00"/>
    <x v="105"/>
    <s v="BG25758"/>
    <d v="2026-03-26T00:00:00"/>
    <d v="1899-12-30T13:30:00"/>
    <s v="AVICOLA SINAIN"/>
    <s v="BUCARAMANGA"/>
    <s v="5 kg FENIFLOR PREMIX"/>
    <n v="10"/>
    <n v="0"/>
    <n v="700000"/>
    <d v="2026-03-27T00:00:00"/>
    <m/>
    <m/>
    <m/>
    <m/>
  </r>
  <r>
    <s v="CARTERA"/>
    <x v="77"/>
    <d v="2026-03-26T00:00:00"/>
    <d v="1899-12-30T17:39:00"/>
    <x v="106"/>
    <s v="BG25756"/>
    <d v="2026-03-27T00:00:00"/>
    <d v="1899-12-30T10:02:00"/>
    <s v="AVICOLA SINAIN"/>
    <s v="BUCARAMANGA"/>
    <s v="FRACTAL P X 25 KG"/>
    <n v="75"/>
    <n v="3"/>
    <n v="1912500"/>
    <d v="2026-03-28T00:00:00"/>
    <m/>
    <m/>
    <m/>
    <m/>
  </r>
  <r>
    <s v="CARTERA"/>
    <x v="24"/>
    <d v="2026-03-03T00:00:00"/>
    <d v="1899-12-30T07:48:00"/>
    <x v="107"/>
    <s v="BG25764"/>
    <d v="2026-03-03T00:00:00"/>
    <d v="1899-12-30T11:51:00"/>
    <s v="PORCICOLA EMMANUEL S.A.S."/>
    <s v="ARMENIA"/>
    <s v="FENIFLOR ORAL X 500 GR"/>
    <n v="10"/>
    <n v="0"/>
    <n v="972000"/>
    <d v="2026-03-05T00:00:00"/>
    <m/>
    <m/>
    <m/>
    <m/>
  </r>
  <r>
    <m/>
    <x v="78"/>
    <d v="2026-03-10T00:00:00"/>
    <d v="1899-12-30T14:51:00"/>
    <x v="108"/>
    <m/>
    <d v="2026-03-17T00:00:00"/>
    <d v="1899-12-30T10:28:00"/>
    <s v="AVICOLA LOS CAMBULOS"/>
    <s v="CACHIPAY"/>
    <s v="DQCICLIN X 1 KG"/>
    <n v="11"/>
    <n v="0"/>
    <n v="2970000"/>
    <d v="2026-03-12T00:00:00"/>
    <m/>
    <m/>
    <m/>
    <m/>
  </r>
  <r>
    <s v="INVENTARIO"/>
    <x v="79"/>
    <d v="2026-03-20T00:00:00"/>
    <d v="1899-12-30T15:05:00"/>
    <x v="109"/>
    <s v="BG25757"/>
    <d v="2026-03-24T00:00:00"/>
    <d v="1899-12-30T09:17:00"/>
    <s v="POLLOS EL BUCANERO"/>
    <s v="MANANTIALES"/>
    <s v="ROFLOX X 1 LITRO"/>
    <n v="150"/>
    <n v="6"/>
    <n v="6975000"/>
    <d v="2026-03-26T00:00:00"/>
    <m/>
    <m/>
    <m/>
    <m/>
  </r>
  <r>
    <s v="INVENTARIO"/>
    <x v="80"/>
    <d v="2026-03-24T00:00:00"/>
    <d v="1899-12-30T17:11:00"/>
    <x v="110"/>
    <s v="BG25796"/>
    <d v="3036-03-25T00:00:00"/>
    <d v="1899-12-30T07:20:00"/>
    <s v="PREMEX S.A.S."/>
    <s v="MEDELLIN"/>
    <s v="10 kg SMOOTH SWEET"/>
    <n v="90"/>
    <n v="4"/>
    <n v="0"/>
    <d v="2026-03-26T00:00:00"/>
    <m/>
    <m/>
    <m/>
    <m/>
  </r>
  <r>
    <s v="CARTERA"/>
    <x v="69"/>
    <d v="2026-03-26T00:00:00"/>
    <d v="1899-12-30T09:26:00"/>
    <x v="92"/>
    <m/>
    <d v="2026-03-26T00:00:00"/>
    <d v="1899-12-30T12:40:00"/>
    <s v="LA CASA MAYOR"/>
    <s v="DON MATIAS"/>
    <s v="FENIFLOR ORAL X 500 GR"/>
    <n v="30"/>
    <n v="1"/>
    <n v="3300000"/>
    <d v="2026-03-26T00:00:00"/>
    <m/>
    <m/>
    <m/>
    <m/>
  </r>
  <r>
    <m/>
    <x v="81"/>
    <d v="2026-04-06T00:00:00"/>
    <d v="1899-12-30T18:40:00"/>
    <x v="111"/>
    <s v="BG25804"/>
    <d v="2026-04-07T00:00:00"/>
    <d v="1899-12-30T10:49:00"/>
    <s v="AGROPECUARIA GOLOSO"/>
    <s v="NUTRITEC"/>
    <s v="CLORTETRAX 20 X 25 KG"/>
    <n v="300"/>
    <n v="12"/>
    <n v="4860000"/>
    <d v="2026-04-08T00:00:00"/>
    <m/>
    <m/>
    <m/>
    <m/>
  </r>
  <r>
    <m/>
    <x v="81"/>
    <d v="2026-04-06T00:00:00"/>
    <d v="1899-12-30T18:40:00"/>
    <x v="111"/>
    <s v="BG25804"/>
    <d v="2026-04-07T00:00:00"/>
    <d v="1899-12-30T10:49:00"/>
    <s v="AGROPECUARIA GOLOSO"/>
    <s v="NUTRITEC"/>
    <s v="FRACTAL P X 25 KG"/>
    <n v="200"/>
    <n v="8"/>
    <n v="5100000"/>
    <d v="2026-04-08T00:00:00"/>
    <m/>
    <m/>
    <m/>
    <m/>
  </r>
  <r>
    <m/>
    <x v="81"/>
    <d v="2026-04-06T00:00:00"/>
    <d v="1899-12-30T18:40:00"/>
    <x v="111"/>
    <s v="BG25804"/>
    <d v="2026-04-07T00:00:00"/>
    <d v="1899-12-30T10:49:00"/>
    <s v="AGROPECUARIA GOLOSO"/>
    <s v="NUTRITEC"/>
    <s v="DMB 11 X 25 KG"/>
    <n v="200"/>
    <n v="8"/>
    <n v="3978000"/>
    <d v="2026-04-08T00:00:00"/>
    <m/>
    <m/>
    <m/>
    <m/>
  </r>
  <r>
    <m/>
    <x v="81"/>
    <d v="2026-04-06T00:00:00"/>
    <d v="1899-12-30T18:40:00"/>
    <x v="111"/>
    <s v="BG25804"/>
    <d v="2026-04-07T00:00:00"/>
    <d v="1899-12-30T10:49:00"/>
    <s v="AGROPECUARIA GOLOSO"/>
    <s v="NUTRITEC"/>
    <s v="DINAMIX 800 X 25 KG"/>
    <n v="100"/>
    <n v="4"/>
    <n v="16420000"/>
    <d v="2026-04-08T00:00:00"/>
    <m/>
    <m/>
    <m/>
    <m/>
  </r>
  <r>
    <m/>
    <x v="81"/>
    <d v="2026-04-06T00:00:00"/>
    <d v="1899-12-30T18:40:00"/>
    <x v="111"/>
    <s v="BG25804"/>
    <d v="2026-04-07T00:00:00"/>
    <d v="1899-12-30T10:49:00"/>
    <s v="AGROPECUARIA GOLOSO"/>
    <s v="NUTRITEC"/>
    <s v="HALQUINOX 800 X 25 KG"/>
    <n v="200"/>
    <n v="8"/>
    <n v="20500000"/>
    <d v="2026-04-08T00:00:00"/>
    <m/>
    <m/>
    <m/>
    <m/>
  </r>
  <r>
    <s v="ALISTAMIENTO"/>
    <x v="82"/>
    <d v="2026-04-06T00:00:00"/>
    <d v="1899-12-30T10:27:00"/>
    <x v="112"/>
    <m/>
    <d v="2026-04-07T00:00:00"/>
    <d v="1899-12-30T11:49:00"/>
    <s v="AGROAVICOLA SAN MARINO"/>
    <s v="GIRON"/>
    <s v="FOSMYCINA 90 X 500 GR"/>
    <n v="6"/>
    <n v="0"/>
    <n v="3120000"/>
    <d v="2025-04-07T00:00:00"/>
    <m/>
    <m/>
    <m/>
    <m/>
  </r>
  <r>
    <m/>
    <x v="83"/>
    <d v="2026-04-07T00:00:00"/>
    <d v="1899-12-30T10:15:00"/>
    <x v="93"/>
    <s v="BG25841"/>
    <d v="2026-04-07T00:00:00"/>
    <d v="1899-12-30T11:54:00"/>
    <s v="FINCA S.A.S."/>
    <s v="BUGA"/>
    <s v="TILVASYYN x 25 KG"/>
    <n v="75"/>
    <n v="3"/>
    <n v="13515000"/>
    <d v="2025-04-16T00:00:00"/>
    <m/>
    <m/>
    <m/>
    <m/>
  </r>
  <r>
    <m/>
    <x v="24"/>
    <d v="2026-04-07T00:00:00"/>
    <d v="1899-12-30T10:26:00"/>
    <x v="113"/>
    <s v="BG25789"/>
    <d v="2026-04-07T00:00:00"/>
    <d v="1899-12-30T12:27:00"/>
    <s v="PREMEX S.A.S."/>
    <s v="MEDELLIN"/>
    <s v="200 MONECYL R X 25 KG"/>
    <n v="1000"/>
    <n v="40"/>
    <n v="19500000"/>
    <d v="2025-04-07T00:00:00"/>
    <m/>
    <m/>
    <m/>
    <m/>
  </r>
  <r>
    <m/>
    <x v="24"/>
    <d v="2026-04-07T00:00:00"/>
    <d v="1899-12-30T10:26:00"/>
    <x v="113"/>
    <s v="BG25789"/>
    <d v="2026-04-07T00:00:00"/>
    <d v="1899-12-30T12:27:00"/>
    <s v="PREMEX S.A.S."/>
    <s v="MEDELLIN"/>
    <s v="DMB 11 X 25 KG"/>
    <n v="3000"/>
    <n v="120"/>
    <n v="52800000"/>
    <d v="2025-04-07T00:00:00"/>
    <m/>
    <m/>
    <m/>
    <m/>
  </r>
  <r>
    <m/>
    <x v="24"/>
    <d v="2026-04-07T00:00:00"/>
    <d v="1899-12-30T10:26:00"/>
    <x v="113"/>
    <s v="BG25789"/>
    <d v="2026-04-07T00:00:00"/>
    <d v="1899-12-30T12:27:00"/>
    <s v="PREMEX S.A.S."/>
    <s v="MEDELLIN"/>
    <s v="FENIFLOR PREMIX X 25 Kg"/>
    <n v="600"/>
    <n v="24"/>
    <n v="31616000"/>
    <d v="2025-04-07T00:00:00"/>
    <m/>
    <m/>
    <m/>
    <m/>
  </r>
  <r>
    <m/>
    <x v="24"/>
    <d v="2026-04-07T00:00:00"/>
    <d v="1899-12-30T10:26:00"/>
    <x v="113"/>
    <s v="BG25789"/>
    <d v="2026-04-07T00:00:00"/>
    <d v="1899-12-30T12:27:00"/>
    <s v="PREMEX S.A.S."/>
    <s v="MEDELLIN"/>
    <s v="TILOMIX 250 PREMIX X 25 KG"/>
    <n v="2000"/>
    <n v="80"/>
    <n v="103800000"/>
    <d v="2025-04-07T00:00:00"/>
    <m/>
    <m/>
    <m/>
    <m/>
  </r>
  <r>
    <m/>
    <x v="24"/>
    <d v="2026-04-07T00:00:00"/>
    <d v="1899-12-30T10:26:00"/>
    <x v="114"/>
    <s v="BG25790"/>
    <d v="2026-04-07T00:00:00"/>
    <d v="1899-12-30T12:27:00"/>
    <s v="MESAGE"/>
    <s v="MEDELLIN"/>
    <s v="HALQUINOX 800 X 25 KG"/>
    <n v="3000"/>
    <n v="120"/>
    <n v="218601000"/>
    <d v="2025-04-07T00:00:00"/>
    <m/>
    <m/>
    <m/>
    <m/>
  </r>
  <r>
    <m/>
    <x v="24"/>
    <d v="2026-04-07T00:00:00"/>
    <d v="1899-12-30T10:26:00"/>
    <x v="114"/>
    <s v="BG25790"/>
    <d v="2026-04-07T00:00:00"/>
    <d v="1899-12-30T12:27:00"/>
    <s v="MESAGE"/>
    <s v="MEDELLIN"/>
    <s v="DINAMIX 800 X 25 KG"/>
    <n v="1000"/>
    <n v="40"/>
    <n v="122901000"/>
    <d v="2025-04-07T00:00:00"/>
    <m/>
    <m/>
    <m/>
    <m/>
  </r>
  <r>
    <s v="CARTERA"/>
    <x v="24"/>
    <d v="2026-04-07T00:00:00"/>
    <d v="1899-12-30T12:00:00"/>
    <x v="115"/>
    <s v="BG25812"/>
    <d v="2026-04-07T00:00:00"/>
    <d v="1899-12-30T12:43:00"/>
    <s v="ALCON DE COLOMBIA"/>
    <s v="BUGA"/>
    <s v="CLORTETRAX 20 X 25 KG"/>
    <n v="250"/>
    <n v="10"/>
    <n v="4000000"/>
    <d v="2026-04-08T00:00:00"/>
    <m/>
    <m/>
    <m/>
    <m/>
  </r>
  <r>
    <s v="CARTERA"/>
    <x v="24"/>
    <d v="2026-04-07T00:00:00"/>
    <d v="1899-12-30T12:00:00"/>
    <x v="115"/>
    <s v="BG25812"/>
    <d v="2026-04-07T00:00:00"/>
    <d v="1899-12-30T12:43:00"/>
    <s v="ALCON DE COLOMBIA"/>
    <s v="BUGA"/>
    <s v="NEOCYN X 25 KG"/>
    <n v="50"/>
    <n v="2"/>
    <n v="3550000"/>
    <d v="2026-04-08T00:00:00"/>
    <m/>
    <m/>
    <m/>
    <m/>
  </r>
  <r>
    <m/>
    <x v="84"/>
    <d v="2026-04-07T00:00:00"/>
    <d v="1899-12-30T11:03:00"/>
    <x v="116"/>
    <m/>
    <d v="2026-04-07T00:00:00"/>
    <d v="1899-12-30T12:58:00"/>
    <s v="CONTEGRAL S.A.S."/>
    <s v="BOGOTA"/>
    <s v="LOTUS X 25 KG"/>
    <n v="100"/>
    <n v="4"/>
    <n v="3450000"/>
    <d v="2026-04-08T00:00:00"/>
    <m/>
    <m/>
    <m/>
    <m/>
  </r>
  <r>
    <m/>
    <x v="85"/>
    <d v="2026-04-07T00:00:00"/>
    <d v="1899-12-30T11:35:00"/>
    <x v="117"/>
    <s v="BG25803"/>
    <d v="2026-04-07T00:00:00"/>
    <d v="1899-12-30T13:04:00"/>
    <s v="MESAGE"/>
    <s v="PREMEX CELTA"/>
    <s v="HALQUINOX 800 X 25 KG"/>
    <n v="500"/>
    <n v="20"/>
    <n v="36443500"/>
    <d v="2026-04-08T00:00:00"/>
    <m/>
    <m/>
    <m/>
    <m/>
  </r>
  <r>
    <m/>
    <x v="85"/>
    <d v="2026-04-07T00:00:00"/>
    <d v="1899-12-30T11:35:00"/>
    <x v="117"/>
    <s v="BG25803"/>
    <d v="2026-04-07T00:00:00"/>
    <d v="1899-12-30T13:04:00"/>
    <s v="MESAGE"/>
    <s v="PREMEX CELTA"/>
    <s v="DINAMIX 800 X 25 KG"/>
    <n v="100"/>
    <n v="4"/>
    <n v="12290100"/>
    <d v="2026-04-08T00:00:00"/>
    <m/>
    <m/>
    <m/>
    <m/>
  </r>
  <r>
    <m/>
    <x v="86"/>
    <d v="2026-04-07T00:00:00"/>
    <d v="1899-12-30T12:20:00"/>
    <x v="118"/>
    <s v="BG25811"/>
    <d v="2026-04-07T00:00:00"/>
    <d v="1899-12-30T13:13:00"/>
    <s v="MESAGE"/>
    <s v="MEDELLIN"/>
    <s v="HALQUINOX 800 X 25 KG"/>
    <n v="3000"/>
    <n v="120"/>
    <n v="218601000"/>
    <d v="2026-04-08T00:00:00"/>
    <m/>
    <m/>
    <m/>
    <m/>
  </r>
  <r>
    <m/>
    <x v="87"/>
    <d v="2026-04-07T00:00:00"/>
    <d v="1899-12-30T12:20:00"/>
    <x v="118"/>
    <s v="BG25811"/>
    <d v="2026-04-07T00:00:00"/>
    <d v="1899-12-30T13:13:00"/>
    <s v="MESAGE"/>
    <s v="MEDELLIN"/>
    <s v="DINAMIX 800 X 25 KG"/>
    <n v="500"/>
    <n v="20"/>
    <n v="61450500"/>
    <d v="2026-04-08T00:00:00"/>
    <m/>
    <m/>
    <m/>
    <m/>
  </r>
  <r>
    <s v="INVENTARIO"/>
    <x v="24"/>
    <d v="2026-02-05T00:00:00"/>
    <d v="1899-12-30T16:16:00"/>
    <x v="119"/>
    <s v="BG25960"/>
    <d v="2026-03-06T00:00:00"/>
    <d v="1899-12-30T11:48:00"/>
    <s v="POLLOS EL BUCANERO"/>
    <s v="MANANTIALES"/>
    <s v="ROFLOX X 1 LITRO"/>
    <n v="16"/>
    <n v="1"/>
    <n v="744000"/>
    <d v="2026-03-16T00:00:00"/>
    <m/>
    <m/>
    <m/>
    <m/>
  </r>
  <r>
    <m/>
    <x v="88"/>
    <d v="2026-04-07T00:00:00"/>
    <d v="1899-12-30T15:21:00"/>
    <x v="120"/>
    <s v="BG25886"/>
    <d v="2026-04-08T00:00:00"/>
    <d v="1899-12-30T10:13:00"/>
    <s v="OPERADORA AVICOLA COLOMBIA S.A.S."/>
    <s v="PEREIRA"/>
    <s v="CIPROFLOX X 5 KG"/>
    <n v="45"/>
    <n v="2"/>
    <n v="2362000"/>
    <d v="2026-04-09T00:00:00"/>
    <m/>
    <m/>
    <m/>
    <m/>
  </r>
  <r>
    <m/>
    <x v="88"/>
    <d v="2026-04-07T00:00:00"/>
    <d v="1899-12-30T15:21:00"/>
    <x v="120"/>
    <s v="BG25886"/>
    <d v="2026-04-08T00:00:00"/>
    <d v="1899-12-30T10:13:00"/>
    <s v="OPERADORA AVICOLA COLOMBIA S.A.S."/>
    <s v="PEREIRA"/>
    <s v="TILCOMIX ORAL X 1 KG"/>
    <n v="29"/>
    <n v="1"/>
    <n v="6090000"/>
    <d v="2026-04-09T00:00:00"/>
    <m/>
    <m/>
    <m/>
    <m/>
  </r>
  <r>
    <m/>
    <x v="89"/>
    <d v="2026-04-07T00:00:00"/>
    <d v="1899-12-30T15:53:00"/>
    <x v="121"/>
    <m/>
    <d v="2026-04-08T00:00:00"/>
    <d v="1899-12-30T11:02:00"/>
    <s v="AVICOLA LOS CAMBULOS"/>
    <s v="FUSA"/>
    <s v="DQCICLIN X 1 KG"/>
    <n v="20"/>
    <n v="1"/>
    <n v="5400000"/>
    <d v="2026-04-09T00:00:00"/>
    <m/>
    <m/>
    <m/>
    <m/>
  </r>
  <r>
    <m/>
    <x v="90"/>
    <d v="2026-04-07T00:00:00"/>
    <d v="1899-12-30T18:12:00"/>
    <x v="122"/>
    <m/>
    <d v="2026-04-08T00:00:00"/>
    <d v="1899-12-30T11:21:00"/>
    <s v="AVSA"/>
    <s v="BUGA"/>
    <s v="DMB 11 X 25 KG"/>
    <n v="7000"/>
    <n v="280"/>
    <n v="124250000"/>
    <d v="2026-04-16T00:00:00"/>
    <m/>
    <m/>
    <m/>
    <m/>
  </r>
  <r>
    <m/>
    <x v="90"/>
    <d v="2026-04-07T00:00:00"/>
    <d v="1899-12-30T18:12:00"/>
    <x v="123"/>
    <m/>
    <d v="2026-04-08T00:00:00"/>
    <d v="1899-12-30T11:21:00"/>
    <s v="AVSA"/>
    <s v="BUGA"/>
    <s v="DMB 11 X 25 KG"/>
    <n v="7000"/>
    <n v="280"/>
    <n v="124250000"/>
    <d v="2026-04-22T00:00:00"/>
    <m/>
    <m/>
    <m/>
    <m/>
  </r>
  <r>
    <m/>
    <x v="90"/>
    <d v="2026-04-07T00:00:00"/>
    <d v="1899-12-30T18:12:00"/>
    <x v="124"/>
    <m/>
    <d v="2026-04-08T00:00:00"/>
    <d v="1899-12-30T11:21:00"/>
    <s v="AVSA"/>
    <s v="BUGA"/>
    <s v="DMB 11 X 25 KG"/>
    <n v="6000"/>
    <n v="240"/>
    <n v="124250000"/>
    <d v="2026-04-27T00:00:00"/>
    <m/>
    <m/>
    <m/>
    <m/>
  </r>
  <r>
    <s v="INVENTARIO"/>
    <x v="91"/>
    <d v="2026-04-07T00:00:00"/>
    <d v="1899-12-30T20:52:00"/>
    <x v="125"/>
    <s v="BG25840"/>
    <d v="2026-04-08T00:00:00"/>
    <d v="1899-12-30T11:32:00"/>
    <s v="PREMEX S.A.S."/>
    <s v="MEDELLIN"/>
    <s v="AMOXIN X 1 KILO"/>
    <n v="29"/>
    <n v="1"/>
    <n v="20350000"/>
    <d v="2026-04-10T00:00:00"/>
    <m/>
    <m/>
    <m/>
    <m/>
  </r>
  <r>
    <s v="INVENTARIO"/>
    <x v="91"/>
    <d v="2026-04-07T00:00:00"/>
    <d v="1899-12-30T20:52:00"/>
    <x v="125"/>
    <s v="-"/>
    <d v="2026-04-08T00:00:00"/>
    <d v="1899-12-30T11:32:00"/>
    <s v="PREMEX S.A.S."/>
    <s v="MEDELLIN"/>
    <s v="AMOXIN X 1 KILO"/>
    <n v="121"/>
    <n v="5"/>
    <n v="20350000"/>
    <d v="2026-04-10T00:00:00"/>
    <m/>
    <m/>
    <m/>
    <m/>
  </r>
  <r>
    <m/>
    <x v="91"/>
    <d v="2026-04-07T00:00:00"/>
    <d v="1899-12-30T20:52:00"/>
    <x v="125"/>
    <s v="BG25840"/>
    <d v="2026-04-08T00:00:00"/>
    <d v="1899-12-30T11:32:00"/>
    <s v="PREMEX S.A.S."/>
    <s v="MEDELLIN"/>
    <s v="NEOCYN X 25 KG"/>
    <n v="200"/>
    <n v="8"/>
    <n v="12340000"/>
    <d v="2026-04-10T00:00:00"/>
    <m/>
    <m/>
    <m/>
    <m/>
  </r>
  <r>
    <m/>
    <x v="91"/>
    <d v="2026-04-07T00:00:00"/>
    <d v="1899-12-30T20:52:00"/>
    <x v="125"/>
    <s v="BG25840"/>
    <d v="2026-04-08T00:00:00"/>
    <d v="1899-12-30T11:32:00"/>
    <s v="PREMEX S.A.S."/>
    <s v="MEDELLIN"/>
    <s v="KIRA X 25 KG"/>
    <n v="400"/>
    <n v="16"/>
    <n v="7870000"/>
    <d v="2026-04-10T00:00:00"/>
    <m/>
    <m/>
    <m/>
    <m/>
  </r>
  <r>
    <m/>
    <x v="91"/>
    <d v="2026-04-07T00:00:00"/>
    <d v="1899-12-30T20:52:00"/>
    <x v="126"/>
    <s v="BG25839"/>
    <d v="2026-04-08T00:00:00"/>
    <d v="1899-12-30T11:32:00"/>
    <s v="PREMEX S.A.S."/>
    <s v="MEDELLIN"/>
    <s v="FRACTAL P X 25 KG"/>
    <n v="2000"/>
    <n v="80"/>
    <n v="49500000"/>
    <d v="2026-04-10T00:00:00"/>
    <m/>
    <m/>
    <m/>
    <m/>
  </r>
  <r>
    <m/>
    <x v="92"/>
    <d v="2026-04-08T00:00:00"/>
    <d v="1899-12-30T09:33:00"/>
    <x v="127"/>
    <s v="BG25885"/>
    <d v="2026-04-08T00:00:00"/>
    <d v="1899-12-30T11:43:00"/>
    <s v="OPERADORA AVICOLA COLOMBIA S.A.S."/>
    <s v="BUCARAMANGA"/>
    <s v="CIPROFLOX X 5 KG"/>
    <n v="100"/>
    <n v="4"/>
    <n v="5250000"/>
    <d v="2026-04-08T00:00:00"/>
    <m/>
    <m/>
    <m/>
    <m/>
  </r>
  <r>
    <m/>
    <x v="92"/>
    <d v="2026-04-08T00:00:00"/>
    <d v="1899-12-30T09:33:00"/>
    <x v="128"/>
    <s v="BG25878"/>
    <d v="2026-04-08T00:00:00"/>
    <d v="1899-12-30T11:43:00"/>
    <s v="OPERADORA AVICOLA COLOMBIA S.A.S."/>
    <s v="BUCARAMANGA"/>
    <s v="SMOOT SWEET X 75 GR"/>
    <n v="7.5"/>
    <n v="0"/>
    <n v="0"/>
    <d v="2026-04-08T00:00:00"/>
    <m/>
    <m/>
    <m/>
    <m/>
  </r>
  <r>
    <m/>
    <x v="93"/>
    <d v="2026-04-08T00:00:00"/>
    <d v="1899-12-30T10:46:00"/>
    <x v="129"/>
    <s v="BG25883"/>
    <d v="2026-04-08T00:00:00"/>
    <d v="1899-12-30T11:45:00"/>
    <s v="POLLO FIESTA"/>
    <s v="BOGOTA"/>
    <s v="TRIMBAC X 5KG"/>
    <n v="40"/>
    <n v="2"/>
    <n v="6720000"/>
    <d v="2026-04-09T00:00:00"/>
    <m/>
    <m/>
    <m/>
    <m/>
  </r>
  <r>
    <m/>
    <x v="24"/>
    <d v="2026-04-08T00:00:00"/>
    <d v="1899-12-30T10:51:00"/>
    <x v="130"/>
    <m/>
    <d v="2026-04-08T00:00:00"/>
    <d v="1899-12-30T11:50:00"/>
    <s v="BIOPRESS"/>
    <s v="ROVIRA"/>
    <s v="MONECYL X 25 KG"/>
    <n v="150"/>
    <n v="6"/>
    <n v="3150000"/>
    <d v="2026-04-09T00:00:00"/>
    <m/>
    <m/>
    <m/>
    <m/>
  </r>
  <r>
    <m/>
    <x v="94"/>
    <d v="2026-04-08T00:00:00"/>
    <d v="1899-12-30T11:34:00"/>
    <x v="131"/>
    <s v="BG25838"/>
    <d v="2026-04-08T00:00:00"/>
    <d v="1899-12-30T11:57:00"/>
    <s v="ITALCOL DE OCCIDENTE"/>
    <s v="GIRARDOTA"/>
    <s v="DMB 11 X 25 KG"/>
    <n v="500"/>
    <n v="20"/>
    <n v="9750000"/>
    <d v="2026-04-10T00:00:00"/>
    <m/>
    <m/>
    <m/>
    <m/>
  </r>
  <r>
    <m/>
    <x v="94"/>
    <d v="2026-04-08T00:00:00"/>
    <d v="1899-12-30T11:34:00"/>
    <x v="131"/>
    <s v="BG25838"/>
    <d v="2026-04-08T00:00:00"/>
    <d v="1899-12-30T11:57:00"/>
    <s v="ITALCOL DE OCCIDENTE"/>
    <s v="GIRARDOTA"/>
    <s v="FRACTAL P X 25 KG"/>
    <n v="2000"/>
    <n v="80"/>
    <n v="52600000"/>
    <d v="2026-04-10T00:00:00"/>
    <m/>
    <m/>
    <m/>
    <m/>
  </r>
  <r>
    <m/>
    <x v="24"/>
    <d v="2026-04-08T00:00:00"/>
    <d v="1899-12-30T11:45:00"/>
    <x v="132"/>
    <s v="BG25810"/>
    <d v="2026-04-08T00:00:00"/>
    <d v="1899-12-30T12:31:00"/>
    <s v="ARANGO HERMANOS"/>
    <s v="DON MATIAS"/>
    <s v="HALQUINOX 800 X 25 KG"/>
    <n v="50"/>
    <n v="2"/>
    <n v="5125000"/>
    <d v="2026-04-09T00:00:00"/>
    <m/>
    <m/>
    <m/>
    <m/>
  </r>
  <r>
    <m/>
    <x v="24"/>
    <d v="2026-04-08T00:00:00"/>
    <d v="1899-12-30T11:45:00"/>
    <x v="132"/>
    <s v="BG25810"/>
    <d v="2026-04-08T00:00:00"/>
    <d v="1899-12-30T12:31:00"/>
    <s v="ARANGO HERMANOS"/>
    <s v="DON MATIAS"/>
    <s v="TILOMIX 250 PREMIX X 25 KG"/>
    <n v="125"/>
    <n v="5"/>
    <n v="7500000"/>
    <d v="2026-04-09T00:00:00"/>
    <m/>
    <m/>
    <m/>
    <m/>
  </r>
  <r>
    <m/>
    <x v="24"/>
    <d v="2026-04-08T00:00:00"/>
    <d v="1899-12-30T11:45:00"/>
    <x v="132"/>
    <s v="BG25810"/>
    <d v="2026-04-08T00:00:00"/>
    <d v="1899-12-30T12:31:00"/>
    <s v="ARANGO HERMANOS"/>
    <s v="DON MATIAS"/>
    <s v="TILVASYYN x 25 KG"/>
    <n v="225"/>
    <n v="9"/>
    <n v="47250000"/>
    <d v="2026-04-09T00:00:00"/>
    <m/>
    <m/>
    <m/>
    <m/>
  </r>
  <r>
    <m/>
    <x v="24"/>
    <d v="2026-04-08T00:00:00"/>
    <d v="1899-12-30T11:45:00"/>
    <x v="132"/>
    <s v="BG25810"/>
    <d v="2026-04-08T00:00:00"/>
    <d v="1899-12-30T12:31:00"/>
    <s v="ARANGO HERMANOS"/>
    <s v="DON MATIAS"/>
    <s v="CIPROFLOX X 5 KG"/>
    <n v="500"/>
    <n v="20"/>
    <n v="28100000"/>
    <d v="2026-04-09T00:00:00"/>
    <m/>
    <m/>
    <m/>
    <m/>
  </r>
  <r>
    <m/>
    <x v="24"/>
    <d v="2026-04-08T00:00:00"/>
    <d v="1899-12-30T11:45:00"/>
    <x v="132"/>
    <s v="BG25810"/>
    <d v="2026-04-08T00:00:00"/>
    <d v="1899-12-30T12:31:00"/>
    <s v="ARANGO HERMANOS"/>
    <s v="DON MATIAS"/>
    <s v="DMB 11 X 25 KG"/>
    <n v="350"/>
    <n v="14"/>
    <n v="6825000"/>
    <d v="2026-04-09T00:00:00"/>
    <m/>
    <m/>
    <m/>
    <m/>
  </r>
  <r>
    <m/>
    <x v="24"/>
    <d v="2026-04-08T00:00:00"/>
    <d v="1899-12-30T11:45:00"/>
    <x v="132"/>
    <s v="BG25810"/>
    <d v="2026-04-08T00:00:00"/>
    <d v="1899-12-30T12:31:00"/>
    <s v="ARANGO HERMANOS"/>
    <s v="DON MATIAS"/>
    <s v="FENIFLOR PREMIX X 25 Kg"/>
    <n v="400"/>
    <n v="16"/>
    <n v="27200000"/>
    <d v="2026-04-09T00:00:00"/>
    <m/>
    <m/>
    <m/>
    <m/>
  </r>
  <r>
    <m/>
    <x v="24"/>
    <d v="2026-04-08T00:00:00"/>
    <d v="1899-12-30T11:45:00"/>
    <x v="132"/>
    <s v="BG25810"/>
    <d v="2026-04-08T00:00:00"/>
    <d v="1899-12-30T12:31:00"/>
    <s v="ARANGO HERMANOS"/>
    <s v="DON MATIAS"/>
    <s v="CLORTETRAX 20 X 25 KG"/>
    <n v="500"/>
    <n v="20"/>
    <n v="8000000"/>
    <d v="2026-04-09T00:00:00"/>
    <m/>
    <m/>
    <m/>
    <m/>
  </r>
  <r>
    <m/>
    <x v="24"/>
    <d v="2026-04-08T00:00:00"/>
    <d v="1899-12-30T11:45:00"/>
    <x v="132"/>
    <s v="BG25810"/>
    <d v="2026-04-08T00:00:00"/>
    <d v="1899-12-30T12:31:00"/>
    <s v="ARANGO HERMANOS"/>
    <s v="DON MATIAS"/>
    <s v="FRACTAL P X 25 KG"/>
    <n v="700"/>
    <n v="28"/>
    <n v="18410000"/>
    <d v="2026-04-09T00:00:00"/>
    <m/>
    <m/>
    <m/>
    <m/>
  </r>
  <r>
    <m/>
    <x v="24"/>
    <d v="2026-04-08T00:00:00"/>
    <d v="1899-12-30T11:45:00"/>
    <x v="133"/>
    <s v="BG25809"/>
    <d v="2026-04-08T00:00:00"/>
    <d v="1899-12-30T12:31:00"/>
    <s v="ARANGO HERMANOS"/>
    <s v="DON MATIAS"/>
    <s v="SMOOT SWEET X 75 GR"/>
    <n v="37.5"/>
    <n v="2"/>
    <n v="0"/>
    <d v="2026-04-09T00:00:00"/>
    <m/>
    <m/>
    <m/>
    <m/>
  </r>
  <r>
    <m/>
    <x v="24"/>
    <d v="2026-04-08T00:00:00"/>
    <d v="1899-12-30T11:45:00"/>
    <x v="134"/>
    <m/>
    <d v="2026-04-08T00:00:00"/>
    <d v="1899-12-30T12:35:00"/>
    <s v="ARANGO HERMANOS"/>
    <s v="DON MATIAS"/>
    <s v="FRACTAL P X 25 KG"/>
    <n v="700"/>
    <n v="28"/>
    <n v="18410000"/>
    <d v="2026-04-22T00:00:00"/>
    <m/>
    <m/>
    <m/>
    <m/>
  </r>
  <r>
    <m/>
    <x v="24"/>
    <d v="2026-04-08T00:00:00"/>
    <d v="1899-12-30T11:45:00"/>
    <x v="135"/>
    <m/>
    <d v="2026-04-08T00:00:00"/>
    <d v="1899-12-30T12:31:00"/>
    <s v="ARANGO HERMANOS"/>
    <s v="DON MATIAS"/>
    <s v="DMB 11 X 25 KG"/>
    <n v="350"/>
    <n v="14"/>
    <n v="6825000"/>
    <d v="2026-04-29T00:00:00"/>
    <m/>
    <m/>
    <m/>
    <m/>
  </r>
  <r>
    <m/>
    <x v="24"/>
    <d v="2026-04-08T00:00:00"/>
    <d v="1899-12-30T11:45:00"/>
    <x v="135"/>
    <m/>
    <d v="2026-04-08T00:00:00"/>
    <d v="1899-12-30T12:31:00"/>
    <s v="ARANGO HERMANOS"/>
    <s v="DON MATIAS"/>
    <s v="CLORTETRAX 20 X 25 KG"/>
    <n v="500"/>
    <n v="20"/>
    <n v="8000000"/>
    <d v="2026-04-29T00:00:00"/>
    <m/>
    <m/>
    <m/>
    <m/>
  </r>
  <r>
    <m/>
    <x v="24"/>
    <d v="2026-04-08T00:00:00"/>
    <d v="1899-12-30T11:45:00"/>
    <x v="135"/>
    <m/>
    <d v="2026-04-08T00:00:00"/>
    <d v="1899-12-30T12:31:00"/>
    <s v="ARANGO HERMANOS"/>
    <s v="DON MATIAS"/>
    <s v="FRACTAL P X 25 KG"/>
    <n v="700"/>
    <n v="28"/>
    <n v="18410000"/>
    <d v="2026-04-29T00:00:00"/>
    <m/>
    <m/>
    <m/>
    <m/>
  </r>
  <r>
    <m/>
    <x v="33"/>
    <d v="2026-04-08T00:00:00"/>
    <d v="1899-12-30T11:50:00"/>
    <x v="136"/>
    <s v="BG25852"/>
    <d v="2026-04-08T00:00:00"/>
    <d v="1899-12-30T12:46:00"/>
    <s v="POLLOS EL BUCANERO"/>
    <s v="ESMERALDA"/>
    <s v="ROFLOX X 1 LITRO"/>
    <n v="28"/>
    <n v="1"/>
    <n v="1400000"/>
    <d v="2026-04-08T00:00:00"/>
    <m/>
    <m/>
    <m/>
    <m/>
  </r>
  <r>
    <s v="INVENTARIO"/>
    <x v="33"/>
    <d v="2026-04-08T00:00:00"/>
    <d v="1899-12-30T11:50:00"/>
    <x v="137"/>
    <m/>
    <d v="2026-04-08T00:00:00"/>
    <d v="1899-12-30T12:46:00"/>
    <s v="POLLOS EL BUCANERO"/>
    <s v="ESMERALDA"/>
    <s v="ROFLOX X 1 LITRO"/>
    <n v="72"/>
    <n v="3"/>
    <n v="3600000"/>
    <d v="2026-04-09T00:00:00"/>
    <m/>
    <m/>
    <m/>
    <m/>
  </r>
  <r>
    <m/>
    <x v="24"/>
    <d v="2026-04-09T00:00:00"/>
    <d v="1899-12-30T09:02:00"/>
    <x v="138"/>
    <s v="BG25836"/>
    <d v="2026-04-09T00:00:00"/>
    <d v="1899-12-30T09:16:00"/>
    <s v="COMERCIALIZADORA G&amp;M"/>
    <s v="MAICAO"/>
    <s v="ACCUREMAX 10% X 25 KG"/>
    <n v="200"/>
    <n v="8"/>
    <n v="47400000"/>
    <d v="2026-04-10T00:00:00"/>
    <m/>
    <m/>
    <m/>
    <m/>
  </r>
  <r>
    <m/>
    <x v="24"/>
    <d v="2026-04-09T00:00:00"/>
    <d v="1899-12-30T09:20:00"/>
    <x v="139"/>
    <s v="BG25835"/>
    <d v="2026-04-09T00:00:00"/>
    <d v="1899-12-30T10:26:00"/>
    <s v="INVERSIONES AGROPORC"/>
    <s v="DON MATIAS"/>
    <s v="CIPROFLOX X 5 KG"/>
    <n v="10"/>
    <n v="0"/>
    <n v="610000"/>
    <d v="2026-04-09T00:00:00"/>
    <m/>
    <m/>
    <m/>
    <m/>
  </r>
  <r>
    <m/>
    <x v="24"/>
    <d v="2026-04-09T00:00:00"/>
    <d v="1899-12-30T09:20:00"/>
    <x v="140"/>
    <s v="BG25834"/>
    <d v="2026-04-09T00:00:00"/>
    <d v="1899-12-30T10:26:00"/>
    <s v="INVERSIONES AGROPORC"/>
    <s v="DON MATIAS"/>
    <s v="SMOOT SWEET X 75 GR"/>
    <n v="0.75"/>
    <n v="0"/>
    <n v="610000"/>
    <d v="2026-04-09T00:00:00"/>
    <m/>
    <m/>
    <m/>
    <m/>
  </r>
  <r>
    <m/>
    <x v="95"/>
    <d v="2026-04-08T00:00:00"/>
    <d v="1899-12-30T16:51:00"/>
    <x v="141"/>
    <m/>
    <d v="2026-04-09T00:00:00"/>
    <d v="1899-12-30T10:40:00"/>
    <s v="AVICOLA LOS CAMBULOS"/>
    <s v="FUSA"/>
    <s v="DQCICLIN X 1 KG"/>
    <n v="13"/>
    <n v="1"/>
    <n v="3510000"/>
    <d v="2026-04-10T00:00:00"/>
    <m/>
    <m/>
    <m/>
    <m/>
  </r>
  <r>
    <m/>
    <x v="96"/>
    <d v="2026-04-09T00:00:00"/>
    <d v="1899-12-30T06:05:00"/>
    <x v="142"/>
    <s v="BG25857"/>
    <d v="2026-04-09T00:00:00"/>
    <d v="1899-12-30T11:27:00"/>
    <s v="AGROAVICOLA SAN MARINO"/>
    <s v="ITALCOL IBAGUE"/>
    <s v="LOTUS X 25 KG"/>
    <n v="100"/>
    <n v="4"/>
    <n v="4050000"/>
    <d v="2026-04-10T00:00:00"/>
    <m/>
    <m/>
    <m/>
    <m/>
  </r>
  <r>
    <m/>
    <x v="97"/>
    <d v="2026-04-09T00:00:00"/>
    <d v="1899-12-30T06:30:00"/>
    <x v="143"/>
    <s v="BG25831"/>
    <d v="2026-04-09T00:00:00"/>
    <d v="1899-12-30T11:48:00"/>
    <s v="PREMEX S.A.S."/>
    <s v="MEDELLIN"/>
    <s v="200 MONECYL R X 25 KG"/>
    <n v="1000"/>
    <n v="40"/>
    <n v="19250000"/>
    <d v="2026-04-09T00:00:00"/>
    <m/>
    <m/>
    <m/>
    <m/>
  </r>
  <r>
    <m/>
    <x v="97"/>
    <d v="2026-04-09T00:00:00"/>
    <d v="1899-12-30T06:30:00"/>
    <x v="143"/>
    <s v="BG25831"/>
    <d v="2026-04-09T00:00:00"/>
    <d v="1899-12-30T11:48:00"/>
    <s v="PREMEX S.A.S."/>
    <s v="MEDELLIN"/>
    <s v="MONECYL X 25 KG"/>
    <n v="2000"/>
    <n v="80"/>
    <n v="38500000"/>
    <d v="2026-04-09T00:00:00"/>
    <m/>
    <m/>
    <m/>
    <m/>
  </r>
  <r>
    <m/>
    <x v="97"/>
    <d v="2026-04-09T00:00:00"/>
    <d v="1899-12-30T06:30:00"/>
    <x v="143"/>
    <s v="BG25831"/>
    <d v="2026-04-09T00:00:00"/>
    <d v="1899-12-30T11:48:00"/>
    <s v="PREMEX S.A.S."/>
    <s v="MEDELLIN"/>
    <s v="SAGAH X 25 KILOS"/>
    <n v="1400"/>
    <n v="56"/>
    <n v="42280000"/>
    <d v="2026-04-09T00:00:00"/>
    <m/>
    <m/>
    <m/>
    <m/>
  </r>
  <r>
    <m/>
    <x v="97"/>
    <d v="2026-04-09T00:00:00"/>
    <d v="1899-12-30T06:30:00"/>
    <x v="143"/>
    <s v="BG25831"/>
    <d v="2026-04-09T00:00:00"/>
    <d v="1899-12-30T11:48:00"/>
    <s v="PREMEX S.A.S."/>
    <s v="MEDELLIN"/>
    <s v="DMB 11 X 25 KG"/>
    <n v="1000"/>
    <n v="40"/>
    <n v="17600000"/>
    <d v="2026-04-09T00:00:00"/>
    <m/>
    <m/>
    <m/>
    <m/>
  </r>
  <r>
    <m/>
    <x v="97"/>
    <d v="2026-04-09T00:00:00"/>
    <d v="1899-12-30T06:30:00"/>
    <x v="143"/>
    <s v="BG25831"/>
    <d v="2026-04-09T00:00:00"/>
    <d v="1899-12-30T11:48:00"/>
    <s v="PREMEX S.A.S."/>
    <s v="MEDELLIN"/>
    <s v="TILOMIX 250 PREMIX X 25 KG"/>
    <n v="2000"/>
    <n v="80"/>
    <n v="103800000"/>
    <d v="2026-04-09T00:00:00"/>
    <m/>
    <m/>
    <m/>
    <m/>
  </r>
  <r>
    <m/>
    <x v="97"/>
    <d v="2026-04-09T00:00:00"/>
    <d v="1899-12-30T06:30:00"/>
    <x v="143"/>
    <s v="BG25831"/>
    <d v="2026-04-09T00:00:00"/>
    <d v="1899-12-30T11:48:00"/>
    <s v="PREMEX S.A.S."/>
    <s v="MEDELLIN"/>
    <s v="FENIFLOR PREMIX X 25 Kg"/>
    <n v="1500"/>
    <n v="60"/>
    <n v="77790000"/>
    <d v="2026-04-09T00:00:00"/>
    <m/>
    <m/>
    <m/>
    <m/>
  </r>
  <r>
    <m/>
    <x v="24"/>
    <d v="2026-04-09T00:00:00"/>
    <d v="1899-12-30T06:30:00"/>
    <x v="144"/>
    <s v="BG25830"/>
    <d v="2026-04-09T00:00:00"/>
    <d v="1899-12-30T11:51:00"/>
    <s v="MESAGE"/>
    <s v="MEDELLIN"/>
    <s v="HALQUINOX 800 X 25 KG"/>
    <n v="3000"/>
    <n v="120"/>
    <n v="218601000"/>
    <d v="2026-04-09T00:00:00"/>
    <m/>
    <m/>
    <m/>
    <m/>
  </r>
  <r>
    <m/>
    <x v="24"/>
    <d v="2026-04-09T00:00:00"/>
    <d v="1899-12-30T06:30:00"/>
    <x v="144"/>
    <s v="BG25830"/>
    <d v="2026-04-09T00:00:00"/>
    <d v="1899-12-30T11:51:00"/>
    <s v="MESAGE"/>
    <s v="MEDELLIN"/>
    <s v="DINAMIX 800 X 25 KG"/>
    <n v="1000"/>
    <n v="40"/>
    <n v="122901000"/>
    <d v="2026-04-09T00:00:00"/>
    <m/>
    <m/>
    <m/>
    <m/>
  </r>
  <r>
    <m/>
    <x v="98"/>
    <d v="2026-04-07T00:00:00"/>
    <d v="1899-12-30T16:08:00"/>
    <x v="145"/>
    <m/>
    <d v="2026-04-09T00:00:00"/>
    <d v="1899-12-30T11:56:00"/>
    <s v="SOLLA S.A."/>
    <s v="BUGA"/>
    <s v="FRACTAL P X 25 KG"/>
    <n v="1300"/>
    <n v="52"/>
    <n v="34190000"/>
    <d v="2026-04-22T00:00:00"/>
    <m/>
    <m/>
    <m/>
    <m/>
  </r>
  <r>
    <m/>
    <x v="98"/>
    <d v="2026-04-07T00:00:00"/>
    <d v="1899-12-30T16:08:00"/>
    <x v="145"/>
    <m/>
    <d v="2026-04-09T00:00:00"/>
    <d v="1899-12-30T11:56:00"/>
    <s v="SOLLA S.A."/>
    <s v="BUGA"/>
    <s v="LOTUS X 25 KG"/>
    <n v="500"/>
    <n v="20"/>
    <n v="20250000"/>
    <d v="2026-04-22T00:00:00"/>
    <m/>
    <m/>
    <m/>
    <m/>
  </r>
  <r>
    <m/>
    <x v="99"/>
    <d v="2026-04-09T00:00:00"/>
    <d v="1899-12-30T09:32:00"/>
    <x v="146"/>
    <m/>
    <d v="2026-04-09T00:00:00"/>
    <d v="1899-12-30T12:09:00"/>
    <s v="MEJIA &amp; CIA"/>
    <s v="MOSQUERA"/>
    <s v="HALQUINOX 800 X 25 KG"/>
    <n v="500"/>
    <n v="20"/>
    <n v="51250000"/>
    <d v="2026-04-28T00:00:00"/>
    <m/>
    <m/>
    <m/>
    <m/>
  </r>
  <r>
    <m/>
    <x v="100"/>
    <d v="2026-04-09T00:00:00"/>
    <d v="1899-12-30T09:32:00"/>
    <x v="147"/>
    <m/>
    <d v="2026-04-09T00:00:00"/>
    <d v="1899-12-30T12:09:00"/>
    <s v="MEJIA &amp; CIA"/>
    <s v="MOSQUERA"/>
    <s v="SAGAH X 25 KILOS"/>
    <n v="300"/>
    <n v="12"/>
    <n v="10500000"/>
    <d v="2026-04-20T00:00:00"/>
    <m/>
    <m/>
    <m/>
    <m/>
  </r>
  <r>
    <m/>
    <x v="24"/>
    <d v="2026-04-09T00:00:00"/>
    <d v="1899-12-30T11:19:00"/>
    <x v="148"/>
    <s v="BG25856"/>
    <d v="2026-04-09T00:00:00"/>
    <d v="1899-12-30T12:16:00"/>
    <s v="MARIA JOSE ORTIZ"/>
    <s v="BUCARAMANGA"/>
    <s v="DQCICLIN X 1 KG"/>
    <n v="2"/>
    <n v="2"/>
    <n v="500000"/>
    <d v="2026-04-09T00:00:00"/>
    <m/>
    <m/>
    <m/>
    <m/>
  </r>
  <r>
    <s v="TRANSPORTE"/>
    <x v="101"/>
    <d v="2026-04-09T00:00:00"/>
    <d v="1899-12-30T11:44:00"/>
    <x v="149"/>
    <s v="BG25855"/>
    <d v="2026-04-09T00:00:00"/>
    <d v="1899-12-30T12:21:00"/>
    <s v="POLLOS EL BUCANERO"/>
    <s v="CAVASA"/>
    <s v="MONECYL X 25 KG"/>
    <n v="6000"/>
    <n v="240"/>
    <n v="117000000"/>
    <d v="2026-04-10T00:00:00"/>
    <m/>
    <m/>
    <m/>
    <m/>
  </r>
  <r>
    <m/>
    <x v="102"/>
    <d v="2026-04-09T00:00:00"/>
    <d v="1899-12-30T08:56:00"/>
    <x v="150"/>
    <s v="BG25876"/>
    <d v="2026-04-09T00:00:00"/>
    <d v="1899-12-30T12:37:00"/>
    <s v="CERDON S.A.S"/>
    <s v="DON MATIAS"/>
    <s v="FRACTAL P X 25 KG"/>
    <n v="1000"/>
    <n v="40"/>
    <n v="26300000"/>
    <d v="2026-04-15T00:00:00"/>
    <m/>
    <m/>
    <m/>
    <m/>
  </r>
  <r>
    <m/>
    <x v="102"/>
    <d v="2026-04-09T00:00:00"/>
    <d v="1899-12-30T08:56:00"/>
    <x v="150"/>
    <s v="BG25876"/>
    <d v="2026-04-09T00:00:00"/>
    <d v="1899-12-30T12:37:00"/>
    <s v="CERDON S.A.S"/>
    <s v="DON MATIAS"/>
    <s v="TILVASYYN x 25 KG"/>
    <n v="125"/>
    <n v="5"/>
    <n v="25000000"/>
    <d v="2026-04-15T00:00:00"/>
    <m/>
    <m/>
    <m/>
    <m/>
  </r>
  <r>
    <s v="CARTERA"/>
    <x v="103"/>
    <d v="2026-04-09T00:00:00"/>
    <d v="1899-12-30T16:00:00"/>
    <x v="151"/>
    <m/>
    <d v="2026-04-09T00:00:00"/>
    <d v="1899-12-30T16:53:00"/>
    <s v="PORCICOLA EMMANUEL S.A.S."/>
    <s v="LERIDA"/>
    <s v="FENIFLOR PREMIX X 25 Kg"/>
    <n v="25"/>
    <n v="1"/>
    <n v="1687000"/>
    <d v="2026-04-15T00:00:00"/>
    <m/>
    <m/>
    <m/>
    <m/>
  </r>
  <r>
    <s v="CARTERA"/>
    <x v="103"/>
    <d v="2026-04-09T00:00:00"/>
    <d v="1899-12-30T16:00:00"/>
    <x v="151"/>
    <m/>
    <d v="2026-04-09T00:00:00"/>
    <d v="1899-12-30T16:53:00"/>
    <s v="PORCICOLA EMMANUEL S.A.S."/>
    <s v="LERIDA"/>
    <s v="ACCUREMAX 10% X 25 KG"/>
    <n v="50"/>
    <n v="2"/>
    <n v="11750000"/>
    <d v="2026-04-15T00:00:00"/>
    <m/>
    <m/>
    <m/>
    <m/>
  </r>
  <r>
    <s v="CARTERA"/>
    <x v="103"/>
    <d v="2026-04-09T00:00:00"/>
    <d v="1899-12-30T16:00:00"/>
    <x v="151"/>
    <m/>
    <d v="2026-04-09T00:00:00"/>
    <d v="1899-12-30T16:53:00"/>
    <s v="PORCICOLA EMMANUEL S.A.S."/>
    <s v="LERIDA"/>
    <s v="FRACTAL P X 25 KG"/>
    <n v="500"/>
    <n v="20"/>
    <n v="13150000"/>
    <d v="2026-04-15T00:00:00"/>
    <m/>
    <m/>
    <m/>
    <m/>
  </r>
  <r>
    <s v="CARTERA"/>
    <x v="103"/>
    <d v="2026-04-09T00:00:00"/>
    <d v="1899-12-30T16:00:00"/>
    <x v="151"/>
    <m/>
    <d v="2026-04-09T00:00:00"/>
    <d v="1899-12-30T16:53:00"/>
    <s v="PORCICOLA EMMANUEL S.A.S."/>
    <s v="LERIDA"/>
    <s v="CIPROFLOX X 5 KG"/>
    <n v="50"/>
    <n v="2"/>
    <n v="2680000"/>
    <d v="2026-04-15T00:00:00"/>
    <m/>
    <m/>
    <m/>
    <m/>
  </r>
  <r>
    <s v="CARTERA"/>
    <x v="103"/>
    <d v="2026-04-09T00:00:00"/>
    <d v="1899-12-30T16:00:00"/>
    <x v="152"/>
    <m/>
    <d v="2026-04-09T00:00:00"/>
    <d v="1899-12-30T16:53:00"/>
    <s v="PORCICOLA EMMANUEL S.A.S."/>
    <s v="LERIDA"/>
    <s v="SMOOT SWEET X 75 GR"/>
    <n v="3.75"/>
    <n v="0"/>
    <n v="0"/>
    <d v="2026-04-15T00:00:00"/>
    <m/>
    <m/>
    <m/>
    <m/>
  </r>
  <r>
    <m/>
    <x v="24"/>
    <d v="2026-04-09T00:00:00"/>
    <d v="1899-12-30T14:13:00"/>
    <x v="153"/>
    <s v="BG25853"/>
    <d v="2026-04-09T00:00:00"/>
    <d v="1899-12-30T17:01:00"/>
    <s v="INVERSIONES CARDONA RIOS (AVICOLA LA MARIA)"/>
    <s v="CEJA"/>
    <s v="FENIFLOR PREMIX X 25 Kg"/>
    <n v="75"/>
    <n v="3"/>
    <n v="5250000"/>
    <d v="2026-04-10T00:00:00"/>
    <m/>
    <m/>
    <m/>
    <m/>
  </r>
  <r>
    <m/>
    <x v="104"/>
    <d v="2026-04-09T00:00:00"/>
    <d v="1899-12-30T20:05:00"/>
    <x v="154"/>
    <s v="BG25936"/>
    <d v="2026-04-10T00:00:00"/>
    <d v="1899-12-30T07:44:00"/>
    <s v="AGROAVICOLA SAN MARINO"/>
    <s v="RECOGE EN BODEGA"/>
    <s v="1 KG DE CIPROFLOX"/>
    <n v="10"/>
    <n v="0"/>
    <n v="580000"/>
    <d v="2026-04-10T00:00:00"/>
    <m/>
    <m/>
    <m/>
    <m/>
  </r>
  <r>
    <m/>
    <x v="104"/>
    <d v="2026-04-09T00:00:00"/>
    <d v="1899-12-30T20:05:00"/>
    <x v="155"/>
    <s v="BG25851"/>
    <d v="2026-04-10T00:00:00"/>
    <d v="1899-12-30T07:44:00"/>
    <s v="AGROAVICOLA SAN MARINO"/>
    <s v="RECOGE EN BODEGA"/>
    <s v="SMOOT SWEET X 75 GR"/>
    <n v="0.75"/>
    <n v="0"/>
    <n v="0"/>
    <d v="2026-04-10T00:00:00"/>
    <m/>
    <m/>
    <m/>
    <m/>
  </r>
  <r>
    <m/>
    <x v="105"/>
    <d v="2026-04-10T00:00:00"/>
    <d v="1899-12-30T07:03:00"/>
    <x v="156"/>
    <m/>
    <d v="2026-04-10T00:00:00"/>
    <d v="1899-12-30T07:56:00"/>
    <s v="AGROAVICOLA SAN MARINO"/>
    <s v="ITALCOL GIRON"/>
    <s v="LOTUS X 25 KG"/>
    <n v="225"/>
    <n v="9"/>
    <n v="9112500"/>
    <d v="2026-04-13T00:00:00"/>
    <m/>
    <m/>
    <m/>
    <m/>
  </r>
  <r>
    <m/>
    <x v="106"/>
    <d v="2026-04-09T00:00:00"/>
    <d v="1899-12-30T16:48:00"/>
    <x v="157"/>
    <s v="BG25882"/>
    <d v="2026-04-10T00:00:00"/>
    <d v="1899-12-30T08:05:00"/>
    <s v="INVERSIONES FEED"/>
    <s v="RIONEGRO"/>
    <s v="FRACTAL P X 25 KG"/>
    <n v="200"/>
    <n v="8"/>
    <n v="5260000"/>
    <d v="2026-04-14T00:00:00"/>
    <m/>
    <m/>
    <m/>
    <m/>
  </r>
  <r>
    <m/>
    <x v="106"/>
    <d v="2026-04-09T00:00:00"/>
    <d v="1899-12-30T16:48:00"/>
    <x v="157"/>
    <s v="BG25882"/>
    <d v="2026-04-10T00:00:00"/>
    <d v="1899-12-30T08:05:00"/>
    <s v="INVERSIONES FEED"/>
    <s v="RIONEGRO"/>
    <s v="DMB 11 X 25 KG"/>
    <n v="50"/>
    <n v="2"/>
    <n v="975000"/>
    <d v="2026-04-14T00:00:00"/>
    <m/>
    <m/>
    <m/>
    <m/>
  </r>
  <r>
    <m/>
    <x v="106"/>
    <d v="2026-04-09T00:00:00"/>
    <d v="1899-12-30T16:48:00"/>
    <x v="158"/>
    <s v="BG25843"/>
    <d v="2026-04-10T00:00:00"/>
    <d v="1899-12-30T08:05:00"/>
    <s v="INVERSIONES FEED"/>
    <s v="RIONEGRO"/>
    <s v="TILOMIX 250 PREMIX X 25 KG"/>
    <n v="25"/>
    <n v="1"/>
    <n v="1550000"/>
    <d v="2026-04-14T00:00:00"/>
    <m/>
    <m/>
    <m/>
    <m/>
  </r>
  <r>
    <m/>
    <x v="107"/>
    <d v="2026-04-09T00:00:00"/>
    <d v="1899-12-30T17:30:00"/>
    <x v="159"/>
    <m/>
    <d v="2026-04-10T00:00:00"/>
    <d v="1899-12-30T10:08:00"/>
    <s v="CONTEGRAL S.A.S."/>
    <s v="ENVIGADO"/>
    <s v="ACCUREMAX X 25 KG"/>
    <n v="100"/>
    <n v="4"/>
    <n v="5410000"/>
    <d v="2026-04-24T00:00:00"/>
    <m/>
    <m/>
    <m/>
    <m/>
  </r>
  <r>
    <m/>
    <x v="108"/>
    <d v="2026-04-09T00:00:00"/>
    <d v="1899-12-30T17:42:00"/>
    <x v="160"/>
    <s v="BG25875"/>
    <d v="2026-04-10T00:00:00"/>
    <d v="1899-12-30T10:10:00"/>
    <s v="PREMEX S.A.S."/>
    <s v="MEDELLIN"/>
    <s v="200 MONECYL R X 25 KG"/>
    <n v="2500"/>
    <n v="100"/>
    <n v="48125000"/>
    <d v="2026-04-14T00:00:00"/>
    <m/>
    <m/>
    <m/>
    <m/>
  </r>
  <r>
    <m/>
    <x v="108"/>
    <d v="2026-04-09T00:00:00"/>
    <d v="1899-12-30T17:42:00"/>
    <x v="160"/>
    <s v="BG25875"/>
    <d v="2026-04-10T00:00:00"/>
    <d v="1899-12-30T10:10:00"/>
    <s v="PREMEX S.A.S."/>
    <s v="MEDELLIN"/>
    <s v="ACCUREMAX 20 % X 25 KG"/>
    <n v="400"/>
    <n v="16"/>
    <n v="179250000"/>
    <d v="2026-04-14T00:00:00"/>
    <m/>
    <m/>
    <m/>
    <m/>
  </r>
  <r>
    <m/>
    <x v="108"/>
    <d v="2026-04-09T00:00:00"/>
    <d v="1899-12-30T17:42:00"/>
    <x v="160"/>
    <s v="BG25875"/>
    <d v="2026-04-10T00:00:00"/>
    <d v="1899-12-30T10:10:00"/>
    <s v="PREMEX S.A.S."/>
    <s v="MEDELLIN"/>
    <s v="NEOCYN X 25 KG"/>
    <n v="400"/>
    <n v="16"/>
    <n v="24680000"/>
    <d v="2026-04-14T00:00:00"/>
    <m/>
    <m/>
    <m/>
    <m/>
  </r>
  <r>
    <m/>
    <x v="109"/>
    <d v="2026-04-09T00:00:00"/>
    <d v="1899-12-30T17:42:00"/>
    <x v="161"/>
    <m/>
    <d v="2026-04-10T00:00:00"/>
    <d v="1899-12-30T10:10:00"/>
    <s v="PREMEX S.A.S."/>
    <s v="MEDELLIN"/>
    <s v="FRACTAL P X 25 KG"/>
    <n v="2000"/>
    <n v="80"/>
    <n v="49500000"/>
    <d v="2026-04-14T00:00:00"/>
    <m/>
    <m/>
    <m/>
    <m/>
  </r>
  <r>
    <m/>
    <x v="110"/>
    <d v="2026-04-09T00:00:00"/>
    <d v="1899-12-30T18:01:00"/>
    <x v="162"/>
    <m/>
    <d v="2026-04-10T00:00:00"/>
    <d v="1899-12-30T10:18:00"/>
    <s v="CONTEGRAL S.A.S."/>
    <s v="BOGOTA"/>
    <s v="LOTUS X 25 KG"/>
    <n v="100"/>
    <n v="4"/>
    <n v="3450000"/>
    <d v="2026-04-13T00:00:00"/>
    <m/>
    <m/>
    <m/>
    <m/>
  </r>
  <r>
    <m/>
    <x v="111"/>
    <d v="2026-04-10T00:00:00"/>
    <d v="1899-12-30T07:04:00"/>
    <x v="163"/>
    <s v="BG25847"/>
    <d v="2026-04-10T00:00:00"/>
    <d v="1899-12-30T10:22:00"/>
    <s v="AGROAVICOLA SAN MARINO"/>
    <s v="PEREIRA"/>
    <s v="FOSMYCINA 90 X 500 GR"/>
    <n v="4"/>
    <n v="0"/>
    <n v="2080000"/>
    <d v="2026-04-13T00:00:00"/>
    <m/>
    <m/>
    <m/>
    <m/>
  </r>
  <r>
    <m/>
    <x v="112"/>
    <d v="2026-04-10T00:00:00"/>
    <d v="1899-12-30T07:20:00"/>
    <x v="164"/>
    <m/>
    <d v="2026-04-10T00:00:00"/>
    <d v="1899-12-30T10:26:00"/>
    <s v="COMERCIALIZARA CAMPOFERTIL"/>
    <s v="BUGA"/>
    <s v="FOSMYCINA 90 X 500 GR"/>
    <n v="7.5"/>
    <n v="0"/>
    <n v="3975000"/>
    <d v="2026-04-13T00:00:00"/>
    <m/>
    <m/>
    <m/>
    <m/>
  </r>
  <r>
    <m/>
    <x v="24"/>
    <d v="2026-04-10T00:00:00"/>
    <d v="1899-12-30T10:23:00"/>
    <x v="165"/>
    <s v="BG25863"/>
    <d v="2026-04-10T00:00:00"/>
    <d v="1899-12-30T10:58:00"/>
    <s v="AVICOLA LA DOMINGA"/>
    <s v="NEIVA"/>
    <s v="FRACTAL P X 25 KG"/>
    <n v="1000"/>
    <n v="40"/>
    <n v="26300000"/>
    <d v="2026-04-14T00:00:00"/>
    <m/>
    <m/>
    <m/>
    <m/>
  </r>
  <r>
    <m/>
    <x v="24"/>
    <d v="2026-04-10T00:00:00"/>
    <d v="1899-12-30T08:13:00"/>
    <x v="166"/>
    <m/>
    <d v="2026-04-10T00:00:00"/>
    <d v="1899-12-30T12:05:00"/>
    <s v="DISTRIBUIDORA AGRO-PLUS SAS"/>
    <s v="DON MATIAS"/>
    <s v="PROYECTO TILVASYN X 5 KG"/>
    <n v="20"/>
    <n v="1"/>
    <n v="4300000"/>
    <d v="2026-04-10T00:00:00"/>
    <m/>
    <m/>
    <m/>
    <m/>
  </r>
  <r>
    <m/>
    <x v="113"/>
    <d v="2026-04-10T00:00:00"/>
    <d v="1899-12-30T14:34:00"/>
    <x v="167"/>
    <s v="BG25862"/>
    <d v="2026-04-13T00:00:00"/>
    <d v="1899-12-30T08:31:00"/>
    <s v="AGROPECUARIA DE OCCIDENTE"/>
    <s v="CALI"/>
    <s v="FOSMYCINA 90 X 500 GR"/>
    <n v="5"/>
    <n v="0"/>
    <n v="5200000"/>
    <d v="2026-04-13T00:00:00"/>
    <m/>
    <m/>
    <m/>
    <m/>
  </r>
  <r>
    <m/>
    <x v="114"/>
    <d v="2026-04-10T00:00:00"/>
    <d v="1899-12-30T17:32:00"/>
    <x v="168"/>
    <s v="BG25865"/>
    <d v="2026-04-13T00:00:00"/>
    <d v="1899-12-30T08:54:00"/>
    <s v="AGROAVICOLA SAN MARINO"/>
    <s v="RECOGE EN BODEGA"/>
    <s v="FOSMYCINA 90 X 500 GR"/>
    <n v="6"/>
    <n v="0"/>
    <n v="3120000"/>
    <d v="2026-04-13T00:00:00"/>
    <m/>
    <m/>
    <m/>
    <m/>
  </r>
  <r>
    <m/>
    <x v="115"/>
    <d v="2026-04-13T00:00:00"/>
    <d v="1899-12-30T09:35:00"/>
    <x v="169"/>
    <s v="BG25873"/>
    <d v="2026-04-13T00:00:00"/>
    <d v="1899-12-30T11:12:00"/>
    <s v="CARLOS AYORA"/>
    <s v="BUGA"/>
    <s v="DINAMIX 200 PREMIX X 25 KG"/>
    <n v="300"/>
    <n v="12"/>
    <n v="15600000"/>
    <d v="2026-04-14T00:00:00"/>
    <m/>
    <m/>
    <m/>
    <m/>
  </r>
  <r>
    <m/>
    <x v="115"/>
    <d v="2026-04-13T00:00:00"/>
    <d v="1899-12-30T09:35:00"/>
    <x v="169"/>
    <s v="BG25873"/>
    <d v="2026-04-13T00:00:00"/>
    <d v="1899-12-30T11:12:00"/>
    <s v="CARLOS AYORA"/>
    <s v="BUGA"/>
    <s v="CLORTETRAX 20 X 25 KG"/>
    <n v="300"/>
    <n v="12"/>
    <n v="4800000"/>
    <d v="2026-04-14T00:00:00"/>
    <m/>
    <m/>
    <m/>
    <m/>
  </r>
  <r>
    <s v="INVENTARIO"/>
    <x v="113"/>
    <d v="2026-04-10T00:00:00"/>
    <d v="1899-12-30T14:34:00"/>
    <x v="170"/>
    <s v="BG25971"/>
    <d v="2026-04-13T00:00:00"/>
    <d v="1899-12-30T11:20:00"/>
    <s v="AGROPECUARIA DE OCCIDENTE"/>
    <s v="CALI"/>
    <s v="AMOXIN X 1 KILO"/>
    <n v="30"/>
    <n v="1"/>
    <n v="4650000"/>
    <d v="2026-04-13T00:00:00"/>
    <m/>
    <m/>
    <m/>
    <m/>
  </r>
  <r>
    <m/>
    <x v="116"/>
    <d v="2026-04-10T00:00:00"/>
    <d v="1899-12-30T17:01:00"/>
    <x v="171"/>
    <m/>
    <d v="2026-04-13T00:00:00"/>
    <d v="1899-12-30T11:39:00"/>
    <s v="COMPAÑIA INDUSTRIAL DE PRODUCTOS AGROPECUARIOS S.A"/>
    <s v="BELLO"/>
    <s v="LOTUS X 25 KG"/>
    <n v="250"/>
    <n v="10"/>
    <n v="10125000"/>
    <d v="2026-04-16T00:00:00"/>
    <m/>
    <m/>
    <m/>
    <m/>
  </r>
  <r>
    <m/>
    <x v="117"/>
    <d v="2026-04-11T00:00:00"/>
    <d v="1899-12-30T09:15:00"/>
    <x v="172"/>
    <s v="BG26012"/>
    <d v="2026-04-13T00:00:00"/>
    <d v="1899-12-30T11:49:00"/>
    <s v="FINCA S.A.S."/>
    <s v="ITAGUI"/>
    <s v="ACCUREMAX X 25 KG"/>
    <n v="150"/>
    <n v="6"/>
    <n v="7950000"/>
    <d v="2026-04-24T00:00:00"/>
    <m/>
    <m/>
    <m/>
    <m/>
  </r>
  <r>
    <m/>
    <x v="118"/>
    <d v="2026-04-11T00:00:00"/>
    <d v="1899-12-30T09:21:00"/>
    <x v="173"/>
    <s v="BG25872"/>
    <d v="2026-04-13T00:00:00"/>
    <d v="1899-12-30T11:54:00"/>
    <s v="INSUMOS AGROPECUARIOS DEL CAFE"/>
    <s v="BARCON"/>
    <s v="CLORTETRAX 20 X 25 KG"/>
    <n v="175"/>
    <n v="7"/>
    <n v="2800000"/>
    <d v="2026-04-14T00:00:00"/>
    <m/>
    <m/>
    <m/>
    <m/>
  </r>
  <r>
    <m/>
    <x v="119"/>
    <d v="2026-04-13T00:00:00"/>
    <d v="1899-12-30T10:01:00"/>
    <x v="174"/>
    <s v="BG25881"/>
    <d v="2026-04-13T00:00:00"/>
    <d v="1899-12-30T12:04:00"/>
    <s v="PREMEX S.A.S."/>
    <s v="CELTA"/>
    <s v="NEOCYN X 25 KG"/>
    <n v="400"/>
    <n v="16"/>
    <n v="24680000"/>
    <d v="2026-04-14T00:00:00"/>
    <m/>
    <m/>
    <m/>
    <m/>
  </r>
  <r>
    <m/>
    <x v="119"/>
    <d v="2026-04-13T00:00:00"/>
    <d v="1899-12-30T10:01:00"/>
    <x v="174"/>
    <s v="BG25881"/>
    <d v="2026-04-13T00:00:00"/>
    <d v="1899-12-30T12:04:00"/>
    <s v="PREMEX S.A.S."/>
    <s v="CELTA"/>
    <s v="TILOMIX 250 PREMIX X 25 KG"/>
    <n v="1000"/>
    <n v="40"/>
    <n v="51900000"/>
    <d v="2026-04-14T00:00:00"/>
    <m/>
    <m/>
    <m/>
    <m/>
  </r>
  <r>
    <m/>
    <x v="119"/>
    <d v="2026-04-13T00:00:00"/>
    <d v="1899-12-30T10:01:00"/>
    <x v="174"/>
    <s v="BG25881"/>
    <d v="2026-04-13T00:00:00"/>
    <d v="1899-12-30T12:04:00"/>
    <s v="PREMEX S.A.S."/>
    <s v="CELTA"/>
    <s v="ACCUREMAX 20 % X 25 KG"/>
    <n v="100"/>
    <n v="4"/>
    <n v="44880000"/>
    <d v="2026-04-14T00:00:00"/>
    <m/>
    <m/>
    <m/>
    <m/>
  </r>
  <r>
    <m/>
    <x v="119"/>
    <d v="2026-04-13T00:00:00"/>
    <d v="1899-12-30T10:01:00"/>
    <x v="174"/>
    <s v="BG25881"/>
    <d v="2026-04-13T00:00:00"/>
    <d v="1899-12-30T12:04:00"/>
    <s v="PREMEX S.A.S."/>
    <s v="CELTA"/>
    <s v="LOTUS X 25 KG"/>
    <n v="500"/>
    <n v="20"/>
    <n v="17250000"/>
    <d v="2026-04-14T00:00:00"/>
    <m/>
    <m/>
    <m/>
    <m/>
  </r>
  <r>
    <m/>
    <x v="119"/>
    <d v="2026-04-13T00:00:00"/>
    <d v="1899-12-30T10:01:00"/>
    <x v="174"/>
    <s v="BG25881"/>
    <d v="2026-04-13T00:00:00"/>
    <d v="1899-12-30T12:04:00"/>
    <s v="PREMEX S.A.S."/>
    <s v="CELTA"/>
    <s v="SAGAH X 25 KILOS"/>
    <n v="400"/>
    <n v="16"/>
    <n v="12080000"/>
    <d v="2026-04-14T00:00:00"/>
    <m/>
    <m/>
    <m/>
    <m/>
  </r>
  <r>
    <m/>
    <x v="119"/>
    <d v="2026-04-13T00:00:00"/>
    <d v="1899-12-30T10:01:00"/>
    <x v="174"/>
    <s v="BG25881"/>
    <d v="2026-04-13T00:00:00"/>
    <d v="1899-12-30T12:04:00"/>
    <s v="PREMEX S.A.S."/>
    <s v="CELTA"/>
    <s v="MONECYL X 25 KG"/>
    <n v="1500"/>
    <n v="60"/>
    <n v="28875000"/>
    <d v="2026-04-14T00:00:00"/>
    <m/>
    <m/>
    <m/>
    <m/>
  </r>
  <r>
    <m/>
    <x v="119"/>
    <d v="2026-04-13T00:00:00"/>
    <d v="1899-12-30T10:01:00"/>
    <x v="174"/>
    <s v="BG25881"/>
    <d v="2026-04-13T00:00:00"/>
    <d v="1899-12-30T12:04:00"/>
    <s v="PREMEX S.A.S."/>
    <s v="CELTA"/>
    <s v="200 MONECYL R X 25 KG"/>
    <n v="2500"/>
    <n v="100"/>
    <n v="48125000"/>
    <d v="2026-04-14T00:00:00"/>
    <m/>
    <m/>
    <m/>
    <m/>
  </r>
  <r>
    <m/>
    <x v="119"/>
    <d v="2026-04-13T00:00:00"/>
    <d v="1899-12-30T10:01:00"/>
    <x v="174"/>
    <s v="BG25881"/>
    <d v="2026-04-13T00:00:00"/>
    <d v="1899-12-30T12:04:00"/>
    <s v="PREMEX S.A.S."/>
    <s v="CELTA"/>
    <s v="DMB 11 X 25 KG"/>
    <n v="150"/>
    <n v="6"/>
    <n v="2640000"/>
    <d v="2026-04-14T00:00:00"/>
    <m/>
    <m/>
    <m/>
    <m/>
  </r>
  <r>
    <m/>
    <x v="119"/>
    <d v="2026-04-13T00:00:00"/>
    <d v="1899-12-30T10:01:00"/>
    <x v="174"/>
    <s v="BG25881"/>
    <d v="2026-04-13T00:00:00"/>
    <d v="1899-12-30T12:04:00"/>
    <s v="PREMEX S.A.S."/>
    <s v="CELTA"/>
    <s v="ESPELIN 88 X 25 KG"/>
    <n v="100"/>
    <n v="4"/>
    <n v="3890000"/>
    <d v="2026-04-14T00:00:00"/>
    <m/>
    <m/>
    <m/>
    <m/>
  </r>
  <r>
    <m/>
    <x v="119"/>
    <d v="2026-04-13T00:00:00"/>
    <d v="1899-12-30T10:01:00"/>
    <x v="174"/>
    <s v="BG25881"/>
    <d v="2026-04-13T00:00:00"/>
    <d v="1899-12-30T12:04:00"/>
    <s v="PREMEX S.A.S."/>
    <s v="CELTA"/>
    <s v="FRACTAL P X 25 KG"/>
    <n v="100"/>
    <n v="4"/>
    <n v="2475000"/>
    <d v="2026-04-14T00:00:00"/>
    <m/>
    <m/>
    <m/>
    <m/>
  </r>
  <r>
    <m/>
    <x v="24"/>
    <d v="2026-04-13T00:00:00"/>
    <d v="1899-12-30T10:16:00"/>
    <x v="175"/>
    <s v="BG25867"/>
    <d v="2026-04-13T00:00:00"/>
    <d v="1899-12-30T12:59:00"/>
    <s v="MARIA JOSE ORTIZ"/>
    <s v="BUCARAMANGA"/>
    <s v="DINAMIX 600 X 250 GR"/>
    <n v="11"/>
    <n v="0"/>
    <n v="1870000"/>
    <d v="2026-04-14T00:00:00"/>
    <m/>
    <m/>
    <m/>
    <m/>
  </r>
  <r>
    <m/>
    <x v="24"/>
    <d v="2026-04-13T00:00:00"/>
    <d v="1899-12-30T10:16:00"/>
    <x v="176"/>
    <s v="BG25866"/>
    <d v="2026-04-13T00:00:00"/>
    <d v="1899-12-30T12:59:00"/>
    <s v="MARIA JOSE ORTIZ"/>
    <s v="BUCARAMANGA"/>
    <s v="SMOOT SWEET X 75 GR"/>
    <n v="0.82499999999999996"/>
    <n v="0"/>
    <n v="0"/>
    <d v="2026-04-14T00:00:00"/>
    <m/>
    <m/>
    <m/>
    <m/>
  </r>
  <r>
    <m/>
    <x v="120"/>
    <d v="2026-04-13T00:00:00"/>
    <d v="1899-12-30T11:00:00"/>
    <x v="177"/>
    <s v="BG25868"/>
    <d v="2026-04-13T00:00:00"/>
    <d v="1899-12-30T12:59:00"/>
    <s v="AVECER"/>
    <s v="CALI"/>
    <s v="FOSMYCINA 90 X 500 GR"/>
    <n v="5"/>
    <n v="0"/>
    <n v="5950000"/>
    <d v="2026-03-12T00:00:00"/>
    <m/>
    <m/>
    <m/>
    <m/>
  </r>
  <r>
    <m/>
    <x v="121"/>
    <d v="2026-04-13T00:00:00"/>
    <d v="1899-12-30T11:17:00"/>
    <x v="178"/>
    <m/>
    <d v="2026-04-13T00:00:00"/>
    <d v="1899-12-30T13:22:00"/>
    <s v="CONTEGRAL S.A.S."/>
    <s v="BOGOTA"/>
    <s v="FENIFLOR PREMIX X 25 Kg"/>
    <n v="50"/>
    <n v="2"/>
    <n v="2593000"/>
    <d v="2026-04-27T00:00:00"/>
    <m/>
    <m/>
    <m/>
    <m/>
  </r>
  <r>
    <m/>
    <x v="121"/>
    <d v="2026-04-13T00:00:00"/>
    <d v="1899-12-30T11:17:00"/>
    <x v="178"/>
    <m/>
    <d v="2026-04-13T00:00:00"/>
    <d v="1899-12-30T13:22:00"/>
    <s v="CONTEGRAL S.A.S."/>
    <s v="BOGOTA"/>
    <s v="TILVASYYN x 25 KG"/>
    <n v="50"/>
    <n v="2"/>
    <n v="9010000"/>
    <d v="2026-04-27T00:00:00"/>
    <m/>
    <m/>
    <m/>
    <m/>
  </r>
  <r>
    <m/>
    <x v="122"/>
    <d v="2026-04-13T00:00:00"/>
    <d v="1899-12-30T11:41:00"/>
    <x v="179"/>
    <m/>
    <d v="2026-04-13T00:00:00"/>
    <d v="1899-12-30T13:27:00"/>
    <s v="AVIMOL"/>
    <s v="BUCARAMANGA"/>
    <s v="DMB 11 X 25 KG"/>
    <n v="1250"/>
    <n v="50"/>
    <n v="25000000"/>
    <d v="2026-04-14T00:00:00"/>
    <m/>
    <m/>
    <m/>
    <m/>
  </r>
  <r>
    <m/>
    <x v="122"/>
    <d v="2026-04-13T00:00:00"/>
    <d v="1899-12-30T11:41:00"/>
    <x v="179"/>
    <m/>
    <d v="2026-04-13T00:00:00"/>
    <d v="1899-12-30T13:27:00"/>
    <s v="AVIMOL"/>
    <s v="BUCARAMANGA"/>
    <s v="TILVASYYN x 25 KG"/>
    <n v="25"/>
    <n v="1"/>
    <n v="5375000"/>
    <d v="2026-04-14T00:00:00"/>
    <m/>
    <m/>
    <m/>
    <m/>
  </r>
  <r>
    <m/>
    <x v="123"/>
    <d v="2026-04-13T00:00:00"/>
    <d v="1899-12-30T12:08:00"/>
    <x v="180"/>
    <s v="BG25880"/>
    <d v="2026-04-13T00:00:00"/>
    <d v="1899-12-30T13:20:00"/>
    <s v="OPERADORA AVICOLA COLOMBIA S.A.S."/>
    <s v="BUCARAMANGA"/>
    <s v="CIPROFLOX X 5 KG"/>
    <n v="60"/>
    <n v="2"/>
    <n v="3150000"/>
    <d v="2026-04-13T00:00:00"/>
    <m/>
    <m/>
    <m/>
    <m/>
  </r>
  <r>
    <m/>
    <x v="123"/>
    <d v="2026-04-13T00:00:00"/>
    <d v="1899-12-30T12:08:00"/>
    <x v="181"/>
    <s v="BG25884"/>
    <d v="2026-04-13T00:00:00"/>
    <d v="1899-12-30T13:20:00"/>
    <s v="OPERADORA AVICOLA COLOMBIA S.A.S."/>
    <s v="BUCARAMANGA"/>
    <s v="SMOOT SWEET X 75 GR"/>
    <n v="4.5"/>
    <n v="0"/>
    <n v="0"/>
    <d v="2026-04-13T00:00:00"/>
    <m/>
    <m/>
    <m/>
    <m/>
  </r>
  <r>
    <m/>
    <x v="124"/>
    <d v="2026-04-13T00:00:00"/>
    <d v="1899-12-30T12:11:00"/>
    <x v="182"/>
    <s v="BG25871"/>
    <d v="2026-04-13T00:00:00"/>
    <d v="1899-12-30T13:40:00"/>
    <s v="AGROBUITRON"/>
    <s v="PALMIRA"/>
    <s v="ESPELIN 88 X 25 KG"/>
    <n v="50"/>
    <n v="2"/>
    <n v="2750000"/>
    <d v="2026-04-14T00:00:00"/>
    <m/>
    <m/>
    <m/>
    <m/>
  </r>
  <r>
    <s v="CANCELADO"/>
    <x v="24"/>
    <d v="2026-04-13T00:00:00"/>
    <d v="1899-12-30T10:48:00"/>
    <x v="0"/>
    <m/>
    <m/>
    <m/>
    <s v="COMERCIALIZADORA G&amp;M"/>
    <s v="MAICAO"/>
    <s v="DINAMIX 200 PREMIX X 25 KG"/>
    <n v="500"/>
    <n v="20"/>
    <m/>
    <d v="2026-04-14T00:00:00"/>
    <m/>
    <m/>
    <m/>
    <m/>
  </r>
  <r>
    <m/>
    <x v="125"/>
    <d v="2026-04-13T00:00:00"/>
    <d v="1899-12-30T12:58:00"/>
    <x v="183"/>
    <s v="BG25909"/>
    <d v="2026-04-13T00:00:00"/>
    <d v="1899-12-30T13:48:00"/>
    <s v="AGRIFEED"/>
    <s v="CIENAGA"/>
    <s v="CLORTETRAX 20 X 25 KG"/>
    <n v="700"/>
    <n v="28"/>
    <n v="11060000"/>
    <d v="2026-04-15T00:00:00"/>
    <m/>
    <m/>
    <m/>
    <m/>
  </r>
  <r>
    <m/>
    <x v="126"/>
    <d v="2026-04-13T00:00:00"/>
    <d v="1899-12-30T12:20:00"/>
    <x v="184"/>
    <s v="BG25870"/>
    <d v="2026-04-13T00:00:00"/>
    <d v="1899-12-30T13:53:00"/>
    <s v="AGROPECUARIA GOLOSO"/>
    <s v="LA SORTIJA"/>
    <s v="DINAMIX 200 PREMIX X 25 KG"/>
    <n v="25"/>
    <n v="1"/>
    <n v="1209000"/>
    <d v="2026-04-14T00:00:00"/>
    <m/>
    <m/>
    <m/>
    <m/>
  </r>
  <r>
    <m/>
    <x v="126"/>
    <d v="2026-04-13T00:00:00"/>
    <d v="1899-12-30T12:20:00"/>
    <x v="184"/>
    <s v="BG25870"/>
    <d v="2026-04-13T00:00:00"/>
    <d v="1899-12-30T13:53:00"/>
    <s v="AGROPECUARIA GOLOSO"/>
    <s v="LA SORTIJA"/>
    <s v="CIPROFLOX X 5 KG"/>
    <n v="60"/>
    <n v="2"/>
    <n v="3270000"/>
    <d v="2026-04-14T00:00:00"/>
    <m/>
    <m/>
    <m/>
    <m/>
  </r>
  <r>
    <m/>
    <x v="126"/>
    <d v="2026-04-13T00:00:00"/>
    <d v="1899-12-30T12:20:00"/>
    <x v="184"/>
    <s v="BG25870"/>
    <d v="2026-04-13T00:00:00"/>
    <d v="1899-12-30T13:53:00"/>
    <s v="AGROPECUARIA GOLOSO"/>
    <s v="LA SORTIJA"/>
    <s v="5 KG FENIFLOR PREMIX"/>
    <n v="10"/>
    <n v="0"/>
    <n v="700000"/>
    <d v="2026-04-14T00:00:00"/>
    <m/>
    <m/>
    <m/>
    <m/>
  </r>
  <r>
    <m/>
    <x v="126"/>
    <d v="2026-04-13T00:00:00"/>
    <d v="1899-12-30T12:20:00"/>
    <x v="185"/>
    <s v="BG25869"/>
    <d v="2026-04-13T00:00:00"/>
    <d v="1899-12-30T13:53:00"/>
    <s v="AGROPECUARIA GOLOSO"/>
    <s v="LA SORTIJA"/>
    <s v="SMOOT SWEET X 75 GR"/>
    <n v="4.5"/>
    <n v="0"/>
    <n v="0"/>
    <d v="2026-04-14T00:00:00"/>
    <m/>
    <m/>
    <m/>
    <m/>
  </r>
  <r>
    <s v="CARTERA (CANCELADO PARA ENVIAR POR DISTRIBUIDOR)"/>
    <x v="24"/>
    <d v="2026-04-13T00:00:00"/>
    <d v="1899-12-30T14:30:00"/>
    <x v="186"/>
    <m/>
    <d v="2026-04-13T00:00:00"/>
    <d v="1899-12-30T14:39:00"/>
    <s v="AGROINDUSTRIAL LOS ROBLES"/>
    <s v="SABANETA"/>
    <s v="TILCOMIX ORAL X 1 KG"/>
    <n v="2"/>
    <n v="0"/>
    <n v="500000"/>
    <d v="2026-04-13T00:00:00"/>
    <m/>
    <m/>
    <m/>
    <m/>
  </r>
  <r>
    <s v="CARTERA (CANCELADO PARA ENVIAR POR DISTRIBUIDOR)"/>
    <x v="24"/>
    <d v="2026-04-13T00:00:00"/>
    <d v="1899-12-30T14:30:00"/>
    <x v="187"/>
    <m/>
    <d v="2026-04-13T00:00:00"/>
    <d v="1899-12-30T14:39:00"/>
    <s v="AGROINDUSTRIAL LOS ROBLES"/>
    <s v="SABANETA"/>
    <s v="SMOOT SWEET X 75 GR"/>
    <n v="0.15"/>
    <n v="0"/>
    <n v="0"/>
    <d v="2026-04-13T00:00:00"/>
    <m/>
    <m/>
    <m/>
    <m/>
  </r>
  <r>
    <m/>
    <x v="127"/>
    <d v="2026-04-13T00:00:00"/>
    <d v="1899-12-30T21:24:00"/>
    <x v="188"/>
    <m/>
    <d v="2026-04-14T00:00:00"/>
    <d v="1899-12-30T07:44:00"/>
    <s v="CONTEGRAL S.A.S."/>
    <s v="CARTAGO"/>
    <s v="ESPELIN 88 X 25 KG"/>
    <n v="75"/>
    <n v="3"/>
    <n v="2917500"/>
    <d v="2026-04-20T00:00:00"/>
    <m/>
    <m/>
    <m/>
    <m/>
  </r>
  <r>
    <m/>
    <x v="127"/>
    <d v="2026-04-13T00:00:00"/>
    <d v="1899-12-30T21:24:00"/>
    <x v="188"/>
    <m/>
    <d v="2026-04-14T00:00:00"/>
    <d v="1899-12-30T07:44:00"/>
    <s v="CONTEGRAL S.A.S."/>
    <s v="CARTAGO"/>
    <s v="TILVASYYN x 25 KG"/>
    <n v="50"/>
    <n v="2"/>
    <n v="9010000"/>
    <d v="2026-04-20T00:00:00"/>
    <m/>
    <m/>
    <m/>
    <m/>
  </r>
  <r>
    <m/>
    <x v="128"/>
    <d v="2026-04-13T00:00:00"/>
    <d v="1899-12-30T16:12:00"/>
    <x v="189"/>
    <m/>
    <d v="2026-04-14T00:00:00"/>
    <d v="1899-12-30T07:52:00"/>
    <s v="MESAGE"/>
    <s v="PREMEX CELTA"/>
    <s v="HALQUINOX 800 X 25 KG"/>
    <n v="2000"/>
    <n v="80"/>
    <n v="145734000"/>
    <d v="2026-04-14T00:00:00"/>
    <m/>
    <m/>
    <m/>
    <m/>
  </r>
  <r>
    <m/>
    <x v="128"/>
    <d v="2026-04-13T00:00:00"/>
    <d v="1899-12-30T16:12:00"/>
    <x v="189"/>
    <m/>
    <d v="2026-04-14T00:00:00"/>
    <d v="1899-12-30T07:52:00"/>
    <s v="MESAGE"/>
    <s v="PREMEX CELTA"/>
    <s v="DINAMIX 800 X 25 KG"/>
    <n v="500"/>
    <n v="20"/>
    <n v="61450000"/>
    <d v="2026-04-14T00:00:00"/>
    <m/>
    <m/>
    <m/>
    <m/>
  </r>
  <r>
    <m/>
    <x v="129"/>
    <d v="2026-04-13T00:00:00"/>
    <d v="1899-12-30T16:25:00"/>
    <x v="190"/>
    <s v="BG25897"/>
    <d v="2026-04-14T00:00:00"/>
    <d v="1899-12-30T07:59:00"/>
    <s v="PORCICOLA PRADERA S.A."/>
    <s v="MANIZALES"/>
    <s v="TILOMIX 250 PREMIX X 25 KG"/>
    <n v="50"/>
    <n v="2"/>
    <n v="3100000"/>
    <d v="2026-04-15T00:00:00"/>
    <m/>
    <m/>
    <m/>
    <m/>
  </r>
  <r>
    <m/>
    <x v="129"/>
    <d v="2026-04-13T00:00:00"/>
    <d v="1899-12-30T16:25:00"/>
    <x v="190"/>
    <s v="BG25897"/>
    <d v="2026-04-14T00:00:00"/>
    <d v="1899-12-30T07:59:00"/>
    <s v="PORCICOLA PRADERA S.A."/>
    <s v="MANIZALES"/>
    <s v="CELMANAX X 25 KG"/>
    <n v="50"/>
    <n v="2"/>
    <n v="850000"/>
    <d v="2026-04-15T00:00:00"/>
    <m/>
    <m/>
    <m/>
    <m/>
  </r>
  <r>
    <m/>
    <x v="129"/>
    <d v="2026-04-13T00:00:00"/>
    <d v="1899-12-30T16:25:00"/>
    <x v="190"/>
    <s v="BG25897"/>
    <d v="2026-04-14T00:00:00"/>
    <d v="1899-12-30T07:59:00"/>
    <s v="PORCICOLA PRADERA S.A."/>
    <s v="MANIZALES"/>
    <s v="CIPROFLOX X 5 KG"/>
    <n v="100"/>
    <n v="4"/>
    <n v="5500000"/>
    <d v="2026-04-15T00:00:00"/>
    <m/>
    <m/>
    <m/>
    <m/>
  </r>
  <r>
    <m/>
    <x v="129"/>
    <d v="2026-04-13T00:00:00"/>
    <d v="1899-12-30T16:25:00"/>
    <x v="190"/>
    <s v="BG25897"/>
    <d v="2026-04-14T00:00:00"/>
    <d v="1899-12-30T07:59:00"/>
    <s v="PORCICOLA PRADERA S.A."/>
    <s v="MANIZALES"/>
    <s v="ACCUREMAX X 25 KG"/>
    <n v="50"/>
    <n v="2"/>
    <n v="3040000"/>
    <d v="2026-04-15T00:00:00"/>
    <m/>
    <m/>
    <m/>
    <m/>
  </r>
  <r>
    <m/>
    <x v="129"/>
    <d v="2026-04-13T00:00:00"/>
    <d v="1899-12-30T16:25:00"/>
    <x v="190"/>
    <s v="BG25897"/>
    <d v="2026-04-14T00:00:00"/>
    <d v="1899-12-30T07:59:00"/>
    <s v="PORCICOLA PRADERA S.A."/>
    <s v="MANIZALES"/>
    <s v="FRACTAL P X 25 KG"/>
    <n v="125"/>
    <n v="5"/>
    <n v="3187500"/>
    <d v="2026-04-15T00:00:00"/>
    <m/>
    <m/>
    <m/>
    <m/>
  </r>
  <r>
    <m/>
    <x v="129"/>
    <d v="2026-04-13T00:00:00"/>
    <d v="1899-12-30T16:25:00"/>
    <x v="190"/>
    <s v="BG25897"/>
    <d v="2026-04-14T00:00:00"/>
    <d v="1899-12-30T07:59:00"/>
    <s v="PORCICOLA PRADERA S.A."/>
    <s v="MANIZALES"/>
    <s v="DMB 11 X 25 KG"/>
    <n v="125"/>
    <n v="5"/>
    <n v="2562500"/>
    <d v="2026-04-15T00:00:00"/>
    <m/>
    <m/>
    <m/>
    <m/>
  </r>
  <r>
    <m/>
    <x v="129"/>
    <d v="2026-04-13T00:00:00"/>
    <d v="1899-12-30T16:25:00"/>
    <x v="190"/>
    <s v="BG25897"/>
    <d v="2026-04-14T00:00:00"/>
    <d v="1899-12-30T07:59:00"/>
    <s v="PORCICOLA PRADERA S.A."/>
    <s v="MANIZALES"/>
    <s v="FENIFLOR PREMIX X 25 Kg"/>
    <n v="50"/>
    <n v="2"/>
    <n v="3450000"/>
    <d v="2026-04-15T00:00:00"/>
    <m/>
    <m/>
    <m/>
    <m/>
  </r>
  <r>
    <m/>
    <x v="129"/>
    <d v="2026-04-13T00:00:00"/>
    <d v="1899-12-30T16:25:00"/>
    <x v="191"/>
    <s v="BG25896"/>
    <d v="2026-04-14T00:00:00"/>
    <d v="1899-12-30T07:59:00"/>
    <s v="PORCICOLA PRADERA S.A."/>
    <s v="MANIZALES"/>
    <s v="SMOOT SWEET X 75 GR"/>
    <n v="7.5"/>
    <n v="0"/>
    <n v="0"/>
    <d v="2026-04-15T00:00:00"/>
    <m/>
    <m/>
    <m/>
    <m/>
  </r>
  <r>
    <m/>
    <x v="24"/>
    <d v="2026-04-13T00:00:00"/>
    <d v="1899-12-30T16:52:00"/>
    <x v="192"/>
    <s v="BG25895"/>
    <d v="2026-04-14T00:00:00"/>
    <d v="1899-12-30T08:50:00"/>
    <s v="SERVIVET"/>
    <s v="SAN PEDRO"/>
    <s v="CLORTETRAX 20 X 25 KG"/>
    <n v="300"/>
    <n v="12"/>
    <n v="4800000"/>
    <d v="2026-04-15T00:00:00"/>
    <m/>
    <m/>
    <m/>
    <m/>
  </r>
  <r>
    <m/>
    <x v="130"/>
    <d v="2026-04-14T00:00:00"/>
    <d v="1899-12-30T08:19:00"/>
    <x v="193"/>
    <m/>
    <d v="2026-04-14T00:00:00"/>
    <d v="1899-12-30T09:10:00"/>
    <s v="AGRIFEED"/>
    <s v="CIENAGA"/>
    <s v="CIPROFLOX X 5 KG"/>
    <n v="50"/>
    <n v="2"/>
    <n v="2860000"/>
    <d v="2026-04-15T00:00:00"/>
    <m/>
    <m/>
    <m/>
    <m/>
  </r>
  <r>
    <m/>
    <x v="131"/>
    <d v="2026-04-14T00:00:00"/>
    <d v="1899-12-30T08:16:00"/>
    <x v="194"/>
    <s v="BG25894"/>
    <d v="2026-04-14T00:00:00"/>
    <d v="1899-12-30T09:24:00"/>
    <s v="ITALCOL DE OCCIDENTE"/>
    <s v="PEREIRA"/>
    <s v="DMB 11 X 25 KG"/>
    <n v="1200"/>
    <n v="48"/>
    <n v="23400000"/>
    <d v="2026-04-15T00:00:00"/>
    <m/>
    <m/>
    <m/>
    <m/>
  </r>
  <r>
    <m/>
    <x v="132"/>
    <d v="2026-04-14T00:00:00"/>
    <d v="1899-12-30T10:31:00"/>
    <x v="195"/>
    <m/>
    <d v="2026-04-14T00:00:00"/>
    <d v="1899-12-30T11:16:00"/>
    <s v="ANTIOQUEÑA DE PORCINOS"/>
    <s v="SAN ANTONIO"/>
    <s v="5 KG FENIFLOR ORAL X 5 KG"/>
    <n v="275"/>
    <n v="11"/>
    <n v="28875000"/>
    <d v="2025-04-14T00:00:00"/>
    <m/>
    <m/>
    <m/>
    <m/>
  </r>
  <r>
    <m/>
    <x v="132"/>
    <d v="2026-04-14T00:00:00"/>
    <d v="1899-12-30T10:31:00"/>
    <x v="195"/>
    <m/>
    <d v="2026-04-14T00:00:00"/>
    <d v="1899-12-30T11:16:00"/>
    <s v="ANTIOQUEÑA DE PORCINOS"/>
    <s v="SAN ANTONIO"/>
    <s v="PROYECTO TILVASYN X 5 KG"/>
    <n v="30"/>
    <n v="1"/>
    <n v="6300000"/>
    <d v="2025-04-14T00:00:00"/>
    <m/>
    <m/>
    <m/>
    <m/>
  </r>
  <r>
    <m/>
    <x v="133"/>
    <d v="2026-04-14T00:00:00"/>
    <d v="1899-12-30T10:01:00"/>
    <x v="196"/>
    <s v="BG26013"/>
    <d v="2026-04-14T00:00:00"/>
    <d v="1899-12-30T11:49:00"/>
    <s v="FINCA S.A.S."/>
    <s v="MOSQUERA"/>
    <s v="DINAMIX 200 PREMIX X 25 KG"/>
    <n v="100"/>
    <n v="4"/>
    <n v="4000000"/>
    <d v="2026-04-17T00:00:00"/>
    <m/>
    <m/>
    <m/>
    <m/>
  </r>
  <r>
    <m/>
    <x v="133"/>
    <d v="2026-04-14T00:00:00"/>
    <d v="1899-12-30T10:01:00"/>
    <x v="196"/>
    <s v="BG26013"/>
    <d v="2026-04-14T00:00:00"/>
    <d v="1899-12-30T11:49:00"/>
    <s v="FINCA S.A.S."/>
    <s v="MOSQUERA"/>
    <s v="FENIFLOR PREMIX X 25 Kg"/>
    <n v="100"/>
    <n v="4"/>
    <n v="5186000"/>
    <d v="2026-04-17T00:00:00"/>
    <m/>
    <m/>
    <m/>
    <m/>
  </r>
  <r>
    <s v="TRANSPORTE"/>
    <x v="134"/>
    <d v="2026-04-14T00:00:00"/>
    <d v="1899-12-30T10:34:00"/>
    <x v="197"/>
    <s v="BG25893"/>
    <d v="2026-04-14T00:00:00"/>
    <d v="1899-12-30T11:50:00"/>
    <s v="FINCA S.A.S."/>
    <s v="CIENAGA"/>
    <s v="TILVASYYN x 25 KG"/>
    <n v="75"/>
    <n v="3"/>
    <n v="13515000"/>
    <d v="2026-04-17T00:00:00"/>
    <m/>
    <m/>
    <m/>
    <m/>
  </r>
  <r>
    <m/>
    <x v="135"/>
    <d v="2026-04-14T00:00:00"/>
    <d v="1899-12-30T11:51:00"/>
    <x v="198"/>
    <s v="BG25892"/>
    <d v="2026-04-14T00:00:00"/>
    <d v="1899-12-30T11:58:00"/>
    <s v="INVERSIONES TRIBILIN"/>
    <s v="SABANETA"/>
    <s v="FOSMYCINA 90 X 500 GR"/>
    <n v="1.5"/>
    <n v="0"/>
    <n v="780000"/>
    <d v="2026-04-17T00:00:00"/>
    <m/>
    <m/>
    <m/>
    <m/>
  </r>
  <r>
    <s v="TRANSPORTE"/>
    <x v="136"/>
    <d v="2026-04-14T00:00:00"/>
    <d v="1899-12-30T12:00:00"/>
    <x v="199"/>
    <s v="BG26011"/>
    <d v="2026-04-14T00:00:00"/>
    <d v="1899-12-30T16:20:00"/>
    <s v="CONCENTRADOS DEL CAMPO"/>
    <s v="SAN PEDRO"/>
    <s v="FRACTAL P X 25 KG"/>
    <n v="250"/>
    <n v="10"/>
    <n v="6375000"/>
    <d v="2026-04-14T00:00:00"/>
    <m/>
    <m/>
    <m/>
    <m/>
  </r>
  <r>
    <s v="CARTERA"/>
    <x v="24"/>
    <d v="2026-04-14T00:00:00"/>
    <d v="1899-12-30T12:00:00"/>
    <x v="199"/>
    <s v="BG26011"/>
    <d v="2026-04-14T00:00:00"/>
    <d v="1899-12-30T16:20:00"/>
    <s v="CONCENTRADOS DEL CAMPO"/>
    <s v="SAN PEDRO"/>
    <s v="LOTUS X 25 KG"/>
    <n v="250"/>
    <n v="10"/>
    <n v="9625000"/>
    <d v="2026-04-15T00:00:00"/>
    <m/>
    <m/>
    <m/>
    <m/>
  </r>
  <r>
    <s v="CARTERA"/>
    <x v="24"/>
    <d v="2026-04-14T00:00:00"/>
    <d v="1899-12-30T12:00:00"/>
    <x v="199"/>
    <s v="BG26011"/>
    <d v="2026-04-14T00:00:00"/>
    <d v="1899-12-30T16:20:00"/>
    <s v="CONCENTRADOS DEL CAMPO"/>
    <s v="SAN PEDRO"/>
    <s v="AMOXIN X 1 KILO"/>
    <n v="20"/>
    <n v="1"/>
    <n v="3200000"/>
    <d v="2026-04-15T00:00:00"/>
    <m/>
    <m/>
    <m/>
    <m/>
  </r>
  <r>
    <m/>
    <x v="24"/>
    <d v="2026-04-14T00:00:00"/>
    <d v="1899-12-30T15:34:00"/>
    <x v="200"/>
    <s v="BG25899"/>
    <d v="2026-04-14T00:00:00"/>
    <d v="1899-12-30T16:27:00"/>
    <s v="AVICOLA SINAIN"/>
    <s v="BUCARAMANGA"/>
    <s v="5 KG FENIFLOR PREMIX X 5 KG"/>
    <n v="50"/>
    <n v="2"/>
    <n v="3500000"/>
    <d v="2026-04-14T00:00:00"/>
    <m/>
    <m/>
    <m/>
    <m/>
  </r>
  <r>
    <m/>
    <x v="137"/>
    <d v="2026-04-14T00:00:00"/>
    <d v="1899-12-30T16:30:00"/>
    <x v="201"/>
    <s v="BG25898"/>
    <d v="2026-04-15T00:00:00"/>
    <d v="1899-12-30T07:30:00"/>
    <s v="MEZCLAS BIOMIX"/>
    <s v="SABANETA"/>
    <s v="DMB 11 X 25 KG"/>
    <n v="250"/>
    <n v="10"/>
    <m/>
    <d v="2026-04-15T00:00:00"/>
    <m/>
    <m/>
    <m/>
    <m/>
  </r>
  <r>
    <m/>
    <x v="138"/>
    <d v="2026-04-15T00:00:00"/>
    <d v="1899-12-30T09:02:00"/>
    <x v="202"/>
    <s v="BG25958"/>
    <d v="2026-04-15T00:00:00"/>
    <d v="1899-12-30T11:12:00"/>
    <s v="PREMEX S.A.S."/>
    <s v="MEDELLIN"/>
    <s v="TILCOMIX PREMIX S X 5KG"/>
    <n v="455"/>
    <n v="18"/>
    <n v="59605000"/>
    <d v="2026-04-16T00:00:00"/>
    <m/>
    <m/>
    <m/>
    <m/>
  </r>
  <r>
    <m/>
    <x v="138"/>
    <d v="2026-04-15T00:00:00"/>
    <d v="1899-12-30T09:02:00"/>
    <x v="202"/>
    <s v="BG25958"/>
    <d v="2026-04-15T00:00:00"/>
    <d v="1899-12-30T11:12:00"/>
    <s v="PREMEX S.A.S."/>
    <s v="MEDELLIN"/>
    <s v="TILVASYYN x 25 KG"/>
    <n v="75"/>
    <n v="3"/>
    <n v="13515000"/>
    <d v="2026-04-16T00:00:00"/>
    <m/>
    <m/>
    <m/>
    <m/>
  </r>
  <r>
    <m/>
    <x v="138"/>
    <d v="2026-04-15T00:00:00"/>
    <d v="1899-12-30T09:02:00"/>
    <x v="202"/>
    <s v="BG25958"/>
    <d v="2026-04-15T00:00:00"/>
    <d v="1899-12-30T11:12:00"/>
    <s v="PREMEX S.A.S."/>
    <s v="MEDELLIN"/>
    <s v="DQCICLIN X 1 KG"/>
    <n v="40"/>
    <n v="2"/>
    <n v="7000000"/>
    <d v="2026-04-16T00:00:00"/>
    <m/>
    <m/>
    <m/>
    <m/>
  </r>
  <r>
    <m/>
    <x v="138"/>
    <d v="2026-04-15T00:00:00"/>
    <d v="1899-12-30T09:02:00"/>
    <x v="202"/>
    <s v="BG25958"/>
    <d v="2026-04-15T00:00:00"/>
    <d v="1899-12-30T11:12:00"/>
    <s v="PREMEX S.A.S."/>
    <s v="MEDELLIN"/>
    <s v="TILCOMIX PREMIX S X 5KG"/>
    <n v="300"/>
    <n v="12"/>
    <n v="41280000"/>
    <d v="2026-04-16T00:00:00"/>
    <m/>
    <m/>
    <m/>
    <m/>
  </r>
  <r>
    <m/>
    <x v="138"/>
    <d v="2026-04-15T00:00:00"/>
    <d v="1899-12-30T09:02:00"/>
    <x v="203"/>
    <s v="BG25924"/>
    <d v="2026-04-15T00:00:00"/>
    <d v="1899-12-30T11:12:00"/>
    <s v="PREMEX S.A.S."/>
    <s v="MEDELLIN"/>
    <s v="TILCOMIX PREMIX S X 5KG"/>
    <n v="18.989999999999998"/>
    <n v="1"/>
    <n v="2487000"/>
    <d v="2026-04-16T00:00:00"/>
    <m/>
    <m/>
    <m/>
    <m/>
  </r>
  <r>
    <m/>
    <x v="138"/>
    <d v="2026-04-15T00:00:00"/>
    <d v="1899-12-30T09:02:00"/>
    <x v="204"/>
    <s v="BG25992"/>
    <d v="2026-04-15T00:00:00"/>
    <d v="1899-12-30T11:12:00"/>
    <s v="PREMEX S.A.S."/>
    <s v="MEDELLIN"/>
    <s v="MICRO AID X 25 KG"/>
    <n v="50"/>
    <n v="2"/>
    <n v="2600000"/>
    <d v="2026-04-16T00:00:00"/>
    <m/>
    <m/>
    <m/>
    <m/>
  </r>
  <r>
    <m/>
    <x v="139"/>
    <d v="2026-04-14T00:00:00"/>
    <d v="1899-12-30T16:17:00"/>
    <x v="205"/>
    <s v="BG25990"/>
    <d v="2026-04-15T00:00:00"/>
    <d v="1899-12-30T12:37:00"/>
    <s v="FINCA S.A.S."/>
    <s v="BUGA"/>
    <s v="TILVASYYN x 25 KG"/>
    <n v="75"/>
    <n v="3"/>
    <n v="13515000"/>
    <d v="2026-04-20T00:00:00"/>
    <m/>
    <m/>
    <m/>
    <m/>
  </r>
  <r>
    <m/>
    <x v="140"/>
    <d v="2026-04-14T00:00:00"/>
    <d v="1899-12-30T19:00:00"/>
    <x v="206"/>
    <m/>
    <d v="2026-04-15T00:00:00"/>
    <d v="1899-12-30T12:41:00"/>
    <s v="COOPERATIVA COLANTA"/>
    <s v="ITAGUI"/>
    <s v="DINAMIX 800 X 25 KG"/>
    <n v="150"/>
    <n v="6"/>
    <n v="24600000"/>
    <d v="2026-04-21T00:00:00"/>
    <m/>
    <m/>
    <m/>
    <m/>
  </r>
  <r>
    <m/>
    <x v="140"/>
    <d v="2026-04-14T00:00:00"/>
    <d v="1899-12-30T19:00:00"/>
    <x v="206"/>
    <m/>
    <d v="2026-04-15T00:00:00"/>
    <d v="1899-12-30T12:41:00"/>
    <s v="COOPERATIVA COLANTA"/>
    <s v="ITAGUI"/>
    <s v="MONECYL X 25 KG"/>
    <n v="5000"/>
    <n v="200"/>
    <n v="102500000"/>
    <d v="2026-04-21T00:00:00"/>
    <m/>
    <m/>
    <m/>
    <m/>
  </r>
  <r>
    <m/>
    <x v="141"/>
    <d v="2026-04-15T00:00:00"/>
    <d v="1899-12-30T08:13:00"/>
    <x v="207"/>
    <s v="BG26010"/>
    <d v="2026-04-15T00:00:00"/>
    <d v="1899-12-30T12:50:00"/>
    <s v="ITALCOL DE OCCIDENTE"/>
    <s v="PALMIRA"/>
    <s v="LOTUS X 25 KG"/>
    <n v="200"/>
    <n v="8"/>
    <n v="8040000"/>
    <d v="2026-04-17T00:00:00"/>
    <m/>
    <m/>
    <m/>
    <m/>
  </r>
  <r>
    <m/>
    <x v="142"/>
    <d v="2026-04-15T00:00:00"/>
    <d v="1899-12-30T09:21:00"/>
    <x v="208"/>
    <m/>
    <d v="2026-04-15T00:00:00"/>
    <d v="1899-12-30T12:55:00"/>
    <s v="POLLOS EL BUCANERO"/>
    <s v="MANANTIALES"/>
    <s v="ROFLOX X 1 LITRO"/>
    <n v="200"/>
    <n v="8"/>
    <n v="9300000"/>
    <d v="2026-04-21T00:00:00"/>
    <m/>
    <m/>
    <m/>
    <m/>
  </r>
  <r>
    <m/>
    <x v="143"/>
    <d v="2026-04-15T00:00:00"/>
    <d v="1899-12-30T10:18:00"/>
    <x v="209"/>
    <m/>
    <d v="2026-04-15T00:00:00"/>
    <d v="1899-12-30T13:00:00"/>
    <s v="ITALCOL DE OCCIDENTE"/>
    <s v="GIRARDOTA"/>
    <s v="FRACTAL P X 25 KG"/>
    <n v="1000"/>
    <n v="40"/>
    <n v="26300000"/>
    <d v="2026-04-17T00:00:00"/>
    <m/>
    <m/>
    <m/>
    <m/>
  </r>
  <r>
    <m/>
    <x v="143"/>
    <d v="2026-04-15T00:00:00"/>
    <d v="1899-12-30T10:18:00"/>
    <x v="209"/>
    <m/>
    <d v="2026-04-15T00:00:00"/>
    <d v="1899-12-30T13:00:00"/>
    <s v="ITALCOL DE OCCIDENTE"/>
    <s v="GIRARDOTA"/>
    <s v="DINAMIX PREMIX X 25 KG"/>
    <n v="300"/>
    <n v="12"/>
    <n v="7650000"/>
    <d v="2026-04-17T00:00:00"/>
    <m/>
    <m/>
    <m/>
    <m/>
  </r>
  <r>
    <m/>
    <x v="144"/>
    <d v="2026-04-15T00:00:00"/>
    <d v="1899-12-30T12:03:00"/>
    <x v="210"/>
    <m/>
    <d v="2026-04-15T00:00:00"/>
    <d v="1899-12-30T13:11:00"/>
    <s v="INVERSIONES FEED"/>
    <s v="LOS PINOS"/>
    <s v="CLORTETRAX 20 X 25 KG"/>
    <n v="200"/>
    <n v="8"/>
    <n v="3200000"/>
    <d v="2026-04-20T00:00:00"/>
    <m/>
    <m/>
    <m/>
    <m/>
  </r>
  <r>
    <m/>
    <x v="24"/>
    <d v="2026-04-15T00:00:00"/>
    <d v="1899-12-30T12:06:00"/>
    <x v="211"/>
    <m/>
    <d v="2026-04-15T00:00:00"/>
    <d v="1899-12-30T13:13:00"/>
    <s v="O TAFUR"/>
    <s v="CALI"/>
    <s v="FRACTAL P X 25 KG"/>
    <n v="25"/>
    <n v="1"/>
    <n v="657500"/>
    <d v="2026-04-16T00:00:00"/>
    <m/>
    <m/>
    <m/>
    <m/>
  </r>
  <r>
    <s v="ALISTAMIENTO"/>
    <x v="145"/>
    <d v="2026-04-15T00:00:00"/>
    <d v="1899-12-30T13:07:00"/>
    <x v="212"/>
    <s v="BG25927"/>
    <d v="2026-04-15T00:00:00"/>
    <d v="1899-12-30T13:17:00"/>
    <s v="AGROAVICOLA SAN MARINO"/>
    <s v="GIRON"/>
    <s v="FOSMYCINA 90 X 500 GR"/>
    <n v="4"/>
    <n v="0"/>
    <n v="2080000"/>
    <s v="15/04/0205"/>
    <m/>
    <m/>
    <m/>
    <m/>
  </r>
  <r>
    <m/>
    <x v="146"/>
    <d v="2026-04-15T00:00:00"/>
    <d v="1899-12-30T16:46:00"/>
    <x v="213"/>
    <m/>
    <d v="2026-04-16T00:00:00"/>
    <d v="1899-12-30T08:45:00"/>
    <s v="COMPAÑIA INDUSTRIAL DE PRODUCTOS AGROPECUARIOS S.A"/>
    <s v="BELLO"/>
    <s v="CLORTETRAX 20 X 25 KG"/>
    <n v="1000"/>
    <n v="40"/>
    <n v="15800000"/>
    <d v="2026-04-17T00:00:00"/>
    <m/>
    <m/>
    <m/>
    <m/>
  </r>
  <r>
    <s v="CARTERA"/>
    <x v="147"/>
    <d v="2026-04-15T00:00:00"/>
    <d v="1899-12-30T16:46:00"/>
    <x v="214"/>
    <m/>
    <d v="2026-04-16T00:00:00"/>
    <d v="1899-12-30T08:45:00"/>
    <s v="COMPAÑIA INDUSTRIAL DE PRODUCTOS AGROPECUARIOS S.A"/>
    <s v="BELLO"/>
    <s v="FRACTAL P X 25 KG"/>
    <n v="700"/>
    <n v="28"/>
    <n v="18410000"/>
    <d v="2026-04-22T00:00:00"/>
    <m/>
    <m/>
    <m/>
    <m/>
  </r>
  <r>
    <m/>
    <x v="148"/>
    <d v="2026-04-16T00:00:00"/>
    <d v="1899-12-30T07:30:00"/>
    <x v="215"/>
    <m/>
    <d v="2026-04-16T00:00:00"/>
    <d v="1899-12-30T12:11:00"/>
    <s v="INDUSTRIAS PUROPOLLO"/>
    <s v="MALAMBO"/>
    <s v="CIPROFLOX X 5 KG"/>
    <n v="60"/>
    <n v="2"/>
    <n v="3432000"/>
    <d v="2026-04-20T00:00:00"/>
    <m/>
    <m/>
    <m/>
    <m/>
  </r>
  <r>
    <m/>
    <x v="148"/>
    <d v="2026-04-16T00:00:00"/>
    <d v="1899-12-30T07:30:00"/>
    <x v="216"/>
    <m/>
    <d v="2026-04-16T00:00:00"/>
    <d v="1899-12-30T12:11:00"/>
    <s v="INDUSTRIAS PUROPOLLO"/>
    <s v="MALAMBO"/>
    <s v="SMOOT SWEET X 75 GR"/>
    <n v="4.5"/>
    <n v="0"/>
    <n v="0"/>
    <d v="2026-04-20T00:00:00"/>
    <m/>
    <m/>
    <m/>
    <m/>
  </r>
  <r>
    <m/>
    <x v="24"/>
    <d v="2026-04-16T00:00:00"/>
    <d v="1899-12-30T10:39:00"/>
    <x v="217"/>
    <m/>
    <d v="2026-04-16T00:00:00"/>
    <d v="1899-12-30T12:23:00"/>
    <s v="SUAL PRODUCTORA"/>
    <s v="BOGOTA"/>
    <s v="ACCUREMAX X 25 KG"/>
    <n v="25"/>
    <n v="1"/>
    <n v="1587500"/>
    <d v="2026-04-17T00:00:00"/>
    <m/>
    <m/>
    <m/>
    <m/>
  </r>
  <r>
    <m/>
    <x v="24"/>
    <d v="2026-04-16T00:00:00"/>
    <d v="1899-12-30T10:39:00"/>
    <x v="217"/>
    <m/>
    <d v="2026-04-16T00:00:00"/>
    <d v="1899-12-30T12:23:00"/>
    <s v="SUAL PRODUCTORA"/>
    <s v="BOGOTA"/>
    <s v="FRACTAL P X 25 KG"/>
    <n v="25"/>
    <n v="1"/>
    <n v="662500"/>
    <d v="2026-04-17T00:00:00"/>
    <m/>
    <m/>
    <m/>
    <m/>
  </r>
  <r>
    <m/>
    <x v="24"/>
    <d v="2026-04-16T00:00:00"/>
    <d v="1899-12-30T10:39:00"/>
    <x v="217"/>
    <m/>
    <d v="2026-04-16T00:00:00"/>
    <d v="1899-12-30T12:23:00"/>
    <s v="SUAL PRODUCTORA"/>
    <s v="BOGOTA"/>
    <s v="CIPROFLOX X 5 KG"/>
    <n v="5"/>
    <n v="0"/>
    <n v="310000"/>
    <d v="2026-04-17T00:00:00"/>
    <m/>
    <m/>
    <m/>
    <m/>
  </r>
  <r>
    <m/>
    <x v="24"/>
    <d v="2026-04-16T00:00:00"/>
    <d v="1899-12-30T10:39:00"/>
    <x v="217"/>
    <m/>
    <d v="2026-04-16T00:00:00"/>
    <d v="1899-12-30T12:23:00"/>
    <s v="SUAL PRODUCTORA"/>
    <s v="BOGOTA"/>
    <s v="SMOOT SWEET X 75 GR"/>
    <n v="0.375"/>
    <n v="0"/>
    <n v="0"/>
    <d v="2026-04-17T00:00:00"/>
    <m/>
    <m/>
    <m/>
    <m/>
  </r>
  <r>
    <m/>
    <x v="149"/>
    <d v="2026-04-16T00:00:00"/>
    <d v="1899-12-30T12:07:00"/>
    <x v="218"/>
    <m/>
    <d v="2026-04-16T00:00:00"/>
    <d v="1899-12-30T12:38:00"/>
    <s v="AVICOLA SINAIN"/>
    <s v="BUCARAMANGA"/>
    <s v="TILOMIX ORAL x 1 Kg"/>
    <n v="7"/>
    <n v="0"/>
    <n v="1645000"/>
    <d v="2026-04-16T00:00:00"/>
    <m/>
    <m/>
    <m/>
    <m/>
  </r>
  <r>
    <m/>
    <x v="149"/>
    <d v="2026-04-16T00:00:00"/>
    <d v="1899-12-30T12:07:00"/>
    <x v="219"/>
    <m/>
    <d v="2026-04-16T00:00:00"/>
    <d v="1899-12-30T12:38:00"/>
    <s v="AVICOLA SINAIN"/>
    <s v="BUCARAMANGA"/>
    <s v="SMOOT SWEET X 75 GR"/>
    <n v="0.125"/>
    <n v="0"/>
    <n v="1645000"/>
    <d v="2026-04-16T00:00:00"/>
    <m/>
    <m/>
    <m/>
    <m/>
  </r>
  <r>
    <m/>
    <x v="150"/>
    <d v="2026-04-16T00:00:00"/>
    <d v="1899-12-30T12:07:00"/>
    <x v="220"/>
    <m/>
    <d v="2026-04-16T00:00:00"/>
    <d v="1899-12-30T12:50:00"/>
    <s v="POLLOS SAVICOL"/>
    <s v="MOSQUERA"/>
    <s v="FRACTAL L X 20 LITROS"/>
    <n v="40"/>
    <n v="2"/>
    <n v="1600000"/>
    <d v="2026-04-17T00:00:00"/>
    <m/>
    <m/>
    <m/>
    <m/>
  </r>
  <r>
    <m/>
    <x v="24"/>
    <d v="2026-04-16T00:00:00"/>
    <d v="1899-12-30T10:44:00"/>
    <x v="221"/>
    <m/>
    <d v="2026-04-16T00:00:00"/>
    <d v="1899-12-30T14:25:00"/>
    <s v="PORCICOLA LOS CEDROS"/>
    <s v="TERMINAL -TERMINAL"/>
    <s v="FRACTAL L X 20 LITROS"/>
    <n v="40"/>
    <n v="2"/>
    <n v="1572000"/>
    <d v="2026-04-17T00:00:00"/>
    <m/>
    <m/>
    <m/>
    <m/>
  </r>
  <r>
    <s v="NUEVO PEDIDO SINIESTRO VEHICULO OPERLOG / PEDIDO S16106"/>
    <x v="134"/>
    <d v="2026-04-14T00:00:00"/>
    <d v="1899-12-30T10:34:00"/>
    <x v="222"/>
    <m/>
    <d v="2026-04-16T00:00:00"/>
    <d v="1899-12-30T14:50:00"/>
    <s v="FINCA S.A.S."/>
    <s v="CIENAGA"/>
    <s v="TILVASYYN x 25 KG"/>
    <n v="75"/>
    <n v="3"/>
    <n v="13515000"/>
    <d v="2026-04-17T00:00:00"/>
    <m/>
    <m/>
    <m/>
    <m/>
  </r>
  <r>
    <m/>
    <x v="24"/>
    <d v="2026-04-16T00:00:00"/>
    <d v="1899-12-30T15:48:00"/>
    <x v="223"/>
    <m/>
    <d v="2026-04-16T00:00:00"/>
    <d v="1899-12-30T16:17:00"/>
    <s v="DISTRIBUIDORA AGRO-PLUS SAS"/>
    <s v="DON MATIAS"/>
    <s v="PROYECTO TILVASYN X 5 KG"/>
    <n v="15"/>
    <n v="1"/>
    <n v="3225000"/>
    <d v="2026-04-17T00:00:00"/>
    <m/>
    <m/>
    <m/>
    <m/>
  </r>
  <r>
    <m/>
    <x v="151"/>
    <d v="2026-04-16T00:00:00"/>
    <d v="1899-12-30T15:40:00"/>
    <x v="224"/>
    <m/>
    <d v="2026-04-17T00:00:00"/>
    <d v="1899-12-30T09:30:00"/>
    <s v="PRO FARM DE LOS ANDES"/>
    <s v="BUCARAMANGA"/>
    <s v="FENIFLOR ORAL X 500 GR"/>
    <n v="2"/>
    <n v="0"/>
    <n v="204000"/>
    <d v="2026-04-17T00:00:00"/>
    <m/>
    <m/>
    <m/>
    <m/>
  </r>
  <r>
    <m/>
    <x v="152"/>
    <d v="2026-04-16T00:00:00"/>
    <d v="1899-12-30T14:23:00"/>
    <x v="225"/>
    <m/>
    <d v="2026-04-17T00:00:00"/>
    <d v="1899-12-30T09:51:00"/>
    <s v="CERDON S.A.S"/>
    <s v="DON MATIAS"/>
    <s v="NEOCYN X 25 KG"/>
    <n v="100"/>
    <n v="4"/>
    <n v="6750000"/>
    <d v="2026-04-22T00:00:00"/>
    <m/>
    <m/>
    <m/>
    <m/>
  </r>
  <r>
    <m/>
    <x v="153"/>
    <d v="2026-04-16T00:00:00"/>
    <d v="1899-12-30T16:32:00"/>
    <x v="226"/>
    <m/>
    <d v="2026-04-17T00:00:00"/>
    <d v="1899-12-30T09:56:00"/>
    <s v="PORCICULTORES APA"/>
    <s v="GIRARDOTA"/>
    <s v="FRACTAL P X 25 KG"/>
    <n v="350"/>
    <n v="14"/>
    <n v="9205000"/>
    <d v="2026-04-22T00:00:00"/>
    <m/>
    <m/>
    <m/>
    <m/>
  </r>
  <r>
    <m/>
    <x v="153"/>
    <d v="2026-04-16T00:00:00"/>
    <d v="1899-12-30T16:32:00"/>
    <x v="226"/>
    <m/>
    <d v="2026-04-17T00:00:00"/>
    <d v="1899-12-30T09:56:00"/>
    <s v="PORCICULTORES APA"/>
    <s v="GIRARDOTA"/>
    <s v="DMB 11 X 25 KG"/>
    <n v="200"/>
    <n v="8"/>
    <n v="3900000"/>
    <d v="2026-04-22T00:00:00"/>
    <m/>
    <m/>
    <m/>
    <m/>
  </r>
  <r>
    <m/>
    <x v="154"/>
    <d v="2026-04-16T00:00:00"/>
    <d v="1899-12-30T20:31:00"/>
    <x v="227"/>
    <m/>
    <d v="2026-04-17T00:00:00"/>
    <d v="1899-12-30T11:09:00"/>
    <s v="PREMEX S.A.S."/>
    <s v="MEDELLIN"/>
    <s v="KIRA X 25 KG"/>
    <n v="700"/>
    <n v="28"/>
    <n v="13772500"/>
    <d v="2026-04-21T00:00:00"/>
    <m/>
    <m/>
    <m/>
    <m/>
  </r>
  <r>
    <s v="INVENTARIO"/>
    <x v="154"/>
    <d v="2026-04-16T00:00:00"/>
    <d v="1899-12-30T20:31:00"/>
    <x v="227"/>
    <s v="BG25968"/>
    <d v="2026-04-17T00:00:00"/>
    <d v="1899-12-30T11:09:00"/>
    <s v="PREMEX S.A.S."/>
    <s v="MEDELLIN"/>
    <s v="AMOXIN X 1 KILO"/>
    <n v="168"/>
    <n v="7"/>
    <n v="22764000"/>
    <d v="2026-04-21T00:00:00"/>
    <m/>
    <m/>
    <m/>
    <m/>
  </r>
  <r>
    <m/>
    <x v="154"/>
    <d v="2026-04-16T00:00:00"/>
    <d v="1899-12-30T20:31:00"/>
    <x v="227"/>
    <m/>
    <d v="2026-04-17T00:00:00"/>
    <d v="1899-12-30T11:09:00"/>
    <s v="PREMEX S.A.S."/>
    <s v="MEDELLIN"/>
    <s v="NEOCYN X 25 KG"/>
    <n v="400"/>
    <n v="16"/>
    <n v="24680000"/>
    <d v="2026-04-21T00:00:00"/>
    <m/>
    <m/>
    <m/>
    <m/>
  </r>
  <r>
    <m/>
    <x v="97"/>
    <d v="2026-04-17T00:00:00"/>
    <d v="1899-12-30T07:10:00"/>
    <x v="228"/>
    <m/>
    <d v="2026-04-17T00:00:00"/>
    <d v="1899-12-30T11:23:00"/>
    <s v="PREMEX S.A.S."/>
    <s v="MEDELLIN"/>
    <s v="200 MONECYL r X 25 KG"/>
    <n v="1000"/>
    <n v="40"/>
    <n v="19250000"/>
    <d v="2026-04-17T00:00:00"/>
    <m/>
    <m/>
    <m/>
    <m/>
  </r>
  <r>
    <m/>
    <x v="97"/>
    <d v="2026-04-17T00:00:00"/>
    <d v="1899-12-30T07:10:00"/>
    <x v="228"/>
    <m/>
    <d v="2026-04-17T00:00:00"/>
    <d v="1899-12-30T11:23:00"/>
    <s v="PREMEX S.A.S."/>
    <s v="MEDELLIN"/>
    <s v="MONECYL X 25 KG"/>
    <n v="1000"/>
    <n v="40"/>
    <n v="19250000"/>
    <d v="2026-04-17T00:00:00"/>
    <m/>
    <m/>
    <m/>
    <m/>
  </r>
  <r>
    <m/>
    <x v="97"/>
    <d v="2026-04-17T00:00:00"/>
    <d v="1899-12-30T07:10:00"/>
    <x v="228"/>
    <m/>
    <d v="2026-04-17T00:00:00"/>
    <d v="1899-12-30T11:23:00"/>
    <s v="PREMEX S.A.S."/>
    <s v="MEDELLIN"/>
    <s v="SAGAH X 25 KILOS"/>
    <n v="2200"/>
    <n v="88"/>
    <n v="66440000"/>
    <d v="2026-04-17T00:00:00"/>
    <m/>
    <m/>
    <m/>
    <m/>
  </r>
  <r>
    <m/>
    <x v="97"/>
    <d v="2026-04-17T00:00:00"/>
    <d v="1899-12-30T07:10:00"/>
    <x v="228"/>
    <m/>
    <d v="2026-04-17T00:00:00"/>
    <d v="1899-12-30T11:23:00"/>
    <s v="PREMEX S.A.S."/>
    <s v="MEDELLIN"/>
    <s v="DMB 11 X 25 KG"/>
    <n v="2000"/>
    <n v="80"/>
    <n v="35200000"/>
    <d v="2026-04-17T00:00:00"/>
    <m/>
    <m/>
    <m/>
    <m/>
  </r>
  <r>
    <m/>
    <x v="97"/>
    <d v="2026-04-17T00:00:00"/>
    <d v="1899-12-30T07:10:00"/>
    <x v="228"/>
    <m/>
    <d v="2026-04-17T00:00:00"/>
    <d v="1899-12-30T11:23:00"/>
    <s v="PREMEX S.A.S."/>
    <s v="MEDELLIN"/>
    <s v="FENIFLOR PREMIX X 25 Kg"/>
    <n v="500"/>
    <n v="20"/>
    <n v="25930000"/>
    <d v="2026-04-17T00:00:00"/>
    <m/>
    <m/>
    <m/>
    <m/>
  </r>
  <r>
    <m/>
    <x v="97"/>
    <d v="2026-04-17T00:00:00"/>
    <d v="1899-12-30T07:10:00"/>
    <x v="228"/>
    <m/>
    <d v="2026-04-17T00:00:00"/>
    <d v="1899-12-30T11:23:00"/>
    <s v="PREMEX S.A.S."/>
    <s v="MEDELLIN"/>
    <s v="TILOMIX 250 PREMIX X 25 KG"/>
    <n v="2000"/>
    <n v="80"/>
    <n v="103800000"/>
    <d v="2026-04-17T00:00:00"/>
    <m/>
    <m/>
    <m/>
    <m/>
  </r>
  <r>
    <m/>
    <x v="97"/>
    <d v="2026-04-17T00:00:00"/>
    <d v="1899-12-30T07:10:00"/>
    <x v="229"/>
    <m/>
    <d v="2026-04-17T00:00:00"/>
    <d v="1899-12-30T11:23:00"/>
    <s v="MESAGE"/>
    <s v="MEDELLIN"/>
    <s v="HALQUINOX 800 X 25 KG"/>
    <n v="2000"/>
    <n v="80"/>
    <n v="145734000"/>
    <d v="2026-04-17T00:00:00"/>
    <m/>
    <m/>
    <m/>
    <m/>
  </r>
  <r>
    <m/>
    <x v="97"/>
    <d v="2026-04-17T00:00:00"/>
    <d v="1899-12-30T07:10:00"/>
    <x v="229"/>
    <m/>
    <d v="2026-04-17T00:00:00"/>
    <d v="1899-12-30T11:23:00"/>
    <s v="MESAGE"/>
    <s v="MEDELLIN"/>
    <s v="DINAMIX 800 X 25 KG"/>
    <n v="10000"/>
    <n v="400"/>
    <n v="122901000"/>
    <d v="2026-04-17T00:00:00"/>
    <m/>
    <m/>
    <m/>
    <m/>
  </r>
  <r>
    <m/>
    <x v="155"/>
    <d v="2026-04-17T00:00:00"/>
    <d v="1899-12-30T09:52:00"/>
    <x v="230"/>
    <m/>
    <d v="2026-04-17T00:00:00"/>
    <d v="1899-12-30T11:30:00"/>
    <s v="DISTRAVES"/>
    <s v="BUCARAMANGA"/>
    <s v="FOSMYCINA 90 X 500 GR"/>
    <n v="10"/>
    <n v="0"/>
    <n v="5200000"/>
    <d v="2026-04-17T00:00:00"/>
    <m/>
    <m/>
    <m/>
    <m/>
  </r>
  <r>
    <m/>
    <x v="24"/>
    <d v="2026-04-17T00:00:00"/>
    <d v="1899-12-30T09:00:00"/>
    <x v="231"/>
    <m/>
    <d v="2026-04-17T00:00:00"/>
    <d v="1899-12-30T11:33:00"/>
    <s v="MARIA JOSE ORTIZ"/>
    <s v="BUCARAMANGA"/>
    <s v="TILOMIX ORAL x 1 Kg"/>
    <n v="3"/>
    <n v="0"/>
    <n v="706500"/>
    <d v="2026-04-17T00:00:00"/>
    <m/>
    <m/>
    <m/>
    <m/>
  </r>
  <r>
    <m/>
    <x v="24"/>
    <d v="2026-04-17T00:00:00"/>
    <d v="1899-12-30T09:00:00"/>
    <x v="231"/>
    <m/>
    <d v="2026-04-17T00:00:00"/>
    <d v="1899-12-30T11:33:00"/>
    <s v="MARIA JOSE ORTIZ"/>
    <s v="BUCARAMANGA"/>
    <s v="DQCICLIN X 1 KG"/>
    <n v="3"/>
    <n v="0"/>
    <n v="750000"/>
    <d v="2026-04-17T00:00:00"/>
    <m/>
    <m/>
    <m/>
    <m/>
  </r>
  <r>
    <m/>
    <x v="24"/>
    <d v="2026-04-17T00:00:00"/>
    <d v="1899-12-30T09:00:00"/>
    <x v="232"/>
    <m/>
    <d v="2026-04-17T00:00:00"/>
    <d v="1899-12-30T11:33:00"/>
    <s v="MARIA JOSE ORTIZ"/>
    <s v="BUCARAMANGA"/>
    <s v="SMOOT SWEET X 75 GR"/>
    <n v="7.4999999999999997E-2"/>
    <n v="0"/>
    <n v="0"/>
    <d v="2026-04-17T00:00:00"/>
    <m/>
    <m/>
    <m/>
    <m/>
  </r>
  <r>
    <m/>
    <x v="156"/>
    <d v="2026-04-17T00:00:00"/>
    <d v="1899-12-30T10:19:00"/>
    <x v="233"/>
    <m/>
    <d v="2026-04-17T00:00:00"/>
    <d v="1899-12-30T11:38:00"/>
    <s v="CONTEGRAL S.A.S."/>
    <s v="CARTAGO"/>
    <s v="ESPELIN 88 X 25 KG"/>
    <n v="100"/>
    <n v="4"/>
    <n v="3890000"/>
    <d v="2026-04-18T00:00:00"/>
    <m/>
    <m/>
    <m/>
    <m/>
  </r>
  <r>
    <m/>
    <x v="156"/>
    <d v="2026-04-17T00:00:00"/>
    <d v="1899-12-30T10:19:00"/>
    <x v="233"/>
    <m/>
    <d v="2026-04-17T00:00:00"/>
    <d v="1899-12-30T11:38:00"/>
    <s v="CONTEGRAL S.A.S."/>
    <s v="CARTAGO"/>
    <s v="TILOMIX 250 PREMIX X 25 KG"/>
    <n v="75"/>
    <n v="3"/>
    <n v="3892500"/>
    <d v="2026-04-18T00:00:00"/>
    <m/>
    <m/>
    <m/>
    <m/>
  </r>
  <r>
    <m/>
    <x v="157"/>
    <d v="2026-04-17T00:00:00"/>
    <d v="1899-12-30T10:47:00"/>
    <x v="234"/>
    <s v="BG25944"/>
    <d v="2026-04-17T00:00:00"/>
    <d v="1899-12-30T11:53:00"/>
    <s v="GARCIA GOMEZ AGROINVERSIONES S.A."/>
    <s v="BUGA"/>
    <s v="FOSMYCINA 90 X 500 GR"/>
    <n v="30"/>
    <n v="1"/>
    <n v="15444000"/>
    <d v="2026-04-18T00:00:00"/>
    <m/>
    <m/>
    <m/>
    <m/>
  </r>
  <r>
    <m/>
    <x v="157"/>
    <d v="2026-04-17T00:00:00"/>
    <d v="1899-12-30T10:47:00"/>
    <x v="234"/>
    <s v="BG25944"/>
    <d v="2026-04-17T00:00:00"/>
    <d v="1899-12-30T11:53:00"/>
    <s v="GARCIA GOMEZ AGROINVERSIONES S.A."/>
    <s v="BUGA"/>
    <s v="NORFLOX X 1 LITRO"/>
    <n v="20"/>
    <n v="1"/>
    <n v="1430000"/>
    <d v="2026-04-18T00:00:00"/>
    <m/>
    <m/>
    <m/>
    <m/>
  </r>
  <r>
    <s v="INVENTARIO"/>
    <x v="157"/>
    <d v="2026-04-17T00:00:00"/>
    <d v="1899-12-30T10:47:00"/>
    <x v="234"/>
    <s v="BG26053"/>
    <d v="2026-04-17T00:00:00"/>
    <d v="1899-12-30T11:53:00"/>
    <s v="GARCIA GOMEZ AGROINVERSIONES S.A."/>
    <s v="BUGA"/>
    <s v="AMOXIN X 1 KILO"/>
    <n v="2"/>
    <n v="0"/>
    <n v="290000"/>
    <d v="2026-04-18T00:00:00"/>
    <m/>
    <m/>
    <m/>
    <m/>
  </r>
  <r>
    <s v="INVENTARIO"/>
    <x v="157"/>
    <d v="2026-04-17T00:00:00"/>
    <d v="1899-12-30T10:47:00"/>
    <x v="234"/>
    <m/>
    <d v="2026-04-17T00:00:00"/>
    <d v="1899-12-30T11:53:00"/>
    <s v="GARCIA GOMEZ AGROINVERSIONES S.A."/>
    <s v="BUGA"/>
    <s v="AMOXIN X 1 KILO"/>
    <n v="28"/>
    <n v="1"/>
    <n v="4060000"/>
    <d v="2026-04-18T00:00:00"/>
    <m/>
    <m/>
    <m/>
    <m/>
  </r>
  <r>
    <m/>
    <x v="157"/>
    <d v="2026-04-17T00:00:00"/>
    <d v="1899-12-30T10:47:00"/>
    <x v="234"/>
    <s v="BG25944"/>
    <d v="2026-04-17T00:00:00"/>
    <d v="1899-12-30T11:53:00"/>
    <s v="GARCIA GOMEZ AGROINVERSIONES S.A."/>
    <s v="BUGA"/>
    <s v="FRACTAL L X 20 LITROS"/>
    <n v="200"/>
    <n v="8"/>
    <n v="8000000"/>
    <d v="2026-04-18T00:00:00"/>
    <m/>
    <m/>
    <m/>
    <m/>
  </r>
  <r>
    <s v="INVENTARIO"/>
    <x v="158"/>
    <d v="2026-04-17T00:00:00"/>
    <d v="1899-12-30T10:49:00"/>
    <x v="235"/>
    <s v="BG26051"/>
    <d v="2026-04-17T00:00:00"/>
    <d v="1899-12-30T12:00:00"/>
    <s v="C&amp;J PORK"/>
    <s v="BUGA"/>
    <s v="AMOXIN X 1 KILO"/>
    <n v="30"/>
    <n v="1"/>
    <n v="4350000"/>
    <d v="2026-04-18T00:00:00"/>
    <m/>
    <m/>
    <m/>
    <m/>
  </r>
  <r>
    <m/>
    <x v="158"/>
    <d v="2026-04-17T00:00:00"/>
    <d v="1899-12-30T10:49:00"/>
    <x v="235"/>
    <s v="BG25943"/>
    <d v="2026-04-17T00:00:00"/>
    <d v="1899-12-30T12:00:00"/>
    <s v="C&amp;J PORK"/>
    <s v="BUGA"/>
    <s v="FOSMYCINA 90 X 500 GR"/>
    <n v="40"/>
    <n v="2"/>
    <n v="10296000"/>
    <d v="2026-04-18T00:00:00"/>
    <m/>
    <m/>
    <m/>
    <m/>
  </r>
  <r>
    <m/>
    <x v="158"/>
    <d v="2026-04-17T00:00:00"/>
    <d v="1899-12-30T10:49:00"/>
    <x v="235"/>
    <s v="BG25943"/>
    <d v="2026-04-17T00:00:00"/>
    <d v="1899-12-30T12:00:00"/>
    <s v="C&amp;J PORK"/>
    <s v="BUGA"/>
    <s v="NORFLOX X 1 LITRO"/>
    <n v="10"/>
    <n v="0"/>
    <n v="715000"/>
    <d v="2026-04-18T00:00:00"/>
    <m/>
    <m/>
    <m/>
    <m/>
  </r>
  <r>
    <s v="INVENTARIO"/>
    <x v="159"/>
    <d v="2026-04-17T00:00:00"/>
    <d v="1899-12-30T10:49:00"/>
    <x v="236"/>
    <m/>
    <d v="2026-04-17T00:00:00"/>
    <d v="1899-12-30T12:00:00"/>
    <s v="IMPRO- AGRO"/>
    <s v="BUGA"/>
    <s v="AMOXIN X 1 KILO"/>
    <n v="30"/>
    <n v="1"/>
    <n v="4350000"/>
    <d v="2026-04-18T00:00:00"/>
    <m/>
    <m/>
    <m/>
    <m/>
  </r>
  <r>
    <m/>
    <x v="159"/>
    <d v="2026-04-17T00:00:00"/>
    <d v="1899-12-30T10:49:00"/>
    <x v="236"/>
    <s v="BG25942"/>
    <d v="2026-04-17T00:00:00"/>
    <d v="1899-12-30T12:00:00"/>
    <s v="IMPRO- AGRO"/>
    <s v="BUGA"/>
    <s v="FOSMYCINA 90 X 500 GR"/>
    <n v="40"/>
    <n v="2"/>
    <n v="10296000"/>
    <d v="2026-04-18T00:00:00"/>
    <m/>
    <m/>
    <m/>
    <m/>
  </r>
  <r>
    <m/>
    <x v="159"/>
    <d v="2026-04-17T00:00:00"/>
    <d v="1899-12-30T10:49:00"/>
    <x v="236"/>
    <s v="BG25942"/>
    <d v="2026-04-17T00:00:00"/>
    <d v="1899-12-30T12:00:00"/>
    <s v="IMPRO- AGRO"/>
    <s v="BUGA"/>
    <s v="NORFLOX X 1 LITRO"/>
    <n v="10"/>
    <n v="0"/>
    <n v="715000"/>
    <d v="2026-04-18T00:00:00"/>
    <m/>
    <m/>
    <m/>
    <m/>
  </r>
  <r>
    <m/>
    <x v="97"/>
    <d v="2026-04-17T00:00:00"/>
    <d v="1899-12-30T07:10:00"/>
    <x v="237"/>
    <m/>
    <d v="2026-04-17T00:00:00"/>
    <d v="1899-12-30T12:21:00"/>
    <s v="MESAGE"/>
    <s v="MEDELLIN"/>
    <s v="HALQUINOX 800 X 25 KG"/>
    <n v="3000"/>
    <n v="120"/>
    <n v="218601000"/>
    <d v="2026-04-17T00:00:00"/>
    <m/>
    <m/>
    <m/>
    <m/>
  </r>
  <r>
    <s v="CARTERA"/>
    <x v="64"/>
    <d v="2026-04-17T00:00:00"/>
    <d v="1899-12-30T11:41:00"/>
    <x v="238"/>
    <m/>
    <d v="2026-04-17T00:00:00"/>
    <d v="1899-12-30T12:27:00"/>
    <s v="INVERSIONES J.V. S.A.S."/>
    <s v="BUCARAMANGA"/>
    <s v="AVINOVA X 25 KG"/>
    <n v="200"/>
    <n v="8"/>
    <n v="4800000"/>
    <d v="2026-04-20T00:00:00"/>
    <m/>
    <m/>
    <m/>
    <m/>
  </r>
  <r>
    <m/>
    <x v="24"/>
    <d v="2026-04-17T00:00:00"/>
    <d v="1899-12-30T10:36:00"/>
    <x v="239"/>
    <m/>
    <d v="2026-04-17T00:00:00"/>
    <d v="1899-12-30T12:41:00"/>
    <s v="AVICOLA SINAIN"/>
    <s v="BUCARAMANGA"/>
    <s v="5 KG FENIFLOR PREMIX"/>
    <n v="10"/>
    <n v="0"/>
    <n v="700000"/>
    <d v="2026-04-17T00:00:00"/>
    <m/>
    <m/>
    <m/>
    <m/>
  </r>
  <r>
    <s v="SAC Y LOGISTICA DE SALIDA"/>
    <x v="160"/>
    <d v="2026-04-17T00:00:00"/>
    <d v="1899-12-30T13:05:00"/>
    <x v="240"/>
    <m/>
    <d v="2026-04-17T00:00:00"/>
    <d v="1899-12-30T14:14:00"/>
    <s v="PREMEX S.A.S."/>
    <s v="MEDELLIN"/>
    <s v="FRACTAL P X 25 KG"/>
    <n v="2000"/>
    <n v="80"/>
    <n v="49500000"/>
    <d v="2026-04-17T00:00:00"/>
    <m/>
    <m/>
    <m/>
    <m/>
  </r>
  <r>
    <m/>
    <x v="24"/>
    <d v="2026-04-17T00:00:00"/>
    <d v="1899-12-30T16:30:00"/>
    <x v="241"/>
    <m/>
    <d v="2026-04-17T00:00:00"/>
    <d v="1899-12-30T15:10:00"/>
    <s v="GRANJA LA VENTURA _x000a_"/>
    <s v="BUGA"/>
    <s v="TILCOMIX PREMIX S X 5KG"/>
    <n v="25"/>
    <n v="1"/>
    <n v="3320000"/>
    <d v="2026-04-20T00:00:00"/>
    <m/>
    <m/>
    <m/>
    <m/>
  </r>
  <r>
    <m/>
    <x v="24"/>
    <d v="2026-04-17T00:00:00"/>
    <d v="1899-12-30T16:30:00"/>
    <x v="241"/>
    <m/>
    <d v="2026-04-17T00:00:00"/>
    <d v="1899-12-30T15:10:00"/>
    <s v="GRANJA LA VENTURA _x000a_"/>
    <s v="BUGA"/>
    <s v="5 KG FENIFLOR PREMIX"/>
    <n v="20"/>
    <n v="1"/>
    <n v="1750000"/>
    <d v="2026-04-20T00:00:00"/>
    <m/>
    <m/>
    <m/>
    <m/>
  </r>
  <r>
    <m/>
    <x v="24"/>
    <d v="2026-04-17T00:00:00"/>
    <d v="1899-12-30T15:30:00"/>
    <x v="242"/>
    <m/>
    <d v="2026-04-17T00:00:00"/>
    <d v="1899-12-30T15:29:00"/>
    <s v="INVERSIONES FC"/>
    <s v="DON MATIAS"/>
    <s v="FOSMYCINA 90 X 500 GR"/>
    <n v="4"/>
    <n v="0"/>
    <n v="2080000"/>
    <d v="2026-04-17T00:00:00"/>
    <m/>
    <m/>
    <m/>
    <m/>
  </r>
  <r>
    <m/>
    <x v="33"/>
    <d v="2026-04-17T00:00:00"/>
    <d v="1899-12-30T16:23:00"/>
    <x v="243"/>
    <m/>
    <d v="2026-04-17T00:00:00"/>
    <d v="1899-12-30T16:23:00"/>
    <s v="POLLOS EL BUCANERO"/>
    <s v="ESMERALDA"/>
    <s v="NORFLOX X 1 LITRO"/>
    <n v="100"/>
    <n v="4"/>
    <n v="5500000"/>
    <d v="2026-04-18T00:00:00"/>
    <m/>
    <m/>
    <m/>
    <m/>
  </r>
  <r>
    <s v="CARTERA"/>
    <x v="161"/>
    <d v="2026-04-17T00:00:00"/>
    <d v="1899-12-30T16:20:00"/>
    <x v="244"/>
    <m/>
    <d v="2026-04-17T00:00:00"/>
    <d v="1899-12-30T16:29:00"/>
    <s v="AGROPECUARIA GOLOSO"/>
    <s v="NUTRITEC"/>
    <s v="HALQUINOX 800 X 25 KG"/>
    <n v="50"/>
    <n v="2"/>
    <n v="5125000"/>
    <d v="2026-04-21T00:00:00"/>
    <m/>
    <m/>
    <m/>
    <m/>
  </r>
  <r>
    <s v="CARTERA"/>
    <x v="161"/>
    <d v="2026-04-17T00:00:00"/>
    <d v="1899-12-30T16:20:00"/>
    <x v="244"/>
    <m/>
    <d v="2026-04-17T00:00:00"/>
    <d v="1899-12-30T16:29:00"/>
    <s v="AGROPECUARIA GOLOSO"/>
    <s v="NUTRITEC"/>
    <s v="FRACTAL P X 25 KG"/>
    <n v="250"/>
    <n v="10"/>
    <n v="6375000"/>
    <d v="2026-04-21T00:00:00"/>
    <m/>
    <m/>
    <m/>
    <m/>
  </r>
  <r>
    <s v="CARTERA"/>
    <x v="161"/>
    <d v="2026-04-17T00:00:00"/>
    <d v="1899-12-30T16:20:00"/>
    <x v="244"/>
    <m/>
    <d v="2026-04-17T00:00:00"/>
    <d v="1899-12-30T16:29:00"/>
    <s v="AGROPECUARIA GOLOSO"/>
    <s v="NUTRITEC"/>
    <s v="DINAMIX 800 X 25 KG"/>
    <n v="100"/>
    <n v="4"/>
    <n v="16420000"/>
    <d v="2026-04-21T00:00:00"/>
    <m/>
    <m/>
    <m/>
    <m/>
  </r>
  <r>
    <s v="CARTERA"/>
    <x v="161"/>
    <d v="2026-04-17T00:00:00"/>
    <d v="1899-12-30T16:20:00"/>
    <x v="244"/>
    <m/>
    <d v="2026-04-17T00:00:00"/>
    <d v="1899-12-30T16:29:00"/>
    <s v="AGROPECUARIA GOLOSO"/>
    <s v="NUTRITEC"/>
    <s v="CLORTETRAX 20 X 25 KG"/>
    <n v="300"/>
    <n v="12"/>
    <n v="4860000"/>
    <d v="2026-04-21T00:00:00"/>
    <m/>
    <m/>
    <m/>
    <m/>
  </r>
  <r>
    <s v="CARTERA"/>
    <x v="161"/>
    <d v="2026-04-17T00:00:00"/>
    <d v="1899-12-30T16:20:00"/>
    <x v="244"/>
    <m/>
    <d v="2026-04-17T00:00:00"/>
    <d v="1899-12-30T16:29:00"/>
    <s v="AGROPECUARIA GOLOSO"/>
    <s v="NUTRITEC"/>
    <s v="DMB 11 X 25 KG"/>
    <n v="100"/>
    <n v="4"/>
    <n v="1989000"/>
    <d v="2026-04-21T00:00:00"/>
    <m/>
    <m/>
    <m/>
    <m/>
  </r>
  <r>
    <m/>
    <x v="24"/>
    <d v="2026-04-17T00:00:00"/>
    <d v="1899-12-30T16:41:00"/>
    <x v="245"/>
    <m/>
    <d v="2026-04-17T00:00:00"/>
    <d v="1899-12-30T16:48:00"/>
    <s v="AVICOLA SAN MARTIN"/>
    <s v="SANTUARIO"/>
    <s v="CIPROFLOX X 5 KG"/>
    <n v="15"/>
    <n v="1"/>
    <n v="915000"/>
    <d v="2026-04-18T00:00:00"/>
    <m/>
    <m/>
    <m/>
    <m/>
  </r>
  <r>
    <m/>
    <x v="24"/>
    <d v="2026-04-17T00:00:00"/>
    <d v="1899-12-30T16:41:00"/>
    <x v="246"/>
    <m/>
    <d v="2026-04-17T00:00:00"/>
    <d v="1899-12-30T16:48:00"/>
    <s v="AVICOLA SAN MARTIN"/>
    <s v="SANTUARIO"/>
    <s v="SMOOT SWEET X 75 GR"/>
    <n v="1.1125"/>
    <n v="0"/>
    <n v="915000"/>
    <d v="2026-04-18T00:00:00"/>
    <m/>
    <m/>
    <m/>
    <m/>
  </r>
  <r>
    <m/>
    <x v="162"/>
    <d v="2026-04-20T00:00:00"/>
    <d v="1899-12-30T10:29:00"/>
    <x v="247"/>
    <m/>
    <d v="2026-04-20T00:00:00"/>
    <d v="1899-12-30T11:15:00"/>
    <s v="COMPAÑIA INDUSTRIAL DE PRODUCTOS AGROPECUARIOS S.A"/>
    <s v="CARTAGO"/>
    <s v="CELMANAX X 25 KG"/>
    <n v="50"/>
    <n v="2"/>
    <n v="810000"/>
    <d v="2026-04-21T00:00:00"/>
    <m/>
    <m/>
    <m/>
    <m/>
  </r>
  <r>
    <m/>
    <x v="64"/>
    <d v="2026-04-20T00:00:00"/>
    <d v="1899-12-30T11:00:00"/>
    <x v="248"/>
    <m/>
    <d v="2026-04-20T00:00:00"/>
    <d v="1899-12-30T11:36:00"/>
    <s v="INCUBADORA SANTANDER"/>
    <s v="CALOTO"/>
    <s v="DINAMIX 800 X 25 KG"/>
    <n v="1000"/>
    <n v="40"/>
    <n v="179500000"/>
    <d v="2026-04-21T00:00:00"/>
    <m/>
    <m/>
    <m/>
    <m/>
  </r>
  <r>
    <s v="CANCELADO"/>
    <x v="163"/>
    <d v="2026-04-20T00:00:00"/>
    <d v="1899-12-30T11:34:00"/>
    <x v="249"/>
    <s v="BG26006"/>
    <d v="2026-04-20T00:00:00"/>
    <d v="1899-12-30T12:22:00"/>
    <s v="PRO FARM DE LOS ANDES"/>
    <s v="BUCARAMANGA"/>
    <s v="FOSMYCINA 90 X 500 GR"/>
    <n v="2.5"/>
    <n v="0"/>
    <n v="1297000"/>
    <d v="2026-04-20T00:00:00"/>
    <m/>
    <m/>
    <m/>
    <m/>
  </r>
  <r>
    <m/>
    <x v="164"/>
    <d v="2026-04-17T00:00:00"/>
    <d v="1899-12-30T16:46:00"/>
    <x v="250"/>
    <m/>
    <d v="2026-04-20T00:00:00"/>
    <d v="1899-12-30T12:31:00"/>
    <s v="CONTEGRAL S.A.S."/>
    <s v="BOGOTA"/>
    <s v="DINAMIX PREMIX X 25 KG"/>
    <n v="75"/>
    <n v="3"/>
    <n v="1629750"/>
    <d v="2026-04-27T00:00:00"/>
    <m/>
    <m/>
    <m/>
    <m/>
  </r>
  <r>
    <m/>
    <x v="165"/>
    <d v="2026-04-20T00:00:00"/>
    <d v="1899-12-30T10:47:00"/>
    <x v="251"/>
    <s v="BG26014"/>
    <d v="2026-04-20T00:00:00"/>
    <d v="1899-12-30T12:39:00"/>
    <s v="FINCA S.A.S."/>
    <s v="CIENAGA"/>
    <s v="FENIFLOR PREMIX X 25 Kg"/>
    <n v="75"/>
    <n v="3"/>
    <n v="3889500"/>
    <d v="2026-04-22T00:00:00"/>
    <m/>
    <m/>
    <m/>
    <m/>
  </r>
  <r>
    <m/>
    <x v="166"/>
    <d v="2026-04-20T00:00:00"/>
    <d v="1899-12-30T11:20:00"/>
    <x v="252"/>
    <m/>
    <d v="2026-04-20T00:00:00"/>
    <d v="1899-12-30T12:46:00"/>
    <s v="ALIMENTOS ALDUQUE"/>
    <s v="BOGOTA"/>
    <s v="SAGAH X 25 KILOS"/>
    <n v="25"/>
    <n v="1"/>
    <n v="887625"/>
    <d v="2025-04-21T00:00:00"/>
    <m/>
    <m/>
    <m/>
    <m/>
  </r>
  <r>
    <m/>
    <x v="166"/>
    <d v="2026-04-20T00:00:00"/>
    <d v="1899-12-30T11:20:00"/>
    <x v="252"/>
    <m/>
    <d v="2026-04-20T00:00:00"/>
    <d v="1899-12-30T12:46:00"/>
    <s v="ALIMENTOS ALDUQUE"/>
    <s v="BOGOTA"/>
    <s v="CIPROFLOX X 5 KG"/>
    <n v="30"/>
    <n v="1"/>
    <n v="1830000"/>
    <d v="2025-04-21T00:00:00"/>
    <m/>
    <m/>
    <m/>
    <m/>
  </r>
  <r>
    <m/>
    <x v="166"/>
    <d v="2026-04-20T00:00:00"/>
    <d v="1899-12-30T11:20:00"/>
    <x v="253"/>
    <m/>
    <d v="2026-04-20T00:00:00"/>
    <d v="1899-12-30T12:46:00"/>
    <s v="ALIMENTOS ALDUQUE"/>
    <s v="BOGOTA"/>
    <s v="SMOOT SWEET X 75 GR"/>
    <n v="2.25"/>
    <n v="0"/>
    <n v="0"/>
    <d v="2025-04-21T00:00:00"/>
    <m/>
    <m/>
    <m/>
    <m/>
  </r>
  <r>
    <m/>
    <x v="78"/>
    <d v="2026-04-20T00:00:00"/>
    <d v="1899-12-30T11:28:00"/>
    <x v="254"/>
    <m/>
    <d v="2026-04-20T00:00:00"/>
    <d v="1899-12-30T12:53:00"/>
    <s v="AVICOLA LOS CAMBULOS"/>
    <s v="GARAGOA"/>
    <s v="DQCICLIN X 1 KG"/>
    <n v="15"/>
    <n v="1"/>
    <n v="4050000"/>
    <d v="2025-04-21T00:00:00"/>
    <m/>
    <m/>
    <m/>
    <m/>
  </r>
  <r>
    <m/>
    <x v="167"/>
    <d v="2026-04-20T00:00:00"/>
    <d v="1899-12-30T11:28:00"/>
    <x v="255"/>
    <m/>
    <d v="2026-04-20T00:00:00"/>
    <d v="1899-12-30T12:53:00"/>
    <s v="AVICOLA LOS CAMBULOS"/>
    <s v="GARAGOA"/>
    <s v="DQCICLIN X 1 KG"/>
    <n v="24"/>
    <n v="1"/>
    <n v="6480000"/>
    <d v="2025-04-21T00:00:00"/>
    <m/>
    <m/>
    <m/>
    <m/>
  </r>
  <r>
    <m/>
    <x v="168"/>
    <d v="2026-04-20T00:00:00"/>
    <d v="1899-12-30T11:28:00"/>
    <x v="256"/>
    <m/>
    <d v="2026-04-20T00:00:00"/>
    <d v="1899-12-30T12:53:00"/>
    <s v="AVICOLA LOS CAMBULOS"/>
    <s v="LA VEGA"/>
    <s v="DQCICLIN X 1 KG"/>
    <n v="23"/>
    <n v="1"/>
    <n v="6210000"/>
    <d v="2025-04-21T00:00:00"/>
    <m/>
    <m/>
    <m/>
    <m/>
  </r>
  <r>
    <m/>
    <x v="24"/>
    <d v="2026-04-20T00:00:00"/>
    <d v="1899-12-30T11:39:00"/>
    <x v="257"/>
    <m/>
    <d v="2026-04-20T00:00:00"/>
    <d v="1899-12-30T14:22:00"/>
    <s v="ARANGO HERMANOS"/>
    <s v="SANTA ROSA"/>
    <s v="TILCOMIX PREMIX S X 5KG"/>
    <n v="10"/>
    <n v="0"/>
    <n v="1600000"/>
    <d v="2026-04-20T00:00:00"/>
    <m/>
    <m/>
    <m/>
    <m/>
  </r>
  <r>
    <m/>
    <x v="24"/>
    <d v="2026-04-20T00:00:00"/>
    <d v="1899-12-30T11:39:00"/>
    <x v="257"/>
    <m/>
    <d v="2026-04-20T00:00:00"/>
    <d v="1899-12-30T14:22:00"/>
    <s v="ARANGO HERMANOS"/>
    <s v="SANTA ROSA"/>
    <s v="TILVASYYN x 25 KG"/>
    <n v="5"/>
    <n v="0"/>
    <n v="1050000"/>
    <d v="2026-04-20T00:00:00"/>
    <m/>
    <m/>
    <m/>
    <m/>
  </r>
  <r>
    <m/>
    <x v="169"/>
    <d v="2026-04-20T00:00:00"/>
    <d v="1899-12-30T01:04:00"/>
    <x v="258"/>
    <m/>
    <d v="2026-04-20T00:00:00"/>
    <d v="1899-12-30T14:30:00"/>
    <s v="CONTEGRAL S.A.S."/>
    <s v="BOGOTA"/>
    <s v="DINAMIX PREMIX X 25 KG"/>
    <n v="75"/>
    <n v="3"/>
    <n v="1629750"/>
    <d v="2026-04-27T00:00:00"/>
    <m/>
    <m/>
    <m/>
    <m/>
  </r>
  <r>
    <m/>
    <x v="170"/>
    <d v="2026-04-20T00:00:00"/>
    <d v="1899-12-30T16:00:00"/>
    <x v="259"/>
    <m/>
    <d v="2026-04-20T00:00:00"/>
    <d v="1899-12-30T16:20:00"/>
    <s v="POLLOS EL BUCANERO"/>
    <s v="CAVASA"/>
    <s v="DMB 11 X 25 KG"/>
    <n v="4000"/>
    <n v="160"/>
    <n v="73400000"/>
    <d v="2026-04-24T00:00:00"/>
    <m/>
    <m/>
    <m/>
    <m/>
  </r>
  <r>
    <m/>
    <x v="171"/>
    <d v="2026-04-20T00:00:00"/>
    <d v="1899-12-30T14:38:00"/>
    <x v="260"/>
    <m/>
    <d v="2026-04-21T00:00:00"/>
    <d v="1899-12-30T09:18:00"/>
    <s v="PORCICOLA PRADERA S.A."/>
    <s v="MANIZALES"/>
    <s v="CELMANAX X 25 KG"/>
    <n v="300"/>
    <n v="12"/>
    <n v="5100000"/>
    <d v="2026-04-22T00:00:00"/>
    <m/>
    <m/>
    <m/>
    <m/>
  </r>
  <r>
    <m/>
    <x v="171"/>
    <d v="2026-04-20T00:00:00"/>
    <d v="1899-12-30T14:38:00"/>
    <x v="260"/>
    <m/>
    <d v="2026-04-21T00:00:00"/>
    <d v="1899-12-30T09:18:00"/>
    <s v="PORCICOLA PRADERA S.A."/>
    <s v="MANIZALES"/>
    <s v="TILCOMIX PREMIX S X 5KG"/>
    <n v="25"/>
    <n v="1"/>
    <n v="3875000"/>
    <d v="2026-04-22T00:00:00"/>
    <m/>
    <m/>
    <m/>
    <m/>
  </r>
  <r>
    <m/>
    <x v="172"/>
    <d v="2026-04-20T00:00:00"/>
    <d v="1899-12-30T16:01:00"/>
    <x v="261"/>
    <m/>
    <d v="2026-04-21T00:00:00"/>
    <d v="1899-12-30T09:28:00"/>
    <s v="POLLO FIESTA"/>
    <s v="LA CABAÑA"/>
    <s v="TRIMBAC X 5 KG"/>
    <n v="60"/>
    <n v="2"/>
    <n v="10800000"/>
    <d v="2026-04-22T00:00:00"/>
    <m/>
    <m/>
    <m/>
    <m/>
  </r>
  <r>
    <m/>
    <x v="173"/>
    <d v="2026-04-20T00:00:00"/>
    <d v="1899-12-30T17:47:00"/>
    <x v="262"/>
    <m/>
    <d v="2026-04-21T00:00:00"/>
    <d v="1899-12-30T09:47:00"/>
    <s v="COOPERATIVA DE PORCICULTORES DEL EJE CAFETERO"/>
    <s v="NUTREXCOL"/>
    <s v="CIPROFLOX X 5 KG"/>
    <n v="100"/>
    <n v="4"/>
    <n v="5300000"/>
    <d v="2026-04-22T00:00:00"/>
    <m/>
    <m/>
    <m/>
    <m/>
  </r>
  <r>
    <m/>
    <x v="173"/>
    <d v="2026-04-20T00:00:00"/>
    <d v="1899-12-30T17:47:00"/>
    <x v="262"/>
    <m/>
    <d v="2026-04-21T00:00:00"/>
    <d v="1899-12-30T09:47:00"/>
    <s v="COOPERATIVA DE PORCICULTORES DEL EJE CAFETERO"/>
    <s v="NUTREXCOL"/>
    <s v="FRACTAL P X 25 KG"/>
    <n v="100"/>
    <n v="4"/>
    <n v="2550000"/>
    <d v="2026-04-22T00:00:00"/>
    <m/>
    <m/>
    <m/>
    <m/>
  </r>
  <r>
    <m/>
    <x v="173"/>
    <d v="2026-04-20T00:00:00"/>
    <d v="1899-12-30T17:47:00"/>
    <x v="263"/>
    <m/>
    <d v="2026-04-21T00:00:00"/>
    <d v="1899-12-30T09:48:00"/>
    <s v="COOPERATIVA DE PORCICULTORES DEL EJE CAFETERO"/>
    <s v="NUTREXCOL"/>
    <s v="SMOOT SWEET X 75 GR"/>
    <n v="7.5"/>
    <n v="0"/>
    <n v="0"/>
    <d v="2026-04-22T00:00:00"/>
    <m/>
    <m/>
    <m/>
    <m/>
  </r>
  <r>
    <m/>
    <x v="24"/>
    <d v="2026-04-20T00:00:00"/>
    <d v="1899-12-30T16:06:00"/>
    <x v="264"/>
    <m/>
    <d v="2026-04-21T00:00:00"/>
    <d v="1899-12-30T10:09:00"/>
    <s v="CONCENTRADOS ESPARTACO"/>
    <s v="GIRON"/>
    <s v="ACCUREMAX X 25 KG"/>
    <n v="50"/>
    <n v="2"/>
    <n v="3160000"/>
    <d v="2026-04-22T00:00:00"/>
    <m/>
    <m/>
    <m/>
    <m/>
  </r>
  <r>
    <m/>
    <x v="174"/>
    <d v="2026-04-20T00:00:00"/>
    <d v="1899-12-30T16:51:00"/>
    <x v="265"/>
    <m/>
    <d v="2026-04-21T00:00:00"/>
    <d v="1899-12-30T11:13:00"/>
    <s v="DISTRAVES"/>
    <s v="GIRON"/>
    <s v="1 KG DE CIPROFLOX"/>
    <n v="150"/>
    <n v="6"/>
    <n v="8580000"/>
    <d v="2026-04-21T00:00:00"/>
    <m/>
    <m/>
    <m/>
    <m/>
  </r>
  <r>
    <m/>
    <x v="24"/>
    <d v="2026-04-21T00:00:00"/>
    <d v="1899-12-30T11:00:00"/>
    <x v="266"/>
    <m/>
    <d v="2026-04-21T00:00:00"/>
    <d v="1899-12-30T11:48:00"/>
    <s v="PRODUCTOS AVICOLA DEL ORIENTE"/>
    <s v="LA CEJA"/>
    <s v="FOSMYCINA 90 X 500 GR"/>
    <n v="28"/>
    <n v="1"/>
    <n v="14560000"/>
    <d v="2026-04-22T00:00:00"/>
    <m/>
    <m/>
    <m/>
    <m/>
  </r>
  <r>
    <m/>
    <x v="175"/>
    <d v="2026-04-21T00:00:00"/>
    <d v="1899-12-30T11:00:00"/>
    <x v="266"/>
    <m/>
    <d v="2026-04-21T00:00:00"/>
    <d v="1899-12-30T11:48:00"/>
    <s v="CONTEGRAL S.A.S."/>
    <s v="ENVIGADO"/>
    <s v="FRACTAL P X 25 KG"/>
    <n v="50"/>
    <n v="2"/>
    <n v="1237500"/>
    <d v="2026-04-21T00:00:00"/>
    <m/>
    <m/>
    <m/>
    <m/>
  </r>
  <r>
    <m/>
    <x v="176"/>
    <d v="2026-04-21T00:00:00"/>
    <d v="1899-12-30T10:20:00"/>
    <x v="267"/>
    <m/>
    <d v="2026-04-21T00:00:00"/>
    <d v="1899-12-30T12:10:00"/>
    <s v="AGRICOLA COLOMBIANA"/>
    <s v="PUERTO TEJADA"/>
    <s v="TILVASYYN x 25 KG"/>
    <n v="50"/>
    <n v="2"/>
    <n v="10250000"/>
    <d v="2026-04-22T00:00:00"/>
    <m/>
    <m/>
    <m/>
    <m/>
  </r>
  <r>
    <m/>
    <x v="24"/>
    <d v="2026-04-21T00:00:00"/>
    <d v="1899-12-30T07:20:00"/>
    <x v="268"/>
    <m/>
    <d v="2026-04-21T00:00:00"/>
    <d v="1899-12-30T12:14:00"/>
    <s v="POLLOS SAVICOL"/>
    <s v="VILLAVICENCIO"/>
    <s v="1 KG NEOCYN"/>
    <n v="13"/>
    <n v="1"/>
    <n v="949000"/>
    <d v="2026-04-22T00:00:00"/>
    <m/>
    <m/>
    <m/>
    <m/>
  </r>
  <r>
    <m/>
    <x v="177"/>
    <d v="2026-04-21T00:00:00"/>
    <d v="1899-12-30T11:22:00"/>
    <x v="269"/>
    <m/>
    <d v="2026-04-21T00:00:00"/>
    <d v="1899-12-30T12:19:00"/>
    <s v="PREMEX S.A.S."/>
    <s v="CELTA"/>
    <s v="MONECYL X 25 KG"/>
    <n v="2500"/>
    <n v="100"/>
    <n v="48125000"/>
    <d v="2026-04-23T00:00:00"/>
    <m/>
    <m/>
    <m/>
    <m/>
  </r>
  <r>
    <m/>
    <x v="177"/>
    <d v="2026-04-21T00:00:00"/>
    <d v="1899-12-30T11:22:00"/>
    <x v="269"/>
    <m/>
    <d v="2026-04-21T00:00:00"/>
    <d v="1899-12-30T12:19:00"/>
    <s v="PREMEX S.A.S."/>
    <s v="CELTA"/>
    <s v="TILOMIX 250 PREMIX X 25 KG"/>
    <n v="800"/>
    <n v="32"/>
    <n v="41250000"/>
    <d v="2026-04-23T00:00:00"/>
    <m/>
    <m/>
    <m/>
    <m/>
  </r>
  <r>
    <m/>
    <x v="177"/>
    <d v="2026-04-21T00:00:00"/>
    <d v="1899-12-30T11:22:00"/>
    <x v="269"/>
    <m/>
    <d v="2026-04-21T00:00:00"/>
    <d v="1899-12-30T12:19:00"/>
    <s v="PREMEX S.A.S."/>
    <s v="CELTA"/>
    <s v="KIRA X 25 KG"/>
    <n v="200"/>
    <n v="8"/>
    <n v="3935000"/>
    <d v="2026-04-23T00:00:00"/>
    <m/>
    <m/>
    <m/>
    <m/>
  </r>
  <r>
    <m/>
    <x v="177"/>
    <d v="2026-04-21T00:00:00"/>
    <d v="1899-12-30T11:22:00"/>
    <x v="269"/>
    <m/>
    <d v="2026-04-21T00:00:00"/>
    <d v="1899-12-30T12:19:00"/>
    <s v="PREMEX S.A.S."/>
    <s v="CELTA"/>
    <s v="ESPELIN 88 X 25 KG"/>
    <n v="100"/>
    <n v="4"/>
    <n v="3890000"/>
    <d v="2026-04-23T00:00:00"/>
    <m/>
    <m/>
    <m/>
    <m/>
  </r>
  <r>
    <m/>
    <x v="177"/>
    <d v="2026-04-21T00:00:00"/>
    <d v="1899-12-30T11:22:00"/>
    <x v="269"/>
    <m/>
    <d v="2026-04-21T00:00:00"/>
    <d v="1899-12-30T12:19:00"/>
    <s v="PREMEX S.A.S."/>
    <s v="CELTA"/>
    <s v="SAGAH X 25 KILOS"/>
    <n v="100"/>
    <n v="4"/>
    <n v="3020000"/>
    <d v="2026-04-23T00:00:00"/>
    <m/>
    <m/>
    <m/>
    <m/>
  </r>
  <r>
    <m/>
    <x v="177"/>
    <d v="2026-04-21T00:00:00"/>
    <d v="1899-12-30T11:22:00"/>
    <x v="269"/>
    <m/>
    <d v="2026-04-21T00:00:00"/>
    <d v="1899-12-30T12:19:00"/>
    <s v="PREMEX S.A.S."/>
    <s v="CELTA"/>
    <s v="ACCUREMAX 20 % X 25 KG"/>
    <n v="50"/>
    <n v="2"/>
    <n v="22440000"/>
    <d v="2026-04-23T00:00:00"/>
    <m/>
    <m/>
    <m/>
    <m/>
  </r>
  <r>
    <m/>
    <x v="177"/>
    <d v="2026-04-21T00:00:00"/>
    <d v="1899-12-30T11:22:00"/>
    <x v="270"/>
    <m/>
    <d v="2026-04-21T00:00:00"/>
    <d v="1899-12-30T12:19:00"/>
    <s v="PREMEX S.A.S."/>
    <s v="CELTA"/>
    <s v="LOTUS X 25 KG"/>
    <n v="150"/>
    <n v="6"/>
    <n v="5175000"/>
    <d v="2026-04-23T00:00:00"/>
    <m/>
    <m/>
    <m/>
    <m/>
  </r>
  <r>
    <m/>
    <x v="24"/>
    <d v="2026-04-21T00:00:00"/>
    <d v="1899-12-30T12:11:00"/>
    <x v="271"/>
    <m/>
    <d v="2026-04-21T00:00:00"/>
    <d v="1899-12-30T12:56:00"/>
    <s v="GRUPO AGROBOX"/>
    <s v="GRANADA"/>
    <s v="DINAMIX 200 PREMIX X 25 KG"/>
    <n v="150"/>
    <n v="6"/>
    <n v="7950000"/>
    <d v="2026-04-23T00:00:00"/>
    <m/>
    <m/>
    <m/>
    <m/>
  </r>
  <r>
    <m/>
    <x v="24"/>
    <d v="2026-04-21T00:00:00"/>
    <d v="1899-12-30T11:32:00"/>
    <x v="272"/>
    <m/>
    <d v="2026-04-21T00:00:00"/>
    <d v="1899-12-30T13:06:00"/>
    <s v="AVICOLA EL GUAMITO"/>
    <s v="BUCARAMANGA"/>
    <s v="CIPROFLOX X 5 KG"/>
    <n v="15"/>
    <n v="1"/>
    <n v="2666000"/>
    <d v="2026-04-21T00:00:00"/>
    <m/>
    <m/>
    <m/>
    <m/>
  </r>
  <r>
    <m/>
    <x v="24"/>
    <d v="2026-04-21T00:00:00"/>
    <d v="1899-12-30T11:32:00"/>
    <x v="272"/>
    <m/>
    <d v="2026-04-21T00:00:00"/>
    <d v="1899-12-30T13:06:00"/>
    <s v="AVICOLA EL GUAMITO"/>
    <s v="BUCARAMANGA"/>
    <s v="1 KG DE CIPROFLOX"/>
    <n v="43"/>
    <n v="2"/>
    <n v="915000"/>
    <d v="2026-04-21T00:00:00"/>
    <m/>
    <m/>
    <m/>
    <m/>
  </r>
  <r>
    <m/>
    <x v="24"/>
    <d v="2026-04-21T00:00:00"/>
    <d v="1899-12-30T11:32:00"/>
    <x v="273"/>
    <m/>
    <d v="2026-04-21T00:00:00"/>
    <d v="1899-12-30T13:06:00"/>
    <s v="AVICOLA EL GUAMITO"/>
    <s v="BUCARAMANGA"/>
    <s v="SMOOT SWEET X 75 GR"/>
    <n v="4.3499999999999996"/>
    <n v="0"/>
    <n v="0"/>
    <d v="2026-04-21T00:00:00"/>
    <m/>
    <m/>
    <m/>
    <m/>
  </r>
  <r>
    <m/>
    <x v="178"/>
    <d v="2026-04-21T00:00:00"/>
    <d v="1899-12-30T14:40:00"/>
    <x v="274"/>
    <m/>
    <d v="2026-04-21T00:00:00"/>
    <d v="1899-12-30T14:52:00"/>
    <s v="AVICOLA LOS CAMBULOS"/>
    <s v="LA GRAN VIA"/>
    <s v="DQCICLIN X 1 KG"/>
    <n v="28"/>
    <n v="1"/>
    <n v="7560000"/>
    <d v="2026-04-21T00:00:00"/>
    <m/>
    <m/>
    <m/>
    <m/>
  </r>
  <r>
    <m/>
    <x v="179"/>
    <d v="2026-04-21T00:00:00"/>
    <d v="1899-12-30T14:40:00"/>
    <x v="275"/>
    <m/>
    <d v="2026-04-21T00:00:00"/>
    <d v="1899-12-30T14:52:00"/>
    <s v="AVICOLA LOS CAMBULOS"/>
    <s v="FUSA"/>
    <s v="DQCICLIN X 1 KG"/>
    <n v="95"/>
    <n v="4"/>
    <n v="25650000"/>
    <d v="2025-04-22T00:00:00"/>
    <m/>
    <m/>
    <m/>
    <m/>
  </r>
  <r>
    <m/>
    <x v="24"/>
    <d v="2026-04-21T00:00:00"/>
    <d v="1899-12-30T16:00:00"/>
    <x v="276"/>
    <m/>
    <d v="2026-04-22T00:00:00"/>
    <d v="1899-12-30T09:45:00"/>
    <s v="PREMEX INC"/>
    <s v="REPUBLICA DOMINICANA"/>
    <s v="CLORTETRAX 20 X 25 KG"/>
    <n v="1000"/>
    <n v="40"/>
    <s v="4700 USD"/>
    <d v="2025-04-29T00:00:00"/>
    <m/>
    <m/>
    <m/>
    <m/>
  </r>
  <r>
    <m/>
    <x v="180"/>
    <d v="2026-04-21T00:00:00"/>
    <d v="1899-12-30T22:24:00"/>
    <x v="277"/>
    <m/>
    <d v="2026-04-22T00:00:00"/>
    <d v="1899-12-30T08:18:00"/>
    <s v="AVICOLA SINAIN"/>
    <s v="BUCARAMANGA"/>
    <s v="FRACTAL P X 25 KG"/>
    <n v="75"/>
    <n v="3"/>
    <n v="1912500"/>
    <d v="2026-04-23T00:00:00"/>
    <m/>
    <m/>
    <m/>
    <m/>
  </r>
  <r>
    <m/>
    <x v="181"/>
    <d v="2026-04-21T00:00:00"/>
    <d v="1899-12-30T17:38:00"/>
    <x v="278"/>
    <m/>
    <d v="2026-04-22T00:00:00"/>
    <d v="1899-12-30T08:39:00"/>
    <s v="MESAGE"/>
    <s v="PREMEX CELTA"/>
    <s v="HALQUINOX 800 X 25 KG"/>
    <n v="400"/>
    <n v="16"/>
    <n v="29146800"/>
    <d v="2026-04-23T00:00:00"/>
    <m/>
    <m/>
    <m/>
    <m/>
  </r>
  <r>
    <m/>
    <x v="182"/>
    <d v="2026-04-22T00:00:00"/>
    <d v="1899-12-30T10:48:00"/>
    <x v="279"/>
    <m/>
    <d v="2026-04-22T00:00:00"/>
    <d v="1899-12-30T11:26:00"/>
    <s v="AVICOLA SINAIN"/>
    <s v="BUCARAMANGA"/>
    <s v="TILOMIX ORAL x 1 Kg"/>
    <n v="7"/>
    <n v="0"/>
    <n v="1645000"/>
    <d v="2026-04-22T00:00:00"/>
    <m/>
    <m/>
    <m/>
    <m/>
  </r>
  <r>
    <m/>
    <x v="182"/>
    <d v="2026-04-22T00:00:00"/>
    <d v="1899-12-30T10:48:00"/>
    <x v="280"/>
    <m/>
    <d v="2026-04-22T00:00:00"/>
    <d v="1899-12-30T11:26:00"/>
    <s v="AVICOLA SINAIN"/>
    <s v="BUCARAMANGA"/>
    <s v="SMOOT SWEET X 75 GR"/>
    <n v="0.15"/>
    <n v="0"/>
    <n v="0"/>
    <d v="2026-04-22T00:00:00"/>
    <m/>
    <m/>
    <m/>
    <m/>
  </r>
  <r>
    <m/>
    <x v="183"/>
    <d v="2026-04-22T00:00:00"/>
    <d v="1899-12-30T11:54:00"/>
    <x v="281"/>
    <m/>
    <d v="2026-04-22T00:00:00"/>
    <d v="1899-12-30T13:45:00"/>
    <s v="ITALCOL DE OCCIDENTE"/>
    <s v="GIRARDOTA"/>
    <s v="DINAMIX PREMIX X 25 KG"/>
    <n v="100"/>
    <n v="4"/>
    <n v="2550000"/>
    <d v="2026-04-24T00:00:00"/>
    <m/>
    <m/>
    <m/>
    <m/>
  </r>
  <r>
    <m/>
    <x v="183"/>
    <d v="2026-04-22T00:00:00"/>
    <d v="1899-12-30T11:54:00"/>
    <x v="281"/>
    <m/>
    <d v="2026-04-22T00:00:00"/>
    <d v="1899-12-30T13:45:00"/>
    <s v="ITALCOL DE OCCIDENTE"/>
    <s v="GIRARDOTA"/>
    <s v="DMB 11 X 25 KG"/>
    <n v="200"/>
    <n v="8"/>
    <n v="3900000"/>
    <d v="2026-04-24T00:00:00"/>
    <m/>
    <m/>
    <m/>
    <m/>
  </r>
  <r>
    <m/>
    <x v="183"/>
    <d v="2026-04-22T00:00:00"/>
    <d v="1899-12-30T11:54:00"/>
    <x v="281"/>
    <m/>
    <d v="2026-04-22T00:00:00"/>
    <d v="1899-12-30T13:45:00"/>
    <s v="ITALCOL DE OCCIDENTE"/>
    <s v="GIRARDOTA"/>
    <s v="FRACTAL P X 25 KG"/>
    <n v="2000"/>
    <n v="80"/>
    <n v="52600000"/>
    <d v="2026-04-24T00:00:00"/>
    <m/>
    <m/>
    <m/>
    <m/>
  </r>
  <r>
    <m/>
    <x v="184"/>
    <d v="2026-04-22T00:00:00"/>
    <d v="1899-12-30T10:36:00"/>
    <x v="282"/>
    <m/>
    <d v="2026-04-23T00:00:00"/>
    <d v="1899-12-30T07:18:00"/>
    <s v="PROVIMI"/>
    <s v="MOSQUERA"/>
    <s v="ACCUREMAX 10% X 25 KILOS"/>
    <n v="100"/>
    <n v="4"/>
    <n v="24000000"/>
    <d v="2026-04-27T00:00:00"/>
    <m/>
    <m/>
    <m/>
    <m/>
  </r>
  <r>
    <m/>
    <x v="24"/>
    <d v="2026-04-22T00:00:00"/>
    <d v="1899-12-30T13:45:00"/>
    <x v="283"/>
    <m/>
    <d v="2026-04-23T00:00:00"/>
    <d v="1899-12-30T07:20:00"/>
    <s v="O TAFUR"/>
    <s v="BUGA"/>
    <s v="FRACTAL P X 25 KG"/>
    <n v="175"/>
    <n v="7"/>
    <n v="4602500"/>
    <d v="2026-04-27T00:00:00"/>
    <m/>
    <m/>
    <m/>
    <m/>
  </r>
  <r>
    <m/>
    <x v="185"/>
    <d v="2026-04-22T00:00:00"/>
    <d v="1899-12-30T14:22:00"/>
    <x v="284"/>
    <m/>
    <d v="2026-04-23T00:00:00"/>
    <d v="1899-12-30T07:22:00"/>
    <s v="PORCICOLA PRADERA S.A."/>
    <s v="MANIZALES"/>
    <s v="CLORTETRAX 20 X 25 KG"/>
    <n v="50"/>
    <n v="2"/>
    <n v="850000"/>
    <d v="2026-04-27T00:00:00"/>
    <m/>
    <m/>
    <m/>
    <m/>
  </r>
  <r>
    <s v="CARTERA"/>
    <x v="186"/>
    <d v="2026-04-22T00:00:00"/>
    <d v="1899-12-30T16:33:00"/>
    <x v="285"/>
    <m/>
    <d v="2026-04-23T00:00:00"/>
    <d v="1899-12-30T07:24:00"/>
    <s v="COMPAÑIA INDUSTRIAL DE PRODUCTOS AGROPECUARIOS S.A"/>
    <s v="MOSQUERA"/>
    <s v="DMB 11 X 25 KG"/>
    <n v="1000"/>
    <n v="40"/>
    <n v="19500000"/>
    <d v="2026-04-27T00:00:00"/>
    <m/>
    <m/>
    <m/>
    <m/>
  </r>
  <r>
    <m/>
    <x v="187"/>
    <d v="2026-04-22T00:00:00"/>
    <d v="1899-12-30T16:41:00"/>
    <x v="286"/>
    <m/>
    <d v="2026-04-23T00:00:00"/>
    <d v="1899-12-30T07:27:00"/>
    <s v="CONTEGRAL S.A.S."/>
    <s v="ENVIGADO"/>
    <s v="FRACTAL P X 25 KG"/>
    <n v="50"/>
    <n v="2"/>
    <n v="1237500"/>
    <d v="2026-04-24T00:00:00"/>
    <m/>
    <m/>
    <m/>
    <m/>
  </r>
  <r>
    <m/>
    <x v="188"/>
    <d v="2026-04-23T00:00:00"/>
    <d v="1899-12-30T09:31:00"/>
    <x v="287"/>
    <m/>
    <d v="2026-04-23T00:00:00"/>
    <d v="1899-12-30T10:42:00"/>
    <s v="PROFARM DE LOS ANDES"/>
    <s v="BUCARAMANGA"/>
    <s v="FOSMYCINA 90 X 500 GR"/>
    <n v="10.5"/>
    <n v="0"/>
    <n v="5449500"/>
    <d v="2025-04-23T00:00:00"/>
    <m/>
    <m/>
    <m/>
    <m/>
  </r>
  <r>
    <m/>
    <x v="189"/>
    <d v="2026-04-23T00:00:00"/>
    <d v="1899-12-30T09:16:00"/>
    <x v="288"/>
    <m/>
    <d v="2026-04-23T00:00:00"/>
    <d v="1899-12-30T15:57:00"/>
    <s v="CERDON S.A.S"/>
    <s v="DON MATIAS"/>
    <s v="CIPROFLOX X 5 KG"/>
    <n v="400"/>
    <n v="16"/>
    <n v="22480000"/>
    <d v="2026-04-29T00:00:00"/>
    <m/>
    <m/>
    <m/>
    <m/>
  </r>
  <r>
    <m/>
    <x v="189"/>
    <d v="2026-04-23T00:00:00"/>
    <d v="1899-12-30T09:16:00"/>
    <x v="289"/>
    <m/>
    <d v="2026-04-23T00:00:00"/>
    <d v="1899-12-30T15:57:00"/>
    <s v="CERDON S.A.S"/>
    <s v="DON MATIAS"/>
    <s v="SMOOT SWEET X 75 GR"/>
    <n v="30"/>
    <n v="1"/>
    <n v="0"/>
    <d v="2026-04-29T00:00:00"/>
    <m/>
    <m/>
    <m/>
    <m/>
  </r>
  <r>
    <m/>
    <x v="190"/>
    <d v="2026-04-23T00:00:00"/>
    <d v="1899-12-30T09:26:00"/>
    <x v="290"/>
    <m/>
    <d v="2026-04-23T00:00:00"/>
    <d v="1899-12-30T16:05:00"/>
    <s v="COMPAÑIA INDUSTRIAL DE PRODUCTOS AGROPECUARIOS S.A"/>
    <s v="CARTAGO"/>
    <s v="CELMANAX X 25 KG"/>
    <n v="50"/>
    <n v="2"/>
    <n v="810000"/>
    <d v="2026-04-29T00:00:00"/>
    <m/>
    <m/>
    <m/>
    <m/>
  </r>
  <r>
    <m/>
    <x v="191"/>
    <d v="2026-04-23T00:00:00"/>
    <d v="1899-12-30T14:47:00"/>
    <x v="291"/>
    <m/>
    <d v="2026-04-23T00:00:00"/>
    <d v="1899-12-30T17:00:00"/>
    <s v="OPERADORA AVICOLA COLOMBIA S.A.S."/>
    <s v="BUCARAMANGA"/>
    <s v="FOSMYCINA 90 X 500 GR"/>
    <n v="6.5"/>
    <n v="0"/>
    <n v="2777125"/>
    <d v="2026-04-24T00:00:00"/>
    <m/>
    <m/>
    <m/>
    <m/>
  </r>
  <r>
    <m/>
    <x v="192"/>
    <d v="2026-04-23T00:00:00"/>
    <d v="1899-12-30T14:47:00"/>
    <x v="292"/>
    <m/>
    <d v="2026-04-23T00:00:00"/>
    <d v="1899-12-30T17:00:00"/>
    <s v="OPERADORA AVICOLA COLOMBIA S.A.S."/>
    <s v="BUCARAMANGA"/>
    <s v="CIPROFLOX X 5 KG"/>
    <n v="150"/>
    <n v="6"/>
    <n v="7875000"/>
    <d v="2026-04-24T00:00:00"/>
    <m/>
    <m/>
    <m/>
    <m/>
  </r>
  <r>
    <m/>
    <x v="192"/>
    <d v="2026-04-23T00:00:00"/>
    <d v="1899-12-30T14:47:00"/>
    <x v="293"/>
    <m/>
    <d v="2026-04-23T00:00:00"/>
    <d v="1899-12-30T17:00:00"/>
    <s v="OPERADORA AVICOLA COLOMBIA S.A.S."/>
    <s v="BUCARAMANGA"/>
    <s v="SMOOT SWEET X 75 GR"/>
    <n v="150"/>
    <n v="6"/>
    <n v="7875000"/>
    <d v="2026-04-24T00:00:00"/>
    <m/>
    <m/>
    <m/>
    <m/>
  </r>
  <r>
    <m/>
    <x v="193"/>
    <d v="2026-04-23T00:00:00"/>
    <d v="1899-12-30T14:54:00"/>
    <x v="294"/>
    <m/>
    <d v="2026-04-23T00:00:00"/>
    <d v="1899-12-30T17:08:00"/>
    <s v="AGROPECUARIA DE OCCIDENTE"/>
    <s v="CALI"/>
    <s v="FOSMYCINA 90 X 500 GR"/>
    <n v="2.5"/>
    <n v="0"/>
    <n v="1300000"/>
    <d v="2026-04-27T00:00:00"/>
    <m/>
    <m/>
    <m/>
    <m/>
  </r>
  <r>
    <m/>
    <x v="193"/>
    <d v="2026-04-23T00:00:00"/>
    <d v="1899-12-30T14:54:00"/>
    <x v="294"/>
    <m/>
    <d v="2026-04-23T00:00:00"/>
    <d v="1899-12-30T17:08:00"/>
    <s v="AGROPECUARIA DE OCCIDENTE"/>
    <s v="CALI"/>
    <s v="AMOXIN X 1 KILO"/>
    <n v="13"/>
    <n v="1"/>
    <n v="2015000"/>
    <d v="2026-04-27T00:00:00"/>
    <m/>
    <m/>
    <m/>
    <m/>
  </r>
  <r>
    <m/>
    <x v="194"/>
    <d v="2026-04-23T00:00:00"/>
    <d v="1899-12-30T15:04:00"/>
    <x v="295"/>
    <m/>
    <d v="2026-04-23T00:00:00"/>
    <d v="1899-12-30T17:14:00"/>
    <s v="OPERADORA AVICOLA COLOMBIA S.A.S."/>
    <s v="PEREIRA"/>
    <s v="TILCOMIX ORAL X 1 KG"/>
    <n v="9"/>
    <n v="0"/>
    <n v="1890000"/>
    <d v="2026-04-27T00:00:00"/>
    <m/>
    <m/>
    <m/>
    <m/>
  </r>
  <r>
    <m/>
    <x v="194"/>
    <d v="2026-04-23T00:00:00"/>
    <d v="1899-12-30T15:04:00"/>
    <x v="295"/>
    <m/>
    <d v="2026-04-23T00:00:00"/>
    <d v="1899-12-30T17:14:00"/>
    <s v="OPERADORA AVICOLA COLOMBIA S.A.S."/>
    <s v="PEREIRA"/>
    <s v="CIPROFLOX X 5 KG"/>
    <n v="90"/>
    <n v="4"/>
    <n v="4725000"/>
    <d v="2026-04-27T00:00:00"/>
    <m/>
    <m/>
    <m/>
    <m/>
  </r>
  <r>
    <m/>
    <x v="194"/>
    <d v="2026-04-23T00:00:00"/>
    <d v="1899-12-30T15:04:00"/>
    <x v="295"/>
    <m/>
    <d v="2026-04-23T00:00:00"/>
    <d v="1899-12-30T17:14:00"/>
    <s v="OPERADORA AVICOLA COLOMBIA S.A.S."/>
    <s v="PEREIRA"/>
    <s v="FENIFLOR ORAL X 500 GR"/>
    <n v="80"/>
    <n v="3"/>
    <n v="7600000"/>
    <d v="2026-04-27T00:00:00"/>
    <m/>
    <m/>
    <m/>
    <m/>
  </r>
  <r>
    <m/>
    <x v="195"/>
    <d v="2026-04-23T00:00:00"/>
    <d v="1899-12-30T15:52:00"/>
    <x v="296"/>
    <m/>
    <d v="2026-04-23T00:00:00"/>
    <d v="1899-12-30T17:19:00"/>
    <s v="PREMEX S.A.S."/>
    <s v="MEDELLIN"/>
    <s v="FOSMYCINA 90 X 500 GR"/>
    <n v="7"/>
    <n v="0"/>
    <n v="2990750"/>
    <d v="2026-04-28T00:00:00"/>
    <m/>
    <m/>
    <m/>
    <m/>
  </r>
  <r>
    <m/>
    <x v="195"/>
    <d v="2026-04-23T00:00:00"/>
    <d v="1899-12-30T15:52:00"/>
    <x v="296"/>
    <m/>
    <d v="2026-04-23T00:00:00"/>
    <d v="1899-12-30T17:19:00"/>
    <s v="PREMEX S.A.S."/>
    <s v="MEDELLIN"/>
    <s v="KIRA X 25 KG"/>
    <n v="1500"/>
    <n v="60"/>
    <n v="29512000"/>
    <d v="2026-04-28T00:00:00"/>
    <m/>
    <m/>
    <m/>
    <m/>
  </r>
  <r>
    <m/>
    <x v="195"/>
    <d v="2026-04-23T00:00:00"/>
    <d v="1899-12-30T15:52:00"/>
    <x v="296"/>
    <m/>
    <d v="2026-04-23T00:00:00"/>
    <d v="1899-12-30T17:19:00"/>
    <s v="PREMEX S.A.S."/>
    <s v="MEDELLIN"/>
    <s v="TILVASYYN x 25 KG"/>
    <n v="50"/>
    <n v="2"/>
    <n v="9010000"/>
    <d v="2026-04-28T00:00:00"/>
    <m/>
    <m/>
    <m/>
    <m/>
  </r>
  <r>
    <m/>
    <x v="195"/>
    <d v="2026-04-23T00:00:00"/>
    <d v="1899-12-30T15:52:00"/>
    <x v="296"/>
    <m/>
    <d v="2026-04-23T00:00:00"/>
    <d v="1899-12-30T17:19:00"/>
    <s v="PREMEX S.A.S."/>
    <s v="MEDELLIN"/>
    <s v="NEOCYN X 25 KG"/>
    <n v="450"/>
    <n v="18"/>
    <n v="27765000"/>
    <d v="2026-04-28T00:00:00"/>
    <m/>
    <m/>
    <m/>
    <m/>
  </r>
  <r>
    <m/>
    <x v="195"/>
    <d v="2026-04-23T00:00:00"/>
    <d v="1899-12-30T15:52:00"/>
    <x v="296"/>
    <m/>
    <d v="2026-04-23T00:00:00"/>
    <d v="1899-12-30T17:19:00"/>
    <s v="PREMEX S.A.S."/>
    <s v="MEDELLIN"/>
    <s v="ACCUREMAX 20 % X 25 KG"/>
    <n v="250"/>
    <n v="10"/>
    <n v="112200000"/>
    <d v="2026-04-28T00:00:00"/>
    <m/>
    <m/>
    <m/>
    <m/>
  </r>
  <r>
    <m/>
    <x v="196"/>
    <d v="2026-04-23T00:00:00"/>
    <d v="1899-12-30T16:27:00"/>
    <x v="297"/>
    <m/>
    <d v="2026-04-23T00:00:00"/>
    <d v="1899-12-30T17:20:00"/>
    <s v="FINCA S.A.S."/>
    <s v="BUCARAMANGA"/>
    <s v="LOTUS X 25 KG"/>
    <n v="75"/>
    <n v="3"/>
    <n v="2587000"/>
    <d v="2026-04-27T00:00:00"/>
    <m/>
    <m/>
    <m/>
    <m/>
  </r>
  <r>
    <s v="CARTERA"/>
    <x v="197"/>
    <d v="2026-04-23T00:00:00"/>
    <d v="1899-12-30T16:39:00"/>
    <x v="298"/>
    <m/>
    <d v="2026-04-23T00:00:00"/>
    <d v="1899-12-30T17:28:00"/>
    <s v="CONCENTRADOS JUDEVAL"/>
    <s v="ITAGUI"/>
    <s v="DMB 11 X 25 KG"/>
    <n v="100"/>
    <n v="4"/>
    <n v="1950000"/>
    <d v="2026-04-27T00:00:00"/>
    <m/>
    <m/>
    <m/>
    <m/>
  </r>
  <r>
    <s v="CARTERA"/>
    <x v="197"/>
    <d v="2026-04-23T00:00:00"/>
    <d v="1899-12-30T16:39:00"/>
    <x v="298"/>
    <m/>
    <d v="2026-04-23T00:00:00"/>
    <d v="1899-12-30T17:28:00"/>
    <s v="CONCENTRADOS JUDEVAL"/>
    <s v="ITAGUI"/>
    <s v="CLORTETRAX 20 X 25 KG"/>
    <n v="50"/>
    <n v="2"/>
    <n v="800000"/>
    <d v="2026-04-27T00:00:00"/>
    <m/>
    <m/>
    <m/>
    <m/>
  </r>
  <r>
    <s v="CARTERA"/>
    <x v="198"/>
    <d v="2026-04-24T00:00:00"/>
    <d v="1899-12-30T07:51:00"/>
    <x v="299"/>
    <m/>
    <d v="2026-04-24T00:00:00"/>
    <d v="1899-12-30T08:01:00"/>
    <s v="COMPAÑIA INDUSTRIAL DE PRODUCTOS AGROPECUARIOS S.A"/>
    <s v="BELLO"/>
    <s v="FRACTAL P X 25 KG"/>
    <n v="800"/>
    <n v="32"/>
    <n v="21040000"/>
    <d v="2026-04-30T00:00:00"/>
    <m/>
    <m/>
    <m/>
    <m/>
  </r>
  <r>
    <s v="CARTERA"/>
    <x v="198"/>
    <d v="2026-04-24T00:00:00"/>
    <d v="1899-12-30T07:51:00"/>
    <x v="299"/>
    <m/>
    <d v="2026-04-24T00:00:00"/>
    <d v="1899-12-30T08:01:00"/>
    <s v="COMPAÑIA INDUSTRIAL DE PRODUCTOS AGROPECUARIOS S.A"/>
    <s v="BELLO"/>
    <s v="DMB 11 X 25 KG"/>
    <n v="2000"/>
    <n v="80"/>
    <n v="39000000"/>
    <d v="2026-04-30T00:00:00"/>
    <m/>
    <m/>
    <m/>
    <m/>
  </r>
  <r>
    <m/>
    <x v="97"/>
    <d v="2026-04-24T00:00:00"/>
    <d v="1899-12-30T06:31:00"/>
    <x v="300"/>
    <m/>
    <d v="2026-04-24T00:00:00"/>
    <d v="1899-12-30T09:19:00"/>
    <s v="PREMEX S.A.S."/>
    <s v="MEDELLIN"/>
    <s v="MONECYL 200 R X 25 KG"/>
    <n v="1000"/>
    <n v="40"/>
    <n v="19250000"/>
    <d v="2026-04-27T00:00:00"/>
    <m/>
    <m/>
    <m/>
    <m/>
  </r>
  <r>
    <m/>
    <x v="97"/>
    <d v="2026-04-24T00:00:00"/>
    <d v="1899-12-30T06:31:00"/>
    <x v="300"/>
    <m/>
    <d v="2026-04-24T00:00:00"/>
    <d v="1899-12-30T09:19:00"/>
    <s v="PREMEX S.A.S."/>
    <s v="MEDELLIN"/>
    <s v="SAGAH X 25 KILOS"/>
    <n v="800"/>
    <n v="32"/>
    <n v="24160000"/>
    <d v="2026-04-27T00:00:00"/>
    <m/>
    <m/>
    <m/>
    <m/>
  </r>
  <r>
    <m/>
    <x v="97"/>
    <d v="2026-04-24T00:00:00"/>
    <d v="1899-12-30T06:31:00"/>
    <x v="300"/>
    <m/>
    <d v="2026-04-24T00:00:00"/>
    <d v="1899-12-30T09:19:00"/>
    <s v="PREMEX S.A.S."/>
    <s v="MEDELLIN"/>
    <s v="DMB 11 X 25 KG"/>
    <n v="1000"/>
    <n v="40"/>
    <n v="17600000"/>
    <d v="2026-04-27T00:00:00"/>
    <m/>
    <m/>
    <m/>
    <m/>
  </r>
  <r>
    <m/>
    <x v="97"/>
    <d v="2026-04-24T00:00:00"/>
    <d v="1899-12-30T06:31:00"/>
    <x v="300"/>
    <m/>
    <d v="2026-04-24T00:00:00"/>
    <d v="1899-12-30T09:19:00"/>
    <s v="PREMEX S.A.S."/>
    <s v="MEDELLIN"/>
    <s v="FENIFLOR PREMIX X 25 Kg"/>
    <n v="500"/>
    <n v="20"/>
    <n v="25930000"/>
    <d v="2026-04-27T00:00:00"/>
    <m/>
    <m/>
    <m/>
    <m/>
  </r>
  <r>
    <m/>
    <x v="97"/>
    <d v="2026-04-24T00:00:00"/>
    <d v="1899-12-30T06:31:00"/>
    <x v="300"/>
    <m/>
    <d v="2026-04-24T00:00:00"/>
    <d v="1899-12-30T09:19:00"/>
    <s v="PREMEX S.A.S."/>
    <s v="MEDELLIN"/>
    <s v="TILOMIX 250 PREMIX X 25 KG"/>
    <n v="1000"/>
    <n v="40"/>
    <n v="51900000"/>
    <d v="2026-04-27T00:00:00"/>
    <m/>
    <m/>
    <m/>
    <m/>
  </r>
  <r>
    <m/>
    <x v="97"/>
    <d v="2026-04-24T00:00:00"/>
    <d v="1899-12-30T06:31:00"/>
    <x v="300"/>
    <m/>
    <d v="2026-04-24T00:00:00"/>
    <d v="1899-12-30T09:19:00"/>
    <s v="PREMEX S.A.S."/>
    <s v="MEDELLIN"/>
    <s v="FRACTAL P X 25 KG"/>
    <n v="4000"/>
    <n v="160"/>
    <n v="99000000"/>
    <d v="2026-04-27T00:00:00"/>
    <m/>
    <m/>
    <m/>
    <m/>
  </r>
  <r>
    <m/>
    <x v="97"/>
    <d v="2026-04-24T00:00:00"/>
    <d v="1899-12-30T06:31:00"/>
    <x v="301"/>
    <m/>
    <d v="2026-04-24T00:00:00"/>
    <d v="1899-12-30T09:19:00"/>
    <s v="MESAGE"/>
    <s v="MEDELLIN"/>
    <s v="HALQUINOX 800 X 25 KG"/>
    <n v="4000"/>
    <n v="160"/>
    <n v="330052000"/>
    <d v="2026-04-27T00:00:00"/>
    <m/>
    <m/>
    <m/>
    <m/>
  </r>
  <r>
    <m/>
    <x v="97"/>
    <d v="2026-04-24T00:00:00"/>
    <d v="1899-12-30T06:31:00"/>
    <x v="301"/>
    <m/>
    <d v="2026-04-24T00:00:00"/>
    <d v="1899-12-30T09:19:00"/>
    <s v="MESAGE"/>
    <s v="MEDELLIN"/>
    <s v="DINAMIX 800 X 25 KG"/>
    <n v="1000"/>
    <n v="40"/>
    <n v="138640000"/>
    <d v="2026-04-27T00:00:00"/>
    <m/>
    <m/>
    <m/>
    <m/>
  </r>
  <r>
    <m/>
    <x v="24"/>
    <d v="2026-04-24T00:00:00"/>
    <d v="1899-12-30T09:56:00"/>
    <x v="302"/>
    <s v="BG26039"/>
    <d v="2026-04-24T00:00:00"/>
    <d v="1899-12-30T11:10:00"/>
    <s v="INVERSIONES AGROPORC"/>
    <s v="DON MATIAS"/>
    <s v="CIPROFLOX X 5 KG"/>
    <n v="20"/>
    <n v="1"/>
    <n v="1220000"/>
    <d v="2026-04-24T00:00:00"/>
    <m/>
    <m/>
    <m/>
    <m/>
  </r>
  <r>
    <m/>
    <x v="24"/>
    <d v="2026-04-24T00:00:00"/>
    <d v="1899-12-30T09:56:00"/>
    <x v="302"/>
    <s v="BG26039"/>
    <d v="2026-04-24T00:00:00"/>
    <d v="1899-12-30T11:10:00"/>
    <s v="INVERSIONES AGROPORC"/>
    <s v="DON MATIAS"/>
    <s v="TILCOMIX ORAL X 1 KG"/>
    <n v="6"/>
    <n v="0"/>
    <n v="1350000"/>
    <d v="2026-04-24T00:00:00"/>
    <m/>
    <m/>
    <m/>
    <m/>
  </r>
  <r>
    <m/>
    <x v="24"/>
    <d v="2026-04-24T00:00:00"/>
    <d v="1899-12-30T09:56:00"/>
    <x v="303"/>
    <s v="BG26052"/>
    <d v="2026-04-24T00:00:00"/>
    <d v="1899-12-30T11:10:00"/>
    <s v="INVERSIONES AGROPORC"/>
    <s v="DON MATIAS"/>
    <s v="SMOOT SWEET X 75 GR"/>
    <n v="1.95"/>
    <n v="0"/>
    <n v="0"/>
    <d v="2026-04-24T00:00:00"/>
    <m/>
    <m/>
    <m/>
    <m/>
  </r>
  <r>
    <m/>
    <x v="24"/>
    <d v="2026-04-24T00:00:00"/>
    <d v="1899-12-30T10:00:00"/>
    <x v="304"/>
    <s v="BG26038"/>
    <d v="2026-04-24T00:00:00"/>
    <d v="1899-12-30T11:55:00"/>
    <s v="TERRAZAS AGOPECUARIAS"/>
    <s v="ANSERMA NUEVO"/>
    <s v="FENIFLOR ORAL X 500 GR"/>
    <n v="13"/>
    <n v="0"/>
    <n v="1365000"/>
    <d v="2026-04-27T00:00:00"/>
    <m/>
    <m/>
    <m/>
    <m/>
  </r>
  <r>
    <m/>
    <x v="24"/>
    <d v="2026-04-24T00:00:00"/>
    <d v="1899-12-30T15:00:00"/>
    <x v="305"/>
    <s v="BG26041"/>
    <d v="2026-04-24T00:00:00"/>
    <d v="1899-12-30T13:15:00"/>
    <s v="GVM"/>
    <s v="BOGOTA"/>
    <s v="FOSMYCINA 90 X 500 GR"/>
    <n v="98.5"/>
    <n v="4"/>
    <n v="51121000"/>
    <d v="2026-04-24T00:00:00"/>
    <m/>
    <m/>
    <m/>
    <m/>
  </r>
  <r>
    <m/>
    <x v="24"/>
    <d v="2026-04-24T00:00:00"/>
    <d v="1899-12-30T15:00:00"/>
    <x v="305"/>
    <s v="BG26041"/>
    <d v="2026-04-24T00:00:00"/>
    <d v="1899-12-30T13:15:00"/>
    <s v="GVM"/>
    <s v="BOGOTA"/>
    <s v="FENIFLOR ORAL X 500 GR"/>
    <n v="31"/>
    <n v="1"/>
    <n v="3162000"/>
    <d v="2026-04-24T00:00:00"/>
    <m/>
    <m/>
    <m/>
    <m/>
  </r>
  <r>
    <m/>
    <x v="24"/>
    <d v="2026-04-24T00:00:00"/>
    <d v="1899-12-30T15:00:00"/>
    <x v="305"/>
    <s v="BG26041"/>
    <d v="2026-04-24T00:00:00"/>
    <d v="1899-12-30T13:15:00"/>
    <s v="GVM"/>
    <s v="BOGOTA"/>
    <s v="CIPROFLOX X 5 KG"/>
    <n v="80"/>
    <n v="3"/>
    <n v="4880000"/>
    <d v="2026-04-24T00:00:00"/>
    <m/>
    <m/>
    <m/>
    <m/>
  </r>
  <r>
    <m/>
    <x v="24"/>
    <d v="2026-04-24T00:00:00"/>
    <d v="1899-12-30T15:00:00"/>
    <x v="305"/>
    <s v="BG26041"/>
    <d v="2026-04-24T00:00:00"/>
    <d v="1899-12-30T13:15:00"/>
    <s v="GVM"/>
    <s v="BOGOTA"/>
    <s v="CLORTETRAX 20 X 25 KG"/>
    <n v="125"/>
    <n v="5"/>
    <n v="2000000"/>
    <d v="2026-04-24T00:00:00"/>
    <m/>
    <m/>
    <m/>
    <m/>
  </r>
  <r>
    <m/>
    <x v="24"/>
    <d v="2026-04-24T00:00:00"/>
    <d v="1899-12-30T15:00:00"/>
    <x v="305"/>
    <s v="BG26041"/>
    <d v="2026-04-24T00:00:00"/>
    <d v="1899-12-30T13:15:00"/>
    <s v="GVM"/>
    <s v="BOGOTA"/>
    <s v="NEOCYN X 25 KG"/>
    <n v="125"/>
    <n v="5"/>
    <n v="8875000"/>
    <d v="2026-04-24T00:00:00"/>
    <m/>
    <m/>
    <m/>
    <m/>
  </r>
  <r>
    <m/>
    <x v="24"/>
    <d v="2026-04-24T00:00:00"/>
    <d v="1899-12-30T15:00:00"/>
    <x v="305"/>
    <s v="BG26041"/>
    <d v="2026-04-24T00:00:00"/>
    <d v="1899-12-30T13:15:00"/>
    <s v="GVM"/>
    <s v="BOGOTA"/>
    <s v="ESPELIN 88 X 25 KG"/>
    <n v="350"/>
    <n v="14"/>
    <n v="19600000"/>
    <d v="2026-04-24T00:00:00"/>
    <m/>
    <m/>
    <m/>
    <m/>
  </r>
  <r>
    <m/>
    <x v="199"/>
    <d v="2026-04-24T00:00:00"/>
    <d v="1899-12-30T15:47:00"/>
    <x v="306"/>
    <m/>
    <d v="2026-04-27T00:00:00"/>
    <d v="1899-12-30T09:27:00"/>
    <s v="CONTEGRAL S.A.S."/>
    <s v="BOGOTA"/>
    <s v="FENIFLOR PREMIX X 25 Kg"/>
    <n v="50"/>
    <n v="2"/>
    <n v="2593000"/>
    <d v="2026-04-28T00:00:00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">
  <r>
    <x v="0"/>
    <n v="4700008465"/>
    <d v="2025-12-01T00:00:00"/>
    <d v="1899-12-30T12:02:00"/>
    <x v="0"/>
    <m/>
    <m/>
    <m/>
    <x v="0"/>
    <s v="MEDELLIN"/>
    <x v="0"/>
    <n v="26000"/>
    <n v="1040"/>
    <n v="322400000"/>
    <d v="2026-04-11T00:00:00"/>
    <n v="12312"/>
    <n v="320112000"/>
    <m/>
    <m/>
    <m/>
    <m/>
    <m/>
    <m/>
    <m/>
    <m/>
    <m/>
    <m/>
    <m/>
  </r>
  <r>
    <x v="0"/>
    <n v="4700008734"/>
    <d v="2026-01-28T00:00:00"/>
    <d v="1899-12-30T17:53:00"/>
    <x v="0"/>
    <m/>
    <d v="2026-04-20T00:00:00"/>
    <d v="1899-12-30T14:25:00"/>
    <x v="0"/>
    <s v="MEDELLIN"/>
    <x v="0"/>
    <n v="26000"/>
    <n v="1040"/>
    <n v="322504000"/>
    <d v="2026-04-18T00:00:00"/>
    <n v="12312"/>
    <n v="320112000"/>
    <m/>
    <m/>
    <m/>
    <m/>
    <m/>
    <m/>
    <m/>
    <m/>
    <m/>
    <m/>
    <m/>
  </r>
  <r>
    <x v="0"/>
    <n v="4700008733"/>
    <d v="2026-01-28T00:00:00"/>
    <d v="1899-12-30T17:53:00"/>
    <x v="1"/>
    <s v="BG25854"/>
    <d v="2026-04-09T00:00:00"/>
    <d v="1899-12-30T12:47:00"/>
    <x v="0"/>
    <s v="MEDELLIN"/>
    <x v="0"/>
    <n v="26000"/>
    <n v="1040"/>
    <n v="416000000"/>
    <d v="2026-04-11T00:00:00"/>
    <m/>
    <n v="1200000000"/>
    <m/>
    <m/>
    <m/>
    <m/>
    <m/>
    <m/>
    <m/>
    <m/>
    <m/>
    <m/>
    <m/>
  </r>
  <r>
    <x v="1"/>
    <n v="5504587753"/>
    <d v="2026-04-15T00:00:00"/>
    <d v="1899-12-30T11:21:00"/>
    <x v="0"/>
    <m/>
    <m/>
    <m/>
    <x v="1"/>
    <s v="SUPER AGRO"/>
    <x v="1"/>
    <n v="100"/>
    <n v="100"/>
    <n v="5550000"/>
    <d v="2026-05-25T00:00:00"/>
    <m/>
    <m/>
    <m/>
    <m/>
    <m/>
    <m/>
    <m/>
    <m/>
    <m/>
    <m/>
    <m/>
    <m/>
    <m/>
  </r>
  <r>
    <x v="1"/>
    <n v="5504587753"/>
    <d v="2026-04-15T00:00:00"/>
    <d v="1899-12-30T11:21:00"/>
    <x v="0"/>
    <m/>
    <m/>
    <m/>
    <x v="1"/>
    <s v="SUPER AGRO"/>
    <x v="1"/>
    <n v="100"/>
    <n v="100"/>
    <n v="5550000"/>
    <d v="2026-05-25T00:00:00"/>
    <m/>
    <m/>
    <m/>
    <m/>
    <m/>
    <m/>
    <m/>
    <m/>
    <m/>
    <m/>
    <m/>
    <m/>
    <m/>
  </r>
  <r>
    <x v="0"/>
    <n v="7000398994"/>
    <d v="2025-01-20T00:00:00"/>
    <d v="1899-12-30T10:40:00"/>
    <x v="2"/>
    <s v="BG25808"/>
    <d v="2026-04-08T00:00:00"/>
    <d v="1899-12-30T14:39:00"/>
    <x v="2"/>
    <s v="REFRILOGISTICA"/>
    <x v="2"/>
    <n v="1375"/>
    <n v="55"/>
    <n v="106843750"/>
    <d v="2026-03-11T00:00:00"/>
    <m/>
    <m/>
    <m/>
    <m/>
    <m/>
    <m/>
    <m/>
    <m/>
    <m/>
    <m/>
    <m/>
    <m/>
    <m/>
  </r>
  <r>
    <x v="0"/>
    <n v="7000403038"/>
    <m/>
    <m/>
    <x v="3"/>
    <m/>
    <d v="2026-04-08T00:00:00"/>
    <d v="1899-12-30T14:42:00"/>
    <x v="2"/>
    <s v="REFILOGISTICA"/>
    <x v="2"/>
    <n v="2000"/>
    <n v="80"/>
    <n v="126240000"/>
    <d v="2026-04-09T00:00:00"/>
    <m/>
    <m/>
    <m/>
    <m/>
    <m/>
    <m/>
    <m/>
    <m/>
    <m/>
    <m/>
    <m/>
    <m/>
    <m/>
  </r>
  <r>
    <x v="0"/>
    <s v="100-CON-00024761"/>
    <d v="2026-03-13T00:00:00"/>
    <d v="1899-12-30T08:00:00"/>
    <x v="4"/>
    <s v="BG25861"/>
    <d v="2026-03-13T00:00:00"/>
    <d v="1899-12-30T11:19:00"/>
    <x v="3"/>
    <s v="GIRARDOTA"/>
    <x v="3"/>
    <n v="200"/>
    <n v="8"/>
    <n v="5260000"/>
    <d v="2026-04-10T00:00:00"/>
    <m/>
    <m/>
    <m/>
    <m/>
    <m/>
    <m/>
    <m/>
    <m/>
    <m/>
    <m/>
    <m/>
    <m/>
    <m/>
  </r>
  <r>
    <x v="0"/>
    <s v="100-CON-00024761"/>
    <d v="2026-03-13T00:00:00"/>
    <d v="1899-12-30T08:00:00"/>
    <x v="4"/>
    <s v="BG25861"/>
    <d v="2026-03-13T00:00:00"/>
    <d v="1899-12-30T11:19:00"/>
    <x v="3"/>
    <s v="GIRARDOTA"/>
    <x v="4"/>
    <n v="350"/>
    <n v="14"/>
    <n v="14175000"/>
    <d v="2026-04-10T00:00:00"/>
    <m/>
    <m/>
    <m/>
    <m/>
    <m/>
    <m/>
    <m/>
    <m/>
    <m/>
    <m/>
    <m/>
    <m/>
    <m/>
  </r>
  <r>
    <x v="0"/>
    <s v="100-CON-00025000"/>
    <d v="2026-03-13T00:00:00"/>
    <d v="1899-12-30T08:00:00"/>
    <x v="5"/>
    <s v="BG25858"/>
    <d v="2026-04-04T00:00:00"/>
    <d v="1899-12-30T14:50:00"/>
    <x v="3"/>
    <s v="GIRARDOTA"/>
    <x v="5"/>
    <n v="20"/>
    <n v="1"/>
    <n v="10380000"/>
    <d v="2026-04-10T00:00:00"/>
    <m/>
    <m/>
    <m/>
    <m/>
    <m/>
    <m/>
    <m/>
    <m/>
    <m/>
    <m/>
    <m/>
    <m/>
    <m/>
  </r>
  <r>
    <x v="0"/>
    <n v="4500374062"/>
    <d v="2026-03-16T00:00:00"/>
    <d v="1899-12-30T07:48:00"/>
    <x v="6"/>
    <s v="BG25731"/>
    <d v="2026-03-16T00:00:00"/>
    <d v="1899-12-30T16:14:00"/>
    <x v="4"/>
    <s v="BUGA"/>
    <x v="3"/>
    <n v="950"/>
    <n v="38"/>
    <n v="24985000"/>
    <d v="2026-04-07T00:00:00"/>
    <m/>
    <m/>
    <m/>
    <m/>
    <m/>
    <m/>
    <m/>
    <m/>
    <m/>
    <m/>
    <m/>
    <m/>
    <m/>
  </r>
  <r>
    <x v="0"/>
    <n v="4500374062"/>
    <d v="2026-03-16T00:00:00"/>
    <d v="1899-12-30T07:48:00"/>
    <x v="6"/>
    <s v="BG25731"/>
    <d v="2026-03-16T00:00:00"/>
    <d v="1899-12-30T16:14:00"/>
    <x v="4"/>
    <s v="BUGA"/>
    <x v="4"/>
    <n v="200"/>
    <n v="8"/>
    <n v="8100000"/>
    <d v="2026-04-07T00:00:00"/>
    <m/>
    <m/>
    <m/>
    <m/>
    <m/>
    <m/>
    <m/>
    <m/>
    <m/>
    <m/>
    <m/>
    <m/>
    <m/>
  </r>
  <r>
    <x v="0"/>
    <s v="OC00003372BX"/>
    <d v="2026-03-18T00:00:00"/>
    <d v="1899-12-30T10:01:00"/>
    <x v="7"/>
    <s v="BG25786"/>
    <d v="2026-03-19T00:00:00"/>
    <d v="1899-12-30T11:51:00"/>
    <x v="5"/>
    <s v="ITAGUI"/>
    <x v="0"/>
    <n v="200"/>
    <n v="8"/>
    <n v="3200000"/>
    <d v="2026-04-07T00:00:00"/>
    <m/>
    <m/>
    <m/>
    <m/>
    <m/>
    <m/>
    <m/>
    <m/>
    <m/>
    <m/>
    <m/>
    <m/>
    <m/>
  </r>
  <r>
    <x v="2"/>
    <s v="OC00003372BX"/>
    <d v="2026-03-18T00:00:00"/>
    <d v="1899-12-30T10:01:00"/>
    <x v="8"/>
    <s v="BG25763"/>
    <d v="2026-03-19T00:00:00"/>
    <d v="1899-12-30T11:51:00"/>
    <x v="5"/>
    <s v="ITAGUI"/>
    <x v="0"/>
    <n v="800"/>
    <n v="32"/>
    <n v="12800000"/>
    <d v="2026-04-07T00:00:00"/>
    <m/>
    <m/>
    <m/>
    <m/>
    <m/>
    <m/>
    <m/>
    <m/>
    <m/>
    <m/>
    <m/>
    <m/>
    <s v="VEHICULO VARADO POR RUPTURA DE LA MANGUERA DE COMBUSTIBLE"/>
  </r>
  <r>
    <x v="0"/>
    <n v="4700008920"/>
    <d v="2026-03-20T00:00:00"/>
    <d v="1899-12-30T12:11:00"/>
    <x v="9"/>
    <s v="BG25785"/>
    <d v="2026-03-24T00:00:00"/>
    <d v="1899-12-30T07:53:00"/>
    <x v="6"/>
    <s v="GUATEMALA"/>
    <x v="6"/>
    <n v="5000"/>
    <n v="200"/>
    <s v="63950 USD"/>
    <d v="2026-04-08T00:00:00"/>
    <m/>
    <m/>
    <m/>
    <m/>
    <m/>
    <m/>
    <m/>
    <m/>
    <m/>
    <m/>
    <m/>
    <m/>
    <m/>
  </r>
  <r>
    <x v="0"/>
    <n v="4700008924"/>
    <d v="2026-03-24T00:00:00"/>
    <d v="1899-12-30T07:05:00"/>
    <x v="10"/>
    <s v="BG25787"/>
    <d v="2026-03-24T00:00:00"/>
    <d v="1899-12-30T08:03:00"/>
    <x v="7"/>
    <s v="PERU"/>
    <x v="0"/>
    <n v="2500"/>
    <n v="100"/>
    <s v="9250 USD"/>
    <d v="2026-04-08T00:00:00"/>
    <m/>
    <m/>
    <m/>
    <m/>
    <m/>
    <m/>
    <m/>
    <m/>
    <m/>
    <m/>
    <m/>
    <m/>
    <m/>
  </r>
  <r>
    <x v="0"/>
    <s v="004-OSC-51381"/>
    <d v="2026-03-20T00:00:00"/>
    <d v="1899-12-30T13:44:00"/>
    <x v="11"/>
    <s v="BG25976"/>
    <d v="2026-03-24T00:00:00"/>
    <d v="1899-12-30T11:33:00"/>
    <x v="8"/>
    <s v="CARTAGO"/>
    <x v="0"/>
    <n v="270000"/>
    <n v="10800"/>
    <n v="426600000"/>
    <d v="2026-04-20T00:00:00"/>
    <m/>
    <m/>
    <m/>
    <m/>
    <m/>
    <m/>
    <m/>
    <m/>
    <m/>
    <m/>
    <m/>
    <m/>
    <m/>
  </r>
  <r>
    <x v="0"/>
    <s v="AG-0011-26"/>
    <d v="2026-03-24T00:00:00"/>
    <d v="1899-12-30T18:45:00"/>
    <x v="12"/>
    <s v="BG25762"/>
    <d v="2026-03-25T00:00:00"/>
    <d v="1899-12-30T08:15:00"/>
    <x v="9"/>
    <s v="PLANTA"/>
    <x v="3"/>
    <n v="400"/>
    <n v="16"/>
    <n v="10520000"/>
    <d v="2026-04-01T00:00:00"/>
    <m/>
    <m/>
    <m/>
    <m/>
    <m/>
    <m/>
    <m/>
    <m/>
    <m/>
    <m/>
    <m/>
    <m/>
    <m/>
  </r>
  <r>
    <x v="0"/>
    <n v="4700008929"/>
    <d v="2026-03-24T00:00:00"/>
    <d v="1899-12-30T17:06:00"/>
    <x v="13"/>
    <s v="BG25889"/>
    <d v="2026-03-26T00:00:00"/>
    <d v="1899-12-30T08:01:00"/>
    <x v="6"/>
    <s v="GUATEMALA"/>
    <x v="6"/>
    <n v="10000"/>
    <n v="400"/>
    <s v="127900 USD"/>
    <d v="2026-04-13T00:00:00"/>
    <m/>
    <m/>
    <m/>
    <m/>
    <m/>
    <m/>
    <m/>
    <m/>
    <m/>
    <m/>
    <m/>
    <m/>
    <m/>
  </r>
  <r>
    <x v="0"/>
    <s v="105-OCC-00017488"/>
    <d v="2026-03-25T00:00:00"/>
    <d v="1899-12-30T12:25:00"/>
    <x v="14"/>
    <s v="BG25761"/>
    <d v="2026-03-26T00:00:00"/>
    <d v="1899-12-30T10:14:00"/>
    <x v="10"/>
    <s v="PEREIRA"/>
    <x v="7"/>
    <n v="1000"/>
    <n v="40"/>
    <n v="19500000"/>
    <d v="2026-03-31T00:00:00"/>
    <m/>
    <m/>
    <m/>
    <m/>
    <m/>
    <m/>
    <m/>
    <m/>
    <m/>
    <m/>
    <m/>
    <m/>
    <m/>
  </r>
  <r>
    <x v="2"/>
    <n v="1390393"/>
    <d v="2026-03-25T00:00:00"/>
    <d v="1899-12-30T22:16:00"/>
    <x v="15"/>
    <s v="BG25760"/>
    <d v="2026-03-26T00:00:00"/>
    <d v="1899-12-30T10:58:00"/>
    <x v="11"/>
    <s v="CIENAGA"/>
    <x v="8"/>
    <n v="75"/>
    <n v="3"/>
    <n v="3889500"/>
    <d v="2026-04-01T00:00:00"/>
    <m/>
    <m/>
    <m/>
    <m/>
    <m/>
    <m/>
    <m/>
    <m/>
    <m/>
    <m/>
    <m/>
    <m/>
    <s v="PEDIDO ENVIADO DESDE EL 26 DE MARZO Y PRESENTO NOVEDAD"/>
  </r>
  <r>
    <x v="0"/>
    <s v="999-OCN-00022265"/>
    <d v="2026-03-26T00:00:00"/>
    <d v="1899-12-30T08:57:00"/>
    <x v="16"/>
    <s v="BG25825"/>
    <d v="2026-03-26T00:00:00"/>
    <d v="1899-12-30T11:12:00"/>
    <x v="12"/>
    <s v="LEBRIJA"/>
    <x v="3"/>
    <n v="2000"/>
    <n v="80"/>
    <n v="51000000"/>
    <d v="2026-03-27T00:00:00"/>
    <m/>
    <m/>
    <m/>
    <m/>
    <m/>
    <m/>
    <m/>
    <m/>
    <m/>
    <m/>
    <m/>
    <m/>
    <m/>
  </r>
  <r>
    <x v="0"/>
    <s v="999-OCN-00022266"/>
    <d v="2026-03-26T00:00:00"/>
    <d v="1899-12-30T08:57:00"/>
    <x v="17"/>
    <s v="BG25826"/>
    <d v="2026-03-26T00:00:00"/>
    <d v="1899-12-30T11:12:00"/>
    <x v="12"/>
    <s v="EL BRUJAL"/>
    <x v="3"/>
    <n v="1000"/>
    <n v="40"/>
    <n v="25500000"/>
    <d v="2026-03-27T00:00:00"/>
    <m/>
    <m/>
    <m/>
    <m/>
    <m/>
    <m/>
    <m/>
    <m/>
    <m/>
    <m/>
    <m/>
    <m/>
    <m/>
  </r>
  <r>
    <x v="0"/>
    <n v="4500096152"/>
    <d v="2026-03-26T00:00:00"/>
    <d v="1899-12-30T10:51:00"/>
    <x v="18"/>
    <s v="BG25759"/>
    <d v="2026-03-26T00:00:00"/>
    <d v="1899-12-30T13:00:00"/>
    <x v="13"/>
    <s v="FUSA"/>
    <x v="5"/>
    <n v="13"/>
    <n v="1"/>
    <n v="6760000"/>
    <d v="2026-03-30T00:00:00"/>
    <m/>
    <m/>
    <m/>
    <m/>
    <m/>
    <m/>
    <m/>
    <m/>
    <m/>
    <m/>
    <m/>
    <m/>
    <m/>
  </r>
  <r>
    <x v="0"/>
    <n v="1391139"/>
    <d v="2026-03-26T00:00:00"/>
    <d v="1899-12-30T17:33:00"/>
    <x v="19"/>
    <s v="BG25755"/>
    <d v="2026-03-27T00:00:00"/>
    <d v="1899-12-30T10:07:00"/>
    <x v="11"/>
    <s v="BUCARAMANGA"/>
    <x v="4"/>
    <n v="75"/>
    <n v="3"/>
    <n v="2587000"/>
    <d v="2026-04-01T00:00:00"/>
    <m/>
    <m/>
    <m/>
    <m/>
    <m/>
    <m/>
    <m/>
    <m/>
    <m/>
    <m/>
    <m/>
    <m/>
    <m/>
  </r>
  <r>
    <x v="0"/>
    <n v="4500375132"/>
    <d v="2026-03-26T00:00:00"/>
    <d v="1899-12-30T15:07:00"/>
    <x v="20"/>
    <s v="BG25771"/>
    <d v="2026-03-27T00:00:00"/>
    <d v="1899-12-30T11:24:00"/>
    <x v="4"/>
    <s v="BUGA"/>
    <x v="9"/>
    <n v="7000"/>
    <n v="280"/>
    <n v="136500000"/>
    <d v="2026-04-09T00:00:00"/>
    <m/>
    <m/>
    <m/>
    <m/>
    <m/>
    <m/>
    <m/>
    <m/>
    <m/>
    <m/>
    <m/>
    <m/>
    <m/>
  </r>
  <r>
    <x v="0"/>
    <n v="23777"/>
    <d v="2026-03-27T00:00:00"/>
    <d v="1899-12-30T07:52:00"/>
    <x v="21"/>
    <s v="BG25754"/>
    <d v="2026-03-27T00:00:00"/>
    <d v="1899-12-30T14:48:00"/>
    <x v="14"/>
    <s v="BARCON"/>
    <x v="7"/>
    <n v="500"/>
    <n v="20"/>
    <n v="10000000"/>
    <d v="2026-03-31T00:00:00"/>
    <m/>
    <m/>
    <m/>
    <m/>
    <m/>
    <m/>
    <m/>
    <m/>
    <m/>
    <m/>
    <m/>
    <m/>
    <m/>
  </r>
  <r>
    <x v="3"/>
    <s v="01-OC -00004117"/>
    <d v="2026-03-27T00:00:00"/>
    <d v="1899-12-30T08:05:00"/>
    <x v="22"/>
    <s v="BG25753"/>
    <d v="2026-03-27T00:00:00"/>
    <d v="1899-12-30T14:55:00"/>
    <x v="15"/>
    <s v="NUTRITEC"/>
    <x v="7"/>
    <n v="200"/>
    <n v="8"/>
    <n v="3900000"/>
    <d v="2026-03-31T00:00:00"/>
    <m/>
    <m/>
    <m/>
    <m/>
    <m/>
    <m/>
    <m/>
    <m/>
    <m/>
    <m/>
    <m/>
    <m/>
    <m/>
  </r>
  <r>
    <x v="3"/>
    <s v="01-OC -00004117"/>
    <d v="2026-03-27T00:00:00"/>
    <d v="1899-12-30T08:05:00"/>
    <x v="23"/>
    <s v="BG25752"/>
    <d v="2026-03-27T00:00:00"/>
    <d v="1899-12-30T14:55:00"/>
    <x v="15"/>
    <s v="NUTRITEC"/>
    <x v="10"/>
    <n v="100"/>
    <n v="4"/>
    <n v="24000000"/>
    <d v="2026-03-31T00:00:00"/>
    <m/>
    <m/>
    <m/>
    <m/>
    <m/>
    <m/>
    <m/>
    <m/>
    <m/>
    <m/>
    <m/>
    <m/>
    <m/>
  </r>
  <r>
    <x v="0"/>
    <m/>
    <d v="2026-03-27T00:00:00"/>
    <d v="1899-12-30T11:45:00"/>
    <x v="24"/>
    <s v="BG25751"/>
    <d v="2026-03-27T00:00:00"/>
    <d v="1899-12-30T15:08:00"/>
    <x v="16"/>
    <s v="NEIVA"/>
    <x v="3"/>
    <n v="1000"/>
    <n v="40"/>
    <n v="26300000"/>
    <d v="2026-03-31T00:00:00"/>
    <m/>
    <m/>
    <m/>
    <m/>
    <m/>
    <m/>
    <m/>
    <m/>
    <m/>
    <m/>
    <m/>
    <m/>
    <m/>
  </r>
  <r>
    <x v="0"/>
    <m/>
    <d v="2026-03-27T00:00:00"/>
    <d v="1899-12-30T14:30:00"/>
    <x v="25"/>
    <m/>
    <d v="2026-03-27T00:00:00"/>
    <d v="1899-12-30T15:19:00"/>
    <x v="17"/>
    <s v="LA CEJA"/>
    <x v="11"/>
    <n v="15"/>
    <n v="1"/>
    <n v="1575000"/>
    <d v="2026-03-28T00:00:00"/>
    <m/>
    <m/>
    <m/>
    <m/>
    <m/>
    <m/>
    <m/>
    <m/>
    <m/>
    <m/>
    <m/>
    <m/>
    <m/>
  </r>
  <r>
    <x v="0"/>
    <s v="PC-INS-00705"/>
    <d v="2026-03-27T00:00:00"/>
    <d v="1899-12-30T14:30:00"/>
    <x v="26"/>
    <s v="BG25750"/>
    <d v="2026-03-27T00:00:00"/>
    <d v="1899-12-30T16:19:00"/>
    <x v="18"/>
    <s v="ARMENIA"/>
    <x v="11"/>
    <n v="7.5"/>
    <n v="0"/>
    <n v="768750"/>
    <d v="2026-03-31T00:00:00"/>
    <m/>
    <m/>
    <m/>
    <m/>
    <m/>
    <m/>
    <m/>
    <m/>
    <m/>
    <m/>
    <m/>
    <m/>
    <m/>
  </r>
  <r>
    <x v="0"/>
    <s v="PC-INS-00705"/>
    <d v="2026-03-27T00:00:00"/>
    <d v="1899-12-30T14:30:00"/>
    <x v="26"/>
    <s v="BG25750"/>
    <d v="2026-03-27T00:00:00"/>
    <d v="1899-12-30T16:19:00"/>
    <x v="18"/>
    <s v="ARMENIA"/>
    <x v="1"/>
    <n v="8"/>
    <n v="0"/>
    <n v="436000"/>
    <d v="2026-03-31T00:00:00"/>
    <m/>
    <m/>
    <m/>
    <m/>
    <m/>
    <m/>
    <m/>
    <m/>
    <m/>
    <m/>
    <m/>
    <m/>
    <m/>
  </r>
  <r>
    <x v="3"/>
    <n v="100744"/>
    <d v="2026-03-05T00:00:00"/>
    <d v="1899-12-30T09:53:00"/>
    <x v="27"/>
    <s v="BG25921"/>
    <d v="2026-03-05T00:00:00"/>
    <d v="1899-12-30T10:29:00"/>
    <x v="19"/>
    <s v="BUGA"/>
    <x v="12"/>
    <n v="800"/>
    <n v="32"/>
    <n v="32000000"/>
    <d v="2026-03-06T00:00:00"/>
    <m/>
    <m/>
    <m/>
    <m/>
    <m/>
    <m/>
    <m/>
    <m/>
    <m/>
    <m/>
    <m/>
    <m/>
    <n v="32000"/>
  </r>
  <r>
    <x v="3"/>
    <n v="100744"/>
    <d v="2026-03-05T00:00:00"/>
    <d v="1899-12-30T09:53:00"/>
    <x v="28"/>
    <m/>
    <d v="2026-03-05T00:00:00"/>
    <d v="1899-12-30T10:29:00"/>
    <x v="19"/>
    <s v="BUGA"/>
    <x v="12"/>
    <n v="200"/>
    <n v="8"/>
    <n v="8000000"/>
    <d v="2026-03-06T00:00:00"/>
    <m/>
    <m/>
    <m/>
    <m/>
    <m/>
    <m/>
    <m/>
    <m/>
    <m/>
    <m/>
    <m/>
    <m/>
    <n v="8000"/>
  </r>
  <r>
    <x v="3"/>
    <n v="100818"/>
    <d v="2026-03-09T00:00:00"/>
    <d v="1899-12-30T08:11:00"/>
    <x v="29"/>
    <s v="BG25953"/>
    <d v="2026-03-09T00:00:00"/>
    <d v="1899-12-30T11:50:00"/>
    <x v="19"/>
    <s v="BUGA"/>
    <x v="11"/>
    <n v="100"/>
    <n v="0"/>
    <n v="9720000"/>
    <d v="2026-03-11T00:00:00"/>
    <m/>
    <m/>
    <m/>
    <m/>
    <m/>
    <m/>
    <m/>
    <m/>
    <m/>
    <m/>
    <m/>
    <m/>
    <m/>
  </r>
  <r>
    <x v="4"/>
    <n v="100818"/>
    <d v="2026-03-09T00:00:00"/>
    <d v="1899-12-30T08:11:00"/>
    <x v="30"/>
    <m/>
    <d v="2026-03-09T00:00:00"/>
    <d v="1899-12-30T11:50:00"/>
    <x v="19"/>
    <s v="BUGA"/>
    <x v="13"/>
    <n v="50"/>
    <n v="2"/>
    <n v="7250000"/>
    <d v="2026-03-11T00:00:00"/>
    <m/>
    <m/>
    <m/>
    <m/>
    <m/>
    <m/>
    <m/>
    <m/>
    <m/>
    <m/>
    <m/>
    <m/>
    <m/>
  </r>
  <r>
    <x v="3"/>
    <n v="101441"/>
    <d v="2026-03-21T00:00:00"/>
    <d v="1899-12-30T11:12:00"/>
    <x v="31"/>
    <s v="BG25952"/>
    <d v="2026-03-25T00:00:00"/>
    <d v="1899-12-30T11:05:00"/>
    <x v="19"/>
    <s v="BUGA"/>
    <x v="0"/>
    <n v="750"/>
    <n v="30"/>
    <n v="11850000"/>
    <d v="2026-03-26T00:00:00"/>
    <m/>
    <m/>
    <m/>
    <m/>
    <m/>
    <m/>
    <m/>
    <m/>
    <m/>
    <m/>
    <m/>
    <m/>
    <m/>
  </r>
  <r>
    <x v="2"/>
    <s v="A02-COC-323164"/>
    <d v="2026-03-27T00:00:00"/>
    <d v="1899-12-30T13:16:00"/>
    <x v="32"/>
    <s v="BG25749"/>
    <d v="2026-03-30T00:00:00"/>
    <d v="1899-12-30T13:06:00"/>
    <x v="20"/>
    <s v="ITAGUI"/>
    <x v="9"/>
    <n v="3000"/>
    <n v="120"/>
    <n v="61500000"/>
    <d v="2026-04-07T00:00:00"/>
    <m/>
    <m/>
    <m/>
    <m/>
    <m/>
    <m/>
    <m/>
    <m/>
    <m/>
    <m/>
    <m/>
    <m/>
    <s v="VEHICULO VARADO POR RUPTURA DE LA MANGUERA DE COMBUSTIBLE"/>
  </r>
  <r>
    <x v="0"/>
    <n v="1392884"/>
    <d v="2026-03-27T00:00:00"/>
    <d v="1899-12-30T09:19:00"/>
    <x v="33"/>
    <s v="BG25748"/>
    <d v="2026-03-30T00:00:00"/>
    <d v="1899-12-30T14:04:00"/>
    <x v="11"/>
    <s v="BUGA"/>
    <x v="8"/>
    <n v="125"/>
    <n v="5"/>
    <n v="6482500"/>
    <d v="2026-04-07T00:00:00"/>
    <m/>
    <m/>
    <m/>
    <m/>
    <m/>
    <m/>
    <m/>
    <m/>
    <m/>
    <m/>
    <m/>
    <m/>
    <m/>
  </r>
  <r>
    <x v="0"/>
    <s v="007-OC-051951"/>
    <d v="2026-03-30T00:00:00"/>
    <d v="1899-12-30T12:13:00"/>
    <x v="34"/>
    <s v="BG25709"/>
    <d v="2026-03-30T00:00:00"/>
    <d v="1899-12-30T14:07:00"/>
    <x v="21"/>
    <s v="GIRON"/>
    <x v="5"/>
    <n v="3"/>
    <n v="6"/>
    <n v="1560000"/>
    <d v="2026-03-30T00:00:00"/>
    <m/>
    <m/>
    <m/>
    <m/>
    <m/>
    <m/>
    <m/>
    <m/>
    <m/>
    <m/>
    <m/>
    <m/>
    <m/>
  </r>
  <r>
    <x v="0"/>
    <n v="1393451"/>
    <d v="2026-03-30T00:00:00"/>
    <d v="1899-12-30T14:05:00"/>
    <x v="35"/>
    <s v="BG25747"/>
    <d v="2026-03-30T00:00:00"/>
    <d v="1899-12-30T14:10:00"/>
    <x v="22"/>
    <s v="BOGOTA"/>
    <x v="14"/>
    <n v="50"/>
    <n v="2"/>
    <n v="9010000"/>
    <d v="2026-04-07T00:00:00"/>
    <m/>
    <m/>
    <m/>
    <m/>
    <m/>
    <m/>
    <m/>
    <m/>
    <m/>
    <m/>
    <m/>
    <m/>
    <m/>
  </r>
  <r>
    <x v="1"/>
    <n v="5504450676"/>
    <d v="2026-04-21T00:00:00"/>
    <d v="1899-12-30T11:21:00"/>
    <x v="0"/>
    <m/>
    <m/>
    <m/>
    <x v="1"/>
    <s v="SUPER AGRO"/>
    <x v="15"/>
    <n v="100"/>
    <n v="100"/>
    <n v="5550000"/>
    <s v="PENDIENTE"/>
    <m/>
    <m/>
    <m/>
    <m/>
    <m/>
    <m/>
    <m/>
    <m/>
    <m/>
    <m/>
    <m/>
    <m/>
    <m/>
  </r>
  <r>
    <x v="1"/>
    <n v="5504612323"/>
    <d v="2026-04-21T00:00:00"/>
    <d v="1899-12-30T11:21:00"/>
    <x v="0"/>
    <m/>
    <m/>
    <m/>
    <x v="1"/>
    <s v="SUPER AGRO"/>
    <x v="1"/>
    <n v="100"/>
    <n v="100"/>
    <n v="5550000"/>
    <s v="PENDIENTE"/>
    <m/>
    <m/>
    <m/>
    <m/>
    <m/>
    <m/>
    <m/>
    <m/>
    <m/>
    <m/>
    <m/>
    <m/>
    <m/>
  </r>
  <r>
    <x v="2"/>
    <n v="5504523092"/>
    <d v="2026-03-30T00:00:00"/>
    <d v="1899-12-30T17:50:00"/>
    <x v="36"/>
    <s v="BG25745"/>
    <d v="2026-03-31T00:00:00"/>
    <d v="1899-12-30T07:32:00"/>
    <x v="1"/>
    <s v="CAVASA"/>
    <x v="7"/>
    <n v="8000"/>
    <n v="320"/>
    <n v="146800000"/>
    <d v="2026-04-01T00:00:00"/>
    <m/>
    <m/>
    <m/>
    <m/>
    <m/>
    <m/>
    <m/>
    <m/>
    <m/>
    <m/>
    <m/>
    <m/>
    <s v="DOS VEHICULO ENVIADOS 1 CON 5 TONELADAS Y OTRO CON 3 TONELADAS PERO DOS REMISIONES CADA UNA POR 8 TONELADAS ( LO QUE DIFICULTA EL INGRESO DEL PRODUCTO AL INVENTARIO POR PARTE DEL CLIENTE)"/>
  </r>
  <r>
    <x v="0"/>
    <s v="004-OSC-00051486"/>
    <d v="2026-03-31T00:00:00"/>
    <d v="1899-12-30T08:20:00"/>
    <x v="37"/>
    <s v="BG25744"/>
    <d v="2026-03-31T00:00:00"/>
    <d v="1899-12-30T08:41:00"/>
    <x v="8"/>
    <s v="CARTAGO"/>
    <x v="7"/>
    <n v="1000"/>
    <n v="40"/>
    <n v="19500000"/>
    <d v="2026-04-01T00:00:00"/>
    <m/>
    <m/>
    <m/>
    <m/>
    <m/>
    <m/>
    <m/>
    <m/>
    <m/>
    <m/>
    <m/>
    <m/>
    <m/>
  </r>
  <r>
    <x v="0"/>
    <m/>
    <d v="2026-03-31T00:00:00"/>
    <d v="1899-12-30T08:00:00"/>
    <x v="38"/>
    <s v="BG25743"/>
    <d v="2026-03-31T00:00:00"/>
    <d v="1899-12-30T08:46:00"/>
    <x v="23"/>
    <s v="BUCARAMANGA"/>
    <x v="16"/>
    <n v="2"/>
    <n v="0"/>
    <n v="500000"/>
    <d v="2026-03-31T00:00:00"/>
    <m/>
    <m/>
    <m/>
    <m/>
    <m/>
    <m/>
    <m/>
    <m/>
    <m/>
    <m/>
    <m/>
    <m/>
    <m/>
  </r>
  <r>
    <x v="0"/>
    <n v="1393624"/>
    <d v="2026-03-30T00:00:00"/>
    <d v="1899-12-30T15:49:00"/>
    <x v="39"/>
    <s v="BG25784"/>
    <d v="2026-03-31T00:00:00"/>
    <d v="1899-12-30T08:49:00"/>
    <x v="22"/>
    <s v="ENVIGADO"/>
    <x v="4"/>
    <n v="75"/>
    <n v="3"/>
    <n v="2587000"/>
    <d v="2026-04-07T00:00:00"/>
    <m/>
    <m/>
    <m/>
    <m/>
    <m/>
    <m/>
    <m/>
    <m/>
    <m/>
    <m/>
    <m/>
    <m/>
    <m/>
  </r>
  <r>
    <x v="0"/>
    <m/>
    <d v="2026-03-31T00:00:00"/>
    <d v="1899-12-30T09:56:00"/>
    <x v="40"/>
    <s v="BG25908"/>
    <d v="2026-03-31T00:00:00"/>
    <d v="1899-12-30T10:37:00"/>
    <x v="24"/>
    <s v="ECUADOR"/>
    <x v="6"/>
    <n v="500"/>
    <n v="20"/>
    <s v="6500 USD"/>
    <d v="2026-04-16T00:00:00"/>
    <m/>
    <m/>
    <m/>
    <m/>
    <m/>
    <m/>
    <m/>
    <m/>
    <m/>
    <m/>
    <m/>
    <m/>
    <m/>
  </r>
  <r>
    <x v="0"/>
    <m/>
    <d v="2026-03-31T00:00:00"/>
    <d v="1899-12-30T09:56:00"/>
    <x v="40"/>
    <s v="BG25908"/>
    <d v="2026-03-31T00:00:00"/>
    <d v="1899-12-30T10:37:00"/>
    <x v="24"/>
    <s v="ECUADOR"/>
    <x v="0"/>
    <n v="300"/>
    <n v="12"/>
    <s v="1449 USD"/>
    <d v="2026-04-16T00:00:00"/>
    <m/>
    <m/>
    <m/>
    <m/>
    <m/>
    <m/>
    <m/>
    <m/>
    <m/>
    <m/>
    <m/>
    <m/>
    <m/>
  </r>
  <r>
    <x v="0"/>
    <m/>
    <d v="2026-03-31T00:00:00"/>
    <d v="1899-12-30T09:56:00"/>
    <x v="40"/>
    <s v="BG25908"/>
    <d v="2026-03-31T00:00:00"/>
    <d v="1899-12-30T10:37:00"/>
    <x v="24"/>
    <s v="ECUADOR"/>
    <x v="17"/>
    <n v="500"/>
    <n v="20"/>
    <s v="5275 USD"/>
    <d v="2026-04-16T00:00:00"/>
    <m/>
    <m/>
    <m/>
    <m/>
    <m/>
    <m/>
    <m/>
    <m/>
    <m/>
    <m/>
    <m/>
    <m/>
    <m/>
  </r>
  <r>
    <x v="0"/>
    <m/>
    <d v="2026-03-31T00:00:00"/>
    <d v="1899-12-30T09:56:00"/>
    <x v="40"/>
    <s v="BG25908"/>
    <d v="2026-03-31T00:00:00"/>
    <d v="1899-12-30T10:37:00"/>
    <x v="24"/>
    <s v="ECUADOR"/>
    <x v="9"/>
    <n v="100"/>
    <n v="4"/>
    <s v="451 USD"/>
    <d v="2026-04-16T00:00:00"/>
    <m/>
    <m/>
    <m/>
    <m/>
    <m/>
    <m/>
    <m/>
    <m/>
    <m/>
    <m/>
    <m/>
    <m/>
    <m/>
  </r>
  <r>
    <x v="0"/>
    <m/>
    <d v="2026-03-31T00:00:00"/>
    <d v="1899-12-30T09:56:00"/>
    <x v="40"/>
    <s v="BG25908"/>
    <d v="2026-03-31T00:00:00"/>
    <d v="1899-12-30T10:37:00"/>
    <x v="24"/>
    <s v="ECUADOR"/>
    <x v="18"/>
    <n v="700"/>
    <n v="28"/>
    <s v="3080 USD"/>
    <d v="2026-04-16T00:00:00"/>
    <m/>
    <m/>
    <m/>
    <m/>
    <m/>
    <m/>
    <m/>
    <m/>
    <m/>
    <m/>
    <m/>
    <m/>
    <m/>
  </r>
  <r>
    <x v="0"/>
    <m/>
    <d v="2026-03-31T00:00:00"/>
    <d v="1899-12-30T09:56:00"/>
    <x v="40"/>
    <s v="BG25908"/>
    <d v="2026-03-31T00:00:00"/>
    <d v="1899-12-30T10:37:00"/>
    <x v="24"/>
    <s v="ECUADOR"/>
    <x v="19"/>
    <n v="200"/>
    <n v="8"/>
    <s v="2426 USD"/>
    <d v="2026-04-16T00:00:00"/>
    <m/>
    <m/>
    <m/>
    <m/>
    <m/>
    <m/>
    <m/>
    <m/>
    <m/>
    <m/>
    <m/>
    <m/>
    <m/>
  </r>
  <r>
    <x v="0"/>
    <m/>
    <d v="2026-03-31T00:00:00"/>
    <d v="1899-12-30T09:56:00"/>
    <x v="41"/>
    <s v="BG25908"/>
    <d v="2026-03-31T00:00:00"/>
    <d v="1899-12-30T10:37:00"/>
    <x v="24"/>
    <s v="ECUADOR"/>
    <x v="17"/>
    <n v="200"/>
    <n v="8"/>
    <s v="2110 USD"/>
    <d v="2026-04-16T00:00:00"/>
    <m/>
    <m/>
    <m/>
    <m/>
    <m/>
    <m/>
    <m/>
    <m/>
    <m/>
    <m/>
    <m/>
    <m/>
    <m/>
  </r>
  <r>
    <x v="0"/>
    <m/>
    <d v="2026-03-31T00:00:00"/>
    <d v="1899-12-30T07:59:00"/>
    <x v="42"/>
    <s v="BG25849"/>
    <d v="2026-03-31T00:00:00"/>
    <d v="1899-12-30T10:40:00"/>
    <x v="25"/>
    <s v="BUCARAMANGA"/>
    <x v="20"/>
    <n v="500"/>
    <n v="20"/>
    <n v="89750000"/>
    <d v="2026-04-07T00:00:00"/>
    <m/>
    <m/>
    <m/>
    <m/>
    <m/>
    <m/>
    <m/>
    <m/>
    <m/>
    <m/>
    <m/>
    <m/>
    <m/>
  </r>
  <r>
    <x v="2"/>
    <n v="13809"/>
    <d v="2026-03-30T00:00:00"/>
    <d v="1899-12-30T16:46:00"/>
    <x v="43"/>
    <s v="BG25742"/>
    <d v="2026-03-31T00:00:00"/>
    <d v="1899-12-30T12:23:00"/>
    <x v="26"/>
    <s v="SAN PEDRO"/>
    <x v="4"/>
    <n v="250"/>
    <n v="10"/>
    <n v="9625000"/>
    <d v="2026-04-07T00:00:00"/>
    <m/>
    <m/>
    <m/>
    <m/>
    <m/>
    <m/>
    <m/>
    <m/>
    <m/>
    <m/>
    <m/>
    <m/>
    <s v="VEHICULO VARADO POR RUPTURA DE LA MANGUERA DE COMBUSTIBLE"/>
  </r>
  <r>
    <x v="2"/>
    <n v="13809"/>
    <d v="2026-03-30T00:00:00"/>
    <d v="1899-12-30T16:46:00"/>
    <x v="43"/>
    <s v="BG25742"/>
    <d v="2026-03-31T00:00:00"/>
    <d v="1899-12-30T12:23:00"/>
    <x v="26"/>
    <s v="SAN PEDRO"/>
    <x v="3"/>
    <n v="250"/>
    <n v="10"/>
    <n v="6375000"/>
    <d v="2026-04-07T00:00:00"/>
    <m/>
    <m/>
    <m/>
    <m/>
    <m/>
    <m/>
    <m/>
    <m/>
    <m/>
    <m/>
    <m/>
    <m/>
    <s v="VEHICULO VARADO POR RUPTURA DE LA MANGUERA DE COMBUSTIBLE"/>
  </r>
  <r>
    <x v="3"/>
    <n v="101700"/>
    <d v="2026-03-30T00:00:00"/>
    <d v="1899-12-30T19:35:00"/>
    <x v="44"/>
    <s v="BG25954"/>
    <d v="2026-03-31T00:00:00"/>
    <d v="1899-12-30T12:33:00"/>
    <x v="19"/>
    <s v="BUGA"/>
    <x v="5"/>
    <n v="25"/>
    <n v="1"/>
    <n v="12870000"/>
    <d v="2026-04-08T00:00:00"/>
    <m/>
    <m/>
    <m/>
    <m/>
    <m/>
    <m/>
    <m/>
    <m/>
    <m/>
    <m/>
    <m/>
    <m/>
    <m/>
  </r>
  <r>
    <x v="3"/>
    <n v="101700"/>
    <d v="2026-03-30T00:00:00"/>
    <d v="1899-12-30T19:35:00"/>
    <x v="44"/>
    <s v="BG25954"/>
    <d v="2026-03-31T00:00:00"/>
    <d v="1899-12-30T12:33:00"/>
    <x v="19"/>
    <s v="BUGA"/>
    <x v="1"/>
    <n v="30"/>
    <n v="1"/>
    <n v="2130000"/>
    <d v="2026-04-08T00:00:00"/>
    <m/>
    <m/>
    <m/>
    <m/>
    <m/>
    <m/>
    <m/>
    <m/>
    <m/>
    <m/>
    <m/>
    <m/>
    <m/>
  </r>
  <r>
    <x v="4"/>
    <n v="101700"/>
    <d v="2026-03-30T00:00:00"/>
    <d v="1899-12-30T19:35:00"/>
    <x v="45"/>
    <m/>
    <d v="2026-03-31T00:00:00"/>
    <d v="1899-12-30T12:33:00"/>
    <x v="19"/>
    <s v="BUGA"/>
    <x v="13"/>
    <n v="50"/>
    <n v="2"/>
    <n v="7250000"/>
    <d v="2026-04-08T00:00:00"/>
    <m/>
    <m/>
    <m/>
    <m/>
    <m/>
    <m/>
    <m/>
    <m/>
    <m/>
    <m/>
    <m/>
    <m/>
    <m/>
  </r>
  <r>
    <x v="3"/>
    <n v="101700"/>
    <d v="2026-03-30T00:00:00"/>
    <d v="1899-12-30T19:35:00"/>
    <x v="44"/>
    <s v="BG25954"/>
    <d v="2026-03-31T00:00:00"/>
    <d v="1899-12-30T12:33:00"/>
    <x v="19"/>
    <s v="BUGA"/>
    <x v="12"/>
    <n v="200"/>
    <n v="8"/>
    <n v="8000000"/>
    <d v="2026-04-08T00:00:00"/>
    <m/>
    <m/>
    <m/>
    <m/>
    <m/>
    <m/>
    <m/>
    <m/>
    <m/>
    <m/>
    <m/>
    <m/>
    <m/>
  </r>
  <r>
    <x v="2"/>
    <s v="001-OSC-00073214"/>
    <d v="2026-03-31T00:00:00"/>
    <d v="1899-12-30T08:45:00"/>
    <x v="46"/>
    <s v="BG25741"/>
    <d v="2026-03-31T00:00:00"/>
    <d v="1899-12-30T12:39:00"/>
    <x v="8"/>
    <s v="BELLO"/>
    <x v="4"/>
    <n v="200"/>
    <n v="8"/>
    <n v="8100000"/>
    <d v="2026-04-07T00:00:00"/>
    <m/>
    <m/>
    <m/>
    <m/>
    <m/>
    <m/>
    <m/>
    <m/>
    <m/>
    <m/>
    <m/>
    <m/>
    <s v="VEHICULO VARADO POR RUPTURA DE LA MANGUERA DE COMBUSTIBLE"/>
  </r>
  <r>
    <x v="2"/>
    <s v="001-OSC-00073214"/>
    <d v="2026-03-31T00:00:00"/>
    <d v="1899-12-30T08:45:00"/>
    <x v="46"/>
    <s v="BG25741"/>
    <d v="2026-03-31T00:00:00"/>
    <d v="1899-12-30T12:39:00"/>
    <x v="8"/>
    <s v="BELLO"/>
    <x v="3"/>
    <n v="500"/>
    <n v="20"/>
    <n v="13150000"/>
    <d v="2026-04-07T00:00:00"/>
    <m/>
    <m/>
    <m/>
    <m/>
    <m/>
    <m/>
    <m/>
    <m/>
    <m/>
    <m/>
    <m/>
    <m/>
    <s v="VEHICULO VARADO POR RUPTURA DE LA MANGUERA DE COMBUSTIBLE"/>
  </r>
  <r>
    <x v="2"/>
    <s v="001-OSC-00073214"/>
    <d v="2026-03-31T00:00:00"/>
    <d v="1899-12-30T08:45:00"/>
    <x v="46"/>
    <s v="BG25741"/>
    <d v="2026-03-31T00:00:00"/>
    <d v="1899-12-30T12:39:00"/>
    <x v="8"/>
    <s v="BELLO"/>
    <x v="7"/>
    <n v="2000"/>
    <n v="80"/>
    <n v="39000000"/>
    <d v="2026-04-07T00:00:00"/>
    <m/>
    <m/>
    <m/>
    <m/>
    <m/>
    <m/>
    <m/>
    <m/>
    <m/>
    <m/>
    <m/>
    <m/>
    <s v="VEHICULO VARADO POR RUPTURA DE LA MANGUERA DE COMBUSTIBLE"/>
  </r>
  <r>
    <x v="3"/>
    <m/>
    <d v="2026-03-31T00:00:00"/>
    <d v="1899-12-30T11:30:00"/>
    <x v="47"/>
    <s v="BG26055"/>
    <d v="2026-03-31T00:00:00"/>
    <d v="1899-12-30T12:45:00"/>
    <x v="27"/>
    <s v="ARMENIA"/>
    <x v="21"/>
    <n v="10"/>
    <n v="0"/>
    <n v="1680000"/>
    <d v="2026-04-06T00:00:00"/>
    <m/>
    <m/>
    <m/>
    <m/>
    <m/>
    <m/>
    <m/>
    <m/>
    <m/>
    <m/>
    <m/>
    <m/>
    <m/>
  </r>
  <r>
    <x v="3"/>
    <n v="50221"/>
    <d v="2026-03-31T00:00:00"/>
    <d v="1899-12-30T11:57:00"/>
    <x v="48"/>
    <m/>
    <d v="2026-03-31T00:00:00"/>
    <d v="1899-12-30T12:51:00"/>
    <x v="28"/>
    <s v="HATILLO"/>
    <x v="12"/>
    <n v="60"/>
    <n v="3"/>
    <n v="2400000"/>
    <d v="2026-04-16T00:00:00"/>
    <m/>
    <m/>
    <m/>
    <m/>
    <m/>
    <m/>
    <m/>
    <m/>
    <m/>
    <m/>
    <m/>
    <m/>
    <m/>
  </r>
  <r>
    <x v="0"/>
    <s v="OC-COMP-22531"/>
    <d v="2026-03-31T00:00:00"/>
    <d v="1899-12-30T13:48:00"/>
    <x v="49"/>
    <s v="BG25739"/>
    <d v="2026-03-31T00:00:00"/>
    <d v="1899-12-30T14:54:00"/>
    <x v="29"/>
    <s v="RICAURTE"/>
    <x v="22"/>
    <n v="100"/>
    <n v="4"/>
    <n v="3500000"/>
    <d v="2026-04-06T00:00:00"/>
    <m/>
    <m/>
    <m/>
    <m/>
    <m/>
    <m/>
    <m/>
    <m/>
    <m/>
    <m/>
    <m/>
    <m/>
    <m/>
  </r>
  <r>
    <x v="5"/>
    <s v="OC-COMP-22531"/>
    <d v="2026-03-31T00:00:00"/>
    <d v="1899-12-30T13:48:00"/>
    <x v="49"/>
    <s v="BG25823"/>
    <d v="2026-03-31T00:00:00"/>
    <d v="1899-12-30T14:54:00"/>
    <x v="29"/>
    <s v="RICAURTE"/>
    <x v="22"/>
    <n v="100"/>
    <n v="4"/>
    <n v="3500000"/>
    <d v="2026-04-06T00:00:00"/>
    <m/>
    <m/>
    <m/>
    <m/>
    <m/>
    <m/>
    <m/>
    <m/>
    <m/>
    <m/>
    <m/>
    <m/>
    <s v="AL MOMENTO DEL DESPACHO NO HABIA PRODUCTO APROBADO"/>
  </r>
  <r>
    <x v="0"/>
    <s v="OC-COMP-22531"/>
    <d v="2026-03-31T00:00:00"/>
    <d v="1899-12-30T13:48:00"/>
    <x v="49"/>
    <s v="BG25739"/>
    <d v="2026-03-31T00:00:00"/>
    <d v="1899-12-30T14:54:00"/>
    <x v="29"/>
    <s v="RICAURTE"/>
    <x v="0"/>
    <n v="25"/>
    <n v="1"/>
    <n v="481250"/>
    <d v="2026-04-06T00:00:00"/>
    <m/>
    <m/>
    <m/>
    <m/>
    <m/>
    <m/>
    <m/>
    <m/>
    <m/>
    <m/>
    <m/>
    <m/>
    <m/>
  </r>
  <r>
    <x v="0"/>
    <s v="004-OSC-51468"/>
    <d v="2026-03-30T00:00:00"/>
    <d v="1899-12-30T14:59:00"/>
    <x v="50"/>
    <s v="BG25746"/>
    <d v="2026-03-30T00:00:00"/>
    <d v="1899-12-30T16:26:00"/>
    <x v="8"/>
    <s v="CARTAGO"/>
    <x v="23"/>
    <n v="50"/>
    <n v="2"/>
    <n v="810000"/>
    <d v="2026-03-31T00:00:00"/>
    <m/>
    <m/>
    <m/>
    <m/>
    <m/>
    <m/>
    <m/>
    <m/>
    <m/>
    <m/>
    <m/>
    <m/>
    <m/>
  </r>
  <r>
    <x v="6"/>
    <n v="4500087944"/>
    <d v="2026-03-31T00:00:00"/>
    <d v="1899-12-30T12:31:00"/>
    <x v="51"/>
    <s v="BG25901"/>
    <d v="2026-03-31T00:00:00"/>
    <d v="1899-12-30T16:42:00"/>
    <x v="0"/>
    <s v="CELTA"/>
    <x v="24"/>
    <n v="2500"/>
    <n v="100"/>
    <n v="48125000"/>
    <d v="2026-04-06T00:00:00"/>
    <m/>
    <m/>
    <m/>
    <m/>
    <m/>
    <m/>
    <m/>
    <m/>
    <m/>
    <m/>
    <m/>
    <m/>
    <s v="RETRAZOS EN EL AISTAMIENTO DEL PRODUCTO ( ENTREGA DESPUES DEL 15 DE ABRIL)"/>
  </r>
  <r>
    <x v="0"/>
    <n v="4500087944"/>
    <d v="2026-03-31T00:00:00"/>
    <d v="1899-12-30T12:31:00"/>
    <x v="51"/>
    <s v="BG25738"/>
    <d v="2026-03-31T00:00:00"/>
    <d v="1899-12-30T16:42:00"/>
    <x v="0"/>
    <s v="CELTA"/>
    <x v="9"/>
    <n v="1500"/>
    <n v="60"/>
    <n v="28875000"/>
    <d v="2026-04-06T00:00:00"/>
    <m/>
    <m/>
    <m/>
    <m/>
    <m/>
    <m/>
    <m/>
    <m/>
    <m/>
    <m/>
    <m/>
    <m/>
    <m/>
  </r>
  <r>
    <x v="0"/>
    <n v="4500087944"/>
    <d v="2026-03-31T00:00:00"/>
    <d v="1899-12-30T12:31:00"/>
    <x v="51"/>
    <s v="BG25738"/>
    <d v="2026-03-31T00:00:00"/>
    <d v="1899-12-30T16:42:00"/>
    <x v="0"/>
    <s v="CELTA"/>
    <x v="25"/>
    <n v="400"/>
    <n v="16"/>
    <n v="15560000"/>
    <d v="2026-04-06T00:00:00"/>
    <m/>
    <m/>
    <m/>
    <m/>
    <m/>
    <m/>
    <m/>
    <m/>
    <m/>
    <m/>
    <m/>
    <m/>
    <m/>
  </r>
  <r>
    <x v="0"/>
    <n v="4500087944"/>
    <d v="2026-03-31T00:00:00"/>
    <d v="1899-12-30T12:31:00"/>
    <x v="51"/>
    <s v="BG25738"/>
    <d v="2026-03-31T00:00:00"/>
    <d v="1899-12-30T16:42:00"/>
    <x v="0"/>
    <s v="CELTA"/>
    <x v="26"/>
    <n v="400"/>
    <n v="16"/>
    <n v="7870000"/>
    <d v="2026-04-06T00:00:00"/>
    <m/>
    <m/>
    <m/>
    <m/>
    <m/>
    <m/>
    <m/>
    <m/>
    <m/>
    <m/>
    <m/>
    <m/>
    <m/>
  </r>
  <r>
    <x v="0"/>
    <n v="4500087944"/>
    <d v="2026-03-31T00:00:00"/>
    <d v="1899-12-30T12:31:00"/>
    <x v="51"/>
    <s v="BG25738"/>
    <d v="2026-03-31T00:00:00"/>
    <d v="1899-12-30T16:42:00"/>
    <x v="0"/>
    <s v="CELTA"/>
    <x v="3"/>
    <n v="400"/>
    <n v="16"/>
    <n v="9900000"/>
    <d v="2026-04-06T00:00:00"/>
    <m/>
    <m/>
    <m/>
    <m/>
    <m/>
    <m/>
    <m/>
    <m/>
    <m/>
    <m/>
    <m/>
    <m/>
    <m/>
  </r>
  <r>
    <x v="0"/>
    <n v="4500087944"/>
    <d v="2026-03-31T00:00:00"/>
    <d v="1899-12-30T12:31:00"/>
    <x v="51"/>
    <s v="BG25738"/>
    <d v="2026-03-31T00:00:00"/>
    <d v="1899-12-30T16:42:00"/>
    <x v="0"/>
    <s v="CELTA"/>
    <x v="27"/>
    <n v="400"/>
    <n v="16"/>
    <n v="20760000"/>
    <d v="2026-04-06T00:00:00"/>
    <m/>
    <m/>
    <m/>
    <m/>
    <m/>
    <m/>
    <m/>
    <m/>
    <m/>
    <m/>
    <m/>
    <m/>
    <m/>
  </r>
  <r>
    <x v="0"/>
    <n v="4500087944"/>
    <d v="2026-03-31T00:00:00"/>
    <d v="1899-12-30T12:31:00"/>
    <x v="51"/>
    <s v="BG25738"/>
    <d v="2026-03-31T00:00:00"/>
    <d v="1899-12-30T16:42:00"/>
    <x v="0"/>
    <s v="CELTA"/>
    <x v="28"/>
    <n v="100"/>
    <n v="4"/>
    <n v="3020000"/>
    <d v="2026-04-06T00:00:00"/>
    <m/>
    <m/>
    <m/>
    <m/>
    <m/>
    <m/>
    <m/>
    <m/>
    <m/>
    <m/>
    <m/>
    <m/>
    <m/>
  </r>
  <r>
    <x v="0"/>
    <n v="4500087944"/>
    <d v="2026-03-31T00:00:00"/>
    <d v="1899-12-30T12:31:00"/>
    <x v="51"/>
    <s v="BG25738"/>
    <d v="2026-03-31T00:00:00"/>
    <d v="1899-12-30T16:42:00"/>
    <x v="0"/>
    <s v="CELTA"/>
    <x v="29"/>
    <n v="50"/>
    <n v="2"/>
    <n v="3085000"/>
    <d v="2026-04-06T00:00:00"/>
    <m/>
    <m/>
    <m/>
    <m/>
    <m/>
    <m/>
    <m/>
    <m/>
    <m/>
    <m/>
    <m/>
    <m/>
    <m/>
  </r>
  <r>
    <x v="0"/>
    <n v="101762"/>
    <d v="2026-03-31T00:00:00"/>
    <d v="1899-12-30T11:36:00"/>
    <x v="52"/>
    <s v="BG25782"/>
    <d v="2026-04-06T00:00:00"/>
    <d v="1899-12-30T09:15:00"/>
    <x v="30"/>
    <s v="BUGA"/>
    <x v="1"/>
    <n v="20"/>
    <n v="1"/>
    <n v="1430000"/>
    <d v="2026-04-08T00:00:00"/>
    <m/>
    <m/>
    <m/>
    <m/>
    <m/>
    <m/>
    <m/>
    <m/>
    <m/>
    <m/>
    <m/>
    <m/>
    <m/>
  </r>
  <r>
    <x v="5"/>
    <n v="101762"/>
    <d v="2026-03-31T00:00:00"/>
    <d v="1899-12-30T11:36:00"/>
    <x v="52"/>
    <s v="BG26054"/>
    <d v="2026-04-06T00:00:00"/>
    <d v="1899-12-30T09:15:00"/>
    <x v="30"/>
    <s v="BUGA"/>
    <x v="13"/>
    <n v="20"/>
    <n v="1"/>
    <n v="2900000"/>
    <d v="2026-04-08T00:00:00"/>
    <m/>
    <m/>
    <m/>
    <m/>
    <m/>
    <m/>
    <m/>
    <m/>
    <m/>
    <m/>
    <m/>
    <m/>
    <m/>
  </r>
  <r>
    <x v="5"/>
    <n v="101762"/>
    <d v="2026-03-31T00:00:00"/>
    <d v="1899-12-30T11:36:00"/>
    <x v="52"/>
    <s v="BG25955"/>
    <d v="2026-04-06T00:00:00"/>
    <d v="1899-12-30T09:15:00"/>
    <x v="30"/>
    <s v="BUGA"/>
    <x v="11"/>
    <n v="63"/>
    <m/>
    <n v="6123600"/>
    <d v="2026-04-08T00:00:00"/>
    <m/>
    <m/>
    <m/>
    <m/>
    <m/>
    <m/>
    <m/>
    <m/>
    <m/>
    <m/>
    <m/>
    <m/>
    <s v="PRODUCTOS NO DISPONIBLE PARA ENTREGA"/>
  </r>
  <r>
    <x v="0"/>
    <n v="101762"/>
    <d v="2026-03-31T00:00:00"/>
    <d v="1899-12-30T11:36:00"/>
    <x v="52"/>
    <s v="BG25782"/>
    <d v="2026-04-06T00:00:00"/>
    <d v="1899-12-30T09:15:00"/>
    <x v="30"/>
    <s v="BUGA"/>
    <x v="11"/>
    <n v="37"/>
    <n v="1"/>
    <n v="3596400"/>
    <d v="2026-04-08T00:00:00"/>
    <m/>
    <m/>
    <m/>
    <m/>
    <m/>
    <m/>
    <m/>
    <m/>
    <m/>
    <m/>
    <m/>
    <m/>
    <m/>
  </r>
  <r>
    <x v="0"/>
    <n v="101762"/>
    <d v="2026-03-31T00:00:00"/>
    <d v="1899-12-30T11:36:00"/>
    <x v="52"/>
    <s v="BG25782"/>
    <d v="2026-04-06T00:00:00"/>
    <d v="1899-12-30T09:15:00"/>
    <x v="30"/>
    <s v="BUGA"/>
    <x v="5"/>
    <n v="15"/>
    <n v="1"/>
    <n v="7722000"/>
    <d v="2026-04-08T00:00:00"/>
    <m/>
    <m/>
    <m/>
    <m/>
    <m/>
    <m/>
    <m/>
    <m/>
    <m/>
    <m/>
    <m/>
    <m/>
    <m/>
  </r>
  <r>
    <x v="0"/>
    <s v="001-OCN-00013866"/>
    <d v="2026-03-31T00:00:00"/>
    <d v="1899-12-30T12:03:00"/>
    <x v="53"/>
    <s v="BG25864"/>
    <d v="2026-04-06T00:00:00"/>
    <d v="1899-12-30T08:35:00"/>
    <x v="31"/>
    <s v="MOSQUERA"/>
    <x v="30"/>
    <n v="500"/>
    <n v="20"/>
    <n v="51250000"/>
    <d v="2026-04-13T00:00:00"/>
    <m/>
    <m/>
    <m/>
    <m/>
    <m/>
    <m/>
    <m/>
    <m/>
    <m/>
    <m/>
    <m/>
    <m/>
    <m/>
  </r>
  <r>
    <x v="0"/>
    <s v="001-SC-015993"/>
    <d v="2026-03-31T00:00:00"/>
    <d v="1899-12-30T16:24:00"/>
    <x v="54"/>
    <m/>
    <d v="2026-04-06T00:00:00"/>
    <d v="1899-12-30T08:57:00"/>
    <x v="18"/>
    <s v="NUTREXCOL"/>
    <x v="19"/>
    <n v="100"/>
    <n v="4"/>
    <n v="5300000"/>
    <d v="2026-04-07T00:00:00"/>
    <m/>
    <m/>
    <m/>
    <m/>
    <m/>
    <m/>
    <m/>
    <m/>
    <m/>
    <m/>
    <m/>
    <m/>
    <m/>
  </r>
  <r>
    <x v="0"/>
    <s v="001-SC-015993"/>
    <d v="2026-03-31T00:00:00"/>
    <d v="1899-12-30T16:24:00"/>
    <x v="54"/>
    <m/>
    <d v="2026-04-06T00:00:00"/>
    <d v="1899-12-30T08:57:00"/>
    <x v="18"/>
    <s v="NUTREXCOL"/>
    <x v="3"/>
    <n v="300"/>
    <n v="12"/>
    <n v="7650000"/>
    <d v="2026-04-07T00:00:00"/>
    <m/>
    <m/>
    <m/>
    <m/>
    <m/>
    <m/>
    <m/>
    <m/>
    <m/>
    <m/>
    <m/>
    <m/>
    <m/>
  </r>
  <r>
    <x v="0"/>
    <s v="001-SC-015993"/>
    <d v="2026-03-31T00:00:00"/>
    <d v="1899-12-30T16:24:00"/>
    <x v="55"/>
    <s v="BG25775"/>
    <d v="2026-04-06T00:00:00"/>
    <d v="1899-12-30T08:57:00"/>
    <x v="18"/>
    <s v="NUTREXCOL"/>
    <x v="31"/>
    <n v="7.5"/>
    <n v="0"/>
    <n v="0"/>
    <d v="2026-04-07T00:00:00"/>
    <m/>
    <m/>
    <m/>
    <m/>
    <m/>
    <m/>
    <m/>
    <m/>
    <m/>
    <m/>
    <m/>
    <m/>
    <m/>
  </r>
  <r>
    <x v="3"/>
    <n v="50239"/>
    <d v="2026-03-31T00:00:00"/>
    <d v="1899-12-30T14:40:00"/>
    <x v="56"/>
    <m/>
    <d v="2026-04-06T00:00:00"/>
    <d v="1899-12-30T09:20:00"/>
    <x v="28"/>
    <s v="EL ROBLE"/>
    <x v="12"/>
    <n v="40"/>
    <n v="2"/>
    <n v="1600000"/>
    <d v="2026-04-06T00:00:00"/>
    <m/>
    <m/>
    <m/>
    <m/>
    <m/>
    <m/>
    <m/>
    <m/>
    <m/>
    <m/>
    <m/>
    <m/>
    <m/>
  </r>
  <r>
    <x v="7"/>
    <n v="101803"/>
    <d v="2026-03-31T00:00:00"/>
    <d v="1899-12-30T15:25:00"/>
    <x v="57"/>
    <s v="BG25975"/>
    <d v="2026-04-06T00:00:00"/>
    <d v="1899-12-30T09:27:00"/>
    <x v="32"/>
    <s v="BUGA"/>
    <x v="13"/>
    <n v="100"/>
    <n v="4"/>
    <n v="14500000"/>
    <d v="2026-04-08T00:00:00"/>
    <m/>
    <m/>
    <m/>
    <m/>
    <m/>
    <m/>
    <m/>
    <m/>
    <m/>
    <m/>
    <m/>
    <m/>
    <s v="PRODUCTO LIBERADO EL 20-4-2026"/>
  </r>
  <r>
    <x v="7"/>
    <n v="101803"/>
    <d v="2026-03-31T00:00:00"/>
    <d v="1899-12-30T15:25:00"/>
    <x v="57"/>
    <s v="BG25951"/>
    <d v="2026-04-06T00:00:00"/>
    <d v="1899-12-30T09:27:00"/>
    <x v="32"/>
    <s v="BUGA"/>
    <x v="11"/>
    <n v="450"/>
    <n v="18"/>
    <n v="43750000"/>
    <d v="2026-04-08T00:00:00"/>
    <m/>
    <m/>
    <m/>
    <m/>
    <m/>
    <m/>
    <m/>
    <m/>
    <m/>
    <m/>
    <m/>
    <m/>
    <m/>
  </r>
  <r>
    <x v="0"/>
    <n v="1395095"/>
    <d v="2026-04-01T00:00:00"/>
    <d v="1899-12-30T10:05:00"/>
    <x v="58"/>
    <s v="BG25781"/>
    <d v="2026-04-06T00:00:00"/>
    <d v="1899-12-30T09:32:00"/>
    <x v="11"/>
    <s v="MOSQUERA"/>
    <x v="21"/>
    <n v="100"/>
    <n v="4"/>
    <n v="14700000"/>
    <d v="2026-04-07T00:00:00"/>
    <m/>
    <m/>
    <m/>
    <m/>
    <m/>
    <m/>
    <m/>
    <m/>
    <m/>
    <m/>
    <m/>
    <m/>
    <m/>
  </r>
  <r>
    <x v="0"/>
    <n v="1395095"/>
    <d v="2026-04-01T00:00:00"/>
    <d v="1899-12-30T10:05:00"/>
    <x v="58"/>
    <s v="BG25781"/>
    <d v="2026-04-06T00:00:00"/>
    <d v="1899-12-30T09:32:00"/>
    <x v="11"/>
    <s v="MOSQUERA"/>
    <x v="3"/>
    <n v="200"/>
    <n v="8"/>
    <n v="4950000"/>
    <d v="2026-04-07T00:00:00"/>
    <m/>
    <m/>
    <m/>
    <m/>
    <m/>
    <m/>
    <m/>
    <m/>
    <m/>
    <m/>
    <m/>
    <m/>
    <m/>
  </r>
  <r>
    <x v="0"/>
    <n v="1395095"/>
    <d v="2026-04-01T00:00:00"/>
    <d v="1899-12-30T10:05:00"/>
    <x v="58"/>
    <s v="BG25822"/>
    <d v="2026-04-06T00:00:00"/>
    <d v="1899-12-30T09:32:00"/>
    <x v="11"/>
    <s v="MOSQUERA"/>
    <x v="22"/>
    <n v="100"/>
    <n v="4"/>
    <n v="3000000"/>
    <d v="2026-04-07T00:00:00"/>
    <m/>
    <m/>
    <m/>
    <m/>
    <m/>
    <m/>
    <m/>
    <m/>
    <m/>
    <m/>
    <m/>
    <m/>
    <m/>
  </r>
  <r>
    <x v="0"/>
    <m/>
    <d v="2026-04-01T00:00:00"/>
    <d v="1899-12-30T14:08:00"/>
    <x v="59"/>
    <s v="BG25737"/>
    <d v="2026-04-06T00:00:00"/>
    <d v="1899-12-30T09:38:00"/>
    <x v="17"/>
    <s v="LA CEJA"/>
    <x v="11"/>
    <n v="34"/>
    <n v="1"/>
    <n v="3570000"/>
    <d v="2026-04-03T00:00:00"/>
    <m/>
    <m/>
    <m/>
    <m/>
    <m/>
    <m/>
    <m/>
    <m/>
    <m/>
    <m/>
    <m/>
    <m/>
    <m/>
  </r>
  <r>
    <x v="3"/>
    <s v="COC-00003280"/>
    <d v="2026-04-01T00:00:00"/>
    <d v="1899-12-30T15:20:00"/>
    <x v="60"/>
    <s v="BG25818"/>
    <d v="2026-04-06T00:00:00"/>
    <d v="1899-12-30T09:48:00"/>
    <x v="33"/>
    <s v="DON MATIAS"/>
    <x v="32"/>
    <n v="60"/>
    <n v="2"/>
    <n v="13500000"/>
    <d v="2026-04-07T00:00:00"/>
    <m/>
    <m/>
    <m/>
    <m/>
    <m/>
    <m/>
    <m/>
    <m/>
    <m/>
    <m/>
    <m/>
    <m/>
    <m/>
  </r>
  <r>
    <x v="3"/>
    <s v="COC-00003280"/>
    <d v="2026-04-01T00:00:00"/>
    <d v="1899-12-30T15:20:00"/>
    <x v="60"/>
    <s v="BG25818"/>
    <d v="2026-04-06T00:00:00"/>
    <d v="1899-12-30T09:48:00"/>
    <x v="33"/>
    <s v="DON MATIAS"/>
    <x v="5"/>
    <n v="25"/>
    <n v="1"/>
    <n v="12975000"/>
    <d v="2026-04-07T00:00:00"/>
    <m/>
    <m/>
    <m/>
    <m/>
    <m/>
    <m/>
    <m/>
    <m/>
    <m/>
    <m/>
    <m/>
    <m/>
    <m/>
  </r>
  <r>
    <x v="7"/>
    <s v="COC-00003280"/>
    <d v="2026-04-01T00:00:00"/>
    <d v="1899-12-30T15:20:00"/>
    <x v="60"/>
    <s v="BG25974"/>
    <d v="2026-04-06T00:00:00"/>
    <d v="1899-12-30T09:48:00"/>
    <x v="33"/>
    <s v="DON MATIAS"/>
    <x v="13"/>
    <n v="40"/>
    <n v="2"/>
    <n v="6200000"/>
    <d v="2026-04-07T00:00:00"/>
    <m/>
    <m/>
    <m/>
    <m/>
    <m/>
    <m/>
    <m/>
    <m/>
    <m/>
    <m/>
    <m/>
    <m/>
    <s v="PRODUCTO LIBERADO EL 20-4-2026"/>
  </r>
  <r>
    <x v="7"/>
    <s v="COC-00003280"/>
    <d v="2026-04-01T00:00:00"/>
    <d v="1899-12-30T15:20:00"/>
    <x v="60"/>
    <s v="BG25959"/>
    <d v="2026-04-06T00:00:00"/>
    <d v="1899-12-30T09:48:00"/>
    <x v="33"/>
    <s v="DON MATIAS"/>
    <x v="11"/>
    <n v="10"/>
    <n v="0"/>
    <n v="1020000"/>
    <d v="2026-04-07T00:00:00"/>
    <m/>
    <m/>
    <m/>
    <m/>
    <m/>
    <m/>
    <m/>
    <m/>
    <m/>
    <m/>
    <m/>
    <m/>
    <m/>
  </r>
  <r>
    <x v="3"/>
    <s v="COC-00003280"/>
    <d v="2026-04-01T00:00:00"/>
    <d v="1899-12-30T15:20:00"/>
    <x v="60"/>
    <s v="BG25818"/>
    <d v="2026-04-06T00:00:00"/>
    <d v="1899-12-30T09:48:00"/>
    <x v="33"/>
    <s v="DON MATIAS"/>
    <x v="1"/>
    <n v="5"/>
    <n v="0"/>
    <n v="350000"/>
    <d v="2026-04-07T00:00:00"/>
    <m/>
    <m/>
    <m/>
    <m/>
    <m/>
    <m/>
    <m/>
    <m/>
    <m/>
    <m/>
    <m/>
    <m/>
    <m/>
  </r>
  <r>
    <x v="3"/>
    <s v="COC-00003280"/>
    <d v="2026-04-01T00:00:00"/>
    <d v="1899-12-30T15:20:00"/>
    <x v="61"/>
    <s v="BG25817"/>
    <d v="2026-04-06T00:00:00"/>
    <d v="1899-12-30T09:48:00"/>
    <x v="33"/>
    <s v="DON MATIAS"/>
    <x v="31"/>
    <n v="4.5"/>
    <n v="0"/>
    <n v="0"/>
    <d v="2026-04-07T00:00:00"/>
    <m/>
    <m/>
    <m/>
    <m/>
    <m/>
    <m/>
    <m/>
    <m/>
    <m/>
    <m/>
    <m/>
    <m/>
    <m/>
  </r>
  <r>
    <x v="0"/>
    <m/>
    <d v="2026-04-01T00:00:00"/>
    <d v="1899-12-30T10:30:00"/>
    <x v="62"/>
    <s v="BG25860"/>
    <d v="2026-04-06T00:00:00"/>
    <d v="1899-12-30T10:09:00"/>
    <x v="34"/>
    <s v="BUCARAMANGA"/>
    <x v="5"/>
    <n v="11"/>
    <n v="0"/>
    <n v="6490000"/>
    <d v="2026-04-07T00:00:00"/>
    <m/>
    <m/>
    <m/>
    <m/>
    <m/>
    <m/>
    <m/>
    <m/>
    <m/>
    <m/>
    <m/>
    <m/>
    <m/>
  </r>
  <r>
    <x v="0"/>
    <m/>
    <d v="2026-04-01T00:00:00"/>
    <d v="1899-12-30T10:58:00"/>
    <x v="63"/>
    <s v="BG25736"/>
    <d v="2026-04-06T00:00:00"/>
    <d v="1899-12-30T10:13:00"/>
    <x v="23"/>
    <s v="BUCARAMANGA"/>
    <x v="16"/>
    <n v="3"/>
    <n v="0"/>
    <n v="750000"/>
    <d v="2026-04-06T00:00:00"/>
    <m/>
    <m/>
    <m/>
    <m/>
    <m/>
    <m/>
    <m/>
    <m/>
    <m/>
    <m/>
    <m/>
    <m/>
    <m/>
  </r>
  <r>
    <x v="0"/>
    <s v="OC 8998"/>
    <d v="2026-04-01T00:00:00"/>
    <d v="1899-12-30T10:26:00"/>
    <x v="64"/>
    <s v="BG25780"/>
    <d v="2026-04-06T00:00:00"/>
    <d v="1899-12-30T10:23:00"/>
    <x v="35"/>
    <s v="ALBATEC"/>
    <x v="33"/>
    <n v="100"/>
    <n v="4"/>
    <n v="2500000"/>
    <d v="2026-04-07T00:00:00"/>
    <m/>
    <m/>
    <m/>
    <m/>
    <m/>
    <m/>
    <m/>
    <m/>
    <m/>
    <m/>
    <m/>
    <m/>
    <m/>
  </r>
  <r>
    <x v="0"/>
    <n v="1395264"/>
    <d v="2026-04-01T00:00:00"/>
    <d v="1899-12-30T13:06:00"/>
    <x v="65"/>
    <s v="BG25735"/>
    <d v="2026-04-06T00:00:00"/>
    <d v="1899-12-30T10:53:00"/>
    <x v="36"/>
    <s v="BUCARAMANGA"/>
    <x v="5"/>
    <n v="15"/>
    <n v="1"/>
    <n v="6408750"/>
    <d v="2026-04-06T00:00:00"/>
    <m/>
    <m/>
    <m/>
    <m/>
    <m/>
    <m/>
    <m/>
    <m/>
    <m/>
    <m/>
    <m/>
    <m/>
    <m/>
  </r>
  <r>
    <x v="3"/>
    <n v="4500149862"/>
    <d v="2026-04-01T00:00:00"/>
    <d v="1899-12-30T13:33:00"/>
    <x v="66"/>
    <s v="BG25832"/>
    <d v="2026-04-06T00:00:00"/>
    <d v="1899-12-30T11:04:00"/>
    <x v="37"/>
    <s v="CIENAGA"/>
    <x v="13"/>
    <n v="100"/>
    <n v="4"/>
    <n v="15600000"/>
    <d v="2026-04-07T00:00:00"/>
    <m/>
    <m/>
    <m/>
    <m/>
    <m/>
    <m/>
    <m/>
    <m/>
    <m/>
    <m/>
    <m/>
    <m/>
    <m/>
  </r>
  <r>
    <x v="3"/>
    <n v="4500149862"/>
    <d v="2026-04-01T00:00:00"/>
    <d v="1899-12-30T13:33:00"/>
    <x v="66"/>
    <s v="BG25832"/>
    <d v="2026-04-06T00:00:00"/>
    <d v="1899-12-30T11:04:00"/>
    <x v="37"/>
    <s v="CIENAGA"/>
    <x v="3"/>
    <n v="200"/>
    <n v="8"/>
    <n v="5260000"/>
    <d v="2026-04-07T00:00:00"/>
    <m/>
    <m/>
    <m/>
    <m/>
    <m/>
    <m/>
    <m/>
    <m/>
    <m/>
    <m/>
    <m/>
    <m/>
    <m/>
  </r>
  <r>
    <x v="0"/>
    <s v="COC-00000421"/>
    <d v="2026-04-01T00:00:00"/>
    <d v="1899-12-30T16:13:00"/>
    <x v="67"/>
    <s v="BG25816"/>
    <d v="2026-04-06T00:00:00"/>
    <d v="1899-12-30T11:22:00"/>
    <x v="38"/>
    <s v="DON MATIAS"/>
    <x v="0"/>
    <n v="450"/>
    <n v="18"/>
    <n v="7425000"/>
    <d v="2026-04-09T00:00:00"/>
    <m/>
    <m/>
    <m/>
    <m/>
    <m/>
    <m/>
    <m/>
    <m/>
    <m/>
    <m/>
    <m/>
    <m/>
    <m/>
  </r>
  <r>
    <x v="0"/>
    <s v="001-SC-015999"/>
    <d v="2026-04-01T00:00:00"/>
    <d v="1899-12-30T17:20:00"/>
    <x v="68"/>
    <s v="BG25769"/>
    <d v="2026-04-06T00:00:00"/>
    <d v="1899-12-30T11:33:00"/>
    <x v="39"/>
    <s v="ARMENIA"/>
    <x v="30"/>
    <n v="200"/>
    <n v="8"/>
    <n v="20500000"/>
    <d v="2026-04-07T00:00:00"/>
    <m/>
    <m/>
    <m/>
    <m/>
    <m/>
    <m/>
    <m/>
    <m/>
    <m/>
    <m/>
    <m/>
    <m/>
    <m/>
  </r>
  <r>
    <x v="0"/>
    <s v="001-SC-015999"/>
    <d v="2026-04-01T00:00:00"/>
    <d v="1899-12-30T17:20:00"/>
    <x v="68"/>
    <s v="BG25769"/>
    <d v="2026-04-06T00:00:00"/>
    <d v="1899-12-30T11:33:00"/>
    <x v="39"/>
    <s v="ARMENIA"/>
    <x v="10"/>
    <n v="100"/>
    <n v="4"/>
    <n v="24000000"/>
    <d v="2026-04-07T00:00:00"/>
    <m/>
    <m/>
    <m/>
    <m/>
    <m/>
    <m/>
    <m/>
    <m/>
    <m/>
    <m/>
    <m/>
    <m/>
    <m/>
  </r>
  <r>
    <x v="0"/>
    <s v="004-OSC-00051526"/>
    <d v="2026-04-01T00:00:00"/>
    <d v="1899-12-30T17:56:00"/>
    <x v="69"/>
    <s v="BG25779"/>
    <d v="2026-04-06T00:00:00"/>
    <d v="1899-12-30T11:35:00"/>
    <x v="8"/>
    <s v="CARTAGO"/>
    <x v="4"/>
    <n v="500"/>
    <n v="20"/>
    <n v="20250000"/>
    <d v="2026-04-08T00:00:00"/>
    <m/>
    <m/>
    <m/>
    <m/>
    <m/>
    <m/>
    <m/>
    <m/>
    <m/>
    <m/>
    <m/>
    <m/>
    <m/>
  </r>
  <r>
    <x v="0"/>
    <s v="004-OSC-00051526"/>
    <d v="2026-04-01T00:00:00"/>
    <d v="1899-12-30T17:56:00"/>
    <x v="69"/>
    <s v="BG25779"/>
    <d v="2026-04-06T00:00:00"/>
    <d v="1899-12-30T11:35:00"/>
    <x v="8"/>
    <s v="CARTAGO"/>
    <x v="3"/>
    <n v="1200"/>
    <n v="48"/>
    <n v="31560000"/>
    <d v="2026-04-08T00:00:00"/>
    <m/>
    <m/>
    <m/>
    <m/>
    <m/>
    <m/>
    <m/>
    <m/>
    <m/>
    <m/>
    <m/>
    <m/>
    <m/>
  </r>
  <r>
    <x v="0"/>
    <n v="4500087985"/>
    <d v="2026-04-02T00:00:00"/>
    <d v="1899-12-30T10:21:00"/>
    <x v="70"/>
    <s v="BG25772"/>
    <d v="2026-04-06T00:00:00"/>
    <d v="1899-12-30T12:34:00"/>
    <x v="0"/>
    <s v="MEDELLIN"/>
    <x v="34"/>
    <n v="700"/>
    <n v="28"/>
    <n v="27230000"/>
    <d v="2026-04-07T00:00:00"/>
    <m/>
    <m/>
    <m/>
    <m/>
    <m/>
    <m/>
    <m/>
    <m/>
    <m/>
    <m/>
    <m/>
    <m/>
    <m/>
  </r>
  <r>
    <x v="0"/>
    <n v="4500087985"/>
    <d v="2026-04-02T00:00:00"/>
    <d v="1899-12-30T10:21:00"/>
    <x v="70"/>
    <s v="BG25772"/>
    <d v="2026-04-06T00:00:00"/>
    <d v="1899-12-30T12:34:00"/>
    <x v="0"/>
    <s v="MEDELLIN"/>
    <x v="19"/>
    <n v="800"/>
    <n v="32"/>
    <n v="42000000"/>
    <d v="2026-04-07T00:00:00"/>
    <m/>
    <m/>
    <m/>
    <m/>
    <m/>
    <m/>
    <m/>
    <m/>
    <m/>
    <m/>
    <m/>
    <m/>
    <m/>
  </r>
  <r>
    <x v="0"/>
    <n v="4500087985"/>
    <d v="2026-04-02T00:00:00"/>
    <d v="1899-12-30T10:21:00"/>
    <x v="70"/>
    <s v="BG25772"/>
    <d v="2026-04-06T00:00:00"/>
    <d v="1899-12-30T12:34:00"/>
    <x v="0"/>
    <s v="MEDELLIN"/>
    <x v="35"/>
    <n v="400"/>
    <n v="16"/>
    <n v="179500000"/>
    <d v="2026-04-07T00:00:00"/>
    <m/>
    <m/>
    <m/>
    <m/>
    <m/>
    <m/>
    <m/>
    <m/>
    <m/>
    <m/>
    <m/>
    <m/>
    <m/>
  </r>
  <r>
    <x v="0"/>
    <n v="4500087985"/>
    <d v="2026-04-02T00:00:00"/>
    <d v="1899-12-30T10:21:00"/>
    <x v="70"/>
    <s v="BG25772"/>
    <d v="2026-04-06T00:00:00"/>
    <d v="1899-12-30T12:34:00"/>
    <x v="0"/>
    <s v="MEDELLIN"/>
    <x v="26"/>
    <n v="600"/>
    <n v="24"/>
    <n v="11805000"/>
    <d v="2026-04-07T00:00:00"/>
    <m/>
    <m/>
    <m/>
    <m/>
    <m/>
    <m/>
    <m/>
    <m/>
    <m/>
    <m/>
    <m/>
    <m/>
    <m/>
  </r>
  <r>
    <x v="0"/>
    <n v="4500087985"/>
    <d v="2026-04-02T00:00:00"/>
    <d v="1899-12-30T10:21:00"/>
    <x v="70"/>
    <s v="BG25772"/>
    <d v="2026-04-06T00:00:00"/>
    <d v="1899-12-30T12:34:00"/>
    <x v="0"/>
    <s v="MEDELLIN"/>
    <x v="29"/>
    <n v="350"/>
    <n v="14"/>
    <n v="21595000"/>
    <d v="2026-04-07T00:00:00"/>
    <m/>
    <m/>
    <m/>
    <m/>
    <m/>
    <m/>
    <m/>
    <m/>
    <m/>
    <m/>
    <m/>
    <m/>
    <m/>
  </r>
  <r>
    <x v="0"/>
    <n v="4500087985"/>
    <d v="2026-04-02T00:00:00"/>
    <d v="1899-12-30T10:21:00"/>
    <x v="70"/>
    <s v="BG25772"/>
    <d v="2026-04-06T00:00:00"/>
    <d v="1899-12-30T12:34:00"/>
    <x v="0"/>
    <s v="MEDELLIN"/>
    <x v="16"/>
    <n v="40"/>
    <n v="2"/>
    <n v="7000000"/>
    <d v="2026-04-07T00:00:00"/>
    <m/>
    <m/>
    <m/>
    <m/>
    <m/>
    <m/>
    <m/>
    <m/>
    <m/>
    <m/>
    <m/>
    <m/>
    <m/>
  </r>
  <r>
    <x v="0"/>
    <n v="4500087985"/>
    <d v="2026-04-02T00:00:00"/>
    <d v="1899-12-30T10:21:00"/>
    <x v="70"/>
    <s v="BG25772"/>
    <d v="2026-04-06T00:00:00"/>
    <d v="1899-12-30T12:34:00"/>
    <x v="0"/>
    <s v="MEDELLIN"/>
    <x v="27"/>
    <n v="1000"/>
    <n v="40"/>
    <n v="51900000"/>
    <d v="2026-04-07T00:00:00"/>
    <m/>
    <m/>
    <m/>
    <m/>
    <m/>
    <m/>
    <m/>
    <m/>
    <m/>
    <m/>
    <m/>
    <m/>
    <m/>
  </r>
  <r>
    <x v="0"/>
    <n v="4500087985"/>
    <d v="2026-04-02T00:00:00"/>
    <d v="1899-12-30T10:21:00"/>
    <x v="71"/>
    <s v="BG25774"/>
    <d v="2026-04-06T00:00:00"/>
    <d v="1899-12-30T12:34:00"/>
    <x v="0"/>
    <s v="MEDELLIN"/>
    <x v="31"/>
    <n v="60"/>
    <n v="2"/>
    <n v="0"/>
    <d v="2026-04-07T00:00:00"/>
    <m/>
    <m/>
    <m/>
    <m/>
    <m/>
    <m/>
    <m/>
    <m/>
    <m/>
    <m/>
    <m/>
    <m/>
    <m/>
  </r>
  <r>
    <x v="0"/>
    <n v="4500087985"/>
    <d v="2026-04-02T00:00:00"/>
    <d v="1899-12-30T10:21:00"/>
    <x v="72"/>
    <s v="BG25807"/>
    <d v="2026-04-06T00:00:00"/>
    <d v="1899-12-30T12:34:00"/>
    <x v="0"/>
    <s v="MEDELLIN"/>
    <x v="3"/>
    <n v="5000"/>
    <n v="200"/>
    <n v="123750000"/>
    <d v="2026-04-07T00:00:00"/>
    <m/>
    <m/>
    <m/>
    <m/>
    <m/>
    <m/>
    <m/>
    <m/>
    <m/>
    <m/>
    <m/>
    <m/>
    <m/>
  </r>
  <r>
    <x v="0"/>
    <n v="1395462"/>
    <d v="2026-04-02T00:00:00"/>
    <d v="1899-12-30T10:34:00"/>
    <x v="73"/>
    <s v="BG25778"/>
    <d v="2026-04-06T00:00:00"/>
    <d v="1899-12-30T12:48:00"/>
    <x v="22"/>
    <s v="CARTAGO"/>
    <x v="34"/>
    <n v="100"/>
    <n v="4"/>
    <n v="3890000"/>
    <d v="2026-04-07T00:00:00"/>
    <m/>
    <m/>
    <m/>
    <m/>
    <m/>
    <m/>
    <m/>
    <m/>
    <m/>
    <m/>
    <m/>
    <m/>
    <m/>
  </r>
  <r>
    <x v="0"/>
    <n v="1395466"/>
    <d v="2026-04-02T00:00:00"/>
    <d v="1899-12-30T10:34:00"/>
    <x v="74"/>
    <s v="BG25777"/>
    <d v="2026-04-06T00:00:00"/>
    <d v="1899-12-30T12:50:00"/>
    <x v="11"/>
    <s v="BUGA"/>
    <x v="8"/>
    <n v="150"/>
    <n v="6"/>
    <n v="7779000"/>
    <d v="2026-04-07T00:00:00"/>
    <m/>
    <m/>
    <m/>
    <m/>
    <m/>
    <m/>
    <m/>
    <m/>
    <m/>
    <m/>
    <m/>
    <m/>
    <m/>
  </r>
  <r>
    <x v="0"/>
    <s v="P-1678"/>
    <d v="2026-02-04T00:00:00"/>
    <d v="1899-12-30T11:33:00"/>
    <x v="75"/>
    <s v="BG25795"/>
    <d v="2026-04-06T00:00:00"/>
    <d v="1899-12-30T12:59:00"/>
    <x v="40"/>
    <s v="CALI"/>
    <x v="5"/>
    <n v="5"/>
    <n v="0"/>
    <n v="2600000"/>
    <d v="2026-04-07T00:00:00"/>
    <m/>
    <m/>
    <m/>
    <m/>
    <m/>
    <m/>
    <m/>
    <m/>
    <m/>
    <m/>
    <m/>
    <m/>
    <m/>
  </r>
  <r>
    <x v="5"/>
    <s v="P-1678"/>
    <d v="2026-02-04T00:00:00"/>
    <d v="1899-12-30T11:33:00"/>
    <x v="76"/>
    <s v="BG25767"/>
    <d v="2026-04-06T00:00:00"/>
    <d v="1899-12-30T12:59:00"/>
    <x v="40"/>
    <s v="CALI"/>
    <x v="13"/>
    <n v="10"/>
    <n v="0"/>
    <n v="1550000"/>
    <d v="2026-04-07T00:00:00"/>
    <m/>
    <m/>
    <m/>
    <m/>
    <m/>
    <m/>
    <m/>
    <m/>
    <m/>
    <m/>
    <m/>
    <m/>
    <m/>
  </r>
  <r>
    <x v="0"/>
    <n v="66555"/>
    <d v="2026-02-06T00:00:00"/>
    <d v="1899-12-30T07:00:00"/>
    <x v="77"/>
    <s v="BG25806"/>
    <d v="2026-04-06T00:00:00"/>
    <d v="1899-12-30T13:04:00"/>
    <x v="41"/>
    <s v="BUCARAMANGA"/>
    <x v="23"/>
    <n v="700"/>
    <n v="28"/>
    <n v="12110000"/>
    <d v="2026-04-07T00:00:00"/>
    <m/>
    <m/>
    <m/>
    <m/>
    <m/>
    <m/>
    <m/>
    <m/>
    <m/>
    <m/>
    <m/>
    <m/>
    <m/>
  </r>
  <r>
    <x v="0"/>
    <n v="66547"/>
    <d v="2026-02-06T00:00:00"/>
    <d v="1899-12-30T07:00:00"/>
    <x v="78"/>
    <s v="BG25805"/>
    <d v="2026-04-06T00:00:00"/>
    <d v="1899-12-30T13:04:00"/>
    <x v="41"/>
    <s v="BUCARAMANGA"/>
    <x v="9"/>
    <n v="25"/>
    <n v="1"/>
    <n v="525000"/>
    <d v="2026-04-07T00:00:00"/>
    <m/>
    <m/>
    <m/>
    <m/>
    <m/>
    <m/>
    <m/>
    <m/>
    <m/>
    <m/>
    <m/>
    <m/>
    <m/>
  </r>
  <r>
    <x v="0"/>
    <s v="OC PENDIENTE"/>
    <d v="2026-02-06T00:00:00"/>
    <d v="1899-12-30T07:13:00"/>
    <x v="79"/>
    <s v="BG25827"/>
    <d v="2026-04-06T00:00:00"/>
    <d v="1899-12-30T13:24:00"/>
    <x v="12"/>
    <s v="BUCARAMANGA"/>
    <x v="11"/>
    <n v="190"/>
    <n v="8"/>
    <n v="19308000"/>
    <d v="2026-04-07T00:00:00"/>
    <m/>
    <m/>
    <m/>
    <m/>
    <m/>
    <m/>
    <m/>
    <m/>
    <m/>
    <m/>
    <m/>
    <m/>
    <m/>
  </r>
  <r>
    <x v="0"/>
    <s v="OC PENDIENTE"/>
    <d v="2026-02-06T00:00:00"/>
    <d v="1899-12-30T07:13:00"/>
    <x v="79"/>
    <s v="BG25827"/>
    <d v="2026-04-06T00:00:00"/>
    <d v="1899-12-30T13:24:00"/>
    <x v="12"/>
    <s v="BUCARAMANGA"/>
    <x v="11"/>
    <n v="13"/>
    <m/>
    <n v="1326000"/>
    <d v="2026-04-07T00:00:00"/>
    <m/>
    <m/>
    <m/>
    <m/>
    <m/>
    <m/>
    <m/>
    <m/>
    <m/>
    <m/>
    <m/>
    <m/>
    <m/>
  </r>
  <r>
    <x v="2"/>
    <s v="OC PENDIENTE"/>
    <d v="2026-02-06T00:00:00"/>
    <d v="1899-12-30T07:13:00"/>
    <x v="80"/>
    <s v="BG25828"/>
    <d v="2026-04-06T00:00:00"/>
    <d v="1899-12-30T13:24:00"/>
    <x v="12"/>
    <s v="LEBRIJA"/>
    <x v="11"/>
    <n v="147"/>
    <n v="6"/>
    <n v="14994000"/>
    <d v="2026-04-07T00:00:00"/>
    <m/>
    <m/>
    <m/>
    <m/>
    <m/>
    <m/>
    <m/>
    <m/>
    <m/>
    <m/>
    <m/>
    <m/>
    <s v="ENTREGA DE SACO DE MONECYL DEL CLIENTE INVERSIONES J.V."/>
  </r>
  <r>
    <x v="0"/>
    <m/>
    <d v="2026-02-06T00:00:00"/>
    <d v="1899-12-30T08:23:00"/>
    <x v="81"/>
    <s v="BG25768"/>
    <d v="2026-04-06T00:00:00"/>
    <d v="1899-12-30T13:54:00"/>
    <x v="42"/>
    <s v="SANTA ROSA DE OSOS"/>
    <x v="11"/>
    <n v="6"/>
    <n v="0"/>
    <n v="690000"/>
    <d v="2026-04-06T00:00:00"/>
    <m/>
    <m/>
    <m/>
    <m/>
    <m/>
    <m/>
    <m/>
    <m/>
    <m/>
    <m/>
    <m/>
    <m/>
    <m/>
  </r>
  <r>
    <x v="0"/>
    <m/>
    <d v="2026-02-06T00:00:00"/>
    <d v="1899-12-30T09:04:00"/>
    <x v="82"/>
    <s v="BG25732"/>
    <d v="2026-04-06T00:00:00"/>
    <d v="1899-12-30T14:07:00"/>
    <x v="43"/>
    <s v="BUCARAMANGA"/>
    <x v="36"/>
    <n v="20"/>
    <n v="1"/>
    <n v="1440000"/>
    <d v="2026-04-06T00:00:00"/>
    <m/>
    <m/>
    <m/>
    <m/>
    <m/>
    <m/>
    <m/>
    <m/>
    <m/>
    <m/>
    <m/>
    <m/>
    <m/>
  </r>
  <r>
    <x v="5"/>
    <m/>
    <d v="2026-02-06T00:00:00"/>
    <d v="1899-12-30T09:04:00"/>
    <x v="82"/>
    <s v="BG25732"/>
    <d v="2026-04-06T00:00:00"/>
    <d v="1899-12-30T14:07:00"/>
    <x v="43"/>
    <s v="BUCARAMANGA"/>
    <x v="13"/>
    <n v="10"/>
    <n v="0"/>
    <n v="1550000"/>
    <d v="2026-04-06T00:00:00"/>
    <m/>
    <m/>
    <m/>
    <m/>
    <m/>
    <m/>
    <m/>
    <m/>
    <m/>
    <m/>
    <m/>
    <m/>
    <m/>
  </r>
  <r>
    <x v="0"/>
    <m/>
    <d v="2026-02-06T00:00:00"/>
    <d v="1899-12-30T09:04:00"/>
    <x v="82"/>
    <s v="BG25732"/>
    <d v="2026-04-06T00:00:00"/>
    <d v="1899-12-30T14:07:00"/>
    <x v="43"/>
    <s v="BUCARAMANGA"/>
    <x v="37"/>
    <n v="20"/>
    <n v="1"/>
    <n v="4690000"/>
    <d v="2026-04-06T00:00:00"/>
    <m/>
    <m/>
    <m/>
    <m/>
    <m/>
    <m/>
    <m/>
    <m/>
    <m/>
    <m/>
    <m/>
    <m/>
    <m/>
  </r>
  <r>
    <x v="0"/>
    <m/>
    <d v="2026-02-06T00:00:00"/>
    <d v="1899-12-30T09:04:00"/>
    <x v="82"/>
    <s v="BG25732"/>
    <d v="2026-04-06T00:00:00"/>
    <d v="1899-12-30T14:07:00"/>
    <x v="43"/>
    <s v="BUCARAMANGA"/>
    <x v="5"/>
    <n v="8"/>
    <n v="0"/>
    <n v="4152000"/>
    <d v="2026-04-06T00:00:00"/>
    <m/>
    <m/>
    <m/>
    <m/>
    <m/>
    <m/>
    <m/>
    <m/>
    <m/>
    <m/>
    <m/>
    <m/>
    <m/>
  </r>
  <r>
    <x v="0"/>
    <m/>
    <d v="2026-02-06T00:00:00"/>
    <d v="1899-12-30T09:04:00"/>
    <x v="83"/>
    <s v="BG25765"/>
    <d v="2026-04-06T00:00:00"/>
    <d v="1899-12-30T14:07:00"/>
    <x v="43"/>
    <s v="BUCARAMANGA"/>
    <x v="31"/>
    <n v="3"/>
    <n v="0"/>
    <n v="0"/>
    <d v="2026-04-06T00:00:00"/>
    <m/>
    <m/>
    <m/>
    <m/>
    <m/>
    <m/>
    <m/>
    <m/>
    <m/>
    <m/>
    <m/>
    <m/>
    <m/>
  </r>
  <r>
    <x v="0"/>
    <s v="006-OC-029538"/>
    <d v="2026-02-06T00:00:00"/>
    <d v="1899-12-30T08:52:00"/>
    <x v="84"/>
    <s v="BG25766"/>
    <d v="2026-04-06T00:00:00"/>
    <d v="1899-12-30T14:14:00"/>
    <x v="21"/>
    <s v="GIRARDOT"/>
    <x v="12"/>
    <n v="20"/>
    <n v="1"/>
    <n v="810000"/>
    <d v="2026-04-07T00:00:00"/>
    <m/>
    <m/>
    <m/>
    <m/>
    <m/>
    <m/>
    <m/>
    <m/>
    <m/>
    <m/>
    <m/>
    <m/>
    <m/>
  </r>
  <r>
    <x v="0"/>
    <n v="38106"/>
    <d v="2026-02-06T00:00:00"/>
    <d v="1899-12-30T13:38:00"/>
    <x v="85"/>
    <s v="BG25821"/>
    <d v="2026-04-06T00:00:00"/>
    <d v="1899-12-30T14:57:00"/>
    <x v="44"/>
    <s v="BOGOTA"/>
    <x v="5"/>
    <n v="50"/>
    <n v="2"/>
    <n v="25850000"/>
    <d v="2026-04-07T00:00:00"/>
    <m/>
    <m/>
    <m/>
    <m/>
    <m/>
    <m/>
    <m/>
    <m/>
    <m/>
    <m/>
    <m/>
    <m/>
    <m/>
  </r>
  <r>
    <x v="0"/>
    <s v="OCO-00010982"/>
    <d v="2026-02-06T00:00:00"/>
    <d v="1899-12-30T13:38:00"/>
    <x v="85"/>
    <s v="BG25820"/>
    <d v="2026-04-06T00:00:00"/>
    <d v="1899-12-30T14:57:00"/>
    <x v="44"/>
    <s v="BOGOTA"/>
    <x v="21"/>
    <n v="40"/>
    <n v="2"/>
    <n v="6720000"/>
    <d v="2026-04-07T00:00:00"/>
    <m/>
    <m/>
    <m/>
    <m/>
    <m/>
    <m/>
    <m/>
    <m/>
    <m/>
    <m/>
    <m/>
    <m/>
    <m/>
  </r>
  <r>
    <x v="5"/>
    <s v="OCO-0045520"/>
    <d v="2026-02-06T00:00:00"/>
    <d v="1899-12-30T13:20:00"/>
    <x v="86"/>
    <s v="BG25800"/>
    <d v="2026-04-06T00:00:00"/>
    <d v="1899-12-30T15:08:00"/>
    <x v="45"/>
    <s v="CAMPO ALEGRE"/>
    <x v="11"/>
    <n v="25"/>
    <n v="1"/>
    <n v="2625000"/>
    <d v="2026-04-07T00:00:00"/>
    <m/>
    <m/>
    <m/>
    <m/>
    <m/>
    <m/>
    <m/>
    <m/>
    <m/>
    <m/>
    <m/>
    <m/>
    <s v="PRODUCTO NO DISPONIBLE EN BOGOTA"/>
  </r>
  <r>
    <x v="5"/>
    <s v="OCO-0045520"/>
    <d v="2026-02-06T00:00:00"/>
    <d v="1899-12-30T13:20:00"/>
    <x v="87"/>
    <s v="BG25788"/>
    <d v="2026-04-06T00:00:00"/>
    <d v="1899-12-30T15:08:00"/>
    <x v="45"/>
    <s v="CAMPO ALEGRE"/>
    <x v="13"/>
    <n v="50"/>
    <n v="2"/>
    <n v="7495000"/>
    <d v="2026-04-07T00:00:00"/>
    <m/>
    <m/>
    <m/>
    <m/>
    <m/>
    <m/>
    <m/>
    <m/>
    <m/>
    <m/>
    <m/>
    <m/>
    <m/>
  </r>
  <r>
    <x v="0"/>
    <m/>
    <d v="2026-02-06T00:00:00"/>
    <d v="1899-12-30T14:20:00"/>
    <x v="88"/>
    <s v="BG25772"/>
    <d v="2026-04-06T00:00:00"/>
    <d v="1899-12-30T15:22:00"/>
    <x v="46"/>
    <s v="BUCARAMANGA"/>
    <x v="5"/>
    <n v="25"/>
    <n v="1"/>
    <n v="12975000"/>
    <d v="2026-04-06T00:00:00"/>
    <m/>
    <m/>
    <m/>
    <m/>
    <m/>
    <m/>
    <m/>
    <m/>
    <m/>
    <m/>
    <m/>
    <m/>
    <m/>
  </r>
  <r>
    <x v="3"/>
    <m/>
    <d v="2026-02-06T00:00:00"/>
    <d v="1899-12-30T14:37:00"/>
    <x v="89"/>
    <s v="BG25829"/>
    <d v="2026-04-06T00:00:00"/>
    <d v="1899-12-30T15:46:00"/>
    <x v="47"/>
    <s v="MAICAO"/>
    <x v="9"/>
    <n v="175"/>
    <n v="7"/>
    <n v="3675000"/>
    <d v="2026-04-08T00:00:00"/>
    <m/>
    <m/>
    <m/>
    <m/>
    <m/>
    <m/>
    <m/>
    <m/>
    <m/>
    <m/>
    <m/>
    <m/>
    <m/>
  </r>
  <r>
    <x v="3"/>
    <m/>
    <d v="2026-02-06T00:00:00"/>
    <d v="1899-12-30T14:37:00"/>
    <x v="89"/>
    <s v="BG25829"/>
    <d v="2026-04-06T00:00:00"/>
    <d v="1899-12-30T15:46:00"/>
    <x v="47"/>
    <s v="MAICAO"/>
    <x v="38"/>
    <n v="1125"/>
    <n v="45"/>
    <n v="57375000"/>
    <d v="2026-04-08T00:00:00"/>
    <m/>
    <m/>
    <m/>
    <m/>
    <m/>
    <m/>
    <m/>
    <m/>
    <m/>
    <m/>
    <m/>
    <m/>
    <m/>
  </r>
  <r>
    <x v="0"/>
    <m/>
    <d v="2026-02-06T00:00:00"/>
    <d v="1899-12-30T12:54:00"/>
    <x v="90"/>
    <s v="BG25815"/>
    <d v="2026-04-06T00:00:00"/>
    <d v="1899-12-30T16:04:00"/>
    <x v="48"/>
    <s v="GUARNE"/>
    <x v="7"/>
    <n v="75"/>
    <n v="3"/>
    <n v="1462000"/>
    <d v="2026-04-07T00:00:00"/>
    <m/>
    <m/>
    <m/>
    <m/>
    <m/>
    <m/>
    <m/>
    <m/>
    <m/>
    <m/>
    <m/>
    <m/>
    <m/>
  </r>
  <r>
    <x v="0"/>
    <m/>
    <d v="2026-02-06T00:00:00"/>
    <d v="1899-12-30T12:54:00"/>
    <x v="90"/>
    <s v="BG25815"/>
    <d v="2026-04-06T00:00:00"/>
    <d v="1899-12-30T16:04:00"/>
    <x v="48"/>
    <s v="GUARNE"/>
    <x v="20"/>
    <n v="75"/>
    <n v="3"/>
    <n v="12300000"/>
    <d v="2026-04-07T00:00:00"/>
    <m/>
    <m/>
    <m/>
    <m/>
    <m/>
    <m/>
    <m/>
    <m/>
    <m/>
    <m/>
    <m/>
    <m/>
    <m/>
  </r>
  <r>
    <x v="0"/>
    <m/>
    <d v="2026-02-06T00:00:00"/>
    <d v="1899-12-30T12:54:00"/>
    <x v="90"/>
    <s v="BG25815"/>
    <d v="2026-04-06T00:00:00"/>
    <d v="1899-12-30T16:04:00"/>
    <x v="48"/>
    <s v="GUARNE"/>
    <x v="16"/>
    <n v="40"/>
    <n v="2"/>
    <n v="9200000"/>
    <d v="2026-04-07T00:00:00"/>
    <m/>
    <m/>
    <m/>
    <m/>
    <m/>
    <m/>
    <m/>
    <m/>
    <m/>
    <m/>
    <m/>
    <m/>
    <m/>
  </r>
  <r>
    <x v="0"/>
    <m/>
    <d v="2026-02-06T00:00:00"/>
    <d v="1899-12-30T12:54:00"/>
    <x v="90"/>
    <s v="BG25815"/>
    <d v="2026-04-06T00:00:00"/>
    <d v="1899-12-30T16:04:00"/>
    <x v="48"/>
    <s v="GUARNE"/>
    <x v="8"/>
    <n v="50"/>
    <n v="2"/>
    <n v="3400000"/>
    <d v="2026-04-07T00:00:00"/>
    <m/>
    <m/>
    <m/>
    <m/>
    <m/>
    <m/>
    <m/>
    <m/>
    <m/>
    <m/>
    <m/>
    <m/>
    <m/>
  </r>
  <r>
    <x v="0"/>
    <m/>
    <d v="2026-02-06T00:00:00"/>
    <d v="1899-12-30T12:54:00"/>
    <x v="91"/>
    <s v="BG25814"/>
    <d v="2026-04-06T00:00:00"/>
    <d v="1899-12-30T16:07:00"/>
    <x v="48"/>
    <s v="GUARNE"/>
    <x v="0"/>
    <n v="400"/>
    <n v="16"/>
    <n v="6320000"/>
    <d v="2025-04-08T00:00:00"/>
    <m/>
    <m/>
    <m/>
    <m/>
    <m/>
    <m/>
    <m/>
    <m/>
    <m/>
    <m/>
    <m/>
    <m/>
    <m/>
  </r>
  <r>
    <x v="0"/>
    <m/>
    <d v="2026-02-06T00:00:00"/>
    <d v="1899-12-30T12:54:00"/>
    <x v="91"/>
    <s v="BG25814"/>
    <d v="2026-04-06T00:00:00"/>
    <d v="1899-12-30T16:07:00"/>
    <x v="48"/>
    <s v="GUARNE"/>
    <x v="25"/>
    <n v="75"/>
    <n v="3"/>
    <n v="3862500"/>
    <d v="2025-04-08T00:00:00"/>
    <m/>
    <m/>
    <m/>
    <m/>
    <m/>
    <m/>
    <m/>
    <m/>
    <m/>
    <m/>
    <m/>
    <m/>
    <m/>
  </r>
  <r>
    <x v="0"/>
    <m/>
    <d v="2026-02-06T00:00:00"/>
    <d v="1899-12-30T12:54:00"/>
    <x v="91"/>
    <s v="BG25814"/>
    <d v="2026-04-06T00:00:00"/>
    <d v="1899-12-30T16:07:00"/>
    <x v="48"/>
    <s v="GUARNE"/>
    <x v="39"/>
    <n v="25"/>
    <n v="1"/>
    <n v="400000"/>
    <d v="2025-04-08T00:00:00"/>
    <m/>
    <m/>
    <m/>
    <m/>
    <m/>
    <m/>
    <m/>
    <m/>
    <m/>
    <m/>
    <m/>
    <m/>
    <m/>
  </r>
  <r>
    <x v="3"/>
    <n v="50165"/>
    <d v="2026-03-26T00:00:00"/>
    <d v="1899-12-30T09:26:00"/>
    <x v="92"/>
    <m/>
    <d v="2026-03-26T00:00:00"/>
    <d v="1899-12-30T12:40:00"/>
    <x v="28"/>
    <s v="DON MATIAS"/>
    <x v="11"/>
    <n v="30"/>
    <n v="1"/>
    <n v="3300000"/>
    <d v="2026-03-26T00:00:00"/>
    <m/>
    <m/>
    <m/>
    <m/>
    <m/>
    <m/>
    <m/>
    <m/>
    <m/>
    <m/>
    <m/>
    <m/>
    <m/>
  </r>
  <r>
    <x v="3"/>
    <n v="360085"/>
    <d v="2026-04-06T00:00:00"/>
    <d v="1899-12-30T16:59:00"/>
    <x v="93"/>
    <s v="BG25888"/>
    <d v="2026-04-06T00:00:00"/>
    <d v="1899-12-30T16:58:00"/>
    <x v="25"/>
    <s v="BUCARAMANGA"/>
    <x v="20"/>
    <n v="150"/>
    <n v="6"/>
    <n v="26925000"/>
    <d v="2025-04-08T00:00:00"/>
    <m/>
    <m/>
    <m/>
    <m/>
    <m/>
    <m/>
    <m/>
    <m/>
    <m/>
    <m/>
    <m/>
    <m/>
    <m/>
  </r>
  <r>
    <x v="3"/>
    <m/>
    <d v="2026-02-06T00:00:00"/>
    <d v="1899-12-30T10:20:00"/>
    <x v="94"/>
    <m/>
    <d v="2026-04-07T00:00:00"/>
    <d v="1899-12-30T08:22:00"/>
    <x v="27"/>
    <s v="ARMENIA"/>
    <x v="12"/>
    <n v="40"/>
    <n v="2"/>
    <n v="1600000"/>
    <d v="2025-04-08T00:00:00"/>
    <m/>
    <m/>
    <m/>
    <m/>
    <m/>
    <m/>
    <m/>
    <m/>
    <m/>
    <m/>
    <m/>
    <m/>
    <m/>
  </r>
  <r>
    <x v="3"/>
    <m/>
    <d v="2026-02-06T00:00:00"/>
    <d v="1899-12-30T10:20:00"/>
    <x v="94"/>
    <m/>
    <d v="2026-04-07T00:00:00"/>
    <d v="1899-12-30T08:22:00"/>
    <x v="27"/>
    <s v="ARMENIA"/>
    <x v="5"/>
    <n v="7.5"/>
    <n v="0"/>
    <n v="3861000"/>
    <d v="2025-04-08T00:00:00"/>
    <m/>
    <m/>
    <m/>
    <m/>
    <m/>
    <m/>
    <m/>
    <m/>
    <m/>
    <m/>
    <m/>
    <m/>
    <m/>
  </r>
  <r>
    <x v="0"/>
    <m/>
    <d v="2026-03-31T00:00:00"/>
    <d v="1899-12-30T15:00:00"/>
    <x v="95"/>
    <m/>
    <d v="2026-04-07T00:00:00"/>
    <d v="1899-12-30T08:37:00"/>
    <x v="49"/>
    <s v="BUCARAMANGA"/>
    <x v="6"/>
    <n v="100"/>
    <n v="4"/>
    <n v="6700000"/>
    <d v="2025-04-08T00:00:00"/>
    <m/>
    <m/>
    <m/>
    <m/>
    <m/>
    <m/>
    <m/>
    <m/>
    <m/>
    <m/>
    <m/>
    <m/>
    <m/>
  </r>
  <r>
    <x v="0"/>
    <m/>
    <d v="2026-03-31T00:00:00"/>
    <d v="1899-12-30T15:00:00"/>
    <x v="95"/>
    <m/>
    <d v="2026-04-07T00:00:00"/>
    <d v="1899-12-30T08:37:00"/>
    <x v="49"/>
    <s v="BUCARAMANGA"/>
    <x v="17"/>
    <n v="50"/>
    <n v="2"/>
    <n v="3160000"/>
    <d v="2025-04-08T00:00:00"/>
    <m/>
    <m/>
    <m/>
    <m/>
    <m/>
    <m/>
    <m/>
    <m/>
    <m/>
    <m/>
    <m/>
    <m/>
    <m/>
  </r>
  <r>
    <x v="0"/>
    <m/>
    <d v="2026-04-06T00:00:00"/>
    <d v="1899-12-30T16:22:00"/>
    <x v="96"/>
    <s v="BG25819"/>
    <d v="2026-04-07T00:00:00"/>
    <d v="1899-12-30T08:42:00"/>
    <x v="50"/>
    <s v="GRANADA"/>
    <x v="0"/>
    <n v="150"/>
    <n v="6"/>
    <n v="2400000"/>
    <d v="2025-04-09T00:00:00"/>
    <m/>
    <m/>
    <m/>
    <m/>
    <m/>
    <m/>
    <m/>
    <m/>
    <m/>
    <m/>
    <m/>
    <m/>
    <m/>
  </r>
  <r>
    <x v="0"/>
    <s v="ORC-2604002"/>
    <d v="2026-04-06T00:00:00"/>
    <d v="1899-12-30T16:59:00"/>
    <x v="97"/>
    <m/>
    <d v="2026-04-07T00:00:00"/>
    <d v="1899-12-30T09:51:00"/>
    <x v="51"/>
    <s v="MANIZALES"/>
    <x v="7"/>
    <n v="100"/>
    <n v="4"/>
    <n v="2050000"/>
    <d v="2025-04-08T00:00:00"/>
    <m/>
    <m/>
    <m/>
    <m/>
    <m/>
    <m/>
    <m/>
    <m/>
    <m/>
    <m/>
    <m/>
    <m/>
    <m/>
  </r>
  <r>
    <x v="0"/>
    <s v="ORC-2604002"/>
    <d v="2026-04-06T00:00:00"/>
    <d v="1899-12-30T16:59:00"/>
    <x v="97"/>
    <m/>
    <d v="2026-04-07T00:00:00"/>
    <d v="1899-12-30T09:51:00"/>
    <x v="51"/>
    <s v="MANIZALES"/>
    <x v="17"/>
    <n v="50"/>
    <n v="2"/>
    <n v="3040000"/>
    <d v="2025-04-08T00:00:00"/>
    <m/>
    <m/>
    <m/>
    <m/>
    <m/>
    <m/>
    <m/>
    <m/>
    <m/>
    <m/>
    <m/>
    <m/>
    <m/>
  </r>
  <r>
    <x v="5"/>
    <s v="ORC-2604002"/>
    <d v="2026-04-06T00:00:00"/>
    <d v="1899-12-30T16:59:00"/>
    <x v="97"/>
    <s v="BG25794"/>
    <d v="2026-04-07T00:00:00"/>
    <d v="1899-12-30T09:51:00"/>
    <x v="51"/>
    <s v="MANIZALES"/>
    <x v="13"/>
    <n v="20"/>
    <n v="1"/>
    <n v="3200000"/>
    <d v="2025-04-08T00:00:00"/>
    <m/>
    <m/>
    <m/>
    <m/>
    <m/>
    <m/>
    <m/>
    <m/>
    <m/>
    <m/>
    <m/>
    <m/>
    <m/>
  </r>
  <r>
    <x v="0"/>
    <n v="4500204878"/>
    <d v="2026-04-06T00:00:00"/>
    <d v="1899-12-30T16:59:00"/>
    <x v="98"/>
    <s v="BG25813"/>
    <d v="2026-04-07T00:00:00"/>
    <d v="1899-12-30T09:54:00"/>
    <x v="52"/>
    <s v="PUERTO GAITAN"/>
    <x v="20"/>
    <n v="750"/>
    <n v="30"/>
    <n v="105000000"/>
    <d v="2026-04-16T00:00:00"/>
    <m/>
    <m/>
    <m/>
    <m/>
    <m/>
    <m/>
    <m/>
    <m/>
    <m/>
    <m/>
    <m/>
    <m/>
    <m/>
  </r>
  <r>
    <x v="0"/>
    <s v="001-OSC-00073370"/>
    <d v="2026-04-07T00:00:00"/>
    <d v="1899-12-30T07:38:00"/>
    <x v="99"/>
    <m/>
    <d v="2026-04-07T00:00:00"/>
    <d v="1899-12-30T10:04:00"/>
    <x v="8"/>
    <s v="BELLO"/>
    <x v="4"/>
    <n v="200"/>
    <n v="8"/>
    <n v="8100000"/>
    <d v="2026-04-17T00:00:00"/>
    <m/>
    <m/>
    <m/>
    <m/>
    <m/>
    <m/>
    <m/>
    <m/>
    <m/>
    <m/>
    <m/>
    <m/>
    <m/>
  </r>
  <r>
    <x v="0"/>
    <s v="001-OSC-00073370"/>
    <d v="2026-04-07T00:00:00"/>
    <d v="1899-12-30T07:38:00"/>
    <x v="99"/>
    <m/>
    <d v="2026-04-07T00:00:00"/>
    <d v="1899-12-30T10:04:00"/>
    <x v="8"/>
    <s v="BELLO"/>
    <x v="3"/>
    <n v="400"/>
    <n v="16"/>
    <n v="10520000"/>
    <d v="2026-04-17T00:00:00"/>
    <m/>
    <m/>
    <m/>
    <m/>
    <m/>
    <m/>
    <m/>
    <m/>
    <m/>
    <m/>
    <m/>
    <m/>
    <m/>
  </r>
  <r>
    <x v="0"/>
    <m/>
    <d v="2026-04-07T00:00:00"/>
    <d v="1899-12-30T08:11:00"/>
    <x v="100"/>
    <s v="BG25776"/>
    <d v="2026-04-07T00:00:00"/>
    <d v="1899-12-30T10:10:00"/>
    <x v="53"/>
    <s v="DON MATIAS"/>
    <x v="27"/>
    <n v="25"/>
    <n v="1"/>
    <n v="1500000"/>
    <d v="2026-04-07T00:00:00"/>
    <m/>
    <m/>
    <m/>
    <m/>
    <m/>
    <m/>
    <m/>
    <m/>
    <m/>
    <m/>
    <m/>
    <m/>
    <m/>
  </r>
  <r>
    <x v="0"/>
    <n v="4504034738"/>
    <d v="2026-04-07T00:00:00"/>
    <d v="1899-12-30T09:42:00"/>
    <x v="101"/>
    <m/>
    <d v="2026-04-07T00:00:00"/>
    <d v="1899-12-30T10:15:00"/>
    <x v="54"/>
    <s v="CHIMITA"/>
    <x v="7"/>
    <n v="1300"/>
    <n v="52"/>
    <n v="23075000"/>
    <d v="2026-04-08T00:00:00"/>
    <m/>
    <m/>
    <m/>
    <m/>
    <m/>
    <m/>
    <m/>
    <m/>
    <m/>
    <m/>
    <m/>
    <m/>
    <m/>
  </r>
  <r>
    <x v="3"/>
    <n v="4504034159"/>
    <d v="2026-04-07T00:00:00"/>
    <d v="1899-12-30T09:43:00"/>
    <x v="102"/>
    <s v="BG25859"/>
    <d v="2026-04-07T00:00:00"/>
    <d v="1899-12-30T10:24:00"/>
    <x v="55"/>
    <s v="BUGA"/>
    <x v="7"/>
    <n v="1300"/>
    <n v="52"/>
    <n v="23075000"/>
    <d v="2026-04-08T00:00:00"/>
    <m/>
    <m/>
    <m/>
    <m/>
    <m/>
    <m/>
    <m/>
    <m/>
    <m/>
    <m/>
    <m/>
    <m/>
    <m/>
  </r>
  <r>
    <x v="0"/>
    <n v="1396783"/>
    <d v="2026-04-07T00:00:00"/>
    <d v="1899-12-30T09:56:00"/>
    <x v="103"/>
    <s v="BG25887"/>
    <d v="2026-04-07T00:00:00"/>
    <d v="1899-12-30T10:30:00"/>
    <x v="36"/>
    <s v="PEREIRA"/>
    <x v="37"/>
    <n v="36"/>
    <n v="1"/>
    <n v="8287000"/>
    <d v="2026-04-08T00:00:00"/>
    <m/>
    <m/>
    <m/>
    <m/>
    <m/>
    <m/>
    <m/>
    <m/>
    <m/>
    <m/>
    <m/>
    <m/>
    <m/>
  </r>
  <r>
    <x v="8"/>
    <m/>
    <d v="2026-04-07T00:00:00"/>
    <d v="1899-12-30T09:56:00"/>
    <x v="104"/>
    <m/>
    <d v="2026-04-07T00:00:00"/>
    <d v="1899-12-30T10:30:00"/>
    <x v="36"/>
    <s v="PEREIRA"/>
    <x v="31"/>
    <n v="0.6"/>
    <n v="0"/>
    <n v="0"/>
    <d v="2026-04-08T00:00:00"/>
    <m/>
    <m/>
    <m/>
    <m/>
    <m/>
    <m/>
    <m/>
    <m/>
    <m/>
    <m/>
    <m/>
    <m/>
    <s v="Por solicitud del cleinte"/>
  </r>
  <r>
    <x v="3"/>
    <m/>
    <d v="2026-03-26T00:00:00"/>
    <d v="1899-12-30T13:10:00"/>
    <x v="105"/>
    <s v="BG25758"/>
    <d v="2026-03-26T00:00:00"/>
    <d v="1899-12-30T13:30:00"/>
    <x v="56"/>
    <s v="BUCARAMANGA"/>
    <x v="40"/>
    <n v="10"/>
    <n v="0"/>
    <n v="700000"/>
    <d v="2026-03-27T00:00:00"/>
    <m/>
    <m/>
    <m/>
    <m/>
    <m/>
    <m/>
    <m/>
    <m/>
    <m/>
    <m/>
    <m/>
    <m/>
    <m/>
  </r>
  <r>
    <x v="3"/>
    <s v="OC-030038"/>
    <d v="2026-03-26T00:00:00"/>
    <d v="1899-12-30T17:39:00"/>
    <x v="106"/>
    <s v="BG25756"/>
    <d v="2026-03-27T00:00:00"/>
    <d v="1899-12-30T10:02:00"/>
    <x v="56"/>
    <s v="BUCARAMANGA"/>
    <x v="3"/>
    <n v="75"/>
    <n v="3"/>
    <n v="1912500"/>
    <d v="2026-03-28T00:00:00"/>
    <m/>
    <m/>
    <m/>
    <m/>
    <m/>
    <m/>
    <m/>
    <m/>
    <m/>
    <m/>
    <m/>
    <m/>
    <m/>
  </r>
  <r>
    <x v="3"/>
    <m/>
    <d v="2026-03-03T00:00:00"/>
    <d v="1899-12-30T07:48:00"/>
    <x v="107"/>
    <s v="BG25764"/>
    <d v="2026-03-03T00:00:00"/>
    <d v="1899-12-30T11:51:00"/>
    <x v="27"/>
    <s v="ARMENIA"/>
    <x v="11"/>
    <n v="10"/>
    <n v="0"/>
    <n v="972000"/>
    <d v="2026-03-05T00:00:00"/>
    <m/>
    <m/>
    <m/>
    <m/>
    <m/>
    <m/>
    <m/>
    <m/>
    <m/>
    <m/>
    <m/>
    <m/>
    <m/>
  </r>
  <r>
    <x v="0"/>
    <n v="32906"/>
    <d v="2026-03-10T00:00:00"/>
    <d v="1899-12-30T14:51:00"/>
    <x v="108"/>
    <m/>
    <d v="2026-03-17T00:00:00"/>
    <d v="1899-12-30T10:28:00"/>
    <x v="57"/>
    <s v="CACHIPAY"/>
    <x v="16"/>
    <n v="11"/>
    <n v="0"/>
    <n v="2970000"/>
    <d v="2026-03-12T00:00:00"/>
    <m/>
    <m/>
    <m/>
    <m/>
    <m/>
    <m/>
    <m/>
    <m/>
    <m/>
    <m/>
    <m/>
    <m/>
    <m/>
  </r>
  <r>
    <x v="5"/>
    <n v="5504485810"/>
    <d v="2026-03-20T00:00:00"/>
    <d v="1899-12-30T15:05:00"/>
    <x v="109"/>
    <s v="BG25757"/>
    <d v="2026-03-24T00:00:00"/>
    <d v="1899-12-30T09:17:00"/>
    <x v="1"/>
    <s v="MANANTIALES"/>
    <x v="15"/>
    <n v="150"/>
    <n v="6"/>
    <n v="6975000"/>
    <d v="2026-03-26T00:00:00"/>
    <m/>
    <m/>
    <m/>
    <m/>
    <m/>
    <m/>
    <m/>
    <m/>
    <m/>
    <m/>
    <m/>
    <m/>
    <m/>
  </r>
  <r>
    <x v="5"/>
    <n v="4500087756"/>
    <d v="2026-03-24T00:00:00"/>
    <d v="1899-12-30T17:11:00"/>
    <x v="110"/>
    <s v="BG25796"/>
    <d v="3036-03-25T00:00:00"/>
    <d v="1899-12-30T07:20:00"/>
    <x v="0"/>
    <s v="MEDELLIN"/>
    <x v="41"/>
    <n v="90"/>
    <n v="4"/>
    <n v="0"/>
    <d v="2026-03-26T00:00:00"/>
    <m/>
    <m/>
    <m/>
    <m/>
    <m/>
    <m/>
    <m/>
    <m/>
    <m/>
    <m/>
    <m/>
    <m/>
    <m/>
  </r>
  <r>
    <x v="3"/>
    <n v="50165"/>
    <d v="2026-03-26T00:00:00"/>
    <d v="1899-12-30T09:26:00"/>
    <x v="92"/>
    <m/>
    <d v="2026-03-26T00:00:00"/>
    <d v="1899-12-30T12:40:00"/>
    <x v="28"/>
    <s v="DON MATIAS"/>
    <x v="11"/>
    <n v="30"/>
    <n v="1"/>
    <n v="3300000"/>
    <d v="2026-03-26T00:00:00"/>
    <m/>
    <m/>
    <m/>
    <m/>
    <m/>
    <m/>
    <m/>
    <m/>
    <m/>
    <m/>
    <m/>
    <m/>
    <m/>
  </r>
  <r>
    <x v="0"/>
    <s v="CFMP 1970"/>
    <d v="2026-04-06T00:00:00"/>
    <d v="1899-12-30T18:40:00"/>
    <x v="111"/>
    <s v="BG25804"/>
    <d v="2026-04-07T00:00:00"/>
    <d v="1899-12-30T10:49:00"/>
    <x v="45"/>
    <s v="NUTRITEC"/>
    <x v="0"/>
    <n v="300"/>
    <n v="12"/>
    <n v="4860000"/>
    <d v="2026-04-08T00:00:00"/>
    <m/>
    <m/>
    <m/>
    <m/>
    <m/>
    <m/>
    <m/>
    <m/>
    <m/>
    <m/>
    <m/>
    <m/>
    <m/>
  </r>
  <r>
    <x v="0"/>
    <s v="CFMP 1970"/>
    <d v="2026-04-06T00:00:00"/>
    <d v="1899-12-30T18:40:00"/>
    <x v="111"/>
    <s v="BG25804"/>
    <d v="2026-04-07T00:00:00"/>
    <d v="1899-12-30T10:49:00"/>
    <x v="45"/>
    <s v="NUTRITEC"/>
    <x v="3"/>
    <n v="200"/>
    <n v="8"/>
    <n v="5100000"/>
    <d v="2026-04-08T00:00:00"/>
    <m/>
    <m/>
    <m/>
    <m/>
    <m/>
    <m/>
    <m/>
    <m/>
    <m/>
    <m/>
    <m/>
    <m/>
    <m/>
  </r>
  <r>
    <x v="0"/>
    <s v="CFMP 1970"/>
    <d v="2026-04-06T00:00:00"/>
    <d v="1899-12-30T18:40:00"/>
    <x v="111"/>
    <s v="BG25804"/>
    <d v="2026-04-07T00:00:00"/>
    <d v="1899-12-30T10:49:00"/>
    <x v="45"/>
    <s v="NUTRITEC"/>
    <x v="7"/>
    <n v="200"/>
    <n v="8"/>
    <n v="3978000"/>
    <d v="2026-04-08T00:00:00"/>
    <m/>
    <m/>
    <m/>
    <m/>
    <m/>
    <m/>
    <m/>
    <m/>
    <m/>
    <m/>
    <m/>
    <m/>
    <m/>
  </r>
  <r>
    <x v="0"/>
    <s v="CFMP 1970"/>
    <d v="2026-04-06T00:00:00"/>
    <d v="1899-12-30T18:40:00"/>
    <x v="111"/>
    <s v="BG25804"/>
    <d v="2026-04-07T00:00:00"/>
    <d v="1899-12-30T10:49:00"/>
    <x v="45"/>
    <s v="NUTRITEC"/>
    <x v="20"/>
    <n v="100"/>
    <n v="4"/>
    <n v="16420000"/>
    <d v="2026-04-08T00:00:00"/>
    <m/>
    <m/>
    <m/>
    <m/>
    <m/>
    <m/>
    <m/>
    <m/>
    <m/>
    <m/>
    <m/>
    <m/>
    <m/>
  </r>
  <r>
    <x v="0"/>
    <s v="CFMP 1970"/>
    <d v="2026-04-06T00:00:00"/>
    <d v="1899-12-30T18:40:00"/>
    <x v="111"/>
    <s v="BG25804"/>
    <d v="2026-04-07T00:00:00"/>
    <d v="1899-12-30T10:49:00"/>
    <x v="45"/>
    <s v="NUTRITEC"/>
    <x v="30"/>
    <n v="200"/>
    <n v="8"/>
    <n v="20500000"/>
    <d v="2026-04-08T00:00:00"/>
    <m/>
    <m/>
    <m/>
    <m/>
    <m/>
    <m/>
    <m/>
    <m/>
    <m/>
    <m/>
    <m/>
    <m/>
    <m/>
  </r>
  <r>
    <x v="9"/>
    <s v="007-OC-052066_x000a_"/>
    <d v="2026-04-06T00:00:00"/>
    <d v="1899-12-30T10:27:00"/>
    <x v="112"/>
    <m/>
    <d v="2026-04-07T00:00:00"/>
    <d v="1899-12-30T11:49:00"/>
    <x v="21"/>
    <s v="GIRON"/>
    <x v="5"/>
    <n v="6"/>
    <n v="0"/>
    <n v="3120000"/>
    <d v="2025-04-07T00:00:00"/>
    <m/>
    <m/>
    <m/>
    <m/>
    <m/>
    <m/>
    <m/>
    <m/>
    <m/>
    <m/>
    <m/>
    <m/>
    <s v="EJECUCION DE NC A LAS FV YA NO SE HABIA LEGALIZADO PEDIDO ENVIADO A OTRO CLIENTE Y SE TOMO LOTES QUE YA NO SE ENCONTRABAN"/>
  </r>
  <r>
    <x v="0"/>
    <n v="1396675"/>
    <d v="2026-04-07T00:00:00"/>
    <d v="1899-12-30T10:15:00"/>
    <x v="93"/>
    <s v="BG25841"/>
    <d v="2026-04-07T00:00:00"/>
    <d v="1899-12-30T11:54:00"/>
    <x v="11"/>
    <s v="BUGA"/>
    <x v="14"/>
    <n v="75"/>
    <n v="3"/>
    <n v="13515000"/>
    <d v="2025-04-16T00:00:00"/>
    <m/>
    <m/>
    <m/>
    <m/>
    <m/>
    <m/>
    <m/>
    <m/>
    <m/>
    <m/>
    <m/>
    <m/>
    <m/>
  </r>
  <r>
    <x v="0"/>
    <m/>
    <d v="2026-04-07T00:00:00"/>
    <d v="1899-12-30T10:26:00"/>
    <x v="113"/>
    <s v="BG25789"/>
    <d v="2026-04-07T00:00:00"/>
    <d v="1899-12-30T12:27:00"/>
    <x v="0"/>
    <s v="MEDELLIN"/>
    <x v="24"/>
    <n v="1000"/>
    <n v="40"/>
    <n v="19500000"/>
    <d v="2025-04-07T00:00:00"/>
    <m/>
    <m/>
    <m/>
    <m/>
    <m/>
    <m/>
    <m/>
    <m/>
    <m/>
    <m/>
    <m/>
    <m/>
    <m/>
  </r>
  <r>
    <x v="0"/>
    <m/>
    <d v="2026-04-07T00:00:00"/>
    <d v="1899-12-30T10:26:00"/>
    <x v="113"/>
    <s v="BG25789"/>
    <d v="2026-04-07T00:00:00"/>
    <d v="1899-12-30T12:27:00"/>
    <x v="0"/>
    <s v="MEDELLIN"/>
    <x v="7"/>
    <n v="3000"/>
    <n v="120"/>
    <n v="52800000"/>
    <d v="2025-04-07T00:00:00"/>
    <m/>
    <m/>
    <m/>
    <m/>
    <m/>
    <m/>
    <m/>
    <m/>
    <m/>
    <m/>
    <m/>
    <m/>
    <m/>
  </r>
  <r>
    <x v="0"/>
    <m/>
    <d v="2026-04-07T00:00:00"/>
    <d v="1899-12-30T10:26:00"/>
    <x v="113"/>
    <s v="BG25789"/>
    <d v="2026-04-07T00:00:00"/>
    <d v="1899-12-30T12:27:00"/>
    <x v="0"/>
    <s v="MEDELLIN"/>
    <x v="8"/>
    <n v="600"/>
    <n v="24"/>
    <n v="31616000"/>
    <d v="2025-04-07T00:00:00"/>
    <m/>
    <m/>
    <m/>
    <m/>
    <m/>
    <m/>
    <m/>
    <m/>
    <m/>
    <m/>
    <m/>
    <m/>
    <m/>
  </r>
  <r>
    <x v="0"/>
    <m/>
    <d v="2026-04-07T00:00:00"/>
    <d v="1899-12-30T10:26:00"/>
    <x v="113"/>
    <s v="BG25789"/>
    <d v="2026-04-07T00:00:00"/>
    <d v="1899-12-30T12:27:00"/>
    <x v="0"/>
    <s v="MEDELLIN"/>
    <x v="27"/>
    <n v="2000"/>
    <n v="80"/>
    <n v="103800000"/>
    <d v="2025-04-07T00:00:00"/>
    <m/>
    <m/>
    <m/>
    <m/>
    <m/>
    <m/>
    <m/>
    <m/>
    <m/>
    <m/>
    <m/>
    <m/>
    <m/>
  </r>
  <r>
    <x v="0"/>
    <m/>
    <d v="2026-04-07T00:00:00"/>
    <d v="1899-12-30T10:26:00"/>
    <x v="114"/>
    <s v="BG25790"/>
    <d v="2026-04-07T00:00:00"/>
    <d v="1899-12-30T12:27:00"/>
    <x v="58"/>
    <s v="MEDELLIN"/>
    <x v="30"/>
    <n v="3000"/>
    <n v="120"/>
    <n v="218601000"/>
    <d v="2025-04-07T00:00:00"/>
    <m/>
    <m/>
    <m/>
    <m/>
    <m/>
    <m/>
    <m/>
    <m/>
    <m/>
    <m/>
    <m/>
    <m/>
    <m/>
  </r>
  <r>
    <x v="0"/>
    <m/>
    <d v="2026-04-07T00:00:00"/>
    <d v="1899-12-30T10:26:00"/>
    <x v="114"/>
    <s v="BG25790"/>
    <d v="2026-04-07T00:00:00"/>
    <d v="1899-12-30T12:27:00"/>
    <x v="58"/>
    <s v="MEDELLIN"/>
    <x v="20"/>
    <n v="1000"/>
    <n v="40"/>
    <n v="122901000"/>
    <d v="2025-04-07T00:00:00"/>
    <m/>
    <m/>
    <m/>
    <m/>
    <m/>
    <m/>
    <m/>
    <m/>
    <m/>
    <m/>
    <m/>
    <m/>
    <m/>
  </r>
  <r>
    <x v="3"/>
    <m/>
    <d v="2026-04-07T00:00:00"/>
    <d v="1899-12-30T12:00:00"/>
    <x v="115"/>
    <s v="BG25812"/>
    <d v="2026-04-07T00:00:00"/>
    <d v="1899-12-30T12:43:00"/>
    <x v="59"/>
    <s v="BUGA"/>
    <x v="0"/>
    <n v="250"/>
    <n v="10"/>
    <n v="4000000"/>
    <d v="2026-04-08T00:00:00"/>
    <m/>
    <m/>
    <m/>
    <m/>
    <m/>
    <m/>
    <m/>
    <m/>
    <m/>
    <m/>
    <m/>
    <m/>
    <s v="LIBERADO EL 08-4-2026"/>
  </r>
  <r>
    <x v="3"/>
    <m/>
    <d v="2026-04-07T00:00:00"/>
    <d v="1899-12-30T12:00:00"/>
    <x v="115"/>
    <s v="BG25812"/>
    <d v="2026-04-07T00:00:00"/>
    <d v="1899-12-30T12:43:00"/>
    <x v="59"/>
    <s v="BUGA"/>
    <x v="29"/>
    <n v="50"/>
    <n v="2"/>
    <n v="3550000"/>
    <d v="2026-04-08T00:00:00"/>
    <m/>
    <m/>
    <m/>
    <m/>
    <m/>
    <m/>
    <m/>
    <m/>
    <m/>
    <m/>
    <m/>
    <m/>
    <s v="LIBERADO EL 08-4-2026"/>
  </r>
  <r>
    <x v="0"/>
    <n v="1396736"/>
    <d v="2026-04-07T00:00:00"/>
    <d v="1899-12-30T11:03:00"/>
    <x v="116"/>
    <m/>
    <d v="2026-04-07T00:00:00"/>
    <d v="1899-12-30T12:58:00"/>
    <x v="22"/>
    <s v="BOGOTA"/>
    <x v="4"/>
    <n v="100"/>
    <n v="4"/>
    <n v="3450000"/>
    <d v="2026-04-08T00:00:00"/>
    <m/>
    <m/>
    <m/>
    <m/>
    <m/>
    <m/>
    <m/>
    <m/>
    <m/>
    <m/>
    <m/>
    <m/>
    <m/>
  </r>
  <r>
    <x v="0"/>
    <n v="4500087952"/>
    <d v="2026-04-07T00:00:00"/>
    <d v="1899-12-30T11:35:00"/>
    <x v="117"/>
    <s v="BG25803"/>
    <d v="2026-04-07T00:00:00"/>
    <d v="1899-12-30T13:04:00"/>
    <x v="58"/>
    <s v="PREMEX CELTA"/>
    <x v="30"/>
    <n v="500"/>
    <n v="20"/>
    <n v="36443500"/>
    <d v="2026-04-08T00:00:00"/>
    <m/>
    <m/>
    <m/>
    <m/>
    <m/>
    <m/>
    <m/>
    <m/>
    <m/>
    <m/>
    <m/>
    <m/>
    <m/>
  </r>
  <r>
    <x v="0"/>
    <n v="4500087952"/>
    <d v="2026-04-07T00:00:00"/>
    <d v="1899-12-30T11:35:00"/>
    <x v="117"/>
    <s v="BG25803"/>
    <d v="2026-04-07T00:00:00"/>
    <d v="1899-12-30T13:04:00"/>
    <x v="58"/>
    <s v="PREMEX CELTA"/>
    <x v="20"/>
    <n v="100"/>
    <n v="4"/>
    <n v="12290100"/>
    <d v="2026-04-08T00:00:00"/>
    <m/>
    <m/>
    <m/>
    <m/>
    <m/>
    <m/>
    <m/>
    <m/>
    <m/>
    <m/>
    <m/>
    <m/>
    <m/>
  </r>
  <r>
    <x v="0"/>
    <s v="4500088013_x000a_"/>
    <d v="2026-04-07T00:00:00"/>
    <d v="1899-12-30T12:20:00"/>
    <x v="118"/>
    <s v="BG25811"/>
    <d v="2026-04-07T00:00:00"/>
    <d v="1899-12-30T13:13:00"/>
    <x v="58"/>
    <s v="MEDELLIN"/>
    <x v="30"/>
    <n v="3000"/>
    <n v="120"/>
    <n v="218601000"/>
    <d v="2026-04-08T00:00:00"/>
    <m/>
    <m/>
    <m/>
    <m/>
    <m/>
    <m/>
    <m/>
    <m/>
    <m/>
    <m/>
    <m/>
    <m/>
    <m/>
  </r>
  <r>
    <x v="0"/>
    <n v="4500088013"/>
    <d v="2026-04-07T00:00:00"/>
    <d v="1899-12-30T12:20:00"/>
    <x v="118"/>
    <s v="BG25811"/>
    <d v="2026-04-07T00:00:00"/>
    <d v="1899-12-30T13:13:00"/>
    <x v="58"/>
    <s v="MEDELLIN"/>
    <x v="20"/>
    <n v="500"/>
    <n v="20"/>
    <n v="61450500"/>
    <d v="2026-04-08T00:00:00"/>
    <m/>
    <m/>
    <m/>
    <m/>
    <m/>
    <m/>
    <m/>
    <m/>
    <m/>
    <m/>
    <m/>
    <m/>
    <m/>
  </r>
  <r>
    <x v="5"/>
    <m/>
    <d v="2026-02-05T00:00:00"/>
    <d v="1899-12-30T16:16:00"/>
    <x v="119"/>
    <s v="BG25960"/>
    <d v="2026-03-06T00:00:00"/>
    <d v="1899-12-30T11:48:00"/>
    <x v="1"/>
    <s v="MANANTIALES"/>
    <x v="15"/>
    <n v="16"/>
    <n v="1"/>
    <n v="744000"/>
    <d v="2026-03-16T00:00:00"/>
    <m/>
    <m/>
    <m/>
    <m/>
    <m/>
    <m/>
    <m/>
    <m/>
    <m/>
    <m/>
    <m/>
    <m/>
    <s v="PEDIDO SOLICITADO 60 KILOS AL MOMENTO SOLO SE ENVIARON 34 DISPONIBLES BOGOTA"/>
  </r>
  <r>
    <x v="0"/>
    <n v="1397064"/>
    <d v="2026-04-07T00:00:00"/>
    <d v="1899-12-30T15:21:00"/>
    <x v="120"/>
    <s v="BG25886"/>
    <d v="2026-04-08T00:00:00"/>
    <d v="1899-12-30T10:13:00"/>
    <x v="36"/>
    <s v="PEREIRA"/>
    <x v="19"/>
    <n v="45"/>
    <n v="2"/>
    <n v="2362000"/>
    <d v="2026-04-09T00:00:00"/>
    <m/>
    <m/>
    <m/>
    <m/>
    <m/>
    <m/>
    <m/>
    <m/>
    <m/>
    <m/>
    <m/>
    <m/>
    <m/>
  </r>
  <r>
    <x v="0"/>
    <n v="1397064"/>
    <d v="2026-04-07T00:00:00"/>
    <d v="1899-12-30T15:21:00"/>
    <x v="120"/>
    <s v="BG25886"/>
    <d v="2026-04-08T00:00:00"/>
    <d v="1899-12-30T10:13:00"/>
    <x v="36"/>
    <s v="PEREIRA"/>
    <x v="32"/>
    <n v="29"/>
    <n v="1"/>
    <n v="6090000"/>
    <d v="2026-04-09T00:00:00"/>
    <m/>
    <m/>
    <m/>
    <m/>
    <m/>
    <m/>
    <m/>
    <m/>
    <m/>
    <m/>
    <m/>
    <m/>
    <m/>
  </r>
  <r>
    <x v="0"/>
    <n v="32652"/>
    <d v="2026-04-07T00:00:00"/>
    <d v="1899-12-30T15:53:00"/>
    <x v="121"/>
    <m/>
    <d v="2026-04-08T00:00:00"/>
    <d v="1899-12-30T11:02:00"/>
    <x v="57"/>
    <s v="FUSA"/>
    <x v="16"/>
    <n v="20"/>
    <n v="1"/>
    <n v="5400000"/>
    <d v="2026-04-09T00:00:00"/>
    <m/>
    <m/>
    <m/>
    <m/>
    <m/>
    <m/>
    <m/>
    <m/>
    <m/>
    <m/>
    <m/>
    <m/>
    <m/>
  </r>
  <r>
    <x v="0"/>
    <n v="4504034388"/>
    <d v="2026-04-07T00:00:00"/>
    <d v="1899-12-30T18:12:00"/>
    <x v="122"/>
    <m/>
    <d v="2026-04-08T00:00:00"/>
    <d v="1899-12-30T11:21:00"/>
    <x v="54"/>
    <s v="BUGA"/>
    <x v="7"/>
    <n v="7000"/>
    <n v="280"/>
    <n v="124250000"/>
    <d v="2026-04-16T00:00:00"/>
    <m/>
    <m/>
    <m/>
    <m/>
    <m/>
    <m/>
    <m/>
    <m/>
    <m/>
    <m/>
    <m/>
    <m/>
    <m/>
  </r>
  <r>
    <x v="0"/>
    <n v="4504034388"/>
    <d v="2026-04-07T00:00:00"/>
    <d v="1899-12-30T18:12:00"/>
    <x v="123"/>
    <m/>
    <d v="2026-04-08T00:00:00"/>
    <d v="1899-12-30T11:21:00"/>
    <x v="54"/>
    <s v="BUGA"/>
    <x v="7"/>
    <n v="7000"/>
    <n v="280"/>
    <n v="124250000"/>
    <d v="2026-04-22T00:00:00"/>
    <m/>
    <m/>
    <m/>
    <m/>
    <m/>
    <m/>
    <m/>
    <m/>
    <m/>
    <m/>
    <m/>
    <m/>
    <m/>
  </r>
  <r>
    <x v="0"/>
    <n v="4504034388"/>
    <d v="2026-04-07T00:00:00"/>
    <d v="1899-12-30T18:12:00"/>
    <x v="124"/>
    <m/>
    <d v="2026-04-08T00:00:00"/>
    <d v="1899-12-30T11:21:00"/>
    <x v="54"/>
    <s v="BUGA"/>
    <x v="7"/>
    <n v="6000"/>
    <n v="240"/>
    <n v="124250000"/>
    <d v="2026-04-27T00:00:00"/>
    <m/>
    <m/>
    <m/>
    <m/>
    <m/>
    <m/>
    <m/>
    <m/>
    <m/>
    <m/>
    <m/>
    <m/>
    <m/>
  </r>
  <r>
    <x v="5"/>
    <n v="4500088071"/>
    <d v="2026-04-07T00:00:00"/>
    <d v="1899-12-30T20:52:00"/>
    <x v="125"/>
    <s v="BG25840"/>
    <d v="2026-04-08T00:00:00"/>
    <d v="1899-12-30T11:32:00"/>
    <x v="0"/>
    <s v="MEDELLIN"/>
    <x v="13"/>
    <n v="29"/>
    <n v="1"/>
    <n v="20350000"/>
    <d v="2026-04-10T00:00:00"/>
    <m/>
    <m/>
    <m/>
    <m/>
    <m/>
    <m/>
    <m/>
    <m/>
    <m/>
    <m/>
    <m/>
    <m/>
    <m/>
  </r>
  <r>
    <x v="5"/>
    <n v="4500088071"/>
    <d v="2026-04-07T00:00:00"/>
    <d v="1899-12-30T20:52:00"/>
    <x v="125"/>
    <s v="-"/>
    <d v="2026-04-08T00:00:00"/>
    <d v="1899-12-30T11:32:00"/>
    <x v="0"/>
    <s v="MEDELLIN"/>
    <x v="13"/>
    <n v="121"/>
    <n v="5"/>
    <n v="20350000"/>
    <d v="2026-04-10T00:00:00"/>
    <m/>
    <m/>
    <m/>
    <m/>
    <m/>
    <m/>
    <m/>
    <m/>
    <m/>
    <m/>
    <m/>
    <m/>
    <s v="RECOPILADO EN LA OC 4500088311"/>
  </r>
  <r>
    <x v="0"/>
    <n v="4500088071"/>
    <d v="2026-04-07T00:00:00"/>
    <d v="1899-12-30T20:52:00"/>
    <x v="125"/>
    <s v="BG25840"/>
    <d v="2026-04-08T00:00:00"/>
    <d v="1899-12-30T11:32:00"/>
    <x v="0"/>
    <s v="MEDELLIN"/>
    <x v="29"/>
    <n v="200"/>
    <n v="8"/>
    <n v="12340000"/>
    <d v="2026-04-10T00:00:00"/>
    <m/>
    <m/>
    <m/>
    <m/>
    <m/>
    <m/>
    <m/>
    <m/>
    <m/>
    <m/>
    <m/>
    <m/>
    <m/>
  </r>
  <r>
    <x v="0"/>
    <n v="4500088071"/>
    <d v="2026-04-07T00:00:00"/>
    <d v="1899-12-30T20:52:00"/>
    <x v="125"/>
    <s v="BG25840"/>
    <d v="2026-04-08T00:00:00"/>
    <d v="1899-12-30T11:32:00"/>
    <x v="0"/>
    <s v="MEDELLIN"/>
    <x v="26"/>
    <n v="400"/>
    <n v="16"/>
    <n v="7870000"/>
    <d v="2026-04-10T00:00:00"/>
    <m/>
    <m/>
    <m/>
    <m/>
    <m/>
    <m/>
    <m/>
    <m/>
    <m/>
    <m/>
    <m/>
    <m/>
    <m/>
  </r>
  <r>
    <x v="0"/>
    <n v="4500088071"/>
    <d v="2026-04-07T00:00:00"/>
    <d v="1899-12-30T20:52:00"/>
    <x v="126"/>
    <s v="BG25839"/>
    <d v="2026-04-08T00:00:00"/>
    <d v="1899-12-30T11:32:00"/>
    <x v="0"/>
    <s v="MEDELLIN"/>
    <x v="3"/>
    <n v="2000"/>
    <n v="80"/>
    <n v="49500000"/>
    <d v="2026-04-10T00:00:00"/>
    <m/>
    <m/>
    <m/>
    <m/>
    <m/>
    <m/>
    <m/>
    <m/>
    <m/>
    <m/>
    <m/>
    <m/>
    <m/>
  </r>
  <r>
    <x v="0"/>
    <n v="1397736"/>
    <d v="2026-04-08T00:00:00"/>
    <d v="1899-12-30T09:33:00"/>
    <x v="127"/>
    <s v="BG25885"/>
    <d v="2026-04-08T00:00:00"/>
    <d v="1899-12-30T11:43:00"/>
    <x v="36"/>
    <s v="BUCARAMANGA"/>
    <x v="19"/>
    <n v="100"/>
    <n v="4"/>
    <n v="5250000"/>
    <d v="2026-04-08T00:00:00"/>
    <m/>
    <m/>
    <m/>
    <m/>
    <m/>
    <m/>
    <m/>
    <m/>
    <m/>
    <m/>
    <m/>
    <m/>
    <m/>
  </r>
  <r>
    <x v="0"/>
    <n v="1397736"/>
    <d v="2026-04-08T00:00:00"/>
    <d v="1899-12-30T09:33:00"/>
    <x v="128"/>
    <s v="BG25878"/>
    <d v="2026-04-08T00:00:00"/>
    <d v="1899-12-30T11:43:00"/>
    <x v="36"/>
    <s v="BUCARAMANGA"/>
    <x v="31"/>
    <n v="7.5"/>
    <n v="0"/>
    <n v="0"/>
    <d v="2026-04-08T00:00:00"/>
    <m/>
    <m/>
    <m/>
    <m/>
    <m/>
    <m/>
    <m/>
    <m/>
    <m/>
    <m/>
    <m/>
    <m/>
    <m/>
  </r>
  <r>
    <x v="0"/>
    <s v="OCO-00010990"/>
    <d v="2026-04-08T00:00:00"/>
    <d v="1899-12-30T10:46:00"/>
    <x v="129"/>
    <s v="BG25883"/>
    <d v="2026-04-08T00:00:00"/>
    <d v="1899-12-30T11:45:00"/>
    <x v="44"/>
    <s v="BOGOTA"/>
    <x v="21"/>
    <n v="40"/>
    <n v="2"/>
    <n v="6720000"/>
    <d v="2026-04-09T00:00:00"/>
    <m/>
    <m/>
    <m/>
    <m/>
    <m/>
    <m/>
    <m/>
    <m/>
    <m/>
    <m/>
    <m/>
    <m/>
    <m/>
  </r>
  <r>
    <x v="0"/>
    <m/>
    <d v="2026-04-08T00:00:00"/>
    <d v="1899-12-30T10:51:00"/>
    <x v="130"/>
    <m/>
    <d v="2026-04-08T00:00:00"/>
    <d v="1899-12-30T11:50:00"/>
    <x v="60"/>
    <s v="ROVIRA"/>
    <x v="9"/>
    <n v="150"/>
    <n v="6"/>
    <n v="3150000"/>
    <d v="2026-04-09T00:00:00"/>
    <m/>
    <m/>
    <m/>
    <m/>
    <m/>
    <m/>
    <m/>
    <m/>
    <m/>
    <m/>
    <m/>
    <m/>
    <m/>
  </r>
  <r>
    <x v="0"/>
    <s v="103-OCC-38787"/>
    <d v="2026-04-08T00:00:00"/>
    <d v="1899-12-30T11:34:00"/>
    <x v="131"/>
    <s v="BG25838"/>
    <d v="2026-04-08T00:00:00"/>
    <d v="1899-12-30T11:57:00"/>
    <x v="10"/>
    <s v="GIRARDOTA"/>
    <x v="7"/>
    <n v="500"/>
    <n v="20"/>
    <n v="9750000"/>
    <d v="2026-04-10T00:00:00"/>
    <m/>
    <m/>
    <m/>
    <m/>
    <m/>
    <m/>
    <m/>
    <m/>
    <m/>
    <m/>
    <m/>
    <m/>
    <m/>
  </r>
  <r>
    <x v="0"/>
    <s v="103-OCC-38787"/>
    <d v="2026-04-08T00:00:00"/>
    <d v="1899-12-30T11:34:00"/>
    <x v="131"/>
    <s v="BG25838"/>
    <d v="2026-04-08T00:00:00"/>
    <d v="1899-12-30T11:57:00"/>
    <x v="10"/>
    <s v="GIRARDOTA"/>
    <x v="3"/>
    <n v="2000"/>
    <n v="80"/>
    <n v="52600000"/>
    <d v="2026-04-10T00:00:00"/>
    <m/>
    <m/>
    <m/>
    <m/>
    <m/>
    <m/>
    <m/>
    <m/>
    <m/>
    <m/>
    <m/>
    <m/>
    <m/>
  </r>
  <r>
    <x v="0"/>
    <m/>
    <d v="2026-04-08T00:00:00"/>
    <d v="1899-12-30T11:45:00"/>
    <x v="132"/>
    <s v="BG25810"/>
    <d v="2026-04-08T00:00:00"/>
    <d v="1899-12-30T12:31:00"/>
    <x v="53"/>
    <s v="DON MATIAS"/>
    <x v="30"/>
    <n v="50"/>
    <n v="2"/>
    <n v="5125000"/>
    <d v="2026-04-09T00:00:00"/>
    <m/>
    <m/>
    <m/>
    <m/>
    <m/>
    <m/>
    <m/>
    <m/>
    <m/>
    <m/>
    <m/>
    <m/>
    <m/>
  </r>
  <r>
    <x v="0"/>
    <m/>
    <d v="2026-04-08T00:00:00"/>
    <d v="1899-12-30T11:45:00"/>
    <x v="132"/>
    <s v="BG25810"/>
    <d v="2026-04-08T00:00:00"/>
    <d v="1899-12-30T12:31:00"/>
    <x v="53"/>
    <s v="DON MATIAS"/>
    <x v="27"/>
    <n v="125"/>
    <n v="5"/>
    <n v="7500000"/>
    <d v="2026-04-09T00:00:00"/>
    <m/>
    <m/>
    <m/>
    <m/>
    <m/>
    <m/>
    <m/>
    <m/>
    <m/>
    <m/>
    <m/>
    <m/>
    <m/>
  </r>
  <r>
    <x v="0"/>
    <m/>
    <d v="2026-04-08T00:00:00"/>
    <d v="1899-12-30T11:45:00"/>
    <x v="132"/>
    <s v="BG25810"/>
    <d v="2026-04-08T00:00:00"/>
    <d v="1899-12-30T12:31:00"/>
    <x v="53"/>
    <s v="DON MATIAS"/>
    <x v="14"/>
    <n v="225"/>
    <n v="9"/>
    <n v="47250000"/>
    <d v="2026-04-09T00:00:00"/>
    <m/>
    <m/>
    <m/>
    <m/>
    <m/>
    <m/>
    <m/>
    <m/>
    <m/>
    <m/>
    <m/>
    <m/>
    <m/>
  </r>
  <r>
    <x v="0"/>
    <m/>
    <d v="2026-04-08T00:00:00"/>
    <d v="1899-12-30T11:45:00"/>
    <x v="132"/>
    <s v="BG25810"/>
    <d v="2026-04-08T00:00:00"/>
    <d v="1899-12-30T12:31:00"/>
    <x v="53"/>
    <s v="DON MATIAS"/>
    <x v="19"/>
    <n v="500"/>
    <n v="20"/>
    <n v="28100000"/>
    <d v="2026-04-09T00:00:00"/>
    <m/>
    <m/>
    <m/>
    <m/>
    <m/>
    <m/>
    <m/>
    <m/>
    <m/>
    <m/>
    <m/>
    <m/>
    <m/>
  </r>
  <r>
    <x v="0"/>
    <m/>
    <d v="2026-04-08T00:00:00"/>
    <d v="1899-12-30T11:45:00"/>
    <x v="132"/>
    <s v="BG25810"/>
    <d v="2026-04-08T00:00:00"/>
    <d v="1899-12-30T12:31:00"/>
    <x v="53"/>
    <s v="DON MATIAS"/>
    <x v="7"/>
    <n v="350"/>
    <n v="14"/>
    <n v="6825000"/>
    <d v="2026-04-09T00:00:00"/>
    <m/>
    <m/>
    <m/>
    <m/>
    <m/>
    <m/>
    <m/>
    <m/>
    <m/>
    <m/>
    <m/>
    <m/>
    <m/>
  </r>
  <r>
    <x v="0"/>
    <m/>
    <d v="2026-04-08T00:00:00"/>
    <d v="1899-12-30T11:45:00"/>
    <x v="132"/>
    <s v="BG25810"/>
    <d v="2026-04-08T00:00:00"/>
    <d v="1899-12-30T12:31:00"/>
    <x v="53"/>
    <s v="DON MATIAS"/>
    <x v="8"/>
    <n v="400"/>
    <n v="16"/>
    <n v="27200000"/>
    <d v="2026-04-09T00:00:00"/>
    <m/>
    <m/>
    <m/>
    <m/>
    <m/>
    <m/>
    <m/>
    <m/>
    <m/>
    <m/>
    <m/>
    <m/>
    <m/>
  </r>
  <r>
    <x v="0"/>
    <m/>
    <d v="2026-04-08T00:00:00"/>
    <d v="1899-12-30T11:45:00"/>
    <x v="132"/>
    <s v="BG25810"/>
    <d v="2026-04-08T00:00:00"/>
    <d v="1899-12-30T12:31:00"/>
    <x v="53"/>
    <s v="DON MATIAS"/>
    <x v="0"/>
    <n v="500"/>
    <n v="20"/>
    <n v="8000000"/>
    <d v="2026-04-09T00:00:00"/>
    <m/>
    <m/>
    <m/>
    <m/>
    <m/>
    <m/>
    <m/>
    <m/>
    <m/>
    <m/>
    <m/>
    <m/>
    <m/>
  </r>
  <r>
    <x v="0"/>
    <m/>
    <d v="2026-04-08T00:00:00"/>
    <d v="1899-12-30T11:45:00"/>
    <x v="132"/>
    <s v="BG25810"/>
    <d v="2026-04-08T00:00:00"/>
    <d v="1899-12-30T12:31:00"/>
    <x v="53"/>
    <s v="DON MATIAS"/>
    <x v="3"/>
    <n v="700"/>
    <n v="28"/>
    <n v="18410000"/>
    <d v="2026-04-09T00:00:00"/>
    <m/>
    <m/>
    <m/>
    <m/>
    <m/>
    <m/>
    <m/>
    <m/>
    <m/>
    <m/>
    <m/>
    <m/>
    <m/>
  </r>
  <r>
    <x v="0"/>
    <m/>
    <d v="2026-04-08T00:00:00"/>
    <d v="1899-12-30T11:45:00"/>
    <x v="133"/>
    <s v="BG25809"/>
    <d v="2026-04-08T00:00:00"/>
    <d v="1899-12-30T12:31:00"/>
    <x v="53"/>
    <s v="DON MATIAS"/>
    <x v="31"/>
    <n v="37.5"/>
    <n v="2"/>
    <n v="0"/>
    <d v="2026-04-09T00:00:00"/>
    <m/>
    <m/>
    <m/>
    <m/>
    <m/>
    <m/>
    <m/>
    <m/>
    <m/>
    <m/>
    <m/>
    <m/>
    <m/>
  </r>
  <r>
    <x v="0"/>
    <m/>
    <d v="2026-04-08T00:00:00"/>
    <d v="1899-12-30T11:45:00"/>
    <x v="134"/>
    <m/>
    <d v="2026-04-08T00:00:00"/>
    <d v="1899-12-30T12:35:00"/>
    <x v="53"/>
    <s v="DON MATIAS"/>
    <x v="3"/>
    <n v="700"/>
    <n v="28"/>
    <n v="18410000"/>
    <d v="2026-04-22T00:00:00"/>
    <m/>
    <m/>
    <m/>
    <m/>
    <m/>
    <m/>
    <m/>
    <m/>
    <m/>
    <m/>
    <m/>
    <m/>
    <m/>
  </r>
  <r>
    <x v="0"/>
    <m/>
    <d v="2026-04-08T00:00:00"/>
    <d v="1899-12-30T11:45:00"/>
    <x v="135"/>
    <m/>
    <d v="2026-04-08T00:00:00"/>
    <d v="1899-12-30T12:31:00"/>
    <x v="53"/>
    <s v="DON MATIAS"/>
    <x v="7"/>
    <n v="350"/>
    <n v="14"/>
    <n v="6825000"/>
    <d v="2026-04-29T00:00:00"/>
    <m/>
    <m/>
    <m/>
    <m/>
    <m/>
    <m/>
    <m/>
    <m/>
    <m/>
    <m/>
    <m/>
    <m/>
    <m/>
  </r>
  <r>
    <x v="0"/>
    <m/>
    <d v="2026-04-08T00:00:00"/>
    <d v="1899-12-30T11:45:00"/>
    <x v="135"/>
    <m/>
    <d v="2026-04-08T00:00:00"/>
    <d v="1899-12-30T12:31:00"/>
    <x v="53"/>
    <s v="DON MATIAS"/>
    <x v="0"/>
    <n v="500"/>
    <n v="20"/>
    <n v="8000000"/>
    <d v="2026-04-29T00:00:00"/>
    <m/>
    <m/>
    <m/>
    <m/>
    <m/>
    <m/>
    <m/>
    <m/>
    <m/>
    <m/>
    <m/>
    <m/>
    <m/>
  </r>
  <r>
    <x v="0"/>
    <m/>
    <d v="2026-04-08T00:00:00"/>
    <d v="1899-12-30T11:45:00"/>
    <x v="135"/>
    <m/>
    <d v="2026-04-08T00:00:00"/>
    <d v="1899-12-30T12:31:00"/>
    <x v="53"/>
    <s v="DON MATIAS"/>
    <x v="3"/>
    <n v="700"/>
    <n v="28"/>
    <n v="18410000"/>
    <d v="2026-04-29T00:00:00"/>
    <m/>
    <m/>
    <m/>
    <m/>
    <m/>
    <m/>
    <m/>
    <m/>
    <m/>
    <m/>
    <m/>
    <m/>
    <m/>
  </r>
  <r>
    <x v="0"/>
    <n v="5504450676"/>
    <d v="2026-04-08T00:00:00"/>
    <d v="1899-12-30T11:50:00"/>
    <x v="136"/>
    <s v="BG25852"/>
    <d v="2026-04-08T00:00:00"/>
    <d v="1899-12-30T12:46:00"/>
    <x v="1"/>
    <s v="ESMERALDA"/>
    <x v="15"/>
    <n v="28"/>
    <n v="1"/>
    <n v="1400000"/>
    <d v="2026-04-08T00:00:00"/>
    <m/>
    <m/>
    <m/>
    <m/>
    <m/>
    <m/>
    <m/>
    <m/>
    <m/>
    <m/>
    <m/>
    <m/>
    <m/>
  </r>
  <r>
    <x v="5"/>
    <n v="5504450676"/>
    <d v="2026-04-08T00:00:00"/>
    <d v="1899-12-30T11:50:00"/>
    <x v="137"/>
    <m/>
    <d v="2026-04-08T00:00:00"/>
    <d v="1899-12-30T12:46:00"/>
    <x v="1"/>
    <s v="ESMERALDA"/>
    <x v="15"/>
    <n v="72"/>
    <n v="3"/>
    <n v="3600000"/>
    <d v="2026-04-09T00:00:00"/>
    <m/>
    <m/>
    <m/>
    <m/>
    <m/>
    <m/>
    <m/>
    <m/>
    <m/>
    <m/>
    <m/>
    <m/>
    <m/>
  </r>
  <r>
    <x v="0"/>
    <m/>
    <d v="2026-04-09T00:00:00"/>
    <d v="1899-12-30T09:02:00"/>
    <x v="138"/>
    <s v="BG25836"/>
    <d v="2026-04-09T00:00:00"/>
    <d v="1899-12-30T09:16:00"/>
    <x v="47"/>
    <s v="MAICAO"/>
    <x v="10"/>
    <n v="200"/>
    <n v="8"/>
    <n v="47400000"/>
    <d v="2026-04-10T00:00:00"/>
    <m/>
    <m/>
    <m/>
    <m/>
    <m/>
    <m/>
    <m/>
    <m/>
    <m/>
    <m/>
    <m/>
    <m/>
    <m/>
  </r>
  <r>
    <x v="0"/>
    <m/>
    <d v="2026-04-09T00:00:00"/>
    <d v="1899-12-30T09:20:00"/>
    <x v="139"/>
    <s v="BG25835"/>
    <d v="2026-04-09T00:00:00"/>
    <d v="1899-12-30T10:26:00"/>
    <x v="61"/>
    <s v="DON MATIAS"/>
    <x v="19"/>
    <n v="10"/>
    <n v="0"/>
    <n v="610000"/>
    <d v="2026-04-09T00:00:00"/>
    <m/>
    <m/>
    <m/>
    <m/>
    <m/>
    <m/>
    <m/>
    <m/>
    <m/>
    <m/>
    <m/>
    <m/>
    <m/>
  </r>
  <r>
    <x v="0"/>
    <m/>
    <d v="2026-04-09T00:00:00"/>
    <d v="1899-12-30T09:20:00"/>
    <x v="140"/>
    <s v="BG25834"/>
    <d v="2026-04-09T00:00:00"/>
    <d v="1899-12-30T10:26:00"/>
    <x v="61"/>
    <s v="DON MATIAS"/>
    <x v="31"/>
    <n v="0.75"/>
    <n v="0"/>
    <n v="610000"/>
    <d v="2026-04-09T00:00:00"/>
    <m/>
    <m/>
    <m/>
    <m/>
    <m/>
    <m/>
    <m/>
    <m/>
    <m/>
    <m/>
    <m/>
    <m/>
    <m/>
  </r>
  <r>
    <x v="0"/>
    <n v="32699"/>
    <d v="2026-04-08T00:00:00"/>
    <d v="1899-12-30T16:51:00"/>
    <x v="141"/>
    <m/>
    <d v="2026-04-09T00:00:00"/>
    <d v="1899-12-30T10:40:00"/>
    <x v="57"/>
    <s v="FUSA"/>
    <x v="16"/>
    <n v="13"/>
    <n v="1"/>
    <n v="3510000"/>
    <d v="2026-04-10T00:00:00"/>
    <m/>
    <m/>
    <m/>
    <m/>
    <m/>
    <m/>
    <m/>
    <m/>
    <m/>
    <m/>
    <m/>
    <m/>
    <m/>
  </r>
  <r>
    <x v="0"/>
    <s v="020-OC-003818"/>
    <d v="2026-04-09T00:00:00"/>
    <d v="1899-12-30T06:05:00"/>
    <x v="142"/>
    <s v="BG25857"/>
    <d v="2026-04-09T00:00:00"/>
    <d v="1899-12-30T11:27:00"/>
    <x v="21"/>
    <s v="ITALCOL IBAGUE"/>
    <x v="4"/>
    <n v="100"/>
    <n v="4"/>
    <n v="4050000"/>
    <d v="2026-04-10T00:00:00"/>
    <m/>
    <m/>
    <m/>
    <m/>
    <m/>
    <m/>
    <m/>
    <m/>
    <m/>
    <m/>
    <m/>
    <m/>
    <m/>
  </r>
  <r>
    <x v="0"/>
    <s v="BODEGA EN CONSIGNACION"/>
    <d v="2026-04-09T00:00:00"/>
    <d v="1899-12-30T06:30:00"/>
    <x v="143"/>
    <s v="BG25831"/>
    <d v="2026-04-09T00:00:00"/>
    <d v="1899-12-30T11:48:00"/>
    <x v="0"/>
    <s v="MEDELLIN"/>
    <x v="24"/>
    <n v="1000"/>
    <n v="40"/>
    <n v="19250000"/>
    <d v="2026-04-09T00:00:00"/>
    <m/>
    <m/>
    <m/>
    <m/>
    <m/>
    <m/>
    <m/>
    <m/>
    <m/>
    <m/>
    <m/>
    <m/>
    <m/>
  </r>
  <r>
    <x v="0"/>
    <s v="BODEGA EN CONSIGNACION"/>
    <d v="2026-04-09T00:00:00"/>
    <d v="1899-12-30T06:30:00"/>
    <x v="143"/>
    <s v="BG25831"/>
    <d v="2026-04-09T00:00:00"/>
    <d v="1899-12-30T11:48:00"/>
    <x v="0"/>
    <s v="MEDELLIN"/>
    <x v="9"/>
    <n v="2000"/>
    <n v="80"/>
    <n v="38500000"/>
    <d v="2026-04-09T00:00:00"/>
    <m/>
    <m/>
    <m/>
    <m/>
    <m/>
    <m/>
    <m/>
    <m/>
    <m/>
    <m/>
    <m/>
    <m/>
    <m/>
  </r>
  <r>
    <x v="0"/>
    <s v="BODEGA EN CONSIGNACION"/>
    <d v="2026-04-09T00:00:00"/>
    <d v="1899-12-30T06:30:00"/>
    <x v="143"/>
    <s v="BG25831"/>
    <d v="2026-04-09T00:00:00"/>
    <d v="1899-12-30T11:48:00"/>
    <x v="0"/>
    <s v="MEDELLIN"/>
    <x v="28"/>
    <n v="1400"/>
    <n v="56"/>
    <n v="42280000"/>
    <d v="2026-04-09T00:00:00"/>
    <m/>
    <m/>
    <m/>
    <m/>
    <m/>
    <m/>
    <m/>
    <m/>
    <m/>
    <m/>
    <m/>
    <m/>
    <m/>
  </r>
  <r>
    <x v="0"/>
    <s v="BODEGA EN CONSIGNACION"/>
    <d v="2026-04-09T00:00:00"/>
    <d v="1899-12-30T06:30:00"/>
    <x v="143"/>
    <s v="BG25831"/>
    <d v="2026-04-09T00:00:00"/>
    <d v="1899-12-30T11:48:00"/>
    <x v="0"/>
    <s v="MEDELLIN"/>
    <x v="7"/>
    <n v="1000"/>
    <n v="40"/>
    <n v="17600000"/>
    <d v="2026-04-09T00:00:00"/>
    <m/>
    <m/>
    <m/>
    <m/>
    <m/>
    <m/>
    <m/>
    <m/>
    <m/>
    <m/>
    <m/>
    <m/>
    <m/>
  </r>
  <r>
    <x v="0"/>
    <s v="BODEGA EN CONSIGNACION"/>
    <d v="2026-04-09T00:00:00"/>
    <d v="1899-12-30T06:30:00"/>
    <x v="143"/>
    <s v="BG25831"/>
    <d v="2026-04-09T00:00:00"/>
    <d v="1899-12-30T11:48:00"/>
    <x v="0"/>
    <s v="MEDELLIN"/>
    <x v="27"/>
    <n v="2000"/>
    <n v="80"/>
    <n v="103800000"/>
    <d v="2026-04-09T00:00:00"/>
    <m/>
    <m/>
    <m/>
    <m/>
    <m/>
    <m/>
    <m/>
    <m/>
    <m/>
    <m/>
    <m/>
    <m/>
    <m/>
  </r>
  <r>
    <x v="0"/>
    <s v="BODEGA EN CONSIGNACION"/>
    <d v="2026-04-09T00:00:00"/>
    <d v="1899-12-30T06:30:00"/>
    <x v="143"/>
    <s v="BG25831"/>
    <d v="2026-04-09T00:00:00"/>
    <d v="1899-12-30T11:48:00"/>
    <x v="0"/>
    <s v="MEDELLIN"/>
    <x v="8"/>
    <n v="1500"/>
    <n v="60"/>
    <n v="77790000"/>
    <d v="2026-04-09T00:00:00"/>
    <m/>
    <m/>
    <m/>
    <m/>
    <m/>
    <m/>
    <m/>
    <m/>
    <m/>
    <m/>
    <m/>
    <m/>
    <m/>
  </r>
  <r>
    <x v="0"/>
    <m/>
    <d v="2026-04-09T00:00:00"/>
    <d v="1899-12-30T06:30:00"/>
    <x v="144"/>
    <s v="BG25830"/>
    <d v="2026-04-09T00:00:00"/>
    <d v="1899-12-30T11:51:00"/>
    <x v="58"/>
    <s v="MEDELLIN"/>
    <x v="30"/>
    <n v="3000"/>
    <n v="120"/>
    <n v="218601000"/>
    <d v="2026-04-09T00:00:00"/>
    <m/>
    <m/>
    <m/>
    <m/>
    <m/>
    <m/>
    <m/>
    <m/>
    <m/>
    <m/>
    <m/>
    <m/>
    <m/>
  </r>
  <r>
    <x v="0"/>
    <m/>
    <d v="2026-04-09T00:00:00"/>
    <d v="1899-12-30T06:30:00"/>
    <x v="144"/>
    <s v="BG25830"/>
    <d v="2026-04-09T00:00:00"/>
    <d v="1899-12-30T11:51:00"/>
    <x v="58"/>
    <s v="MEDELLIN"/>
    <x v="20"/>
    <n v="1000"/>
    <n v="40"/>
    <n v="122901000"/>
    <d v="2026-04-09T00:00:00"/>
    <m/>
    <m/>
    <m/>
    <m/>
    <m/>
    <m/>
    <m/>
    <m/>
    <m/>
    <m/>
    <m/>
    <m/>
    <m/>
  </r>
  <r>
    <x v="0"/>
    <n v="4500375921"/>
    <d v="2026-04-07T00:00:00"/>
    <d v="1899-12-30T16:08:00"/>
    <x v="145"/>
    <m/>
    <d v="2026-04-09T00:00:00"/>
    <d v="1899-12-30T11:56:00"/>
    <x v="4"/>
    <s v="BUGA"/>
    <x v="3"/>
    <n v="1300"/>
    <n v="52"/>
    <n v="34190000"/>
    <d v="2026-04-22T00:00:00"/>
    <m/>
    <m/>
    <m/>
    <m/>
    <m/>
    <m/>
    <m/>
    <m/>
    <m/>
    <m/>
    <m/>
    <m/>
    <m/>
  </r>
  <r>
    <x v="0"/>
    <n v="4500375921"/>
    <d v="2026-04-07T00:00:00"/>
    <d v="1899-12-30T16:08:00"/>
    <x v="145"/>
    <m/>
    <d v="2026-04-09T00:00:00"/>
    <d v="1899-12-30T11:56:00"/>
    <x v="4"/>
    <s v="BUGA"/>
    <x v="4"/>
    <n v="500"/>
    <n v="20"/>
    <n v="20250000"/>
    <d v="2026-04-22T00:00:00"/>
    <m/>
    <m/>
    <m/>
    <m/>
    <m/>
    <m/>
    <m/>
    <m/>
    <m/>
    <m/>
    <m/>
    <m/>
    <m/>
  </r>
  <r>
    <x v="0"/>
    <s v="001-OCN-00013878"/>
    <d v="2026-04-09T00:00:00"/>
    <d v="1899-12-30T09:32:00"/>
    <x v="146"/>
    <m/>
    <d v="2026-04-09T00:00:00"/>
    <d v="1899-12-30T12:09:00"/>
    <x v="31"/>
    <s v="MOSQUERA"/>
    <x v="30"/>
    <n v="500"/>
    <n v="20"/>
    <n v="51250000"/>
    <d v="2026-04-28T00:00:00"/>
    <m/>
    <m/>
    <m/>
    <m/>
    <m/>
    <m/>
    <m/>
    <m/>
    <m/>
    <m/>
    <m/>
    <m/>
    <m/>
  </r>
  <r>
    <x v="0"/>
    <s v="001-OCN-00013881"/>
    <d v="2026-04-09T00:00:00"/>
    <d v="1899-12-30T09:32:00"/>
    <x v="147"/>
    <m/>
    <d v="2026-04-09T00:00:00"/>
    <d v="1899-12-30T12:09:00"/>
    <x v="31"/>
    <s v="MOSQUERA"/>
    <x v="28"/>
    <n v="300"/>
    <n v="12"/>
    <n v="10500000"/>
    <d v="2026-04-20T00:00:00"/>
    <m/>
    <m/>
    <m/>
    <m/>
    <m/>
    <m/>
    <m/>
    <m/>
    <m/>
    <m/>
    <m/>
    <m/>
    <m/>
  </r>
  <r>
    <x v="0"/>
    <m/>
    <d v="2026-04-09T00:00:00"/>
    <d v="1899-12-30T11:19:00"/>
    <x v="148"/>
    <s v="BG25856"/>
    <d v="2026-04-09T00:00:00"/>
    <d v="1899-12-30T12:16:00"/>
    <x v="23"/>
    <s v="BUCARAMANGA"/>
    <x v="16"/>
    <n v="2"/>
    <n v="2"/>
    <n v="500000"/>
    <d v="2026-04-09T00:00:00"/>
    <m/>
    <m/>
    <m/>
    <m/>
    <m/>
    <m/>
    <m/>
    <m/>
    <m/>
    <m/>
    <m/>
    <m/>
    <m/>
  </r>
  <r>
    <x v="2"/>
    <n v="5504563743"/>
    <d v="2026-04-09T00:00:00"/>
    <d v="1899-12-30T11:44:00"/>
    <x v="149"/>
    <s v="BG25855"/>
    <d v="2026-04-09T00:00:00"/>
    <d v="1899-12-30T12:21:00"/>
    <x v="1"/>
    <s v="CAVASA"/>
    <x v="9"/>
    <n v="6000"/>
    <n v="240"/>
    <n v="117000000"/>
    <d v="2026-04-10T00:00:00"/>
    <m/>
    <m/>
    <m/>
    <m/>
    <m/>
    <m/>
    <m/>
    <m/>
    <m/>
    <m/>
    <m/>
    <m/>
    <s v="VEHICULO CON FALLA MECANICA"/>
  </r>
  <r>
    <x v="0"/>
    <s v="COC-00000427"/>
    <d v="2026-04-09T00:00:00"/>
    <d v="1899-12-30T08:56:00"/>
    <x v="150"/>
    <s v="BG25876"/>
    <d v="2026-04-09T00:00:00"/>
    <d v="1899-12-30T12:37:00"/>
    <x v="38"/>
    <s v="DON MATIAS"/>
    <x v="3"/>
    <n v="1000"/>
    <n v="40"/>
    <n v="26300000"/>
    <d v="2026-04-15T00:00:00"/>
    <m/>
    <m/>
    <m/>
    <m/>
    <m/>
    <m/>
    <m/>
    <m/>
    <m/>
    <m/>
    <m/>
    <m/>
    <m/>
  </r>
  <r>
    <x v="0"/>
    <s v="COC-00000427"/>
    <d v="2026-04-09T00:00:00"/>
    <d v="1899-12-30T08:56:00"/>
    <x v="150"/>
    <s v="BG25876"/>
    <d v="2026-04-09T00:00:00"/>
    <d v="1899-12-30T12:37:00"/>
    <x v="38"/>
    <s v="DON MATIAS"/>
    <x v="14"/>
    <n v="125"/>
    <n v="5"/>
    <n v="25000000"/>
    <d v="2026-04-15T00:00:00"/>
    <m/>
    <m/>
    <m/>
    <m/>
    <m/>
    <m/>
    <m/>
    <m/>
    <m/>
    <m/>
    <m/>
    <m/>
    <m/>
  </r>
  <r>
    <x v="3"/>
    <n v="840"/>
    <d v="2026-04-09T00:00:00"/>
    <d v="1899-12-30T16:00:00"/>
    <x v="151"/>
    <m/>
    <d v="2026-04-09T00:00:00"/>
    <d v="1899-12-30T16:53:00"/>
    <x v="27"/>
    <s v="LERIDA"/>
    <x v="8"/>
    <n v="25"/>
    <n v="1"/>
    <n v="1687000"/>
    <d v="2026-04-15T00:00:00"/>
    <m/>
    <m/>
    <m/>
    <m/>
    <m/>
    <m/>
    <m/>
    <m/>
    <m/>
    <m/>
    <m/>
    <m/>
    <m/>
  </r>
  <r>
    <x v="3"/>
    <n v="840"/>
    <d v="2026-04-09T00:00:00"/>
    <d v="1899-12-30T16:00:00"/>
    <x v="151"/>
    <m/>
    <d v="2026-04-09T00:00:00"/>
    <d v="1899-12-30T16:53:00"/>
    <x v="27"/>
    <s v="LERIDA"/>
    <x v="10"/>
    <n v="50"/>
    <n v="2"/>
    <n v="11750000"/>
    <d v="2026-04-15T00:00:00"/>
    <m/>
    <m/>
    <m/>
    <m/>
    <m/>
    <m/>
    <m/>
    <m/>
    <m/>
    <m/>
    <m/>
    <m/>
    <m/>
  </r>
  <r>
    <x v="3"/>
    <n v="840"/>
    <d v="2026-04-09T00:00:00"/>
    <d v="1899-12-30T16:00:00"/>
    <x v="151"/>
    <m/>
    <d v="2026-04-09T00:00:00"/>
    <d v="1899-12-30T16:53:00"/>
    <x v="27"/>
    <s v="LERIDA"/>
    <x v="3"/>
    <n v="500"/>
    <n v="20"/>
    <n v="13150000"/>
    <d v="2026-04-15T00:00:00"/>
    <m/>
    <m/>
    <m/>
    <m/>
    <m/>
    <m/>
    <m/>
    <m/>
    <m/>
    <m/>
    <m/>
    <m/>
    <m/>
  </r>
  <r>
    <x v="3"/>
    <n v="840"/>
    <d v="2026-04-09T00:00:00"/>
    <d v="1899-12-30T16:00:00"/>
    <x v="151"/>
    <m/>
    <d v="2026-04-09T00:00:00"/>
    <d v="1899-12-30T16:53:00"/>
    <x v="27"/>
    <s v="LERIDA"/>
    <x v="19"/>
    <n v="50"/>
    <n v="2"/>
    <n v="2680000"/>
    <d v="2026-04-15T00:00:00"/>
    <m/>
    <m/>
    <m/>
    <m/>
    <m/>
    <m/>
    <m/>
    <m/>
    <m/>
    <m/>
    <m/>
    <m/>
    <m/>
  </r>
  <r>
    <x v="3"/>
    <n v="840"/>
    <d v="2026-04-09T00:00:00"/>
    <d v="1899-12-30T16:00:00"/>
    <x v="152"/>
    <m/>
    <d v="2026-04-09T00:00:00"/>
    <d v="1899-12-30T16:53:00"/>
    <x v="27"/>
    <s v="LERIDA"/>
    <x v="31"/>
    <n v="3.75"/>
    <n v="0"/>
    <n v="0"/>
    <d v="2026-04-15T00:00:00"/>
    <m/>
    <m/>
    <m/>
    <m/>
    <m/>
    <m/>
    <m/>
    <m/>
    <m/>
    <m/>
    <m/>
    <m/>
    <m/>
  </r>
  <r>
    <x v="0"/>
    <m/>
    <d v="2026-04-09T00:00:00"/>
    <d v="1899-12-30T14:13:00"/>
    <x v="153"/>
    <s v="BG25853"/>
    <d v="2026-04-09T00:00:00"/>
    <d v="1899-12-30T17:01:00"/>
    <x v="17"/>
    <s v="CEJA"/>
    <x v="8"/>
    <n v="75"/>
    <n v="3"/>
    <n v="5250000"/>
    <d v="2026-04-10T00:00:00"/>
    <m/>
    <m/>
    <m/>
    <m/>
    <m/>
    <m/>
    <m/>
    <m/>
    <m/>
    <m/>
    <m/>
    <m/>
    <m/>
  </r>
  <r>
    <x v="0"/>
    <s v="022-OC-005869"/>
    <d v="2026-04-09T00:00:00"/>
    <d v="1899-12-30T20:05:00"/>
    <x v="154"/>
    <s v="BG25936"/>
    <d v="2026-04-10T00:00:00"/>
    <d v="1899-12-30T07:44:00"/>
    <x v="21"/>
    <s v="RECOGE EN BODEGA"/>
    <x v="42"/>
    <n v="10"/>
    <n v="0"/>
    <n v="580000"/>
    <d v="2026-04-10T00:00:00"/>
    <m/>
    <m/>
    <m/>
    <m/>
    <m/>
    <m/>
    <m/>
    <m/>
    <m/>
    <m/>
    <m/>
    <m/>
    <m/>
  </r>
  <r>
    <x v="0"/>
    <s v="022-OC-005869"/>
    <d v="2026-04-09T00:00:00"/>
    <d v="1899-12-30T20:05:00"/>
    <x v="155"/>
    <s v="BG25851"/>
    <d v="2026-04-10T00:00:00"/>
    <d v="1899-12-30T07:44:00"/>
    <x v="21"/>
    <s v="RECOGE EN BODEGA"/>
    <x v="31"/>
    <n v="0.75"/>
    <n v="0"/>
    <n v="0"/>
    <d v="2026-04-10T00:00:00"/>
    <m/>
    <m/>
    <m/>
    <m/>
    <m/>
    <m/>
    <m/>
    <m/>
    <m/>
    <m/>
    <m/>
    <m/>
    <m/>
  </r>
  <r>
    <x v="0"/>
    <s v="007-OC-052139"/>
    <d v="2026-04-10T00:00:00"/>
    <d v="1899-12-30T07:03:00"/>
    <x v="156"/>
    <m/>
    <d v="2026-04-10T00:00:00"/>
    <d v="1899-12-30T07:56:00"/>
    <x v="21"/>
    <s v="ITALCOL GIRON"/>
    <x v="4"/>
    <n v="225"/>
    <n v="9"/>
    <n v="9112500"/>
    <d v="2026-04-13T00:00:00"/>
    <m/>
    <m/>
    <m/>
    <m/>
    <m/>
    <m/>
    <m/>
    <m/>
    <m/>
    <m/>
    <m/>
    <m/>
    <m/>
  </r>
  <r>
    <x v="0"/>
    <s v="094-26"/>
    <d v="2026-04-09T00:00:00"/>
    <d v="1899-12-30T16:48:00"/>
    <x v="157"/>
    <s v="BG25882"/>
    <d v="2026-04-10T00:00:00"/>
    <d v="1899-12-30T08:05:00"/>
    <x v="62"/>
    <s v="RIONEGRO"/>
    <x v="3"/>
    <n v="200"/>
    <n v="8"/>
    <n v="5260000"/>
    <d v="2026-04-14T00:00:00"/>
    <m/>
    <m/>
    <m/>
    <m/>
    <m/>
    <m/>
    <m/>
    <m/>
    <m/>
    <m/>
    <m/>
    <m/>
    <m/>
  </r>
  <r>
    <x v="0"/>
    <s v="094-26"/>
    <d v="2026-04-09T00:00:00"/>
    <d v="1899-12-30T16:48:00"/>
    <x v="157"/>
    <s v="BG25882"/>
    <d v="2026-04-10T00:00:00"/>
    <d v="1899-12-30T08:05:00"/>
    <x v="62"/>
    <s v="RIONEGRO"/>
    <x v="7"/>
    <n v="50"/>
    <n v="2"/>
    <n v="975000"/>
    <d v="2026-04-14T00:00:00"/>
    <m/>
    <m/>
    <m/>
    <m/>
    <m/>
    <m/>
    <m/>
    <m/>
    <m/>
    <m/>
    <m/>
    <m/>
    <m/>
  </r>
  <r>
    <x v="0"/>
    <s v="094-26"/>
    <d v="2026-04-09T00:00:00"/>
    <d v="1899-12-30T16:48:00"/>
    <x v="158"/>
    <s v="BG25843"/>
    <d v="2026-04-10T00:00:00"/>
    <d v="1899-12-30T08:05:00"/>
    <x v="62"/>
    <s v="RIONEGRO"/>
    <x v="27"/>
    <n v="25"/>
    <n v="1"/>
    <n v="1550000"/>
    <d v="2026-04-14T00:00:00"/>
    <m/>
    <m/>
    <m/>
    <m/>
    <m/>
    <m/>
    <m/>
    <m/>
    <m/>
    <m/>
    <m/>
    <m/>
    <m/>
  </r>
  <r>
    <x v="0"/>
    <n v="1399317"/>
    <d v="2026-04-09T00:00:00"/>
    <d v="1899-12-30T17:30:00"/>
    <x v="159"/>
    <m/>
    <d v="2026-04-10T00:00:00"/>
    <d v="1899-12-30T10:08:00"/>
    <x v="22"/>
    <s v="ENVIGADO"/>
    <x v="17"/>
    <n v="100"/>
    <n v="4"/>
    <n v="5410000"/>
    <d v="2026-04-24T00:00:00"/>
    <m/>
    <m/>
    <m/>
    <m/>
    <m/>
    <m/>
    <m/>
    <m/>
    <m/>
    <m/>
    <m/>
    <m/>
    <m/>
  </r>
  <r>
    <x v="0"/>
    <n v="4500088122"/>
    <d v="2026-04-09T00:00:00"/>
    <d v="1899-12-30T17:42:00"/>
    <x v="160"/>
    <s v="BG25875"/>
    <d v="2026-04-10T00:00:00"/>
    <d v="1899-12-30T10:10:00"/>
    <x v="0"/>
    <s v="MEDELLIN"/>
    <x v="24"/>
    <n v="2500"/>
    <n v="100"/>
    <n v="48125000"/>
    <d v="2026-04-14T00:00:00"/>
    <m/>
    <m/>
    <m/>
    <m/>
    <m/>
    <m/>
    <m/>
    <m/>
    <m/>
    <m/>
    <m/>
    <m/>
    <m/>
  </r>
  <r>
    <x v="0"/>
    <n v="4500088122"/>
    <d v="2026-04-09T00:00:00"/>
    <d v="1899-12-30T17:42:00"/>
    <x v="160"/>
    <s v="BG25875"/>
    <d v="2026-04-10T00:00:00"/>
    <d v="1899-12-30T10:10:00"/>
    <x v="0"/>
    <s v="MEDELLIN"/>
    <x v="35"/>
    <n v="400"/>
    <n v="16"/>
    <n v="179250000"/>
    <d v="2026-04-14T00:00:00"/>
    <m/>
    <m/>
    <m/>
    <m/>
    <m/>
    <m/>
    <m/>
    <m/>
    <m/>
    <m/>
    <m/>
    <m/>
    <m/>
  </r>
  <r>
    <x v="0"/>
    <n v="4500088122"/>
    <d v="2026-04-09T00:00:00"/>
    <d v="1899-12-30T17:42:00"/>
    <x v="160"/>
    <s v="BG25875"/>
    <d v="2026-04-10T00:00:00"/>
    <d v="1899-12-30T10:10:00"/>
    <x v="0"/>
    <s v="MEDELLIN"/>
    <x v="29"/>
    <n v="400"/>
    <n v="16"/>
    <n v="24680000"/>
    <d v="2026-04-14T00:00:00"/>
    <m/>
    <m/>
    <m/>
    <m/>
    <m/>
    <m/>
    <m/>
    <m/>
    <m/>
    <m/>
    <m/>
    <m/>
    <m/>
  </r>
  <r>
    <x v="0"/>
    <s v="4500088122_x000a_"/>
    <d v="2026-04-09T00:00:00"/>
    <d v="1899-12-30T17:42:00"/>
    <x v="161"/>
    <m/>
    <d v="2026-04-10T00:00:00"/>
    <d v="1899-12-30T10:10:00"/>
    <x v="0"/>
    <s v="MEDELLIN"/>
    <x v="3"/>
    <n v="2000"/>
    <n v="80"/>
    <n v="49500000"/>
    <d v="2026-04-14T00:00:00"/>
    <m/>
    <m/>
    <m/>
    <m/>
    <m/>
    <m/>
    <m/>
    <m/>
    <m/>
    <m/>
    <m/>
    <m/>
    <m/>
  </r>
  <r>
    <x v="0"/>
    <n v="1399346"/>
    <d v="2026-04-09T00:00:00"/>
    <d v="1899-12-30T18:01:00"/>
    <x v="162"/>
    <m/>
    <d v="2026-04-10T00:00:00"/>
    <d v="1899-12-30T10:18:00"/>
    <x v="22"/>
    <s v="BOGOTA"/>
    <x v="4"/>
    <n v="100"/>
    <n v="4"/>
    <n v="3450000"/>
    <d v="2026-04-13T00:00:00"/>
    <m/>
    <m/>
    <m/>
    <m/>
    <m/>
    <m/>
    <m/>
    <m/>
    <m/>
    <m/>
    <m/>
    <m/>
    <m/>
  </r>
  <r>
    <x v="0"/>
    <s v="039-OC-001055"/>
    <d v="2026-04-10T00:00:00"/>
    <d v="1899-12-30T07:04:00"/>
    <x v="163"/>
    <s v="BG25847"/>
    <d v="2026-04-10T00:00:00"/>
    <d v="1899-12-30T10:22:00"/>
    <x v="21"/>
    <s v="PEREIRA"/>
    <x v="5"/>
    <n v="4"/>
    <n v="0"/>
    <n v="2080000"/>
    <d v="2026-04-13T00:00:00"/>
    <m/>
    <m/>
    <m/>
    <m/>
    <m/>
    <m/>
    <m/>
    <m/>
    <m/>
    <m/>
    <m/>
    <m/>
    <m/>
  </r>
  <r>
    <x v="0"/>
    <s v="OCP-1300"/>
    <d v="2026-04-10T00:00:00"/>
    <d v="1899-12-30T07:20:00"/>
    <x v="164"/>
    <m/>
    <d v="2026-04-10T00:00:00"/>
    <d v="1899-12-30T10:26:00"/>
    <x v="63"/>
    <s v="BUGA"/>
    <x v="5"/>
    <n v="7.5"/>
    <n v="0"/>
    <n v="3975000"/>
    <d v="2026-04-13T00:00:00"/>
    <m/>
    <m/>
    <m/>
    <m/>
    <m/>
    <m/>
    <m/>
    <m/>
    <m/>
    <m/>
    <m/>
    <m/>
    <m/>
  </r>
  <r>
    <x v="0"/>
    <m/>
    <d v="2026-04-10T00:00:00"/>
    <d v="1899-12-30T10:23:00"/>
    <x v="165"/>
    <s v="BG25863"/>
    <d v="2026-04-10T00:00:00"/>
    <d v="1899-12-30T10:58:00"/>
    <x v="16"/>
    <s v="NEIVA"/>
    <x v="3"/>
    <n v="1000"/>
    <n v="40"/>
    <n v="26300000"/>
    <d v="2026-04-14T00:00:00"/>
    <m/>
    <m/>
    <m/>
    <m/>
    <m/>
    <m/>
    <m/>
    <m/>
    <m/>
    <m/>
    <m/>
    <m/>
    <m/>
  </r>
  <r>
    <x v="0"/>
    <m/>
    <d v="2026-04-10T00:00:00"/>
    <d v="1899-12-30T08:13:00"/>
    <x v="166"/>
    <m/>
    <d v="2026-04-10T00:00:00"/>
    <d v="1899-12-30T12:05:00"/>
    <x v="33"/>
    <s v="DON MATIAS"/>
    <x v="43"/>
    <n v="20"/>
    <n v="1"/>
    <n v="4300000"/>
    <d v="2026-04-10T00:00:00"/>
    <m/>
    <m/>
    <m/>
    <m/>
    <m/>
    <m/>
    <m/>
    <m/>
    <m/>
    <m/>
    <m/>
    <m/>
    <m/>
  </r>
  <r>
    <x v="0"/>
    <s v="053-CAL"/>
    <d v="2026-04-10T00:00:00"/>
    <d v="1899-12-30T14:34:00"/>
    <x v="167"/>
    <s v="BG25862"/>
    <d v="2026-04-13T00:00:00"/>
    <d v="1899-12-30T08:31:00"/>
    <x v="40"/>
    <s v="CALI"/>
    <x v="5"/>
    <n v="5"/>
    <n v="0"/>
    <n v="5200000"/>
    <d v="2026-04-13T00:00:00"/>
    <m/>
    <m/>
    <m/>
    <m/>
    <m/>
    <m/>
    <m/>
    <m/>
    <m/>
    <m/>
    <m/>
    <m/>
    <m/>
  </r>
  <r>
    <x v="0"/>
    <s v="022-OC-005873"/>
    <d v="2026-04-10T00:00:00"/>
    <d v="1899-12-30T17:32:00"/>
    <x v="168"/>
    <s v="BG25865"/>
    <d v="2026-04-13T00:00:00"/>
    <d v="1899-12-30T08:54:00"/>
    <x v="21"/>
    <s v="RECOGE EN BODEGA"/>
    <x v="5"/>
    <n v="6"/>
    <n v="0"/>
    <n v="3120000"/>
    <d v="2026-04-13T00:00:00"/>
    <m/>
    <m/>
    <m/>
    <m/>
    <m/>
    <m/>
    <m/>
    <m/>
    <m/>
    <m/>
    <m/>
    <m/>
    <m/>
  </r>
  <r>
    <x v="0"/>
    <n v="1698"/>
    <d v="2026-04-13T00:00:00"/>
    <d v="1899-12-30T09:35:00"/>
    <x v="169"/>
    <s v="BG25873"/>
    <d v="2026-04-13T00:00:00"/>
    <d v="1899-12-30T11:12:00"/>
    <x v="64"/>
    <s v="BUGA"/>
    <x v="38"/>
    <n v="300"/>
    <n v="12"/>
    <n v="15600000"/>
    <d v="2026-04-14T00:00:00"/>
    <m/>
    <m/>
    <m/>
    <m/>
    <m/>
    <m/>
    <m/>
    <m/>
    <m/>
    <m/>
    <m/>
    <m/>
    <m/>
  </r>
  <r>
    <x v="0"/>
    <n v="1698"/>
    <d v="2026-04-13T00:00:00"/>
    <d v="1899-12-30T09:35:00"/>
    <x v="169"/>
    <s v="BG25873"/>
    <d v="2026-04-13T00:00:00"/>
    <d v="1899-12-30T11:12:00"/>
    <x v="64"/>
    <s v="BUGA"/>
    <x v="0"/>
    <n v="300"/>
    <n v="12"/>
    <n v="4800000"/>
    <d v="2026-04-14T00:00:00"/>
    <m/>
    <m/>
    <m/>
    <m/>
    <m/>
    <m/>
    <m/>
    <m/>
    <m/>
    <m/>
    <m/>
    <m/>
    <m/>
  </r>
  <r>
    <x v="5"/>
    <s v="053-CAL"/>
    <d v="2026-04-10T00:00:00"/>
    <d v="1899-12-30T14:34:00"/>
    <x v="170"/>
    <s v="BG25971"/>
    <d v="2026-04-13T00:00:00"/>
    <d v="1899-12-30T11:20:00"/>
    <x v="40"/>
    <s v="CALI"/>
    <x v="13"/>
    <n v="30"/>
    <n v="1"/>
    <n v="4650000"/>
    <d v="2026-04-13T00:00:00"/>
    <m/>
    <m/>
    <m/>
    <m/>
    <m/>
    <m/>
    <m/>
    <m/>
    <m/>
    <m/>
    <m/>
    <m/>
    <s v="PRODUCTO LIBERADO EL 20-4-2026"/>
  </r>
  <r>
    <x v="0"/>
    <s v="001-OSC-00073587"/>
    <d v="2026-04-10T00:00:00"/>
    <d v="1899-12-30T17:01:00"/>
    <x v="171"/>
    <m/>
    <d v="2026-04-13T00:00:00"/>
    <d v="1899-12-30T11:39:00"/>
    <x v="8"/>
    <s v="BELLO"/>
    <x v="4"/>
    <n v="250"/>
    <n v="10"/>
    <n v="10125000"/>
    <d v="2026-04-16T00:00:00"/>
    <m/>
    <m/>
    <m/>
    <m/>
    <m/>
    <m/>
    <m/>
    <m/>
    <m/>
    <m/>
    <m/>
    <m/>
    <m/>
  </r>
  <r>
    <x v="0"/>
    <n v="1400411"/>
    <d v="2026-04-11T00:00:00"/>
    <d v="1899-12-30T09:15:00"/>
    <x v="172"/>
    <s v="BG26012"/>
    <d v="2026-04-13T00:00:00"/>
    <d v="1899-12-30T11:49:00"/>
    <x v="11"/>
    <s v="ITAGUI"/>
    <x v="17"/>
    <n v="150"/>
    <n v="6"/>
    <n v="7950000"/>
    <d v="2026-04-24T00:00:00"/>
    <m/>
    <m/>
    <m/>
    <m/>
    <m/>
    <m/>
    <m/>
    <m/>
    <m/>
    <m/>
    <m/>
    <m/>
    <m/>
  </r>
  <r>
    <x v="0"/>
    <s v="AL-260413"/>
    <d v="2026-04-11T00:00:00"/>
    <d v="1899-12-30T09:21:00"/>
    <x v="173"/>
    <s v="BG25872"/>
    <d v="2026-04-13T00:00:00"/>
    <d v="1899-12-30T11:54:00"/>
    <x v="65"/>
    <s v="BARCON"/>
    <x v="0"/>
    <n v="175"/>
    <n v="7"/>
    <n v="2800000"/>
    <d v="2026-04-14T00:00:00"/>
    <m/>
    <m/>
    <m/>
    <m/>
    <m/>
    <m/>
    <m/>
    <m/>
    <m/>
    <m/>
    <m/>
    <m/>
    <m/>
  </r>
  <r>
    <x v="0"/>
    <n v="4500088189"/>
    <d v="2026-04-13T00:00:00"/>
    <d v="1899-12-30T10:01:00"/>
    <x v="174"/>
    <s v="BG25881"/>
    <d v="2026-04-13T00:00:00"/>
    <d v="1899-12-30T12:04:00"/>
    <x v="0"/>
    <s v="CELTA"/>
    <x v="29"/>
    <n v="400"/>
    <n v="16"/>
    <n v="24680000"/>
    <d v="2026-04-14T00:00:00"/>
    <m/>
    <m/>
    <m/>
    <m/>
    <m/>
    <m/>
    <m/>
    <m/>
    <m/>
    <m/>
    <m/>
    <m/>
    <m/>
  </r>
  <r>
    <x v="0"/>
    <n v="4500088189"/>
    <d v="2026-04-13T00:00:00"/>
    <d v="1899-12-30T10:01:00"/>
    <x v="174"/>
    <s v="BG25881"/>
    <d v="2026-04-13T00:00:00"/>
    <d v="1899-12-30T12:04:00"/>
    <x v="0"/>
    <s v="CELTA"/>
    <x v="27"/>
    <n v="1000"/>
    <n v="40"/>
    <n v="51900000"/>
    <d v="2026-04-14T00:00:00"/>
    <m/>
    <m/>
    <m/>
    <m/>
    <m/>
    <m/>
    <m/>
    <m/>
    <m/>
    <m/>
    <m/>
    <m/>
    <m/>
  </r>
  <r>
    <x v="0"/>
    <n v="4500088189"/>
    <d v="2026-04-13T00:00:00"/>
    <d v="1899-12-30T10:01:00"/>
    <x v="174"/>
    <s v="BG25881"/>
    <d v="2026-04-13T00:00:00"/>
    <d v="1899-12-30T12:04:00"/>
    <x v="0"/>
    <s v="CELTA"/>
    <x v="35"/>
    <n v="100"/>
    <n v="4"/>
    <n v="44880000"/>
    <d v="2026-04-14T00:00:00"/>
    <m/>
    <m/>
    <m/>
    <m/>
    <m/>
    <m/>
    <m/>
    <m/>
    <m/>
    <m/>
    <m/>
    <m/>
    <m/>
  </r>
  <r>
    <x v="0"/>
    <n v="4500088189"/>
    <d v="2026-04-13T00:00:00"/>
    <d v="1899-12-30T10:01:00"/>
    <x v="174"/>
    <s v="BG25881"/>
    <d v="2026-04-13T00:00:00"/>
    <d v="1899-12-30T12:04:00"/>
    <x v="0"/>
    <s v="CELTA"/>
    <x v="4"/>
    <n v="500"/>
    <n v="20"/>
    <n v="17250000"/>
    <d v="2026-04-14T00:00:00"/>
    <m/>
    <m/>
    <m/>
    <m/>
    <m/>
    <m/>
    <m/>
    <m/>
    <m/>
    <m/>
    <m/>
    <m/>
    <m/>
  </r>
  <r>
    <x v="0"/>
    <n v="4500088189"/>
    <d v="2026-04-13T00:00:00"/>
    <d v="1899-12-30T10:01:00"/>
    <x v="174"/>
    <s v="BG25881"/>
    <d v="2026-04-13T00:00:00"/>
    <d v="1899-12-30T12:04:00"/>
    <x v="0"/>
    <s v="CELTA"/>
    <x v="28"/>
    <n v="400"/>
    <n v="16"/>
    <n v="12080000"/>
    <d v="2026-04-14T00:00:00"/>
    <m/>
    <m/>
    <m/>
    <m/>
    <m/>
    <m/>
    <m/>
    <m/>
    <m/>
    <m/>
    <m/>
    <m/>
    <m/>
  </r>
  <r>
    <x v="0"/>
    <n v="4500088189"/>
    <d v="2026-04-13T00:00:00"/>
    <d v="1899-12-30T10:01:00"/>
    <x v="174"/>
    <s v="BG25881"/>
    <d v="2026-04-13T00:00:00"/>
    <d v="1899-12-30T12:04:00"/>
    <x v="0"/>
    <s v="CELTA"/>
    <x v="9"/>
    <n v="1500"/>
    <n v="60"/>
    <n v="28875000"/>
    <d v="2026-04-14T00:00:00"/>
    <m/>
    <m/>
    <m/>
    <m/>
    <m/>
    <m/>
    <m/>
    <m/>
    <m/>
    <m/>
    <m/>
    <m/>
    <m/>
  </r>
  <r>
    <x v="0"/>
    <n v="4500088189"/>
    <d v="2026-04-13T00:00:00"/>
    <d v="1899-12-30T10:01:00"/>
    <x v="174"/>
    <s v="BG25881"/>
    <d v="2026-04-13T00:00:00"/>
    <d v="1899-12-30T12:04:00"/>
    <x v="0"/>
    <s v="CELTA"/>
    <x v="24"/>
    <n v="2500"/>
    <n v="100"/>
    <n v="48125000"/>
    <d v="2026-04-14T00:00:00"/>
    <m/>
    <m/>
    <m/>
    <m/>
    <m/>
    <m/>
    <m/>
    <m/>
    <m/>
    <m/>
    <m/>
    <m/>
    <m/>
  </r>
  <r>
    <x v="0"/>
    <n v="4500088189"/>
    <d v="2026-04-13T00:00:00"/>
    <d v="1899-12-30T10:01:00"/>
    <x v="174"/>
    <s v="BG25881"/>
    <d v="2026-04-13T00:00:00"/>
    <d v="1899-12-30T12:04:00"/>
    <x v="0"/>
    <s v="CELTA"/>
    <x v="7"/>
    <n v="150"/>
    <n v="6"/>
    <n v="2640000"/>
    <d v="2026-04-14T00:00:00"/>
    <m/>
    <m/>
    <m/>
    <m/>
    <m/>
    <m/>
    <m/>
    <m/>
    <m/>
    <m/>
    <m/>
    <m/>
    <m/>
  </r>
  <r>
    <x v="0"/>
    <n v="4500088189"/>
    <d v="2026-04-13T00:00:00"/>
    <d v="1899-12-30T10:01:00"/>
    <x v="174"/>
    <s v="BG25881"/>
    <d v="2026-04-13T00:00:00"/>
    <d v="1899-12-30T12:04:00"/>
    <x v="0"/>
    <s v="CELTA"/>
    <x v="34"/>
    <n v="100"/>
    <n v="4"/>
    <n v="3890000"/>
    <d v="2026-04-14T00:00:00"/>
    <m/>
    <m/>
    <m/>
    <m/>
    <m/>
    <m/>
    <m/>
    <m/>
    <m/>
    <m/>
    <m/>
    <m/>
    <m/>
  </r>
  <r>
    <x v="0"/>
    <n v="4500088189"/>
    <d v="2026-04-13T00:00:00"/>
    <d v="1899-12-30T10:01:00"/>
    <x v="174"/>
    <s v="BG25881"/>
    <d v="2026-04-13T00:00:00"/>
    <d v="1899-12-30T12:04:00"/>
    <x v="0"/>
    <s v="CELTA"/>
    <x v="3"/>
    <n v="100"/>
    <n v="4"/>
    <n v="2475000"/>
    <d v="2026-04-14T00:00:00"/>
    <m/>
    <m/>
    <m/>
    <m/>
    <m/>
    <m/>
    <m/>
    <m/>
    <m/>
    <m/>
    <m/>
    <m/>
    <m/>
  </r>
  <r>
    <x v="0"/>
    <m/>
    <d v="2026-04-13T00:00:00"/>
    <d v="1899-12-30T10:16:00"/>
    <x v="175"/>
    <s v="BG25867"/>
    <d v="2026-04-13T00:00:00"/>
    <d v="1899-12-30T12:59:00"/>
    <x v="23"/>
    <s v="BUCARAMANGA"/>
    <x v="44"/>
    <n v="11"/>
    <n v="0"/>
    <n v="1870000"/>
    <d v="2026-04-14T00:00:00"/>
    <m/>
    <m/>
    <m/>
    <m/>
    <m/>
    <m/>
    <m/>
    <m/>
    <m/>
    <m/>
    <m/>
    <m/>
    <m/>
  </r>
  <r>
    <x v="0"/>
    <m/>
    <d v="2026-04-13T00:00:00"/>
    <d v="1899-12-30T10:16:00"/>
    <x v="176"/>
    <s v="BG25866"/>
    <d v="2026-04-13T00:00:00"/>
    <d v="1899-12-30T12:59:00"/>
    <x v="23"/>
    <s v="BUCARAMANGA"/>
    <x v="31"/>
    <n v="0.82499999999999996"/>
    <n v="0"/>
    <n v="0"/>
    <d v="2026-04-14T00:00:00"/>
    <m/>
    <m/>
    <m/>
    <m/>
    <m/>
    <m/>
    <m/>
    <m/>
    <m/>
    <m/>
    <m/>
    <m/>
    <m/>
  </r>
  <r>
    <x v="0"/>
    <s v="Y-001-3094"/>
    <d v="2026-04-13T00:00:00"/>
    <d v="1899-12-30T11:00:00"/>
    <x v="177"/>
    <s v="BG25868"/>
    <d v="2026-04-13T00:00:00"/>
    <d v="1899-12-30T12:59:00"/>
    <x v="66"/>
    <s v="CALI"/>
    <x v="5"/>
    <n v="5"/>
    <n v="0"/>
    <n v="5950000"/>
    <d v="2026-03-12T00:00:00"/>
    <m/>
    <m/>
    <m/>
    <m/>
    <m/>
    <m/>
    <m/>
    <m/>
    <m/>
    <m/>
    <m/>
    <m/>
    <m/>
  </r>
  <r>
    <x v="0"/>
    <n v="1400858"/>
    <d v="2026-04-13T00:00:00"/>
    <d v="1899-12-30T11:17:00"/>
    <x v="178"/>
    <m/>
    <d v="2026-04-13T00:00:00"/>
    <d v="1899-12-30T13:22:00"/>
    <x v="22"/>
    <s v="BOGOTA"/>
    <x v="8"/>
    <n v="50"/>
    <n v="2"/>
    <n v="2593000"/>
    <d v="2026-04-27T00:00:00"/>
    <m/>
    <m/>
    <m/>
    <m/>
    <m/>
    <m/>
    <m/>
    <m/>
    <m/>
    <m/>
    <m/>
    <m/>
    <m/>
  </r>
  <r>
    <x v="0"/>
    <n v="1400858"/>
    <d v="2026-04-13T00:00:00"/>
    <d v="1899-12-30T11:17:00"/>
    <x v="178"/>
    <m/>
    <d v="2026-04-13T00:00:00"/>
    <d v="1899-12-30T13:22:00"/>
    <x v="22"/>
    <s v="BOGOTA"/>
    <x v="14"/>
    <n v="50"/>
    <n v="2"/>
    <n v="9010000"/>
    <d v="2026-04-27T00:00:00"/>
    <m/>
    <m/>
    <m/>
    <m/>
    <m/>
    <m/>
    <m/>
    <m/>
    <m/>
    <m/>
    <m/>
    <m/>
    <m/>
  </r>
  <r>
    <x v="0"/>
    <n v="13655"/>
    <d v="2026-04-13T00:00:00"/>
    <d v="1899-12-30T11:41:00"/>
    <x v="179"/>
    <m/>
    <d v="2026-04-13T00:00:00"/>
    <d v="1899-12-30T13:27:00"/>
    <x v="67"/>
    <s v="BUCARAMANGA"/>
    <x v="7"/>
    <n v="1250"/>
    <n v="50"/>
    <n v="25000000"/>
    <d v="2026-04-14T00:00:00"/>
    <m/>
    <m/>
    <m/>
    <m/>
    <m/>
    <m/>
    <m/>
    <m/>
    <m/>
    <m/>
    <m/>
    <m/>
    <m/>
  </r>
  <r>
    <x v="0"/>
    <n v="13655"/>
    <d v="2026-04-13T00:00:00"/>
    <d v="1899-12-30T11:41:00"/>
    <x v="179"/>
    <m/>
    <d v="2026-04-13T00:00:00"/>
    <d v="1899-12-30T13:27:00"/>
    <x v="67"/>
    <s v="BUCARAMANGA"/>
    <x v="14"/>
    <n v="25"/>
    <n v="1"/>
    <n v="5375000"/>
    <d v="2026-04-14T00:00:00"/>
    <m/>
    <m/>
    <m/>
    <m/>
    <m/>
    <m/>
    <m/>
    <m/>
    <m/>
    <m/>
    <m/>
    <m/>
    <m/>
  </r>
  <r>
    <x v="0"/>
    <n v="1401006"/>
    <d v="2026-04-13T00:00:00"/>
    <d v="1899-12-30T12:08:00"/>
    <x v="180"/>
    <s v="BG25880"/>
    <d v="2026-04-13T00:00:00"/>
    <d v="1899-12-30T13:20:00"/>
    <x v="36"/>
    <s v="BUCARAMANGA"/>
    <x v="19"/>
    <n v="60"/>
    <n v="2"/>
    <n v="3150000"/>
    <d v="2026-04-13T00:00:00"/>
    <m/>
    <m/>
    <m/>
    <m/>
    <m/>
    <m/>
    <m/>
    <m/>
    <m/>
    <m/>
    <m/>
    <m/>
    <m/>
  </r>
  <r>
    <x v="0"/>
    <n v="1401006"/>
    <d v="2026-04-13T00:00:00"/>
    <d v="1899-12-30T12:08:00"/>
    <x v="181"/>
    <s v="BG25884"/>
    <d v="2026-04-13T00:00:00"/>
    <d v="1899-12-30T13:20:00"/>
    <x v="36"/>
    <s v="BUCARAMANGA"/>
    <x v="31"/>
    <n v="4.5"/>
    <n v="0"/>
    <n v="0"/>
    <d v="2026-04-13T00:00:00"/>
    <m/>
    <m/>
    <m/>
    <m/>
    <m/>
    <m/>
    <m/>
    <m/>
    <m/>
    <m/>
    <m/>
    <m/>
    <m/>
  </r>
  <r>
    <x v="0"/>
    <s v="P00191"/>
    <d v="2026-04-13T00:00:00"/>
    <d v="1899-12-30T12:11:00"/>
    <x v="182"/>
    <s v="BG25871"/>
    <d v="2026-04-13T00:00:00"/>
    <d v="1899-12-30T13:40:00"/>
    <x v="68"/>
    <s v="PALMIRA"/>
    <x v="34"/>
    <n v="50"/>
    <n v="2"/>
    <n v="2750000"/>
    <d v="2026-04-14T00:00:00"/>
    <m/>
    <m/>
    <m/>
    <m/>
    <m/>
    <m/>
    <m/>
    <m/>
    <m/>
    <m/>
    <m/>
    <m/>
    <m/>
  </r>
  <r>
    <x v="8"/>
    <m/>
    <d v="2026-04-13T00:00:00"/>
    <d v="1899-12-30T10:48:00"/>
    <x v="0"/>
    <m/>
    <m/>
    <m/>
    <x v="47"/>
    <s v="MAICAO"/>
    <x v="38"/>
    <n v="500"/>
    <n v="20"/>
    <m/>
    <d v="2026-04-14T00:00:00"/>
    <m/>
    <m/>
    <m/>
    <m/>
    <m/>
    <m/>
    <m/>
    <m/>
    <m/>
    <m/>
    <m/>
    <m/>
    <m/>
  </r>
  <r>
    <x v="0"/>
    <n v="4500150021"/>
    <d v="2026-04-13T00:00:00"/>
    <d v="1899-12-30T12:58:00"/>
    <x v="183"/>
    <s v="BG25909"/>
    <d v="2026-04-13T00:00:00"/>
    <d v="1899-12-30T13:48:00"/>
    <x v="37"/>
    <s v="CIENAGA"/>
    <x v="0"/>
    <n v="700"/>
    <n v="28"/>
    <n v="11060000"/>
    <d v="2026-04-15T00:00:00"/>
    <m/>
    <m/>
    <m/>
    <m/>
    <m/>
    <m/>
    <m/>
    <m/>
    <m/>
    <m/>
    <m/>
    <m/>
    <m/>
  </r>
  <r>
    <x v="0"/>
    <s v="CFMP-1982"/>
    <d v="2026-04-13T00:00:00"/>
    <d v="1899-12-30T12:20:00"/>
    <x v="184"/>
    <s v="BG25870"/>
    <d v="2026-04-13T00:00:00"/>
    <d v="1899-12-30T13:53:00"/>
    <x v="45"/>
    <s v="LA SORTIJA"/>
    <x v="38"/>
    <n v="25"/>
    <n v="1"/>
    <n v="1209000"/>
    <d v="2026-04-14T00:00:00"/>
    <m/>
    <m/>
    <m/>
    <m/>
    <m/>
    <m/>
    <m/>
    <m/>
    <m/>
    <m/>
    <m/>
    <m/>
    <m/>
  </r>
  <r>
    <x v="0"/>
    <s v="CFMP-1982"/>
    <d v="2026-04-13T00:00:00"/>
    <d v="1899-12-30T12:20:00"/>
    <x v="184"/>
    <s v="BG25870"/>
    <d v="2026-04-13T00:00:00"/>
    <d v="1899-12-30T13:53:00"/>
    <x v="45"/>
    <s v="LA SORTIJA"/>
    <x v="19"/>
    <n v="60"/>
    <n v="2"/>
    <n v="3270000"/>
    <d v="2026-04-14T00:00:00"/>
    <m/>
    <m/>
    <m/>
    <m/>
    <m/>
    <m/>
    <m/>
    <m/>
    <m/>
    <m/>
    <m/>
    <m/>
    <m/>
  </r>
  <r>
    <x v="0"/>
    <s v="CFMP-1982"/>
    <d v="2026-04-13T00:00:00"/>
    <d v="1899-12-30T12:20:00"/>
    <x v="184"/>
    <s v="BG25870"/>
    <d v="2026-04-13T00:00:00"/>
    <d v="1899-12-30T13:53:00"/>
    <x v="45"/>
    <s v="LA SORTIJA"/>
    <x v="40"/>
    <n v="10"/>
    <n v="0"/>
    <n v="700000"/>
    <d v="2026-04-14T00:00:00"/>
    <m/>
    <m/>
    <m/>
    <m/>
    <m/>
    <m/>
    <m/>
    <m/>
    <m/>
    <m/>
    <m/>
    <m/>
    <m/>
  </r>
  <r>
    <x v="0"/>
    <s v="CFMP-1982"/>
    <d v="2026-04-13T00:00:00"/>
    <d v="1899-12-30T12:20:00"/>
    <x v="185"/>
    <s v="BG25869"/>
    <d v="2026-04-13T00:00:00"/>
    <d v="1899-12-30T13:53:00"/>
    <x v="45"/>
    <s v="LA SORTIJA"/>
    <x v="31"/>
    <n v="4.5"/>
    <n v="0"/>
    <n v="0"/>
    <d v="2026-04-14T00:00:00"/>
    <m/>
    <m/>
    <m/>
    <m/>
    <m/>
    <m/>
    <m/>
    <m/>
    <m/>
    <m/>
    <m/>
    <m/>
    <m/>
  </r>
  <r>
    <x v="10"/>
    <m/>
    <d v="2026-04-13T00:00:00"/>
    <d v="1899-12-30T14:30:00"/>
    <x v="186"/>
    <m/>
    <d v="2026-04-13T00:00:00"/>
    <d v="1899-12-30T14:39:00"/>
    <x v="69"/>
    <s v="SABANETA"/>
    <x v="32"/>
    <n v="2"/>
    <n v="0"/>
    <n v="500000"/>
    <d v="2026-04-13T00:00:00"/>
    <m/>
    <m/>
    <m/>
    <m/>
    <m/>
    <m/>
    <m/>
    <m/>
    <m/>
    <m/>
    <m/>
    <m/>
    <m/>
  </r>
  <r>
    <x v="10"/>
    <m/>
    <d v="2026-04-13T00:00:00"/>
    <d v="1899-12-30T14:30:00"/>
    <x v="187"/>
    <m/>
    <d v="2026-04-13T00:00:00"/>
    <d v="1899-12-30T14:39:00"/>
    <x v="69"/>
    <s v="SABANETA"/>
    <x v="31"/>
    <n v="0.15"/>
    <n v="0"/>
    <n v="0"/>
    <d v="2026-04-13T00:00:00"/>
    <m/>
    <m/>
    <m/>
    <m/>
    <m/>
    <m/>
    <m/>
    <m/>
    <m/>
    <m/>
    <m/>
    <m/>
    <m/>
  </r>
  <r>
    <x v="0"/>
    <n v="1401542"/>
    <d v="2026-04-13T00:00:00"/>
    <d v="1899-12-30T21:24:00"/>
    <x v="188"/>
    <m/>
    <d v="2026-04-14T00:00:00"/>
    <d v="1899-12-30T07:44:00"/>
    <x v="22"/>
    <s v="CARTAGO"/>
    <x v="34"/>
    <n v="75"/>
    <n v="3"/>
    <n v="2917500"/>
    <d v="2026-04-20T00:00:00"/>
    <m/>
    <m/>
    <m/>
    <m/>
    <m/>
    <m/>
    <m/>
    <m/>
    <m/>
    <m/>
    <m/>
    <m/>
    <m/>
  </r>
  <r>
    <x v="0"/>
    <n v="1401542"/>
    <d v="2026-04-13T00:00:00"/>
    <d v="1899-12-30T21:24:00"/>
    <x v="188"/>
    <m/>
    <d v="2026-04-14T00:00:00"/>
    <d v="1899-12-30T07:44:00"/>
    <x v="22"/>
    <s v="CARTAGO"/>
    <x v="14"/>
    <n v="50"/>
    <n v="2"/>
    <n v="9010000"/>
    <d v="2026-04-20T00:00:00"/>
    <m/>
    <m/>
    <m/>
    <m/>
    <m/>
    <m/>
    <m/>
    <m/>
    <m/>
    <m/>
    <m/>
    <m/>
    <m/>
  </r>
  <r>
    <x v="0"/>
    <n v="4500088188"/>
    <d v="2026-04-13T00:00:00"/>
    <d v="1899-12-30T16:12:00"/>
    <x v="189"/>
    <m/>
    <d v="2026-04-14T00:00:00"/>
    <d v="1899-12-30T07:52:00"/>
    <x v="58"/>
    <s v="PREMEX CELTA"/>
    <x v="30"/>
    <n v="2000"/>
    <n v="80"/>
    <n v="145734000"/>
    <d v="2026-04-14T00:00:00"/>
    <m/>
    <m/>
    <m/>
    <m/>
    <m/>
    <m/>
    <m/>
    <m/>
    <m/>
    <m/>
    <m/>
    <m/>
    <m/>
  </r>
  <r>
    <x v="0"/>
    <n v="4500088188"/>
    <d v="2026-04-13T00:00:00"/>
    <d v="1899-12-30T16:12:00"/>
    <x v="189"/>
    <m/>
    <d v="2026-04-14T00:00:00"/>
    <d v="1899-12-30T07:52:00"/>
    <x v="58"/>
    <s v="PREMEX CELTA"/>
    <x v="20"/>
    <n v="500"/>
    <n v="20"/>
    <n v="61450000"/>
    <d v="2026-04-14T00:00:00"/>
    <m/>
    <m/>
    <m/>
    <m/>
    <m/>
    <m/>
    <m/>
    <m/>
    <m/>
    <m/>
    <m/>
    <m/>
    <m/>
  </r>
  <r>
    <x v="0"/>
    <s v="ORC-2604006"/>
    <d v="2026-04-13T00:00:00"/>
    <d v="1899-12-30T16:25:00"/>
    <x v="190"/>
    <s v="BG25897"/>
    <d v="2026-04-14T00:00:00"/>
    <d v="1899-12-30T07:59:00"/>
    <x v="51"/>
    <s v="MANIZALES"/>
    <x v="27"/>
    <n v="50"/>
    <n v="2"/>
    <n v="3100000"/>
    <d v="2026-04-15T00:00:00"/>
    <m/>
    <m/>
    <m/>
    <m/>
    <m/>
    <m/>
    <m/>
    <m/>
    <m/>
    <m/>
    <m/>
    <m/>
    <m/>
  </r>
  <r>
    <x v="0"/>
    <s v="ORC-2604006"/>
    <d v="2026-04-13T00:00:00"/>
    <d v="1899-12-30T16:25:00"/>
    <x v="190"/>
    <s v="BG25897"/>
    <d v="2026-04-14T00:00:00"/>
    <d v="1899-12-30T07:59:00"/>
    <x v="51"/>
    <s v="MANIZALES"/>
    <x v="23"/>
    <n v="50"/>
    <n v="2"/>
    <n v="850000"/>
    <d v="2026-04-15T00:00:00"/>
    <m/>
    <m/>
    <m/>
    <m/>
    <m/>
    <m/>
    <m/>
    <m/>
    <m/>
    <m/>
    <m/>
    <m/>
    <m/>
  </r>
  <r>
    <x v="0"/>
    <s v="ORC-2604006"/>
    <d v="2026-04-13T00:00:00"/>
    <d v="1899-12-30T16:25:00"/>
    <x v="190"/>
    <s v="BG25897"/>
    <d v="2026-04-14T00:00:00"/>
    <d v="1899-12-30T07:59:00"/>
    <x v="51"/>
    <s v="MANIZALES"/>
    <x v="19"/>
    <n v="100"/>
    <n v="4"/>
    <n v="5500000"/>
    <d v="2026-04-15T00:00:00"/>
    <m/>
    <m/>
    <m/>
    <m/>
    <m/>
    <m/>
    <m/>
    <m/>
    <m/>
    <m/>
    <m/>
    <m/>
    <m/>
  </r>
  <r>
    <x v="0"/>
    <s v="ORC-2604006"/>
    <d v="2026-04-13T00:00:00"/>
    <d v="1899-12-30T16:25:00"/>
    <x v="190"/>
    <s v="BG25897"/>
    <d v="2026-04-14T00:00:00"/>
    <d v="1899-12-30T07:59:00"/>
    <x v="51"/>
    <s v="MANIZALES"/>
    <x v="17"/>
    <n v="50"/>
    <n v="2"/>
    <n v="3040000"/>
    <d v="2026-04-15T00:00:00"/>
    <m/>
    <m/>
    <m/>
    <m/>
    <m/>
    <m/>
    <m/>
    <m/>
    <m/>
    <m/>
    <m/>
    <m/>
    <m/>
  </r>
  <r>
    <x v="0"/>
    <s v="ORC-2604006"/>
    <d v="2026-04-13T00:00:00"/>
    <d v="1899-12-30T16:25:00"/>
    <x v="190"/>
    <s v="BG25897"/>
    <d v="2026-04-14T00:00:00"/>
    <d v="1899-12-30T07:59:00"/>
    <x v="51"/>
    <s v="MANIZALES"/>
    <x v="3"/>
    <n v="125"/>
    <n v="5"/>
    <n v="3187500"/>
    <d v="2026-04-15T00:00:00"/>
    <m/>
    <m/>
    <m/>
    <m/>
    <m/>
    <m/>
    <m/>
    <m/>
    <m/>
    <m/>
    <m/>
    <m/>
    <m/>
  </r>
  <r>
    <x v="0"/>
    <s v="ORC-2604006"/>
    <d v="2026-04-13T00:00:00"/>
    <d v="1899-12-30T16:25:00"/>
    <x v="190"/>
    <s v="BG25897"/>
    <d v="2026-04-14T00:00:00"/>
    <d v="1899-12-30T07:59:00"/>
    <x v="51"/>
    <s v="MANIZALES"/>
    <x v="7"/>
    <n v="125"/>
    <n v="5"/>
    <n v="2562500"/>
    <d v="2026-04-15T00:00:00"/>
    <m/>
    <m/>
    <m/>
    <m/>
    <m/>
    <m/>
    <m/>
    <m/>
    <m/>
    <m/>
    <m/>
    <m/>
    <m/>
  </r>
  <r>
    <x v="0"/>
    <s v="ORC-2604006"/>
    <d v="2026-04-13T00:00:00"/>
    <d v="1899-12-30T16:25:00"/>
    <x v="190"/>
    <s v="BG25897"/>
    <d v="2026-04-14T00:00:00"/>
    <d v="1899-12-30T07:59:00"/>
    <x v="51"/>
    <s v="MANIZALES"/>
    <x v="8"/>
    <n v="50"/>
    <n v="2"/>
    <n v="3450000"/>
    <d v="2026-04-15T00:00:00"/>
    <m/>
    <m/>
    <m/>
    <m/>
    <m/>
    <m/>
    <m/>
    <m/>
    <m/>
    <m/>
    <m/>
    <m/>
    <m/>
  </r>
  <r>
    <x v="0"/>
    <s v="ORC-2604006"/>
    <d v="2026-04-13T00:00:00"/>
    <d v="1899-12-30T16:25:00"/>
    <x v="191"/>
    <s v="BG25896"/>
    <d v="2026-04-14T00:00:00"/>
    <d v="1899-12-30T07:59:00"/>
    <x v="51"/>
    <s v="MANIZALES"/>
    <x v="31"/>
    <n v="7.5"/>
    <n v="0"/>
    <n v="0"/>
    <d v="2026-04-15T00:00:00"/>
    <m/>
    <m/>
    <m/>
    <m/>
    <m/>
    <m/>
    <m/>
    <m/>
    <m/>
    <m/>
    <m/>
    <m/>
    <m/>
  </r>
  <r>
    <x v="0"/>
    <m/>
    <d v="2026-04-13T00:00:00"/>
    <d v="1899-12-30T16:52:00"/>
    <x v="192"/>
    <s v="BG25895"/>
    <d v="2026-04-14T00:00:00"/>
    <d v="1899-12-30T08:50:00"/>
    <x v="70"/>
    <s v="SAN PEDRO"/>
    <x v="0"/>
    <n v="300"/>
    <n v="12"/>
    <n v="4800000"/>
    <d v="2026-04-15T00:00:00"/>
    <m/>
    <m/>
    <m/>
    <m/>
    <m/>
    <m/>
    <m/>
    <m/>
    <m/>
    <m/>
    <m/>
    <m/>
    <m/>
  </r>
  <r>
    <x v="0"/>
    <n v="4500150444"/>
    <d v="2026-04-14T00:00:00"/>
    <d v="1899-12-30T08:19:00"/>
    <x v="193"/>
    <m/>
    <d v="2026-04-14T00:00:00"/>
    <d v="1899-12-30T09:10:00"/>
    <x v="37"/>
    <s v="CIENAGA"/>
    <x v="19"/>
    <n v="50"/>
    <n v="2"/>
    <n v="2860000"/>
    <d v="2026-04-15T00:00:00"/>
    <m/>
    <m/>
    <m/>
    <m/>
    <m/>
    <m/>
    <m/>
    <m/>
    <m/>
    <m/>
    <m/>
    <m/>
    <m/>
  </r>
  <r>
    <x v="0"/>
    <s v="105-OCC-17559"/>
    <d v="2026-04-14T00:00:00"/>
    <d v="1899-12-30T08:16:00"/>
    <x v="194"/>
    <s v="BG25894"/>
    <d v="2026-04-14T00:00:00"/>
    <d v="1899-12-30T09:24:00"/>
    <x v="10"/>
    <s v="PEREIRA"/>
    <x v="7"/>
    <n v="1200"/>
    <n v="48"/>
    <n v="23400000"/>
    <d v="2026-04-15T00:00:00"/>
    <m/>
    <m/>
    <m/>
    <m/>
    <m/>
    <m/>
    <m/>
    <m/>
    <m/>
    <m/>
    <m/>
    <m/>
    <m/>
  </r>
  <r>
    <x v="0"/>
    <n v="4200011343"/>
    <d v="2026-04-14T00:00:00"/>
    <d v="1899-12-30T10:31:00"/>
    <x v="195"/>
    <m/>
    <d v="2026-04-14T00:00:00"/>
    <d v="1899-12-30T11:16:00"/>
    <x v="71"/>
    <s v="SAN ANTONIO"/>
    <x v="45"/>
    <n v="275"/>
    <n v="11"/>
    <n v="28875000"/>
    <d v="2025-04-14T00:00:00"/>
    <m/>
    <m/>
    <m/>
    <m/>
    <m/>
    <m/>
    <m/>
    <m/>
    <m/>
    <m/>
    <m/>
    <m/>
    <m/>
  </r>
  <r>
    <x v="0"/>
    <n v="4200011343"/>
    <d v="2026-04-14T00:00:00"/>
    <d v="1899-12-30T10:31:00"/>
    <x v="195"/>
    <m/>
    <d v="2026-04-14T00:00:00"/>
    <d v="1899-12-30T11:16:00"/>
    <x v="71"/>
    <s v="SAN ANTONIO"/>
    <x v="43"/>
    <n v="30"/>
    <n v="1"/>
    <n v="6300000"/>
    <d v="2025-04-14T00:00:00"/>
    <m/>
    <m/>
    <m/>
    <m/>
    <m/>
    <m/>
    <m/>
    <m/>
    <m/>
    <m/>
    <m/>
    <m/>
    <m/>
  </r>
  <r>
    <x v="0"/>
    <n v="1401814"/>
    <d v="2026-04-14T00:00:00"/>
    <d v="1899-12-30T10:01:00"/>
    <x v="196"/>
    <s v="BG26013"/>
    <d v="2026-04-14T00:00:00"/>
    <d v="1899-12-30T11:49:00"/>
    <x v="11"/>
    <s v="MOSQUERA"/>
    <x v="38"/>
    <n v="100"/>
    <n v="4"/>
    <n v="4000000"/>
    <d v="2026-04-17T00:00:00"/>
    <m/>
    <m/>
    <m/>
    <m/>
    <m/>
    <m/>
    <m/>
    <m/>
    <m/>
    <m/>
    <m/>
    <m/>
    <m/>
  </r>
  <r>
    <x v="0"/>
    <n v="1401814"/>
    <d v="2026-04-14T00:00:00"/>
    <d v="1899-12-30T10:01:00"/>
    <x v="196"/>
    <s v="BG26013"/>
    <d v="2026-04-14T00:00:00"/>
    <d v="1899-12-30T11:49:00"/>
    <x v="11"/>
    <s v="MOSQUERA"/>
    <x v="8"/>
    <n v="100"/>
    <n v="4"/>
    <n v="5186000"/>
    <d v="2026-04-17T00:00:00"/>
    <m/>
    <m/>
    <m/>
    <m/>
    <m/>
    <m/>
    <m/>
    <m/>
    <m/>
    <m/>
    <m/>
    <m/>
    <m/>
  </r>
  <r>
    <x v="2"/>
    <n v="1401882"/>
    <d v="2026-04-14T00:00:00"/>
    <d v="1899-12-30T10:34:00"/>
    <x v="197"/>
    <s v="BG25893"/>
    <d v="2026-04-14T00:00:00"/>
    <d v="1899-12-30T11:50:00"/>
    <x v="11"/>
    <s v="CIENAGA"/>
    <x v="14"/>
    <n v="75"/>
    <n v="3"/>
    <n v="13515000"/>
    <d v="2026-04-17T00:00:00"/>
    <m/>
    <m/>
    <m/>
    <m/>
    <m/>
    <m/>
    <m/>
    <m/>
    <m/>
    <m/>
    <m/>
    <m/>
    <s v="VEHICULO CON FALLA MECANICA QUE SE INCINERO // PENDIENTE REALIZAR RECLAMACION Y DEFNIR SI SE SUBE NUEVO PEDIDO"/>
  </r>
  <r>
    <x v="0"/>
    <s v="No. COC-00000619"/>
    <d v="2026-04-14T00:00:00"/>
    <d v="1899-12-30T11:51:00"/>
    <x v="198"/>
    <s v="BG25892"/>
    <d v="2026-04-14T00:00:00"/>
    <d v="1899-12-30T11:58:00"/>
    <x v="72"/>
    <s v="SABANETA"/>
    <x v="5"/>
    <n v="1.5"/>
    <n v="0"/>
    <n v="780000"/>
    <d v="2026-04-17T00:00:00"/>
    <m/>
    <m/>
    <m/>
    <m/>
    <m/>
    <m/>
    <m/>
    <m/>
    <m/>
    <m/>
    <m/>
    <m/>
    <m/>
  </r>
  <r>
    <x v="2"/>
    <n v="13841"/>
    <d v="2026-04-14T00:00:00"/>
    <d v="1899-12-30T12:00:00"/>
    <x v="199"/>
    <s v="BG26011"/>
    <d v="2026-04-14T00:00:00"/>
    <d v="1899-12-30T16:20:00"/>
    <x v="26"/>
    <s v="SAN PEDRO"/>
    <x v="3"/>
    <n v="250"/>
    <n v="10"/>
    <n v="6375000"/>
    <d v="2026-04-14T00:00:00"/>
    <m/>
    <m/>
    <m/>
    <m/>
    <m/>
    <m/>
    <m/>
    <m/>
    <m/>
    <m/>
    <m/>
    <m/>
    <s v="AVERIA DE SACO POR MANIPULACION DEL PRODUCTO"/>
  </r>
  <r>
    <x v="3"/>
    <m/>
    <d v="2026-04-14T00:00:00"/>
    <d v="1899-12-30T12:00:00"/>
    <x v="199"/>
    <s v="BG26011"/>
    <d v="2026-04-14T00:00:00"/>
    <d v="1899-12-30T16:20:00"/>
    <x v="26"/>
    <s v="SAN PEDRO"/>
    <x v="4"/>
    <n v="250"/>
    <n v="10"/>
    <n v="9625000"/>
    <d v="2026-04-15T00:00:00"/>
    <m/>
    <m/>
    <m/>
    <m/>
    <m/>
    <m/>
    <m/>
    <m/>
    <m/>
    <m/>
    <m/>
    <m/>
    <s v="PEDIDO RETENIDO POR CARTERA NO SE LOGRA CUMPLIR CON LA FECHA SOLICITADA POR EL CLIENTE"/>
  </r>
  <r>
    <x v="3"/>
    <m/>
    <d v="2026-04-14T00:00:00"/>
    <d v="1899-12-30T12:00:00"/>
    <x v="199"/>
    <s v="BG26011"/>
    <d v="2026-04-14T00:00:00"/>
    <d v="1899-12-30T16:20:00"/>
    <x v="26"/>
    <s v="SAN PEDRO"/>
    <x v="13"/>
    <n v="20"/>
    <n v="1"/>
    <n v="3200000"/>
    <d v="2026-04-15T00:00:00"/>
    <m/>
    <m/>
    <m/>
    <m/>
    <m/>
    <m/>
    <m/>
    <m/>
    <m/>
    <m/>
    <m/>
    <m/>
    <s v="PEDIDO RETENIDO POR CARTERA NO SE LOGRA CUMPLIR CON LA FECHA SOLICITADA POR EL CLIENTE"/>
  </r>
  <r>
    <x v="0"/>
    <m/>
    <d v="2026-04-14T00:00:00"/>
    <d v="1899-12-30T15:34:00"/>
    <x v="200"/>
    <s v="BG25899"/>
    <d v="2026-04-14T00:00:00"/>
    <d v="1899-12-30T16:27:00"/>
    <x v="56"/>
    <s v="BUCARAMANGA"/>
    <x v="46"/>
    <n v="50"/>
    <n v="2"/>
    <n v="3500000"/>
    <d v="2026-04-14T00:00:00"/>
    <m/>
    <m/>
    <m/>
    <m/>
    <m/>
    <m/>
    <m/>
    <m/>
    <m/>
    <m/>
    <m/>
    <m/>
    <m/>
  </r>
  <r>
    <x v="0"/>
    <s v="PO_OC00003585BX"/>
    <d v="2026-04-14T00:00:00"/>
    <d v="1899-12-30T16:30:00"/>
    <x v="201"/>
    <s v="BG25898"/>
    <d v="2026-04-15T00:00:00"/>
    <d v="1899-12-30T07:30:00"/>
    <x v="5"/>
    <s v="SABANETA"/>
    <x v="7"/>
    <n v="250"/>
    <n v="10"/>
    <m/>
    <d v="2026-04-15T00:00:00"/>
    <m/>
    <m/>
    <m/>
    <m/>
    <m/>
    <m/>
    <m/>
    <m/>
    <m/>
    <m/>
    <m/>
    <m/>
    <m/>
  </r>
  <r>
    <x v="0"/>
    <n v="4500088259"/>
    <d v="2026-04-15T00:00:00"/>
    <d v="1899-12-30T09:02:00"/>
    <x v="202"/>
    <s v="BG25958"/>
    <d v="2026-04-15T00:00:00"/>
    <d v="1899-12-30T11:12:00"/>
    <x v="0"/>
    <s v="MEDELLIN"/>
    <x v="39"/>
    <n v="455"/>
    <n v="18"/>
    <n v="59605000"/>
    <d v="2026-04-16T00:00:00"/>
    <m/>
    <m/>
    <m/>
    <m/>
    <m/>
    <m/>
    <m/>
    <m/>
    <m/>
    <m/>
    <m/>
    <m/>
    <m/>
  </r>
  <r>
    <x v="0"/>
    <n v="4500088259"/>
    <d v="2026-04-15T00:00:00"/>
    <d v="1899-12-30T09:02:00"/>
    <x v="202"/>
    <s v="BG25958"/>
    <d v="2026-04-15T00:00:00"/>
    <d v="1899-12-30T11:12:00"/>
    <x v="0"/>
    <s v="MEDELLIN"/>
    <x v="14"/>
    <n v="75"/>
    <n v="3"/>
    <n v="13515000"/>
    <d v="2026-04-16T00:00:00"/>
    <m/>
    <m/>
    <m/>
    <m/>
    <m/>
    <m/>
    <m/>
    <m/>
    <m/>
    <m/>
    <m/>
    <m/>
    <m/>
  </r>
  <r>
    <x v="0"/>
    <n v="4500088259"/>
    <d v="2026-04-15T00:00:00"/>
    <d v="1899-12-30T09:02:00"/>
    <x v="202"/>
    <s v="BG25958"/>
    <d v="2026-04-15T00:00:00"/>
    <d v="1899-12-30T11:12:00"/>
    <x v="0"/>
    <s v="MEDELLIN"/>
    <x v="16"/>
    <n v="40"/>
    <n v="2"/>
    <n v="7000000"/>
    <d v="2026-04-16T00:00:00"/>
    <m/>
    <m/>
    <m/>
    <m/>
    <m/>
    <m/>
    <m/>
    <m/>
    <m/>
    <m/>
    <m/>
    <m/>
    <m/>
  </r>
  <r>
    <x v="0"/>
    <n v="4500088259"/>
    <d v="2026-04-15T00:00:00"/>
    <d v="1899-12-30T09:02:00"/>
    <x v="202"/>
    <s v="BG25958"/>
    <d v="2026-04-15T00:00:00"/>
    <d v="1899-12-30T11:12:00"/>
    <x v="0"/>
    <s v="MEDELLIN"/>
    <x v="39"/>
    <n v="300"/>
    <n v="12"/>
    <n v="41280000"/>
    <d v="2026-04-16T00:00:00"/>
    <m/>
    <m/>
    <m/>
    <m/>
    <m/>
    <m/>
    <m/>
    <m/>
    <m/>
    <m/>
    <m/>
    <m/>
    <m/>
  </r>
  <r>
    <x v="0"/>
    <n v="4500088259"/>
    <d v="2026-04-15T00:00:00"/>
    <d v="1899-12-30T09:02:00"/>
    <x v="203"/>
    <s v="BG25924"/>
    <d v="2026-04-15T00:00:00"/>
    <d v="1899-12-30T11:12:00"/>
    <x v="0"/>
    <s v="MEDELLIN"/>
    <x v="39"/>
    <n v="18.989999999999998"/>
    <n v="1"/>
    <n v="2487000"/>
    <d v="2026-04-16T00:00:00"/>
    <m/>
    <m/>
    <m/>
    <m/>
    <m/>
    <m/>
    <m/>
    <m/>
    <m/>
    <m/>
    <m/>
    <m/>
    <m/>
  </r>
  <r>
    <x v="0"/>
    <n v="4500088259"/>
    <d v="2026-04-15T00:00:00"/>
    <d v="1899-12-30T09:02:00"/>
    <x v="204"/>
    <s v="BG25992"/>
    <d v="2026-04-15T00:00:00"/>
    <d v="1899-12-30T11:12:00"/>
    <x v="0"/>
    <s v="MEDELLIN"/>
    <x v="2"/>
    <n v="50"/>
    <n v="2"/>
    <n v="2600000"/>
    <d v="2026-04-16T00:00:00"/>
    <m/>
    <m/>
    <m/>
    <m/>
    <m/>
    <m/>
    <m/>
    <m/>
    <m/>
    <m/>
    <m/>
    <m/>
    <m/>
  </r>
  <r>
    <x v="0"/>
    <n v="1402280"/>
    <d v="2026-04-14T00:00:00"/>
    <d v="1899-12-30T16:17:00"/>
    <x v="205"/>
    <s v="BG25990"/>
    <d v="2026-04-15T00:00:00"/>
    <d v="1899-12-30T12:37:00"/>
    <x v="11"/>
    <s v="BUGA"/>
    <x v="14"/>
    <n v="75"/>
    <n v="3"/>
    <n v="13515000"/>
    <d v="2026-04-20T00:00:00"/>
    <m/>
    <m/>
    <m/>
    <m/>
    <m/>
    <m/>
    <m/>
    <m/>
    <m/>
    <m/>
    <m/>
    <m/>
    <m/>
  </r>
  <r>
    <x v="0"/>
    <s v="A02-COC-326445"/>
    <d v="2026-04-14T00:00:00"/>
    <d v="1899-12-30T19:00:00"/>
    <x v="206"/>
    <m/>
    <d v="2026-04-15T00:00:00"/>
    <d v="1899-12-30T12:41:00"/>
    <x v="20"/>
    <s v="ITAGUI"/>
    <x v="20"/>
    <n v="150"/>
    <n v="6"/>
    <n v="24600000"/>
    <d v="2026-04-21T00:00:00"/>
    <m/>
    <m/>
    <m/>
    <m/>
    <m/>
    <m/>
    <m/>
    <m/>
    <m/>
    <m/>
    <m/>
    <m/>
    <m/>
  </r>
  <r>
    <x v="0"/>
    <s v="A02-COC-326445"/>
    <d v="2026-04-14T00:00:00"/>
    <d v="1899-12-30T19:00:00"/>
    <x v="206"/>
    <m/>
    <d v="2026-04-15T00:00:00"/>
    <d v="1899-12-30T12:41:00"/>
    <x v="20"/>
    <s v="ITAGUI"/>
    <x v="9"/>
    <n v="5000"/>
    <n v="200"/>
    <n v="102500000"/>
    <d v="2026-04-21T00:00:00"/>
    <m/>
    <m/>
    <m/>
    <m/>
    <m/>
    <m/>
    <m/>
    <m/>
    <m/>
    <m/>
    <m/>
    <m/>
    <m/>
  </r>
  <r>
    <x v="0"/>
    <s v="101-OCC-00035643"/>
    <d v="2026-04-15T00:00:00"/>
    <d v="1899-12-30T08:13:00"/>
    <x v="207"/>
    <s v="BG26010"/>
    <d v="2026-04-15T00:00:00"/>
    <d v="1899-12-30T12:50:00"/>
    <x v="10"/>
    <s v="PALMIRA"/>
    <x v="4"/>
    <n v="200"/>
    <n v="8"/>
    <n v="8040000"/>
    <d v="2026-04-17T00:00:00"/>
    <m/>
    <m/>
    <m/>
    <m/>
    <m/>
    <m/>
    <m/>
    <m/>
    <m/>
    <m/>
    <m/>
    <m/>
    <m/>
  </r>
  <r>
    <x v="0"/>
    <n v="5504586863"/>
    <d v="2026-04-15T00:00:00"/>
    <d v="1899-12-30T09:21:00"/>
    <x v="208"/>
    <m/>
    <d v="2026-04-15T00:00:00"/>
    <d v="1899-12-30T12:55:00"/>
    <x v="1"/>
    <s v="MANANTIALES"/>
    <x v="15"/>
    <n v="200"/>
    <n v="8"/>
    <n v="9300000"/>
    <d v="2026-04-21T00:00:00"/>
    <m/>
    <m/>
    <m/>
    <m/>
    <m/>
    <m/>
    <m/>
    <m/>
    <m/>
    <m/>
    <m/>
    <m/>
    <m/>
  </r>
  <r>
    <x v="0"/>
    <s v="103-occ-38872"/>
    <d v="2026-04-15T00:00:00"/>
    <d v="1899-12-30T10:18:00"/>
    <x v="209"/>
    <m/>
    <d v="2026-04-15T00:00:00"/>
    <d v="1899-12-30T13:00:00"/>
    <x v="10"/>
    <s v="GIRARDOTA"/>
    <x v="3"/>
    <n v="1000"/>
    <n v="40"/>
    <n v="26300000"/>
    <d v="2026-04-17T00:00:00"/>
    <m/>
    <m/>
    <m/>
    <m/>
    <m/>
    <m/>
    <m/>
    <m/>
    <m/>
    <m/>
    <m/>
    <m/>
    <m/>
  </r>
  <r>
    <x v="0"/>
    <s v="103-occ-38872"/>
    <d v="2026-04-15T00:00:00"/>
    <d v="1899-12-30T10:18:00"/>
    <x v="209"/>
    <m/>
    <d v="2026-04-15T00:00:00"/>
    <d v="1899-12-30T13:00:00"/>
    <x v="10"/>
    <s v="GIRARDOTA"/>
    <x v="33"/>
    <n v="300"/>
    <n v="12"/>
    <n v="7650000"/>
    <d v="2026-04-17T00:00:00"/>
    <m/>
    <m/>
    <m/>
    <m/>
    <m/>
    <m/>
    <m/>
    <m/>
    <m/>
    <m/>
    <m/>
    <m/>
    <m/>
  </r>
  <r>
    <x v="0"/>
    <s v="104-26"/>
    <d v="2026-04-15T00:00:00"/>
    <d v="1899-12-30T12:03:00"/>
    <x v="210"/>
    <m/>
    <d v="2026-04-15T00:00:00"/>
    <d v="1899-12-30T13:11:00"/>
    <x v="62"/>
    <s v="LOS PINOS"/>
    <x v="0"/>
    <n v="200"/>
    <n v="8"/>
    <n v="3200000"/>
    <d v="2026-04-20T00:00:00"/>
    <m/>
    <m/>
    <m/>
    <m/>
    <m/>
    <m/>
    <m/>
    <m/>
    <m/>
    <m/>
    <m/>
    <m/>
    <m/>
  </r>
  <r>
    <x v="0"/>
    <m/>
    <d v="2026-04-15T00:00:00"/>
    <d v="1899-12-30T12:06:00"/>
    <x v="211"/>
    <m/>
    <d v="2026-04-15T00:00:00"/>
    <d v="1899-12-30T13:13:00"/>
    <x v="73"/>
    <s v="CALI"/>
    <x v="3"/>
    <n v="25"/>
    <n v="1"/>
    <n v="657500"/>
    <d v="2026-04-16T00:00:00"/>
    <m/>
    <m/>
    <m/>
    <m/>
    <m/>
    <m/>
    <m/>
    <m/>
    <m/>
    <m/>
    <m/>
    <m/>
    <m/>
  </r>
  <r>
    <x v="9"/>
    <s v="007-OC-052214"/>
    <d v="2026-04-15T00:00:00"/>
    <d v="1899-12-30T13:07:00"/>
    <x v="212"/>
    <s v="BG25927"/>
    <d v="2026-04-15T00:00:00"/>
    <d v="1899-12-30T13:17:00"/>
    <x v="21"/>
    <s v="GIRON"/>
    <x v="5"/>
    <n v="4"/>
    <n v="0"/>
    <n v="2080000"/>
    <s v="15/04/0205"/>
    <m/>
    <m/>
    <m/>
    <m/>
    <m/>
    <m/>
    <m/>
    <m/>
    <m/>
    <m/>
    <m/>
    <m/>
    <s v="EJECUCION DE NC A LAS FV YA QUE PRESENTABAN NOVEDADES CON LOS LOTES ENVIADOS ( iNVENTARIO CON UNIDAD DE AVERIA)"/>
  </r>
  <r>
    <x v="0"/>
    <s v="001-OSC-00073835"/>
    <d v="2026-04-15T00:00:00"/>
    <d v="1899-12-30T16:46:00"/>
    <x v="213"/>
    <m/>
    <d v="2026-04-16T00:00:00"/>
    <d v="1899-12-30T08:45:00"/>
    <x v="8"/>
    <s v="BELLO"/>
    <x v="0"/>
    <n v="1000"/>
    <n v="40"/>
    <n v="15800000"/>
    <d v="2026-04-17T00:00:00"/>
    <m/>
    <m/>
    <m/>
    <m/>
    <m/>
    <m/>
    <m/>
    <m/>
    <m/>
    <m/>
    <m/>
    <m/>
    <m/>
  </r>
  <r>
    <x v="3"/>
    <s v="001-OSC-00073818"/>
    <d v="2026-04-15T00:00:00"/>
    <d v="1899-12-30T16:46:00"/>
    <x v="214"/>
    <m/>
    <d v="2026-04-16T00:00:00"/>
    <d v="1899-12-30T08:45:00"/>
    <x v="8"/>
    <s v="BELLO"/>
    <x v="3"/>
    <n v="700"/>
    <n v="28"/>
    <n v="18410000"/>
    <d v="2026-04-22T00:00:00"/>
    <m/>
    <m/>
    <m/>
    <m/>
    <m/>
    <m/>
    <m/>
    <m/>
    <m/>
    <m/>
    <m/>
    <m/>
    <m/>
  </r>
  <r>
    <x v="0"/>
    <n v="4500145962"/>
    <d v="2026-04-16T00:00:00"/>
    <d v="1899-12-30T07:30:00"/>
    <x v="215"/>
    <m/>
    <d v="2026-04-16T00:00:00"/>
    <d v="1899-12-30T12:11:00"/>
    <x v="74"/>
    <s v="MALAMBO"/>
    <x v="19"/>
    <n v="60"/>
    <n v="2"/>
    <n v="3432000"/>
    <d v="2026-04-20T00:00:00"/>
    <m/>
    <m/>
    <m/>
    <m/>
    <m/>
    <m/>
    <m/>
    <m/>
    <m/>
    <m/>
    <m/>
    <m/>
    <m/>
  </r>
  <r>
    <x v="0"/>
    <n v="4500145962"/>
    <d v="2026-04-16T00:00:00"/>
    <d v="1899-12-30T07:30:00"/>
    <x v="216"/>
    <m/>
    <d v="2026-04-16T00:00:00"/>
    <d v="1899-12-30T12:11:00"/>
    <x v="74"/>
    <s v="MALAMBO"/>
    <x v="31"/>
    <n v="4.5"/>
    <n v="0"/>
    <n v="0"/>
    <d v="2026-04-20T00:00:00"/>
    <m/>
    <m/>
    <m/>
    <m/>
    <m/>
    <m/>
    <m/>
    <m/>
    <m/>
    <m/>
    <m/>
    <m/>
    <m/>
  </r>
  <r>
    <x v="0"/>
    <m/>
    <d v="2026-04-16T00:00:00"/>
    <d v="1899-12-30T10:39:00"/>
    <x v="217"/>
    <m/>
    <d v="2026-04-16T00:00:00"/>
    <d v="1899-12-30T12:23:00"/>
    <x v="75"/>
    <s v="BOGOTA"/>
    <x v="17"/>
    <n v="25"/>
    <n v="1"/>
    <n v="1587500"/>
    <d v="2026-04-17T00:00:00"/>
    <m/>
    <m/>
    <m/>
    <m/>
    <m/>
    <m/>
    <m/>
    <m/>
    <m/>
    <m/>
    <m/>
    <m/>
    <m/>
  </r>
  <r>
    <x v="0"/>
    <m/>
    <d v="2026-04-16T00:00:00"/>
    <d v="1899-12-30T10:39:00"/>
    <x v="217"/>
    <m/>
    <d v="2026-04-16T00:00:00"/>
    <d v="1899-12-30T12:23:00"/>
    <x v="75"/>
    <s v="BOGOTA"/>
    <x v="3"/>
    <n v="25"/>
    <n v="1"/>
    <n v="662500"/>
    <d v="2026-04-17T00:00:00"/>
    <m/>
    <m/>
    <m/>
    <m/>
    <m/>
    <m/>
    <m/>
    <m/>
    <m/>
    <m/>
    <m/>
    <m/>
    <m/>
  </r>
  <r>
    <x v="0"/>
    <m/>
    <d v="2026-04-16T00:00:00"/>
    <d v="1899-12-30T10:39:00"/>
    <x v="217"/>
    <m/>
    <d v="2026-04-16T00:00:00"/>
    <d v="1899-12-30T12:23:00"/>
    <x v="75"/>
    <s v="BOGOTA"/>
    <x v="19"/>
    <n v="5"/>
    <n v="0"/>
    <n v="310000"/>
    <d v="2026-04-17T00:00:00"/>
    <m/>
    <m/>
    <m/>
    <m/>
    <m/>
    <m/>
    <m/>
    <m/>
    <m/>
    <m/>
    <m/>
    <m/>
    <m/>
  </r>
  <r>
    <x v="0"/>
    <m/>
    <d v="2026-04-16T00:00:00"/>
    <d v="1899-12-30T10:39:00"/>
    <x v="217"/>
    <m/>
    <d v="2026-04-16T00:00:00"/>
    <d v="1899-12-30T12:23:00"/>
    <x v="75"/>
    <s v="BOGOTA"/>
    <x v="31"/>
    <n v="0.375"/>
    <n v="0"/>
    <n v="0"/>
    <d v="2026-04-17T00:00:00"/>
    <m/>
    <m/>
    <m/>
    <m/>
    <m/>
    <m/>
    <m/>
    <m/>
    <m/>
    <m/>
    <m/>
    <m/>
    <m/>
  </r>
  <r>
    <x v="0"/>
    <s v="OC 004"/>
    <d v="2026-04-16T00:00:00"/>
    <d v="1899-12-30T12:07:00"/>
    <x v="218"/>
    <m/>
    <d v="2026-04-16T00:00:00"/>
    <d v="1899-12-30T12:38:00"/>
    <x v="56"/>
    <s v="BUCARAMANGA"/>
    <x v="37"/>
    <n v="7"/>
    <n v="0"/>
    <n v="1645000"/>
    <d v="2026-04-16T00:00:00"/>
    <m/>
    <m/>
    <m/>
    <m/>
    <m/>
    <m/>
    <m/>
    <m/>
    <m/>
    <m/>
    <m/>
    <m/>
    <m/>
  </r>
  <r>
    <x v="0"/>
    <s v="OC 004"/>
    <d v="2026-04-16T00:00:00"/>
    <d v="1899-12-30T12:07:00"/>
    <x v="219"/>
    <m/>
    <d v="2026-04-16T00:00:00"/>
    <d v="1899-12-30T12:38:00"/>
    <x v="56"/>
    <s v="BUCARAMANGA"/>
    <x v="31"/>
    <n v="0.125"/>
    <n v="0"/>
    <n v="1645000"/>
    <d v="2026-04-16T00:00:00"/>
    <m/>
    <m/>
    <m/>
    <m/>
    <m/>
    <m/>
    <m/>
    <m/>
    <m/>
    <m/>
    <m/>
    <m/>
    <m/>
  </r>
  <r>
    <x v="0"/>
    <s v="POP-00007771"/>
    <d v="2026-04-16T00:00:00"/>
    <d v="1899-12-30T12:07:00"/>
    <x v="220"/>
    <m/>
    <d v="2026-04-16T00:00:00"/>
    <d v="1899-12-30T12:50:00"/>
    <x v="76"/>
    <s v="MOSQUERA"/>
    <x v="12"/>
    <n v="40"/>
    <n v="2"/>
    <n v="1600000"/>
    <d v="2026-04-17T00:00:00"/>
    <m/>
    <m/>
    <m/>
    <m/>
    <m/>
    <m/>
    <m/>
    <m/>
    <m/>
    <m/>
    <m/>
    <m/>
    <m/>
  </r>
  <r>
    <x v="0"/>
    <m/>
    <d v="2026-04-16T00:00:00"/>
    <d v="1899-12-30T10:44:00"/>
    <x v="221"/>
    <m/>
    <d v="2026-04-16T00:00:00"/>
    <d v="1899-12-30T14:25:00"/>
    <x v="77"/>
    <s v="TERMINAL -TERMINAL"/>
    <x v="12"/>
    <n v="40"/>
    <n v="2"/>
    <n v="1572000"/>
    <d v="2026-04-17T00:00:00"/>
    <m/>
    <m/>
    <m/>
    <m/>
    <m/>
    <m/>
    <m/>
    <m/>
    <m/>
    <m/>
    <m/>
    <m/>
    <m/>
  </r>
  <r>
    <x v="11"/>
    <n v="1401882"/>
    <d v="2026-04-14T00:00:00"/>
    <d v="1899-12-30T10:34:00"/>
    <x v="222"/>
    <m/>
    <d v="2026-04-16T00:00:00"/>
    <d v="1899-12-30T14:50:00"/>
    <x v="11"/>
    <s v="CIENAGA"/>
    <x v="14"/>
    <n v="75"/>
    <n v="3"/>
    <n v="13515000"/>
    <d v="2026-04-17T00:00:00"/>
    <m/>
    <m/>
    <m/>
    <m/>
    <m/>
    <m/>
    <m/>
    <m/>
    <m/>
    <m/>
    <m/>
    <m/>
    <s v="VEHICULO CON FALLA MECANICA QUE SE INCINERO // PENDIENTE REALIZAR RECLAMACION Y DEFNIR SI SE SUBE NUEVO PEDIDO"/>
  </r>
  <r>
    <x v="0"/>
    <m/>
    <d v="2026-04-16T00:00:00"/>
    <d v="1899-12-30T15:48:00"/>
    <x v="223"/>
    <m/>
    <d v="2026-04-16T00:00:00"/>
    <d v="1899-12-30T16:17:00"/>
    <x v="33"/>
    <s v="DON MATIAS"/>
    <x v="43"/>
    <n v="15"/>
    <n v="1"/>
    <n v="3225000"/>
    <d v="2026-04-17T00:00:00"/>
    <m/>
    <m/>
    <m/>
    <m/>
    <m/>
    <m/>
    <m/>
    <m/>
    <m/>
    <m/>
    <m/>
    <m/>
    <m/>
  </r>
  <r>
    <x v="0"/>
    <n v="154"/>
    <d v="2026-04-16T00:00:00"/>
    <d v="1899-12-30T15:40:00"/>
    <x v="224"/>
    <m/>
    <d v="2026-04-17T00:00:00"/>
    <d v="1899-12-30T09:30:00"/>
    <x v="78"/>
    <s v="BUCARAMANGA"/>
    <x v="11"/>
    <n v="2"/>
    <n v="0"/>
    <n v="204000"/>
    <d v="2026-04-17T00:00:00"/>
    <m/>
    <m/>
    <m/>
    <m/>
    <m/>
    <m/>
    <m/>
    <m/>
    <m/>
    <m/>
    <m/>
    <m/>
    <m/>
  </r>
  <r>
    <x v="0"/>
    <s v="COC-00000438"/>
    <d v="2026-04-16T00:00:00"/>
    <d v="1899-12-30T14:23:00"/>
    <x v="225"/>
    <m/>
    <d v="2026-04-17T00:00:00"/>
    <d v="1899-12-30T09:51:00"/>
    <x v="38"/>
    <s v="DON MATIAS"/>
    <x v="29"/>
    <n v="100"/>
    <n v="4"/>
    <n v="6750000"/>
    <d v="2026-04-22T00:00:00"/>
    <m/>
    <m/>
    <m/>
    <m/>
    <m/>
    <m/>
    <m/>
    <m/>
    <m/>
    <m/>
    <m/>
    <m/>
    <m/>
  </r>
  <r>
    <x v="0"/>
    <s v="100-CON-00025092"/>
    <d v="2026-04-16T00:00:00"/>
    <d v="1899-12-30T16:32:00"/>
    <x v="226"/>
    <m/>
    <d v="2026-04-17T00:00:00"/>
    <d v="1899-12-30T09:56:00"/>
    <x v="3"/>
    <s v="GIRARDOTA"/>
    <x v="3"/>
    <n v="350"/>
    <n v="14"/>
    <n v="9205000"/>
    <d v="2026-04-22T00:00:00"/>
    <m/>
    <m/>
    <m/>
    <m/>
    <m/>
    <m/>
    <m/>
    <m/>
    <m/>
    <m/>
    <m/>
    <m/>
    <m/>
  </r>
  <r>
    <x v="0"/>
    <s v="100-CON-00025092"/>
    <d v="2026-04-16T00:00:00"/>
    <d v="1899-12-30T16:32:00"/>
    <x v="226"/>
    <m/>
    <d v="2026-04-17T00:00:00"/>
    <d v="1899-12-30T09:56:00"/>
    <x v="3"/>
    <s v="GIRARDOTA"/>
    <x v="7"/>
    <n v="200"/>
    <n v="8"/>
    <n v="3900000"/>
    <d v="2026-04-22T00:00:00"/>
    <m/>
    <m/>
    <m/>
    <m/>
    <m/>
    <m/>
    <m/>
    <m/>
    <m/>
    <m/>
    <m/>
    <m/>
    <m/>
  </r>
  <r>
    <x v="0"/>
    <n v="4500088311"/>
    <d v="2026-04-16T00:00:00"/>
    <d v="1899-12-30T20:31:00"/>
    <x v="227"/>
    <m/>
    <d v="2026-04-17T00:00:00"/>
    <d v="1899-12-30T11:09:00"/>
    <x v="0"/>
    <s v="MEDELLIN"/>
    <x v="26"/>
    <n v="700"/>
    <n v="28"/>
    <n v="13772500"/>
    <d v="2026-04-21T00:00:00"/>
    <m/>
    <m/>
    <m/>
    <m/>
    <m/>
    <m/>
    <m/>
    <m/>
    <m/>
    <m/>
    <m/>
    <m/>
    <m/>
  </r>
  <r>
    <x v="5"/>
    <n v="4500088311"/>
    <d v="2026-04-16T00:00:00"/>
    <d v="1899-12-30T20:31:00"/>
    <x v="227"/>
    <s v="BG25968"/>
    <d v="2026-04-17T00:00:00"/>
    <d v="1899-12-30T11:09:00"/>
    <x v="0"/>
    <s v="MEDELLIN"/>
    <x v="13"/>
    <n v="168"/>
    <n v="7"/>
    <n v="22764000"/>
    <d v="2026-04-21T00:00:00"/>
    <m/>
    <m/>
    <m/>
    <m/>
    <m/>
    <m/>
    <m/>
    <m/>
    <m/>
    <m/>
    <m/>
    <m/>
    <s v="PRODUCTO LIBERADO EL 20-4-2026"/>
  </r>
  <r>
    <x v="0"/>
    <n v="4500088311"/>
    <d v="2026-04-16T00:00:00"/>
    <d v="1899-12-30T20:31:00"/>
    <x v="227"/>
    <m/>
    <d v="2026-04-17T00:00:00"/>
    <d v="1899-12-30T11:09:00"/>
    <x v="0"/>
    <s v="MEDELLIN"/>
    <x v="29"/>
    <n v="400"/>
    <n v="16"/>
    <n v="24680000"/>
    <d v="2026-04-21T00:00:00"/>
    <m/>
    <m/>
    <m/>
    <m/>
    <m/>
    <m/>
    <m/>
    <m/>
    <m/>
    <m/>
    <m/>
    <m/>
    <m/>
  </r>
  <r>
    <x v="0"/>
    <s v="BODEGA EN CONSIGNACION"/>
    <d v="2026-04-17T00:00:00"/>
    <d v="1899-12-30T07:10:00"/>
    <x v="228"/>
    <m/>
    <d v="2026-04-17T00:00:00"/>
    <d v="1899-12-30T11:23:00"/>
    <x v="0"/>
    <s v="MEDELLIN"/>
    <x v="24"/>
    <n v="1000"/>
    <n v="40"/>
    <n v="19250000"/>
    <d v="2026-04-17T00:00:00"/>
    <m/>
    <m/>
    <m/>
    <m/>
    <m/>
    <m/>
    <m/>
    <m/>
    <m/>
    <m/>
    <m/>
    <m/>
    <m/>
  </r>
  <r>
    <x v="0"/>
    <s v="BODEGA EN CONSIGNACION"/>
    <d v="2026-04-17T00:00:00"/>
    <d v="1899-12-30T07:10:00"/>
    <x v="228"/>
    <m/>
    <d v="2026-04-17T00:00:00"/>
    <d v="1899-12-30T11:23:00"/>
    <x v="0"/>
    <s v="MEDELLIN"/>
    <x v="9"/>
    <n v="1000"/>
    <n v="40"/>
    <n v="19250000"/>
    <d v="2026-04-17T00:00:00"/>
    <m/>
    <m/>
    <m/>
    <m/>
    <m/>
    <m/>
    <m/>
    <m/>
    <m/>
    <m/>
    <m/>
    <m/>
    <m/>
  </r>
  <r>
    <x v="0"/>
    <s v="BODEGA EN CONSIGNACION"/>
    <d v="2026-04-17T00:00:00"/>
    <d v="1899-12-30T07:10:00"/>
    <x v="228"/>
    <m/>
    <d v="2026-04-17T00:00:00"/>
    <d v="1899-12-30T11:23:00"/>
    <x v="0"/>
    <s v="MEDELLIN"/>
    <x v="28"/>
    <n v="2200"/>
    <n v="88"/>
    <n v="66440000"/>
    <d v="2026-04-17T00:00:00"/>
    <m/>
    <m/>
    <m/>
    <m/>
    <m/>
    <m/>
    <m/>
    <m/>
    <m/>
    <m/>
    <m/>
    <m/>
    <m/>
  </r>
  <r>
    <x v="0"/>
    <s v="BODEGA EN CONSIGNACION"/>
    <d v="2026-04-17T00:00:00"/>
    <d v="1899-12-30T07:10:00"/>
    <x v="228"/>
    <m/>
    <d v="2026-04-17T00:00:00"/>
    <d v="1899-12-30T11:23:00"/>
    <x v="0"/>
    <s v="MEDELLIN"/>
    <x v="7"/>
    <n v="2000"/>
    <n v="80"/>
    <n v="35200000"/>
    <d v="2026-04-17T00:00:00"/>
    <m/>
    <m/>
    <m/>
    <m/>
    <m/>
    <m/>
    <m/>
    <m/>
    <m/>
    <m/>
    <m/>
    <m/>
    <m/>
  </r>
  <r>
    <x v="0"/>
    <s v="BODEGA EN CONSIGNACION"/>
    <d v="2026-04-17T00:00:00"/>
    <d v="1899-12-30T07:10:00"/>
    <x v="228"/>
    <m/>
    <d v="2026-04-17T00:00:00"/>
    <d v="1899-12-30T11:23:00"/>
    <x v="0"/>
    <s v="MEDELLIN"/>
    <x v="8"/>
    <n v="500"/>
    <n v="20"/>
    <n v="25930000"/>
    <d v="2026-04-17T00:00:00"/>
    <m/>
    <m/>
    <m/>
    <m/>
    <m/>
    <m/>
    <m/>
    <m/>
    <m/>
    <m/>
    <m/>
    <m/>
    <m/>
  </r>
  <r>
    <x v="0"/>
    <s v="BODEGA EN CONSIGNACION"/>
    <d v="2026-04-17T00:00:00"/>
    <d v="1899-12-30T07:10:00"/>
    <x v="228"/>
    <m/>
    <d v="2026-04-17T00:00:00"/>
    <d v="1899-12-30T11:23:00"/>
    <x v="0"/>
    <s v="MEDELLIN"/>
    <x v="27"/>
    <n v="2000"/>
    <n v="80"/>
    <n v="103800000"/>
    <d v="2026-04-17T00:00:00"/>
    <m/>
    <m/>
    <m/>
    <m/>
    <m/>
    <m/>
    <m/>
    <m/>
    <m/>
    <m/>
    <m/>
    <m/>
    <m/>
  </r>
  <r>
    <x v="0"/>
    <s v="BODEGA EN CONSIGNACION"/>
    <d v="2026-04-17T00:00:00"/>
    <d v="1899-12-30T07:10:00"/>
    <x v="229"/>
    <m/>
    <d v="2026-04-17T00:00:00"/>
    <d v="1899-12-30T11:23:00"/>
    <x v="58"/>
    <s v="MEDELLIN"/>
    <x v="30"/>
    <n v="2000"/>
    <n v="80"/>
    <n v="145734000"/>
    <d v="2026-04-17T00:00:00"/>
    <m/>
    <m/>
    <m/>
    <m/>
    <m/>
    <m/>
    <m/>
    <m/>
    <m/>
    <m/>
    <m/>
    <m/>
    <m/>
  </r>
  <r>
    <x v="0"/>
    <s v="BODEGA EN CONSIGNACION"/>
    <d v="2026-04-17T00:00:00"/>
    <d v="1899-12-30T07:10:00"/>
    <x v="229"/>
    <m/>
    <d v="2026-04-17T00:00:00"/>
    <d v="1899-12-30T11:23:00"/>
    <x v="58"/>
    <s v="MEDELLIN"/>
    <x v="20"/>
    <n v="10000"/>
    <n v="400"/>
    <n v="122901000"/>
    <d v="2026-04-17T00:00:00"/>
    <m/>
    <m/>
    <m/>
    <m/>
    <m/>
    <m/>
    <m/>
    <m/>
    <m/>
    <m/>
    <m/>
    <m/>
    <m/>
  </r>
  <r>
    <x v="0"/>
    <n v="4500377137"/>
    <d v="2026-04-17T00:00:00"/>
    <d v="1899-12-30T09:52:00"/>
    <x v="230"/>
    <m/>
    <d v="2026-04-17T00:00:00"/>
    <d v="1899-12-30T11:30:00"/>
    <x v="79"/>
    <s v="BUCARAMANGA"/>
    <x v="5"/>
    <n v="10"/>
    <n v="0"/>
    <n v="5200000"/>
    <d v="2026-04-17T00:00:00"/>
    <m/>
    <m/>
    <m/>
    <m/>
    <m/>
    <m/>
    <m/>
    <m/>
    <m/>
    <m/>
    <m/>
    <m/>
    <m/>
  </r>
  <r>
    <x v="0"/>
    <m/>
    <d v="2026-04-17T00:00:00"/>
    <d v="1899-12-30T09:00:00"/>
    <x v="231"/>
    <m/>
    <d v="2026-04-17T00:00:00"/>
    <d v="1899-12-30T11:33:00"/>
    <x v="23"/>
    <s v="BUCARAMANGA"/>
    <x v="37"/>
    <n v="3"/>
    <n v="0"/>
    <n v="706500"/>
    <d v="2026-04-17T00:00:00"/>
    <m/>
    <m/>
    <m/>
    <m/>
    <m/>
    <m/>
    <m/>
    <m/>
    <m/>
    <m/>
    <m/>
    <m/>
    <m/>
  </r>
  <r>
    <x v="0"/>
    <m/>
    <d v="2026-04-17T00:00:00"/>
    <d v="1899-12-30T09:00:00"/>
    <x v="231"/>
    <m/>
    <d v="2026-04-17T00:00:00"/>
    <d v="1899-12-30T11:33:00"/>
    <x v="23"/>
    <s v="BUCARAMANGA"/>
    <x v="16"/>
    <n v="3"/>
    <n v="0"/>
    <n v="750000"/>
    <d v="2026-04-17T00:00:00"/>
    <m/>
    <m/>
    <m/>
    <m/>
    <m/>
    <m/>
    <m/>
    <m/>
    <m/>
    <m/>
    <m/>
    <m/>
    <m/>
  </r>
  <r>
    <x v="0"/>
    <m/>
    <d v="2026-04-17T00:00:00"/>
    <d v="1899-12-30T09:00:00"/>
    <x v="232"/>
    <m/>
    <d v="2026-04-17T00:00:00"/>
    <d v="1899-12-30T11:33:00"/>
    <x v="23"/>
    <s v="BUCARAMANGA"/>
    <x v="31"/>
    <n v="7.4999999999999997E-2"/>
    <n v="0"/>
    <n v="0"/>
    <d v="2026-04-17T00:00:00"/>
    <m/>
    <m/>
    <m/>
    <m/>
    <m/>
    <m/>
    <m/>
    <m/>
    <m/>
    <m/>
    <m/>
    <m/>
    <m/>
  </r>
  <r>
    <x v="0"/>
    <n v="1404344"/>
    <d v="2026-04-17T00:00:00"/>
    <d v="1899-12-30T10:19:00"/>
    <x v="233"/>
    <m/>
    <d v="2026-04-17T00:00:00"/>
    <d v="1899-12-30T11:38:00"/>
    <x v="22"/>
    <s v="CARTAGO"/>
    <x v="34"/>
    <n v="100"/>
    <n v="4"/>
    <n v="3890000"/>
    <d v="2026-04-18T00:00:00"/>
    <m/>
    <m/>
    <m/>
    <m/>
    <m/>
    <m/>
    <m/>
    <m/>
    <m/>
    <m/>
    <m/>
    <m/>
    <m/>
  </r>
  <r>
    <x v="0"/>
    <n v="1404344"/>
    <d v="2026-04-17T00:00:00"/>
    <d v="1899-12-30T10:19:00"/>
    <x v="233"/>
    <m/>
    <d v="2026-04-17T00:00:00"/>
    <d v="1899-12-30T11:38:00"/>
    <x v="22"/>
    <s v="CARTAGO"/>
    <x v="27"/>
    <n v="75"/>
    <n v="3"/>
    <n v="3892500"/>
    <d v="2026-04-18T00:00:00"/>
    <m/>
    <m/>
    <m/>
    <m/>
    <m/>
    <m/>
    <m/>
    <m/>
    <m/>
    <m/>
    <m/>
    <m/>
    <m/>
  </r>
  <r>
    <x v="0"/>
    <n v="102329"/>
    <d v="2026-04-17T00:00:00"/>
    <d v="1899-12-30T10:47:00"/>
    <x v="234"/>
    <s v="BG25944"/>
    <d v="2026-04-17T00:00:00"/>
    <d v="1899-12-30T11:53:00"/>
    <x v="30"/>
    <s v="BUGA"/>
    <x v="5"/>
    <n v="30"/>
    <n v="1"/>
    <n v="15444000"/>
    <d v="2026-04-18T00:00:00"/>
    <m/>
    <m/>
    <m/>
    <m/>
    <m/>
    <m/>
    <m/>
    <m/>
    <m/>
    <m/>
    <m/>
    <m/>
    <m/>
  </r>
  <r>
    <x v="0"/>
    <n v="102329"/>
    <d v="2026-04-17T00:00:00"/>
    <d v="1899-12-30T10:47:00"/>
    <x v="234"/>
    <s v="BG25944"/>
    <d v="2026-04-17T00:00:00"/>
    <d v="1899-12-30T11:53:00"/>
    <x v="30"/>
    <s v="BUGA"/>
    <x v="1"/>
    <n v="20"/>
    <n v="1"/>
    <n v="1430000"/>
    <d v="2026-04-18T00:00:00"/>
    <m/>
    <m/>
    <m/>
    <m/>
    <m/>
    <m/>
    <m/>
    <m/>
    <m/>
    <m/>
    <m/>
    <m/>
    <m/>
  </r>
  <r>
    <x v="5"/>
    <n v="102329"/>
    <d v="2026-04-17T00:00:00"/>
    <d v="1899-12-30T10:47:00"/>
    <x v="234"/>
    <s v="BG26053"/>
    <d v="2026-04-17T00:00:00"/>
    <d v="1899-12-30T11:53:00"/>
    <x v="30"/>
    <s v="BUGA"/>
    <x v="13"/>
    <n v="2"/>
    <n v="0"/>
    <n v="290000"/>
    <d v="2026-04-18T00:00:00"/>
    <m/>
    <m/>
    <m/>
    <m/>
    <m/>
    <m/>
    <m/>
    <m/>
    <m/>
    <m/>
    <m/>
    <m/>
    <m/>
  </r>
  <r>
    <x v="5"/>
    <n v="102329"/>
    <d v="2026-04-17T00:00:00"/>
    <d v="1899-12-30T10:47:00"/>
    <x v="234"/>
    <m/>
    <d v="2026-04-17T00:00:00"/>
    <d v="1899-12-30T11:53:00"/>
    <x v="30"/>
    <s v="BUGA"/>
    <x v="13"/>
    <n v="28"/>
    <n v="1"/>
    <n v="4060000"/>
    <d v="2026-04-18T00:00:00"/>
    <m/>
    <m/>
    <m/>
    <m/>
    <m/>
    <m/>
    <m/>
    <m/>
    <m/>
    <m/>
    <m/>
    <m/>
    <m/>
  </r>
  <r>
    <x v="0"/>
    <n v="102329"/>
    <d v="2026-04-17T00:00:00"/>
    <d v="1899-12-30T10:47:00"/>
    <x v="234"/>
    <s v="BG25944"/>
    <d v="2026-04-17T00:00:00"/>
    <d v="1899-12-30T11:53:00"/>
    <x v="30"/>
    <s v="BUGA"/>
    <x v="12"/>
    <n v="200"/>
    <n v="8"/>
    <n v="8000000"/>
    <d v="2026-04-18T00:00:00"/>
    <m/>
    <m/>
    <m/>
    <m/>
    <m/>
    <m/>
    <m/>
    <m/>
    <m/>
    <m/>
    <m/>
    <m/>
    <m/>
  </r>
  <r>
    <x v="5"/>
    <n v="102330"/>
    <d v="2026-04-17T00:00:00"/>
    <d v="1899-12-30T10:49:00"/>
    <x v="235"/>
    <s v="BG26051"/>
    <d v="2026-04-17T00:00:00"/>
    <d v="1899-12-30T12:00:00"/>
    <x v="80"/>
    <s v="BUGA"/>
    <x v="13"/>
    <n v="30"/>
    <n v="1"/>
    <n v="4350000"/>
    <d v="2026-04-18T00:00:00"/>
    <m/>
    <m/>
    <m/>
    <m/>
    <m/>
    <m/>
    <m/>
    <m/>
    <m/>
    <m/>
    <m/>
    <m/>
    <m/>
  </r>
  <r>
    <x v="0"/>
    <n v="102330"/>
    <d v="2026-04-17T00:00:00"/>
    <d v="1899-12-30T10:49:00"/>
    <x v="235"/>
    <s v="BG25943"/>
    <d v="2026-04-17T00:00:00"/>
    <d v="1899-12-30T12:00:00"/>
    <x v="80"/>
    <s v="BUGA"/>
    <x v="5"/>
    <n v="40"/>
    <n v="2"/>
    <n v="10296000"/>
    <d v="2026-04-18T00:00:00"/>
    <m/>
    <m/>
    <m/>
    <m/>
    <m/>
    <m/>
    <m/>
    <m/>
    <m/>
    <m/>
    <m/>
    <m/>
    <m/>
  </r>
  <r>
    <x v="0"/>
    <n v="102330"/>
    <d v="2026-04-17T00:00:00"/>
    <d v="1899-12-30T10:49:00"/>
    <x v="235"/>
    <s v="BG25943"/>
    <d v="2026-04-17T00:00:00"/>
    <d v="1899-12-30T12:00:00"/>
    <x v="80"/>
    <s v="BUGA"/>
    <x v="1"/>
    <n v="10"/>
    <n v="0"/>
    <n v="715000"/>
    <d v="2026-04-18T00:00:00"/>
    <m/>
    <m/>
    <m/>
    <m/>
    <m/>
    <m/>
    <m/>
    <m/>
    <m/>
    <m/>
    <m/>
    <m/>
    <m/>
  </r>
  <r>
    <x v="5"/>
    <n v="102331"/>
    <d v="2026-04-17T00:00:00"/>
    <d v="1899-12-30T10:49:00"/>
    <x v="236"/>
    <m/>
    <d v="2026-04-17T00:00:00"/>
    <d v="1899-12-30T12:00:00"/>
    <x v="81"/>
    <s v="BUGA"/>
    <x v="13"/>
    <n v="30"/>
    <n v="1"/>
    <n v="4350000"/>
    <d v="2026-04-18T00:00:00"/>
    <m/>
    <m/>
    <m/>
    <m/>
    <m/>
    <m/>
    <m/>
    <m/>
    <m/>
    <m/>
    <m/>
    <m/>
    <m/>
  </r>
  <r>
    <x v="0"/>
    <n v="102331"/>
    <d v="2026-04-17T00:00:00"/>
    <d v="1899-12-30T10:49:00"/>
    <x v="236"/>
    <s v="BG25942"/>
    <d v="2026-04-17T00:00:00"/>
    <d v="1899-12-30T12:00:00"/>
    <x v="81"/>
    <s v="BUGA"/>
    <x v="5"/>
    <n v="40"/>
    <n v="2"/>
    <n v="10296000"/>
    <d v="2026-04-18T00:00:00"/>
    <m/>
    <m/>
    <m/>
    <m/>
    <m/>
    <m/>
    <m/>
    <m/>
    <m/>
    <m/>
    <m/>
    <m/>
    <m/>
  </r>
  <r>
    <x v="0"/>
    <n v="102331"/>
    <d v="2026-04-17T00:00:00"/>
    <d v="1899-12-30T10:49:00"/>
    <x v="236"/>
    <s v="BG25942"/>
    <d v="2026-04-17T00:00:00"/>
    <d v="1899-12-30T12:00:00"/>
    <x v="81"/>
    <s v="BUGA"/>
    <x v="1"/>
    <n v="10"/>
    <n v="0"/>
    <n v="715000"/>
    <d v="2026-04-18T00:00:00"/>
    <m/>
    <m/>
    <m/>
    <m/>
    <m/>
    <m/>
    <m/>
    <m/>
    <m/>
    <m/>
    <m/>
    <m/>
    <m/>
  </r>
  <r>
    <x v="0"/>
    <s v="BODEGA EN CONSIGNACION"/>
    <d v="2026-04-17T00:00:00"/>
    <d v="1899-12-30T07:10:00"/>
    <x v="237"/>
    <m/>
    <d v="2026-04-17T00:00:00"/>
    <d v="1899-12-30T12:21:00"/>
    <x v="58"/>
    <s v="MEDELLIN"/>
    <x v="30"/>
    <n v="3000"/>
    <n v="120"/>
    <n v="218601000"/>
    <d v="2026-04-17T00:00:00"/>
    <m/>
    <m/>
    <m/>
    <m/>
    <m/>
    <m/>
    <m/>
    <m/>
    <m/>
    <m/>
    <m/>
    <m/>
    <m/>
  </r>
  <r>
    <x v="3"/>
    <s v="OC PENDIENTE"/>
    <d v="2026-04-17T00:00:00"/>
    <d v="1899-12-30T11:41:00"/>
    <x v="238"/>
    <m/>
    <d v="2026-04-17T00:00:00"/>
    <d v="1899-12-30T12:27:00"/>
    <x v="41"/>
    <s v="BUCARAMANGA"/>
    <x v="18"/>
    <n v="200"/>
    <n v="8"/>
    <n v="4800000"/>
    <d v="2026-04-20T00:00:00"/>
    <m/>
    <m/>
    <m/>
    <m/>
    <m/>
    <m/>
    <m/>
    <m/>
    <m/>
    <m/>
    <m/>
    <m/>
    <m/>
  </r>
  <r>
    <x v="0"/>
    <m/>
    <d v="2026-04-17T00:00:00"/>
    <d v="1899-12-30T10:36:00"/>
    <x v="239"/>
    <m/>
    <d v="2026-04-17T00:00:00"/>
    <d v="1899-12-30T12:41:00"/>
    <x v="56"/>
    <s v="BUCARAMANGA"/>
    <x v="40"/>
    <n v="10"/>
    <n v="0"/>
    <n v="700000"/>
    <d v="2026-04-17T00:00:00"/>
    <m/>
    <m/>
    <m/>
    <m/>
    <m/>
    <m/>
    <m/>
    <m/>
    <m/>
    <m/>
    <m/>
    <m/>
    <m/>
  </r>
  <r>
    <x v="12"/>
    <n v="4500088351"/>
    <d v="2026-04-17T00:00:00"/>
    <d v="1899-12-30T13:05:00"/>
    <x v="240"/>
    <m/>
    <d v="2026-04-17T00:00:00"/>
    <d v="1899-12-30T14:14:00"/>
    <x v="0"/>
    <s v="MEDELLIN"/>
    <x v="3"/>
    <n v="2000"/>
    <n v="80"/>
    <n v="49500000"/>
    <d v="2026-04-17T00:00:00"/>
    <m/>
    <m/>
    <m/>
    <m/>
    <m/>
    <m/>
    <m/>
    <m/>
    <m/>
    <m/>
    <m/>
    <m/>
    <s v="PEDIDO GESTIONADO DESDE BOGOTA Y SE LE ASIGNO TAREA A LOGISTICA DE SALIDA"/>
  </r>
  <r>
    <x v="0"/>
    <m/>
    <d v="2026-04-17T00:00:00"/>
    <d v="1899-12-30T16:30:00"/>
    <x v="241"/>
    <m/>
    <d v="2026-04-17T00:00:00"/>
    <d v="1899-12-30T15:10:00"/>
    <x v="82"/>
    <s v="BUGA"/>
    <x v="39"/>
    <n v="25"/>
    <n v="1"/>
    <n v="3320000"/>
    <d v="2026-04-20T00:00:00"/>
    <m/>
    <m/>
    <m/>
    <m/>
    <m/>
    <m/>
    <m/>
    <m/>
    <m/>
    <m/>
    <m/>
    <m/>
    <m/>
  </r>
  <r>
    <x v="0"/>
    <m/>
    <d v="2026-04-17T00:00:00"/>
    <d v="1899-12-30T16:30:00"/>
    <x v="241"/>
    <m/>
    <d v="2026-04-17T00:00:00"/>
    <d v="1899-12-30T15:10:00"/>
    <x v="82"/>
    <s v="BUGA"/>
    <x v="40"/>
    <n v="20"/>
    <n v="1"/>
    <n v="1750000"/>
    <d v="2026-04-20T00:00:00"/>
    <m/>
    <m/>
    <m/>
    <m/>
    <m/>
    <m/>
    <m/>
    <m/>
    <m/>
    <m/>
    <m/>
    <m/>
    <m/>
  </r>
  <r>
    <x v="0"/>
    <m/>
    <d v="2026-04-17T00:00:00"/>
    <d v="1899-12-30T15:30:00"/>
    <x v="242"/>
    <m/>
    <d v="2026-04-17T00:00:00"/>
    <d v="1899-12-30T15:29:00"/>
    <x v="83"/>
    <s v="DON MATIAS"/>
    <x v="5"/>
    <n v="4"/>
    <n v="0"/>
    <n v="2080000"/>
    <d v="2026-04-17T00:00:00"/>
    <m/>
    <m/>
    <m/>
    <m/>
    <m/>
    <m/>
    <m/>
    <m/>
    <m/>
    <m/>
    <m/>
    <m/>
    <m/>
  </r>
  <r>
    <x v="0"/>
    <n v="5504450676"/>
    <d v="2026-04-17T00:00:00"/>
    <d v="1899-12-30T16:23:00"/>
    <x v="243"/>
    <m/>
    <d v="2026-04-17T00:00:00"/>
    <d v="1899-12-30T16:23:00"/>
    <x v="1"/>
    <s v="ESMERALDA"/>
    <x v="1"/>
    <n v="100"/>
    <n v="4"/>
    <n v="5500000"/>
    <d v="2026-04-18T00:00:00"/>
    <m/>
    <m/>
    <m/>
    <m/>
    <m/>
    <m/>
    <m/>
    <m/>
    <m/>
    <m/>
    <m/>
    <m/>
    <m/>
  </r>
  <r>
    <x v="3"/>
    <s v="CFMP-2017"/>
    <d v="2026-04-17T00:00:00"/>
    <d v="1899-12-30T16:20:00"/>
    <x v="244"/>
    <m/>
    <d v="2026-04-17T00:00:00"/>
    <d v="1899-12-30T16:29:00"/>
    <x v="45"/>
    <s v="NUTRITEC"/>
    <x v="30"/>
    <n v="50"/>
    <n v="2"/>
    <n v="5125000"/>
    <d v="2026-04-21T00:00:00"/>
    <m/>
    <m/>
    <m/>
    <m/>
    <m/>
    <m/>
    <m/>
    <m/>
    <m/>
    <m/>
    <m/>
    <m/>
    <m/>
  </r>
  <r>
    <x v="3"/>
    <s v="CFMP-2017"/>
    <d v="2026-04-17T00:00:00"/>
    <d v="1899-12-30T16:20:00"/>
    <x v="244"/>
    <m/>
    <d v="2026-04-17T00:00:00"/>
    <d v="1899-12-30T16:29:00"/>
    <x v="45"/>
    <s v="NUTRITEC"/>
    <x v="3"/>
    <n v="250"/>
    <n v="10"/>
    <n v="6375000"/>
    <d v="2026-04-21T00:00:00"/>
    <m/>
    <m/>
    <m/>
    <m/>
    <m/>
    <m/>
    <m/>
    <m/>
    <m/>
    <m/>
    <m/>
    <m/>
    <m/>
  </r>
  <r>
    <x v="3"/>
    <s v="CFMP-2017"/>
    <d v="2026-04-17T00:00:00"/>
    <d v="1899-12-30T16:20:00"/>
    <x v="244"/>
    <m/>
    <d v="2026-04-17T00:00:00"/>
    <d v="1899-12-30T16:29:00"/>
    <x v="45"/>
    <s v="NUTRITEC"/>
    <x v="20"/>
    <n v="100"/>
    <n v="4"/>
    <n v="16420000"/>
    <d v="2026-04-21T00:00:00"/>
    <m/>
    <m/>
    <m/>
    <m/>
    <m/>
    <m/>
    <m/>
    <m/>
    <m/>
    <m/>
    <m/>
    <m/>
    <m/>
  </r>
  <r>
    <x v="3"/>
    <s v="CFMP-2017"/>
    <d v="2026-04-17T00:00:00"/>
    <d v="1899-12-30T16:20:00"/>
    <x v="244"/>
    <m/>
    <d v="2026-04-17T00:00:00"/>
    <d v="1899-12-30T16:29:00"/>
    <x v="45"/>
    <s v="NUTRITEC"/>
    <x v="0"/>
    <n v="300"/>
    <n v="12"/>
    <n v="4860000"/>
    <d v="2026-04-21T00:00:00"/>
    <m/>
    <m/>
    <m/>
    <m/>
    <m/>
    <m/>
    <m/>
    <m/>
    <m/>
    <m/>
    <m/>
    <m/>
    <m/>
  </r>
  <r>
    <x v="3"/>
    <s v="CFMP-2017"/>
    <d v="2026-04-17T00:00:00"/>
    <d v="1899-12-30T16:20:00"/>
    <x v="244"/>
    <m/>
    <d v="2026-04-17T00:00:00"/>
    <d v="1899-12-30T16:29:00"/>
    <x v="45"/>
    <s v="NUTRITEC"/>
    <x v="7"/>
    <n v="100"/>
    <n v="4"/>
    <n v="1989000"/>
    <d v="2026-04-21T00:00:00"/>
    <m/>
    <m/>
    <m/>
    <m/>
    <m/>
    <m/>
    <m/>
    <m/>
    <m/>
    <m/>
    <m/>
    <m/>
    <m/>
  </r>
  <r>
    <x v="0"/>
    <m/>
    <d v="2026-04-17T00:00:00"/>
    <d v="1899-12-30T16:41:00"/>
    <x v="245"/>
    <m/>
    <d v="2026-04-17T00:00:00"/>
    <d v="1899-12-30T16:48:00"/>
    <x v="84"/>
    <s v="SANTUARIO"/>
    <x v="19"/>
    <n v="15"/>
    <n v="1"/>
    <n v="915000"/>
    <d v="2026-04-18T00:00:00"/>
    <m/>
    <m/>
    <m/>
    <m/>
    <m/>
    <m/>
    <m/>
    <m/>
    <m/>
    <m/>
    <m/>
    <m/>
    <m/>
  </r>
  <r>
    <x v="0"/>
    <m/>
    <d v="2026-04-17T00:00:00"/>
    <d v="1899-12-30T16:41:00"/>
    <x v="246"/>
    <m/>
    <d v="2026-04-17T00:00:00"/>
    <d v="1899-12-30T16:48:00"/>
    <x v="84"/>
    <s v="SANTUARIO"/>
    <x v="31"/>
    <n v="1.1125"/>
    <n v="0"/>
    <n v="915000"/>
    <d v="2026-04-18T00:00:00"/>
    <m/>
    <m/>
    <m/>
    <m/>
    <m/>
    <m/>
    <m/>
    <m/>
    <m/>
    <m/>
    <m/>
    <m/>
    <m/>
  </r>
  <r>
    <x v="0"/>
    <s v="004-OSC-00051733"/>
    <d v="2026-04-20T00:00:00"/>
    <d v="1899-12-30T10:29:00"/>
    <x v="247"/>
    <m/>
    <d v="2026-04-20T00:00:00"/>
    <d v="1899-12-30T11:15:00"/>
    <x v="8"/>
    <s v="CARTAGO"/>
    <x v="23"/>
    <n v="50"/>
    <n v="2"/>
    <n v="810000"/>
    <d v="2026-04-21T00:00:00"/>
    <m/>
    <m/>
    <m/>
    <m/>
    <m/>
    <m/>
    <m/>
    <m/>
    <m/>
    <m/>
    <m/>
    <m/>
    <m/>
  </r>
  <r>
    <x v="0"/>
    <s v="OC PENDIENTE"/>
    <d v="2026-04-20T00:00:00"/>
    <d v="1899-12-30T11:00:00"/>
    <x v="248"/>
    <m/>
    <d v="2026-04-20T00:00:00"/>
    <d v="1899-12-30T11:36:00"/>
    <x v="25"/>
    <s v="CALOTO"/>
    <x v="20"/>
    <n v="1000"/>
    <n v="40"/>
    <n v="179500000"/>
    <d v="2026-04-21T00:00:00"/>
    <m/>
    <m/>
    <m/>
    <m/>
    <m/>
    <m/>
    <m/>
    <m/>
    <m/>
    <m/>
    <m/>
    <m/>
    <m/>
  </r>
  <r>
    <x v="8"/>
    <n v="155"/>
    <d v="2026-04-20T00:00:00"/>
    <d v="1899-12-30T11:34:00"/>
    <x v="249"/>
    <s v="BG26006"/>
    <d v="2026-04-20T00:00:00"/>
    <d v="1899-12-30T12:22:00"/>
    <x v="78"/>
    <s v="BUCARAMANGA"/>
    <x v="5"/>
    <n v="2.5"/>
    <n v="0"/>
    <n v="1297000"/>
    <d v="2026-04-20T00:00:00"/>
    <m/>
    <m/>
    <m/>
    <m/>
    <m/>
    <m/>
    <m/>
    <m/>
    <m/>
    <m/>
    <m/>
    <m/>
    <s v="EL CLIENTE INFORMA QUE SOLAMENTE ESTABA CONFIRMANDO SI TENIAMOS PRODUCTO DISPONIBLE EN LA BODEGA PARA ENTREGA INMEDIATA // NO ENVIO oc"/>
  </r>
  <r>
    <x v="0"/>
    <n v="1404826"/>
    <d v="2026-04-17T00:00:00"/>
    <d v="1899-12-30T16:46:00"/>
    <x v="250"/>
    <m/>
    <d v="2026-04-20T00:00:00"/>
    <d v="1899-12-30T12:31:00"/>
    <x v="22"/>
    <s v="BOGOTA"/>
    <x v="33"/>
    <n v="75"/>
    <n v="3"/>
    <n v="1629750"/>
    <d v="2026-04-27T00:00:00"/>
    <m/>
    <m/>
    <m/>
    <m/>
    <m/>
    <m/>
    <m/>
    <m/>
    <m/>
    <m/>
    <m/>
    <m/>
    <m/>
  </r>
  <r>
    <x v="0"/>
    <n v="1405434"/>
    <d v="2026-04-20T00:00:00"/>
    <d v="1899-12-30T10:47:00"/>
    <x v="251"/>
    <s v="BG26014"/>
    <d v="2026-04-20T00:00:00"/>
    <d v="1899-12-30T12:39:00"/>
    <x v="11"/>
    <s v="CIENAGA"/>
    <x v="8"/>
    <n v="75"/>
    <n v="3"/>
    <n v="3889500"/>
    <d v="2026-04-22T00:00:00"/>
    <m/>
    <m/>
    <m/>
    <m/>
    <m/>
    <m/>
    <m/>
    <m/>
    <m/>
    <m/>
    <m/>
    <m/>
    <m/>
  </r>
  <r>
    <x v="0"/>
    <s v="3016-1373"/>
    <d v="2026-04-20T00:00:00"/>
    <d v="1899-12-30T11:20:00"/>
    <x v="252"/>
    <m/>
    <d v="2026-04-20T00:00:00"/>
    <d v="1899-12-30T12:46:00"/>
    <x v="85"/>
    <s v="BOGOTA"/>
    <x v="28"/>
    <n v="25"/>
    <n v="1"/>
    <n v="887625"/>
    <d v="2025-04-21T00:00:00"/>
    <m/>
    <m/>
    <m/>
    <m/>
    <m/>
    <m/>
    <m/>
    <m/>
    <m/>
    <m/>
    <m/>
    <m/>
    <m/>
  </r>
  <r>
    <x v="0"/>
    <s v="3016-1373"/>
    <d v="2026-04-20T00:00:00"/>
    <d v="1899-12-30T11:20:00"/>
    <x v="252"/>
    <m/>
    <d v="2026-04-20T00:00:00"/>
    <d v="1899-12-30T12:46:00"/>
    <x v="85"/>
    <s v="BOGOTA"/>
    <x v="19"/>
    <n v="30"/>
    <n v="1"/>
    <n v="1830000"/>
    <d v="2025-04-21T00:00:00"/>
    <m/>
    <m/>
    <m/>
    <m/>
    <m/>
    <m/>
    <m/>
    <m/>
    <m/>
    <m/>
    <m/>
    <m/>
    <m/>
  </r>
  <r>
    <x v="0"/>
    <s v="3016-1373"/>
    <d v="2026-04-20T00:00:00"/>
    <d v="1899-12-30T11:20:00"/>
    <x v="253"/>
    <m/>
    <d v="2026-04-20T00:00:00"/>
    <d v="1899-12-30T12:46:00"/>
    <x v="85"/>
    <s v="BOGOTA"/>
    <x v="31"/>
    <n v="2.25"/>
    <n v="0"/>
    <n v="0"/>
    <d v="2025-04-21T00:00:00"/>
    <m/>
    <m/>
    <m/>
    <m/>
    <m/>
    <m/>
    <m/>
    <m/>
    <m/>
    <m/>
    <m/>
    <m/>
    <m/>
  </r>
  <r>
    <x v="0"/>
    <n v="32906"/>
    <d v="2026-04-20T00:00:00"/>
    <d v="1899-12-30T11:28:00"/>
    <x v="254"/>
    <m/>
    <d v="2026-04-20T00:00:00"/>
    <d v="1899-12-30T12:53:00"/>
    <x v="57"/>
    <s v="GARAGOA"/>
    <x v="16"/>
    <n v="15"/>
    <n v="1"/>
    <n v="4050000"/>
    <d v="2025-04-21T00:00:00"/>
    <m/>
    <m/>
    <m/>
    <m/>
    <m/>
    <m/>
    <m/>
    <m/>
    <m/>
    <m/>
    <m/>
    <m/>
    <m/>
  </r>
  <r>
    <x v="0"/>
    <n v="32869"/>
    <d v="2026-04-20T00:00:00"/>
    <d v="1899-12-30T11:28:00"/>
    <x v="255"/>
    <m/>
    <d v="2026-04-20T00:00:00"/>
    <d v="1899-12-30T12:53:00"/>
    <x v="57"/>
    <s v="GARAGOA"/>
    <x v="16"/>
    <n v="24"/>
    <n v="1"/>
    <n v="6480000"/>
    <d v="2025-04-21T00:00:00"/>
    <m/>
    <m/>
    <m/>
    <m/>
    <m/>
    <m/>
    <m/>
    <m/>
    <m/>
    <m/>
    <m/>
    <m/>
    <m/>
  </r>
  <r>
    <x v="0"/>
    <n v="32901"/>
    <d v="2026-04-20T00:00:00"/>
    <d v="1899-12-30T11:28:00"/>
    <x v="256"/>
    <m/>
    <d v="2026-04-20T00:00:00"/>
    <d v="1899-12-30T12:53:00"/>
    <x v="57"/>
    <s v="LA VEGA"/>
    <x v="16"/>
    <n v="23"/>
    <n v="1"/>
    <n v="6210000"/>
    <d v="2025-04-21T00:00:00"/>
    <m/>
    <m/>
    <m/>
    <m/>
    <m/>
    <m/>
    <m/>
    <m/>
    <m/>
    <m/>
    <m/>
    <m/>
    <m/>
  </r>
  <r>
    <x v="0"/>
    <m/>
    <d v="2026-04-20T00:00:00"/>
    <d v="1899-12-30T11:39:00"/>
    <x v="257"/>
    <m/>
    <d v="2026-04-20T00:00:00"/>
    <d v="1899-12-30T14:22:00"/>
    <x v="53"/>
    <s v="SANTA ROSA"/>
    <x v="39"/>
    <n v="10"/>
    <n v="0"/>
    <n v="1600000"/>
    <d v="2026-04-20T00:00:00"/>
    <m/>
    <m/>
    <m/>
    <m/>
    <m/>
    <m/>
    <m/>
    <m/>
    <m/>
    <m/>
    <m/>
    <m/>
    <m/>
  </r>
  <r>
    <x v="0"/>
    <m/>
    <d v="2026-04-20T00:00:00"/>
    <d v="1899-12-30T11:39:00"/>
    <x v="257"/>
    <m/>
    <d v="2026-04-20T00:00:00"/>
    <d v="1899-12-30T14:22:00"/>
    <x v="53"/>
    <s v="SANTA ROSA"/>
    <x v="14"/>
    <n v="5"/>
    <n v="0"/>
    <n v="1050000"/>
    <d v="2026-04-20T00:00:00"/>
    <m/>
    <m/>
    <m/>
    <m/>
    <m/>
    <m/>
    <m/>
    <m/>
    <m/>
    <m/>
    <m/>
    <m/>
    <m/>
  </r>
  <r>
    <x v="0"/>
    <n v="1405547"/>
    <d v="2026-04-20T00:00:00"/>
    <d v="1899-12-30T01:04:00"/>
    <x v="258"/>
    <m/>
    <d v="2026-04-20T00:00:00"/>
    <d v="1899-12-30T14:30:00"/>
    <x v="22"/>
    <s v="BOGOTA"/>
    <x v="33"/>
    <n v="75"/>
    <n v="3"/>
    <n v="1629750"/>
    <d v="2026-04-27T00:00:00"/>
    <m/>
    <m/>
    <m/>
    <m/>
    <m/>
    <m/>
    <m/>
    <m/>
    <m/>
    <m/>
    <m/>
    <m/>
    <m/>
  </r>
  <r>
    <x v="0"/>
    <n v="5504605218"/>
    <d v="2026-04-20T00:00:00"/>
    <d v="1899-12-30T16:00:00"/>
    <x v="259"/>
    <m/>
    <d v="2026-04-20T00:00:00"/>
    <d v="1899-12-30T16:20:00"/>
    <x v="1"/>
    <s v="CAVASA"/>
    <x v="7"/>
    <n v="4000"/>
    <n v="160"/>
    <n v="73400000"/>
    <d v="2026-04-24T00:00:00"/>
    <m/>
    <m/>
    <m/>
    <m/>
    <m/>
    <m/>
    <m/>
    <m/>
    <m/>
    <m/>
    <m/>
    <m/>
    <m/>
  </r>
  <r>
    <x v="0"/>
    <s v="ORC-2604012"/>
    <d v="2026-04-20T00:00:00"/>
    <d v="1899-12-30T14:38:00"/>
    <x v="260"/>
    <m/>
    <d v="2026-04-21T00:00:00"/>
    <d v="1899-12-30T09:18:00"/>
    <x v="51"/>
    <s v="MANIZALES"/>
    <x v="23"/>
    <n v="300"/>
    <n v="12"/>
    <n v="5100000"/>
    <d v="2026-04-22T00:00:00"/>
    <m/>
    <m/>
    <m/>
    <m/>
    <m/>
    <m/>
    <m/>
    <m/>
    <m/>
    <m/>
    <m/>
    <m/>
    <m/>
  </r>
  <r>
    <x v="0"/>
    <s v="ORC-2604012"/>
    <d v="2026-04-20T00:00:00"/>
    <d v="1899-12-30T14:38:00"/>
    <x v="260"/>
    <m/>
    <d v="2026-04-21T00:00:00"/>
    <d v="1899-12-30T09:18:00"/>
    <x v="51"/>
    <s v="MANIZALES"/>
    <x v="39"/>
    <n v="25"/>
    <n v="1"/>
    <n v="3875000"/>
    <d v="2026-04-22T00:00:00"/>
    <m/>
    <m/>
    <m/>
    <m/>
    <m/>
    <m/>
    <m/>
    <m/>
    <m/>
    <m/>
    <m/>
    <m/>
    <m/>
  </r>
  <r>
    <x v="0"/>
    <s v="OCO-00011090"/>
    <d v="2026-04-20T00:00:00"/>
    <d v="1899-12-30T16:01:00"/>
    <x v="261"/>
    <m/>
    <d v="2026-04-21T00:00:00"/>
    <d v="1899-12-30T09:28:00"/>
    <x v="44"/>
    <s v="LA CABAÑA"/>
    <x v="47"/>
    <n v="60"/>
    <n v="2"/>
    <n v="10800000"/>
    <d v="2026-04-22T00:00:00"/>
    <m/>
    <m/>
    <m/>
    <m/>
    <m/>
    <m/>
    <m/>
    <m/>
    <m/>
    <m/>
    <m/>
    <m/>
    <m/>
  </r>
  <r>
    <x v="0"/>
    <s v="001-SC-016032"/>
    <d v="2026-04-20T00:00:00"/>
    <d v="1899-12-30T17:47:00"/>
    <x v="262"/>
    <m/>
    <d v="2026-04-21T00:00:00"/>
    <d v="1899-12-30T09:47:00"/>
    <x v="18"/>
    <s v="NUTREXCOL"/>
    <x v="19"/>
    <n v="100"/>
    <n v="4"/>
    <n v="5300000"/>
    <d v="2026-04-22T00:00:00"/>
    <m/>
    <m/>
    <m/>
    <m/>
    <m/>
    <m/>
    <m/>
    <m/>
    <m/>
    <m/>
    <m/>
    <m/>
    <m/>
  </r>
  <r>
    <x v="0"/>
    <s v="001-SC-016032"/>
    <d v="2026-04-20T00:00:00"/>
    <d v="1899-12-30T17:47:00"/>
    <x v="262"/>
    <m/>
    <d v="2026-04-21T00:00:00"/>
    <d v="1899-12-30T09:47:00"/>
    <x v="18"/>
    <s v="NUTREXCOL"/>
    <x v="3"/>
    <n v="100"/>
    <n v="4"/>
    <n v="2550000"/>
    <d v="2026-04-22T00:00:00"/>
    <m/>
    <m/>
    <m/>
    <m/>
    <m/>
    <m/>
    <m/>
    <m/>
    <m/>
    <m/>
    <m/>
    <m/>
    <m/>
  </r>
  <r>
    <x v="0"/>
    <s v="001-SC-016032"/>
    <d v="2026-04-20T00:00:00"/>
    <d v="1899-12-30T17:47:00"/>
    <x v="263"/>
    <m/>
    <d v="2026-04-21T00:00:00"/>
    <d v="1899-12-30T09:48:00"/>
    <x v="18"/>
    <s v="NUTREXCOL"/>
    <x v="31"/>
    <n v="7.5"/>
    <n v="0"/>
    <n v="0"/>
    <d v="2026-04-22T00:00:00"/>
    <m/>
    <m/>
    <m/>
    <m/>
    <m/>
    <m/>
    <m/>
    <m/>
    <m/>
    <m/>
    <m/>
    <m/>
    <m/>
  </r>
  <r>
    <x v="0"/>
    <m/>
    <d v="2026-04-20T00:00:00"/>
    <d v="1899-12-30T16:06:00"/>
    <x v="264"/>
    <m/>
    <d v="2026-04-21T00:00:00"/>
    <d v="1899-12-30T10:09:00"/>
    <x v="49"/>
    <s v="GIRON"/>
    <x v="17"/>
    <n v="50"/>
    <n v="2"/>
    <n v="3160000"/>
    <d v="2026-04-22T00:00:00"/>
    <m/>
    <m/>
    <m/>
    <m/>
    <m/>
    <m/>
    <m/>
    <m/>
    <m/>
    <m/>
    <m/>
    <m/>
    <m/>
  </r>
  <r>
    <x v="0"/>
    <n v="4500377347"/>
    <d v="2026-04-20T00:00:00"/>
    <d v="1899-12-30T16:51:00"/>
    <x v="265"/>
    <m/>
    <d v="2026-04-21T00:00:00"/>
    <d v="1899-12-30T11:13:00"/>
    <x v="79"/>
    <s v="GIRON"/>
    <x v="42"/>
    <n v="150"/>
    <n v="6"/>
    <n v="8580000"/>
    <d v="2026-04-21T00:00:00"/>
    <m/>
    <m/>
    <m/>
    <m/>
    <m/>
    <m/>
    <m/>
    <m/>
    <m/>
    <m/>
    <m/>
    <m/>
    <m/>
  </r>
  <r>
    <x v="0"/>
    <m/>
    <d v="2026-04-21T00:00:00"/>
    <d v="1899-12-30T11:00:00"/>
    <x v="266"/>
    <m/>
    <d v="2026-04-21T00:00:00"/>
    <d v="1899-12-30T11:48:00"/>
    <x v="86"/>
    <s v="LA CEJA"/>
    <x v="5"/>
    <n v="28"/>
    <n v="1"/>
    <n v="14560000"/>
    <d v="2026-04-22T00:00:00"/>
    <m/>
    <m/>
    <m/>
    <m/>
    <m/>
    <m/>
    <m/>
    <m/>
    <m/>
    <m/>
    <m/>
    <m/>
    <m/>
  </r>
  <r>
    <x v="0"/>
    <n v="1406467"/>
    <d v="2026-04-21T00:00:00"/>
    <d v="1899-12-30T11:00:00"/>
    <x v="266"/>
    <m/>
    <d v="2026-04-21T00:00:00"/>
    <d v="1899-12-30T11:48:00"/>
    <x v="22"/>
    <s v="ENVIGADO"/>
    <x v="3"/>
    <n v="50"/>
    <n v="2"/>
    <n v="1237500"/>
    <d v="2026-04-21T00:00:00"/>
    <m/>
    <m/>
    <m/>
    <m/>
    <m/>
    <m/>
    <m/>
    <m/>
    <m/>
    <m/>
    <m/>
    <m/>
    <m/>
  </r>
  <r>
    <x v="0"/>
    <s v="001-OC -00052128"/>
    <d v="2026-04-21T00:00:00"/>
    <d v="1899-12-30T10:20:00"/>
    <x v="267"/>
    <m/>
    <d v="2026-04-21T00:00:00"/>
    <d v="1899-12-30T12:10:00"/>
    <x v="87"/>
    <s v="PUERTO TEJADA"/>
    <x v="14"/>
    <n v="50"/>
    <n v="2"/>
    <n v="10250000"/>
    <d v="2026-04-22T00:00:00"/>
    <m/>
    <m/>
    <m/>
    <m/>
    <m/>
    <m/>
    <m/>
    <m/>
    <m/>
    <m/>
    <m/>
    <m/>
    <m/>
  </r>
  <r>
    <x v="0"/>
    <m/>
    <d v="2026-04-21T00:00:00"/>
    <d v="1899-12-30T07:20:00"/>
    <x v="268"/>
    <m/>
    <d v="2026-04-21T00:00:00"/>
    <d v="1899-12-30T12:14:00"/>
    <x v="76"/>
    <s v="VILLAVICENCIO"/>
    <x v="48"/>
    <n v="13"/>
    <n v="1"/>
    <n v="949000"/>
    <d v="2026-04-22T00:00:00"/>
    <m/>
    <m/>
    <m/>
    <m/>
    <m/>
    <m/>
    <m/>
    <m/>
    <m/>
    <m/>
    <m/>
    <m/>
    <m/>
  </r>
  <r>
    <x v="0"/>
    <s v="4500088416 _x000a_"/>
    <d v="2026-04-21T00:00:00"/>
    <d v="1899-12-30T11:22:00"/>
    <x v="269"/>
    <m/>
    <d v="2026-04-21T00:00:00"/>
    <d v="1899-12-30T12:19:00"/>
    <x v="0"/>
    <s v="CELTA"/>
    <x v="9"/>
    <n v="2500"/>
    <n v="100"/>
    <n v="48125000"/>
    <d v="2026-04-23T00:00:00"/>
    <m/>
    <m/>
    <m/>
    <m/>
    <m/>
    <m/>
    <m/>
    <m/>
    <m/>
    <m/>
    <m/>
    <m/>
    <m/>
  </r>
  <r>
    <x v="0"/>
    <s v="4500088416 _x000a_"/>
    <d v="2026-04-21T00:00:00"/>
    <d v="1899-12-30T11:22:00"/>
    <x v="269"/>
    <m/>
    <d v="2026-04-21T00:00:00"/>
    <d v="1899-12-30T12:19:00"/>
    <x v="0"/>
    <s v="CELTA"/>
    <x v="27"/>
    <n v="800"/>
    <n v="32"/>
    <n v="41250000"/>
    <d v="2026-04-23T00:00:00"/>
    <m/>
    <m/>
    <m/>
    <m/>
    <m/>
    <m/>
    <m/>
    <m/>
    <m/>
    <m/>
    <m/>
    <m/>
    <m/>
  </r>
  <r>
    <x v="0"/>
    <s v="4500088416 _x000a_"/>
    <d v="2026-04-21T00:00:00"/>
    <d v="1899-12-30T11:22:00"/>
    <x v="269"/>
    <m/>
    <d v="2026-04-21T00:00:00"/>
    <d v="1899-12-30T12:19:00"/>
    <x v="0"/>
    <s v="CELTA"/>
    <x v="26"/>
    <n v="200"/>
    <n v="8"/>
    <n v="3935000"/>
    <d v="2026-04-23T00:00:00"/>
    <m/>
    <m/>
    <m/>
    <m/>
    <m/>
    <m/>
    <m/>
    <m/>
    <m/>
    <m/>
    <m/>
    <m/>
    <m/>
  </r>
  <r>
    <x v="0"/>
    <s v="4500088416 _x000a_"/>
    <d v="2026-04-21T00:00:00"/>
    <d v="1899-12-30T11:22:00"/>
    <x v="269"/>
    <m/>
    <d v="2026-04-21T00:00:00"/>
    <d v="1899-12-30T12:19:00"/>
    <x v="0"/>
    <s v="CELTA"/>
    <x v="34"/>
    <n v="100"/>
    <n v="4"/>
    <n v="3890000"/>
    <d v="2026-04-23T00:00:00"/>
    <m/>
    <m/>
    <m/>
    <m/>
    <m/>
    <m/>
    <m/>
    <m/>
    <m/>
    <m/>
    <m/>
    <m/>
    <m/>
  </r>
  <r>
    <x v="0"/>
    <s v="4500088416 _x000a_"/>
    <d v="2026-04-21T00:00:00"/>
    <d v="1899-12-30T11:22:00"/>
    <x v="269"/>
    <m/>
    <d v="2026-04-21T00:00:00"/>
    <d v="1899-12-30T12:19:00"/>
    <x v="0"/>
    <s v="CELTA"/>
    <x v="28"/>
    <n v="100"/>
    <n v="4"/>
    <n v="3020000"/>
    <d v="2026-04-23T00:00:00"/>
    <m/>
    <m/>
    <m/>
    <m/>
    <m/>
    <m/>
    <m/>
    <m/>
    <m/>
    <m/>
    <m/>
    <m/>
    <m/>
  </r>
  <r>
    <x v="0"/>
    <s v="4500088416 _x000a_"/>
    <d v="2026-04-21T00:00:00"/>
    <d v="1899-12-30T11:22:00"/>
    <x v="269"/>
    <m/>
    <d v="2026-04-21T00:00:00"/>
    <d v="1899-12-30T12:19:00"/>
    <x v="0"/>
    <s v="CELTA"/>
    <x v="35"/>
    <n v="50"/>
    <n v="2"/>
    <n v="22440000"/>
    <d v="2026-04-23T00:00:00"/>
    <m/>
    <m/>
    <m/>
    <m/>
    <m/>
    <m/>
    <m/>
    <m/>
    <m/>
    <m/>
    <m/>
    <m/>
    <m/>
  </r>
  <r>
    <x v="0"/>
    <s v="4500088416 _x000a_"/>
    <d v="2026-04-21T00:00:00"/>
    <d v="1899-12-30T11:22:00"/>
    <x v="270"/>
    <m/>
    <d v="2026-04-21T00:00:00"/>
    <d v="1899-12-30T12:19:00"/>
    <x v="0"/>
    <s v="CELTA"/>
    <x v="4"/>
    <n v="150"/>
    <n v="6"/>
    <n v="5175000"/>
    <d v="2026-04-23T00:00:00"/>
    <m/>
    <m/>
    <m/>
    <m/>
    <m/>
    <m/>
    <m/>
    <m/>
    <m/>
    <m/>
    <m/>
    <m/>
    <m/>
  </r>
  <r>
    <x v="0"/>
    <m/>
    <d v="2026-04-21T00:00:00"/>
    <d v="1899-12-30T12:11:00"/>
    <x v="271"/>
    <m/>
    <d v="2026-04-21T00:00:00"/>
    <d v="1899-12-30T12:56:00"/>
    <x v="50"/>
    <s v="GRANADA"/>
    <x v="38"/>
    <n v="150"/>
    <n v="6"/>
    <n v="7950000"/>
    <d v="2026-04-23T00:00:00"/>
    <m/>
    <m/>
    <m/>
    <m/>
    <m/>
    <m/>
    <m/>
    <m/>
    <m/>
    <m/>
    <m/>
    <m/>
    <m/>
  </r>
  <r>
    <x v="0"/>
    <m/>
    <d v="2026-04-21T00:00:00"/>
    <d v="1899-12-30T11:32:00"/>
    <x v="272"/>
    <m/>
    <d v="2026-04-21T00:00:00"/>
    <d v="1899-12-30T13:06:00"/>
    <x v="12"/>
    <s v="BUCARAMANGA"/>
    <x v="19"/>
    <n v="15"/>
    <n v="1"/>
    <n v="2666000"/>
    <d v="2026-04-21T00:00:00"/>
    <m/>
    <m/>
    <m/>
    <m/>
    <m/>
    <m/>
    <m/>
    <m/>
    <m/>
    <m/>
    <m/>
    <m/>
    <m/>
  </r>
  <r>
    <x v="0"/>
    <m/>
    <d v="2026-04-21T00:00:00"/>
    <d v="1899-12-30T11:32:00"/>
    <x v="272"/>
    <m/>
    <d v="2026-04-21T00:00:00"/>
    <d v="1899-12-30T13:06:00"/>
    <x v="12"/>
    <s v="BUCARAMANGA"/>
    <x v="42"/>
    <n v="43"/>
    <n v="2"/>
    <n v="915000"/>
    <d v="2026-04-21T00:00:00"/>
    <m/>
    <m/>
    <m/>
    <m/>
    <m/>
    <m/>
    <m/>
    <m/>
    <m/>
    <m/>
    <m/>
    <m/>
    <m/>
  </r>
  <r>
    <x v="0"/>
    <m/>
    <d v="2026-04-21T00:00:00"/>
    <d v="1899-12-30T11:32:00"/>
    <x v="273"/>
    <m/>
    <d v="2026-04-21T00:00:00"/>
    <d v="1899-12-30T13:06:00"/>
    <x v="12"/>
    <s v="BUCARAMANGA"/>
    <x v="31"/>
    <n v="4.3499999999999996"/>
    <n v="0"/>
    <n v="0"/>
    <d v="2026-04-21T00:00:00"/>
    <m/>
    <m/>
    <m/>
    <m/>
    <m/>
    <m/>
    <m/>
    <m/>
    <m/>
    <m/>
    <m/>
    <m/>
    <m/>
  </r>
  <r>
    <x v="0"/>
    <n v="33011"/>
    <d v="2026-04-21T00:00:00"/>
    <d v="1899-12-30T14:40:00"/>
    <x v="274"/>
    <m/>
    <d v="2026-04-21T00:00:00"/>
    <d v="1899-12-30T14:52:00"/>
    <x v="57"/>
    <s v="LA GRAN VIA"/>
    <x v="16"/>
    <n v="28"/>
    <n v="1"/>
    <n v="7560000"/>
    <d v="2026-04-21T00:00:00"/>
    <m/>
    <m/>
    <m/>
    <m/>
    <m/>
    <m/>
    <m/>
    <m/>
    <m/>
    <m/>
    <m/>
    <m/>
    <m/>
  </r>
  <r>
    <x v="0"/>
    <n v="33012"/>
    <d v="2026-04-21T00:00:00"/>
    <d v="1899-12-30T14:40:00"/>
    <x v="275"/>
    <m/>
    <d v="2026-04-21T00:00:00"/>
    <d v="1899-12-30T14:52:00"/>
    <x v="57"/>
    <s v="FUSA"/>
    <x v="16"/>
    <n v="95"/>
    <n v="4"/>
    <n v="25650000"/>
    <d v="2025-04-22T00:00:00"/>
    <m/>
    <m/>
    <m/>
    <m/>
    <m/>
    <m/>
    <m/>
    <m/>
    <m/>
    <m/>
    <m/>
    <m/>
    <m/>
  </r>
  <r>
    <x v="0"/>
    <m/>
    <d v="2026-04-21T00:00:00"/>
    <d v="1899-12-30T16:00:00"/>
    <x v="276"/>
    <m/>
    <d v="2026-04-22T00:00:00"/>
    <d v="1899-12-30T09:45:00"/>
    <x v="88"/>
    <s v="REPUBLICA DOMINICANA"/>
    <x v="0"/>
    <n v="1000"/>
    <n v="40"/>
    <s v="4700 USD"/>
    <d v="2025-04-29T00:00:00"/>
    <m/>
    <m/>
    <m/>
    <m/>
    <m/>
    <m/>
    <m/>
    <m/>
    <m/>
    <m/>
    <m/>
    <m/>
    <m/>
  </r>
  <r>
    <x v="0"/>
    <s v="OC-0400038"/>
    <d v="2026-04-21T00:00:00"/>
    <d v="1899-12-30T22:24:00"/>
    <x v="277"/>
    <m/>
    <d v="2026-04-22T00:00:00"/>
    <d v="1899-12-30T08:18:00"/>
    <x v="56"/>
    <s v="BUCARAMANGA"/>
    <x v="3"/>
    <n v="75"/>
    <n v="3"/>
    <n v="1912500"/>
    <d v="2026-04-23T00:00:00"/>
    <m/>
    <m/>
    <m/>
    <m/>
    <m/>
    <m/>
    <m/>
    <m/>
    <m/>
    <m/>
    <m/>
    <m/>
    <m/>
  </r>
  <r>
    <x v="0"/>
    <s v="4500088428 _x000a_"/>
    <d v="2026-04-21T00:00:00"/>
    <d v="1899-12-30T17:38:00"/>
    <x v="278"/>
    <m/>
    <d v="2026-04-22T00:00:00"/>
    <d v="1899-12-30T08:39:00"/>
    <x v="58"/>
    <s v="PREMEX CELTA"/>
    <x v="30"/>
    <n v="400"/>
    <n v="16"/>
    <n v="29146800"/>
    <d v="2026-04-23T00:00:00"/>
    <m/>
    <m/>
    <m/>
    <m/>
    <m/>
    <m/>
    <m/>
    <m/>
    <m/>
    <m/>
    <m/>
    <m/>
    <m/>
  </r>
  <r>
    <x v="0"/>
    <s v="005"/>
    <d v="2026-04-22T00:00:00"/>
    <d v="1899-12-30T10:48:00"/>
    <x v="279"/>
    <m/>
    <d v="2026-04-22T00:00:00"/>
    <d v="1899-12-30T11:26:00"/>
    <x v="56"/>
    <s v="BUCARAMANGA"/>
    <x v="37"/>
    <n v="7"/>
    <n v="0"/>
    <n v="1645000"/>
    <d v="2026-04-22T00:00:00"/>
    <m/>
    <m/>
    <m/>
    <m/>
    <m/>
    <m/>
    <m/>
    <m/>
    <m/>
    <m/>
    <m/>
    <m/>
    <m/>
  </r>
  <r>
    <x v="0"/>
    <s v="005"/>
    <d v="2026-04-22T00:00:00"/>
    <d v="1899-12-30T10:48:00"/>
    <x v="280"/>
    <m/>
    <d v="2026-04-22T00:00:00"/>
    <d v="1899-12-30T11:26:00"/>
    <x v="56"/>
    <s v="BUCARAMANGA"/>
    <x v="31"/>
    <n v="0.15"/>
    <n v="0"/>
    <n v="0"/>
    <d v="2026-04-22T00:00:00"/>
    <m/>
    <m/>
    <m/>
    <m/>
    <m/>
    <m/>
    <m/>
    <m/>
    <m/>
    <m/>
    <m/>
    <m/>
    <m/>
  </r>
  <r>
    <x v="0"/>
    <s v="103-OCC-38956"/>
    <d v="2026-04-22T00:00:00"/>
    <d v="1899-12-30T11:54:00"/>
    <x v="281"/>
    <m/>
    <d v="2026-04-22T00:00:00"/>
    <d v="1899-12-30T13:45:00"/>
    <x v="10"/>
    <s v="GIRARDOTA"/>
    <x v="33"/>
    <n v="100"/>
    <n v="4"/>
    <n v="2550000"/>
    <d v="2026-04-24T00:00:00"/>
    <m/>
    <m/>
    <m/>
    <m/>
    <m/>
    <m/>
    <m/>
    <m/>
    <m/>
    <m/>
    <m/>
    <m/>
    <m/>
  </r>
  <r>
    <x v="0"/>
    <s v="103-OCC-38956"/>
    <d v="2026-04-22T00:00:00"/>
    <d v="1899-12-30T11:54:00"/>
    <x v="281"/>
    <m/>
    <d v="2026-04-22T00:00:00"/>
    <d v="1899-12-30T13:45:00"/>
    <x v="10"/>
    <s v="GIRARDOTA"/>
    <x v="7"/>
    <n v="200"/>
    <n v="8"/>
    <n v="3900000"/>
    <d v="2026-04-24T00:00:00"/>
    <m/>
    <m/>
    <m/>
    <m/>
    <m/>
    <m/>
    <m/>
    <m/>
    <m/>
    <m/>
    <m/>
    <m/>
    <m/>
  </r>
  <r>
    <x v="0"/>
    <s v="103-OCC-38956"/>
    <d v="2026-04-22T00:00:00"/>
    <d v="1899-12-30T11:54:00"/>
    <x v="281"/>
    <m/>
    <d v="2026-04-22T00:00:00"/>
    <d v="1899-12-30T13:45:00"/>
    <x v="10"/>
    <s v="GIRARDOTA"/>
    <x v="3"/>
    <n v="2000"/>
    <n v="80"/>
    <n v="52600000"/>
    <d v="2026-04-24T00:00:00"/>
    <m/>
    <m/>
    <m/>
    <m/>
    <m/>
    <m/>
    <m/>
    <m/>
    <m/>
    <m/>
    <m/>
    <m/>
    <m/>
  </r>
  <r>
    <x v="0"/>
    <n v="1002095278"/>
    <d v="2026-04-22T00:00:00"/>
    <d v="1899-12-30T10:36:00"/>
    <x v="282"/>
    <m/>
    <d v="2026-04-23T00:00:00"/>
    <d v="1899-12-30T07:18:00"/>
    <x v="89"/>
    <s v="MOSQUERA"/>
    <x v="49"/>
    <n v="100"/>
    <n v="4"/>
    <n v="24000000"/>
    <d v="2026-04-27T00:00:00"/>
    <m/>
    <m/>
    <m/>
    <m/>
    <m/>
    <m/>
    <m/>
    <m/>
    <m/>
    <m/>
    <m/>
    <m/>
    <m/>
  </r>
  <r>
    <x v="0"/>
    <m/>
    <d v="2026-04-22T00:00:00"/>
    <d v="1899-12-30T13:45:00"/>
    <x v="283"/>
    <m/>
    <d v="2026-04-23T00:00:00"/>
    <d v="1899-12-30T07:20:00"/>
    <x v="73"/>
    <s v="BUGA"/>
    <x v="3"/>
    <n v="175"/>
    <n v="7"/>
    <n v="4602500"/>
    <d v="2026-04-27T00:00:00"/>
    <m/>
    <m/>
    <m/>
    <m/>
    <m/>
    <m/>
    <m/>
    <m/>
    <m/>
    <m/>
    <m/>
    <m/>
    <m/>
  </r>
  <r>
    <x v="0"/>
    <s v="ORC-2604016"/>
    <d v="2026-04-22T00:00:00"/>
    <d v="1899-12-30T14:22:00"/>
    <x v="284"/>
    <m/>
    <d v="2026-04-23T00:00:00"/>
    <d v="1899-12-30T07:22:00"/>
    <x v="51"/>
    <s v="MANIZALES"/>
    <x v="0"/>
    <n v="50"/>
    <n v="2"/>
    <n v="850000"/>
    <d v="2026-04-27T00:00:00"/>
    <m/>
    <m/>
    <m/>
    <m/>
    <m/>
    <m/>
    <m/>
    <m/>
    <m/>
    <m/>
    <m/>
    <m/>
    <m/>
  </r>
  <r>
    <x v="3"/>
    <s v="005-OSC-00011159"/>
    <d v="2026-04-22T00:00:00"/>
    <d v="1899-12-30T16:33:00"/>
    <x v="285"/>
    <m/>
    <d v="2026-04-23T00:00:00"/>
    <d v="1899-12-30T07:24:00"/>
    <x v="8"/>
    <s v="MOSQUERA"/>
    <x v="7"/>
    <n v="1000"/>
    <n v="40"/>
    <n v="19500000"/>
    <d v="2026-04-27T00:00:00"/>
    <m/>
    <m/>
    <m/>
    <m/>
    <m/>
    <m/>
    <m/>
    <m/>
    <m/>
    <m/>
    <m/>
    <m/>
    <m/>
  </r>
  <r>
    <x v="0"/>
    <n v="1407774"/>
    <d v="2026-04-22T00:00:00"/>
    <d v="1899-12-30T16:41:00"/>
    <x v="286"/>
    <m/>
    <d v="2026-04-23T00:00:00"/>
    <d v="1899-12-30T07:27:00"/>
    <x v="22"/>
    <s v="ENVIGADO"/>
    <x v="3"/>
    <n v="50"/>
    <n v="2"/>
    <n v="1237500"/>
    <d v="2026-04-24T00:00:00"/>
    <m/>
    <m/>
    <m/>
    <m/>
    <m/>
    <m/>
    <m/>
    <m/>
    <m/>
    <m/>
    <m/>
    <m/>
    <m/>
  </r>
  <r>
    <x v="0"/>
    <s v="N/A"/>
    <d v="2026-04-23T00:00:00"/>
    <d v="1899-12-30T09:31:00"/>
    <x v="287"/>
    <m/>
    <d v="2026-04-23T00:00:00"/>
    <d v="1899-12-30T10:42:00"/>
    <x v="46"/>
    <s v="BUCARAMANGA"/>
    <x v="5"/>
    <n v="10.5"/>
    <n v="0"/>
    <n v="5449500"/>
    <d v="2025-04-23T00:00:00"/>
    <m/>
    <m/>
    <m/>
    <m/>
    <m/>
    <m/>
    <m/>
    <m/>
    <m/>
    <m/>
    <m/>
    <m/>
    <m/>
  </r>
  <r>
    <x v="0"/>
    <s v="COC-00000447"/>
    <d v="2026-04-23T00:00:00"/>
    <d v="1899-12-30T09:16:00"/>
    <x v="288"/>
    <m/>
    <d v="2026-04-23T00:00:00"/>
    <d v="1899-12-30T15:57:00"/>
    <x v="38"/>
    <s v="DON MATIAS"/>
    <x v="19"/>
    <n v="400"/>
    <n v="16"/>
    <n v="22480000"/>
    <d v="2026-04-29T00:00:00"/>
    <m/>
    <m/>
    <m/>
    <m/>
    <m/>
    <m/>
    <m/>
    <m/>
    <m/>
    <m/>
    <m/>
    <m/>
    <m/>
  </r>
  <r>
    <x v="0"/>
    <s v="COC-00000447"/>
    <d v="2026-04-23T00:00:00"/>
    <d v="1899-12-30T09:16:00"/>
    <x v="289"/>
    <m/>
    <d v="2026-04-23T00:00:00"/>
    <d v="1899-12-30T15:57:00"/>
    <x v="38"/>
    <s v="DON MATIAS"/>
    <x v="31"/>
    <n v="30"/>
    <n v="1"/>
    <n v="0"/>
    <d v="2026-04-29T00:00:00"/>
    <m/>
    <m/>
    <m/>
    <m/>
    <m/>
    <m/>
    <m/>
    <m/>
    <m/>
    <m/>
    <m/>
    <m/>
    <m/>
  </r>
  <r>
    <x v="0"/>
    <s v="004-OSC-00051773"/>
    <d v="2026-04-23T00:00:00"/>
    <d v="1899-12-30T09:26:00"/>
    <x v="290"/>
    <m/>
    <d v="2026-04-23T00:00:00"/>
    <d v="1899-12-30T16:05:00"/>
    <x v="8"/>
    <s v="CARTAGO"/>
    <x v="23"/>
    <n v="50"/>
    <n v="2"/>
    <n v="810000"/>
    <d v="2026-04-29T00:00:00"/>
    <m/>
    <m/>
    <m/>
    <m/>
    <m/>
    <m/>
    <m/>
    <m/>
    <m/>
    <m/>
    <m/>
    <m/>
    <m/>
  </r>
  <r>
    <x v="0"/>
    <n v="1408478"/>
    <d v="2026-04-23T00:00:00"/>
    <d v="1899-12-30T14:47:00"/>
    <x v="291"/>
    <m/>
    <d v="2026-04-23T00:00:00"/>
    <d v="1899-12-30T17:00:00"/>
    <x v="36"/>
    <s v="BUCARAMANGA"/>
    <x v="5"/>
    <n v="6.5"/>
    <n v="0"/>
    <n v="2777125"/>
    <d v="2026-04-24T00:00:00"/>
    <m/>
    <m/>
    <m/>
    <m/>
    <m/>
    <m/>
    <m/>
    <m/>
    <m/>
    <m/>
    <m/>
    <m/>
    <m/>
  </r>
  <r>
    <x v="0"/>
    <n v="1408487"/>
    <d v="2026-04-23T00:00:00"/>
    <d v="1899-12-30T14:47:00"/>
    <x v="292"/>
    <m/>
    <d v="2026-04-23T00:00:00"/>
    <d v="1899-12-30T17:00:00"/>
    <x v="36"/>
    <s v="BUCARAMANGA"/>
    <x v="19"/>
    <n v="150"/>
    <n v="6"/>
    <n v="7875000"/>
    <d v="2026-04-24T00:00:00"/>
    <m/>
    <m/>
    <m/>
    <m/>
    <m/>
    <m/>
    <m/>
    <m/>
    <m/>
    <m/>
    <m/>
    <m/>
    <m/>
  </r>
  <r>
    <x v="0"/>
    <n v="1408487"/>
    <d v="2026-04-23T00:00:00"/>
    <d v="1899-12-30T14:47:00"/>
    <x v="293"/>
    <m/>
    <d v="2026-04-23T00:00:00"/>
    <d v="1899-12-30T17:00:00"/>
    <x v="36"/>
    <s v="BUCARAMANGA"/>
    <x v="31"/>
    <n v="150"/>
    <n v="6"/>
    <n v="7875000"/>
    <d v="2026-04-24T00:00:00"/>
    <m/>
    <m/>
    <m/>
    <m/>
    <m/>
    <m/>
    <m/>
    <m/>
    <m/>
    <m/>
    <m/>
    <m/>
    <m/>
  </r>
  <r>
    <x v="0"/>
    <s v="P-1692"/>
    <d v="2026-04-23T00:00:00"/>
    <d v="1899-12-30T14:54:00"/>
    <x v="294"/>
    <m/>
    <d v="2026-04-23T00:00:00"/>
    <d v="1899-12-30T17:08:00"/>
    <x v="40"/>
    <s v="CALI"/>
    <x v="5"/>
    <n v="2.5"/>
    <n v="0"/>
    <n v="1300000"/>
    <d v="2026-04-27T00:00:00"/>
    <m/>
    <m/>
    <m/>
    <m/>
    <m/>
    <m/>
    <m/>
    <m/>
    <m/>
    <m/>
    <m/>
    <m/>
    <m/>
  </r>
  <r>
    <x v="0"/>
    <s v="P-1692"/>
    <d v="2026-04-23T00:00:00"/>
    <d v="1899-12-30T14:54:00"/>
    <x v="294"/>
    <m/>
    <d v="2026-04-23T00:00:00"/>
    <d v="1899-12-30T17:08:00"/>
    <x v="40"/>
    <s v="CALI"/>
    <x v="13"/>
    <n v="13"/>
    <n v="1"/>
    <n v="2015000"/>
    <d v="2026-04-27T00:00:00"/>
    <m/>
    <m/>
    <m/>
    <m/>
    <m/>
    <m/>
    <m/>
    <m/>
    <m/>
    <m/>
    <m/>
    <m/>
    <m/>
  </r>
  <r>
    <x v="0"/>
    <n v="1408516"/>
    <d v="2026-04-23T00:00:00"/>
    <d v="1899-12-30T15:04:00"/>
    <x v="295"/>
    <m/>
    <d v="2026-04-23T00:00:00"/>
    <d v="1899-12-30T17:14:00"/>
    <x v="36"/>
    <s v="PEREIRA"/>
    <x v="32"/>
    <n v="9"/>
    <n v="0"/>
    <n v="1890000"/>
    <d v="2026-04-27T00:00:00"/>
    <m/>
    <m/>
    <m/>
    <m/>
    <m/>
    <m/>
    <m/>
    <m/>
    <m/>
    <m/>
    <m/>
    <m/>
    <m/>
  </r>
  <r>
    <x v="0"/>
    <n v="1408516"/>
    <d v="2026-04-23T00:00:00"/>
    <d v="1899-12-30T15:04:00"/>
    <x v="295"/>
    <m/>
    <d v="2026-04-23T00:00:00"/>
    <d v="1899-12-30T17:14:00"/>
    <x v="36"/>
    <s v="PEREIRA"/>
    <x v="19"/>
    <n v="90"/>
    <n v="4"/>
    <n v="4725000"/>
    <d v="2026-04-27T00:00:00"/>
    <m/>
    <m/>
    <m/>
    <m/>
    <m/>
    <m/>
    <m/>
    <m/>
    <m/>
    <m/>
    <m/>
    <m/>
    <m/>
  </r>
  <r>
    <x v="0"/>
    <n v="1408516"/>
    <d v="2026-04-23T00:00:00"/>
    <d v="1899-12-30T15:04:00"/>
    <x v="295"/>
    <m/>
    <d v="2026-04-23T00:00:00"/>
    <d v="1899-12-30T17:14:00"/>
    <x v="36"/>
    <s v="PEREIRA"/>
    <x v="11"/>
    <n v="80"/>
    <n v="3"/>
    <n v="7600000"/>
    <d v="2026-04-27T00:00:00"/>
    <m/>
    <m/>
    <m/>
    <m/>
    <m/>
    <m/>
    <m/>
    <m/>
    <m/>
    <m/>
    <m/>
    <m/>
    <m/>
  </r>
  <r>
    <x v="0"/>
    <n v="4500088471"/>
    <d v="2026-04-23T00:00:00"/>
    <d v="1899-12-30T15:52:00"/>
    <x v="296"/>
    <m/>
    <d v="2026-04-23T00:00:00"/>
    <d v="1899-12-30T17:19:00"/>
    <x v="0"/>
    <s v="MEDELLIN"/>
    <x v="5"/>
    <n v="7"/>
    <n v="0"/>
    <n v="2990750"/>
    <d v="2026-04-28T00:00:00"/>
    <m/>
    <m/>
    <m/>
    <m/>
    <m/>
    <m/>
    <m/>
    <m/>
    <m/>
    <m/>
    <m/>
    <m/>
    <m/>
  </r>
  <r>
    <x v="0"/>
    <n v="4500088471"/>
    <d v="2026-04-23T00:00:00"/>
    <d v="1899-12-30T15:52:00"/>
    <x v="296"/>
    <m/>
    <d v="2026-04-23T00:00:00"/>
    <d v="1899-12-30T17:19:00"/>
    <x v="0"/>
    <s v="MEDELLIN"/>
    <x v="26"/>
    <n v="1500"/>
    <n v="60"/>
    <n v="29512000"/>
    <d v="2026-04-28T00:00:00"/>
    <m/>
    <m/>
    <m/>
    <m/>
    <m/>
    <m/>
    <m/>
    <m/>
    <m/>
    <m/>
    <m/>
    <m/>
    <m/>
  </r>
  <r>
    <x v="0"/>
    <n v="4500088471"/>
    <d v="2026-04-23T00:00:00"/>
    <d v="1899-12-30T15:52:00"/>
    <x v="296"/>
    <m/>
    <d v="2026-04-23T00:00:00"/>
    <d v="1899-12-30T17:19:00"/>
    <x v="0"/>
    <s v="MEDELLIN"/>
    <x v="14"/>
    <n v="50"/>
    <n v="2"/>
    <n v="9010000"/>
    <d v="2026-04-28T00:00:00"/>
    <m/>
    <m/>
    <m/>
    <m/>
    <m/>
    <m/>
    <m/>
    <m/>
    <m/>
    <m/>
    <m/>
    <m/>
    <m/>
  </r>
  <r>
    <x v="0"/>
    <n v="4500088471"/>
    <d v="2026-04-23T00:00:00"/>
    <d v="1899-12-30T15:52:00"/>
    <x v="296"/>
    <m/>
    <d v="2026-04-23T00:00:00"/>
    <d v="1899-12-30T17:19:00"/>
    <x v="0"/>
    <s v="MEDELLIN"/>
    <x v="29"/>
    <n v="450"/>
    <n v="18"/>
    <n v="27765000"/>
    <d v="2026-04-28T00:00:00"/>
    <m/>
    <m/>
    <m/>
    <m/>
    <m/>
    <m/>
    <m/>
    <m/>
    <m/>
    <m/>
    <m/>
    <m/>
    <m/>
  </r>
  <r>
    <x v="0"/>
    <n v="4500088471"/>
    <d v="2026-04-23T00:00:00"/>
    <d v="1899-12-30T15:52:00"/>
    <x v="296"/>
    <m/>
    <d v="2026-04-23T00:00:00"/>
    <d v="1899-12-30T17:19:00"/>
    <x v="0"/>
    <s v="MEDELLIN"/>
    <x v="35"/>
    <n v="250"/>
    <n v="10"/>
    <n v="112200000"/>
    <d v="2026-04-28T00:00:00"/>
    <m/>
    <m/>
    <m/>
    <m/>
    <m/>
    <m/>
    <m/>
    <m/>
    <m/>
    <m/>
    <m/>
    <m/>
    <m/>
  </r>
  <r>
    <x v="0"/>
    <n v="1408674"/>
    <d v="2026-04-23T00:00:00"/>
    <d v="1899-12-30T16:27:00"/>
    <x v="297"/>
    <m/>
    <d v="2026-04-23T00:00:00"/>
    <d v="1899-12-30T17:20:00"/>
    <x v="11"/>
    <s v="BUCARAMANGA"/>
    <x v="4"/>
    <n v="75"/>
    <n v="3"/>
    <n v="2587000"/>
    <d v="2026-04-27T00:00:00"/>
    <m/>
    <m/>
    <m/>
    <m/>
    <m/>
    <m/>
    <m/>
    <m/>
    <m/>
    <m/>
    <m/>
    <m/>
    <m/>
  </r>
  <r>
    <x v="3"/>
    <n v="9984"/>
    <d v="2026-04-23T00:00:00"/>
    <d v="1899-12-30T16:39:00"/>
    <x v="298"/>
    <m/>
    <d v="2026-04-23T00:00:00"/>
    <d v="1899-12-30T17:28:00"/>
    <x v="90"/>
    <s v="ITAGUI"/>
    <x v="7"/>
    <n v="100"/>
    <n v="4"/>
    <n v="1950000"/>
    <d v="2026-04-27T00:00:00"/>
    <m/>
    <m/>
    <m/>
    <m/>
    <m/>
    <m/>
    <m/>
    <m/>
    <m/>
    <m/>
    <m/>
    <m/>
    <m/>
  </r>
  <r>
    <x v="3"/>
    <n v="9984"/>
    <d v="2026-04-23T00:00:00"/>
    <d v="1899-12-30T16:39:00"/>
    <x v="298"/>
    <m/>
    <d v="2026-04-23T00:00:00"/>
    <d v="1899-12-30T17:28:00"/>
    <x v="90"/>
    <s v="ITAGUI"/>
    <x v="0"/>
    <n v="50"/>
    <n v="2"/>
    <n v="800000"/>
    <d v="2026-04-27T00:00:00"/>
    <m/>
    <m/>
    <m/>
    <m/>
    <m/>
    <m/>
    <m/>
    <m/>
    <m/>
    <m/>
    <m/>
    <m/>
    <m/>
  </r>
  <r>
    <x v="3"/>
    <s v="001-OSC-00074280"/>
    <d v="2026-04-24T00:00:00"/>
    <d v="1899-12-30T07:51:00"/>
    <x v="299"/>
    <m/>
    <d v="2026-04-24T00:00:00"/>
    <d v="1899-12-30T08:01:00"/>
    <x v="8"/>
    <s v="BELLO"/>
    <x v="3"/>
    <n v="800"/>
    <n v="32"/>
    <n v="21040000"/>
    <d v="2026-04-30T00:00:00"/>
    <m/>
    <m/>
    <m/>
    <m/>
    <m/>
    <m/>
    <m/>
    <m/>
    <m/>
    <m/>
    <m/>
    <m/>
    <m/>
  </r>
  <r>
    <x v="3"/>
    <s v="001-OSC-00074280"/>
    <d v="2026-04-24T00:00:00"/>
    <d v="1899-12-30T07:51:00"/>
    <x v="299"/>
    <m/>
    <d v="2026-04-24T00:00:00"/>
    <d v="1899-12-30T08:01:00"/>
    <x v="8"/>
    <s v="BELLO"/>
    <x v="7"/>
    <n v="2000"/>
    <n v="80"/>
    <n v="39000000"/>
    <d v="2026-04-30T00:00:00"/>
    <m/>
    <m/>
    <m/>
    <m/>
    <m/>
    <m/>
    <m/>
    <m/>
    <m/>
    <m/>
    <m/>
    <m/>
    <m/>
  </r>
  <r>
    <x v="0"/>
    <s v="BODEGA EN CONSIGNACION"/>
    <d v="2026-04-24T00:00:00"/>
    <d v="1899-12-30T06:31:00"/>
    <x v="300"/>
    <m/>
    <d v="2026-04-24T00:00:00"/>
    <d v="1899-12-30T09:19:00"/>
    <x v="0"/>
    <s v="MEDELLIN"/>
    <x v="50"/>
    <n v="1000"/>
    <n v="40"/>
    <n v="19250000"/>
    <d v="2026-04-27T00:00:00"/>
    <m/>
    <m/>
    <m/>
    <m/>
    <m/>
    <m/>
    <m/>
    <m/>
    <m/>
    <m/>
    <m/>
    <m/>
    <m/>
  </r>
  <r>
    <x v="0"/>
    <s v="BODEGA EN CONSIGNACION"/>
    <d v="2026-04-24T00:00:00"/>
    <d v="1899-12-30T06:31:00"/>
    <x v="300"/>
    <m/>
    <d v="2026-04-24T00:00:00"/>
    <d v="1899-12-30T09:19:00"/>
    <x v="0"/>
    <s v="MEDELLIN"/>
    <x v="28"/>
    <n v="800"/>
    <n v="32"/>
    <n v="24160000"/>
    <d v="2026-04-27T00:00:00"/>
    <m/>
    <m/>
    <m/>
    <m/>
    <m/>
    <m/>
    <m/>
    <m/>
    <m/>
    <m/>
    <m/>
    <m/>
    <m/>
  </r>
  <r>
    <x v="0"/>
    <s v="BODEGA EN CONSIGNACION"/>
    <d v="2026-04-24T00:00:00"/>
    <d v="1899-12-30T06:31:00"/>
    <x v="300"/>
    <m/>
    <d v="2026-04-24T00:00:00"/>
    <d v="1899-12-30T09:19:00"/>
    <x v="0"/>
    <s v="MEDELLIN"/>
    <x v="7"/>
    <n v="1000"/>
    <n v="40"/>
    <n v="17600000"/>
    <d v="2026-04-27T00:00:00"/>
    <m/>
    <m/>
    <m/>
    <m/>
    <m/>
    <m/>
    <m/>
    <m/>
    <m/>
    <m/>
    <m/>
    <m/>
    <m/>
  </r>
  <r>
    <x v="0"/>
    <s v="BODEGA EN CONSIGNACION"/>
    <d v="2026-04-24T00:00:00"/>
    <d v="1899-12-30T06:31:00"/>
    <x v="300"/>
    <m/>
    <d v="2026-04-24T00:00:00"/>
    <d v="1899-12-30T09:19:00"/>
    <x v="0"/>
    <s v="MEDELLIN"/>
    <x v="8"/>
    <n v="500"/>
    <n v="20"/>
    <n v="25930000"/>
    <d v="2026-04-27T00:00:00"/>
    <m/>
    <m/>
    <m/>
    <m/>
    <m/>
    <m/>
    <m/>
    <m/>
    <m/>
    <m/>
    <m/>
    <m/>
    <m/>
  </r>
  <r>
    <x v="0"/>
    <s v="BODEGA EN CONSIGNACION"/>
    <d v="2026-04-24T00:00:00"/>
    <d v="1899-12-30T06:31:00"/>
    <x v="300"/>
    <m/>
    <d v="2026-04-24T00:00:00"/>
    <d v="1899-12-30T09:19:00"/>
    <x v="0"/>
    <s v="MEDELLIN"/>
    <x v="27"/>
    <n v="1000"/>
    <n v="40"/>
    <n v="51900000"/>
    <d v="2026-04-27T00:00:00"/>
    <m/>
    <m/>
    <m/>
    <m/>
    <m/>
    <m/>
    <m/>
    <m/>
    <m/>
    <m/>
    <m/>
    <m/>
    <m/>
  </r>
  <r>
    <x v="0"/>
    <s v="BODEGA EN CONSIGNACION"/>
    <d v="2026-04-24T00:00:00"/>
    <d v="1899-12-30T06:31:00"/>
    <x v="300"/>
    <m/>
    <d v="2026-04-24T00:00:00"/>
    <d v="1899-12-30T09:19:00"/>
    <x v="0"/>
    <s v="MEDELLIN"/>
    <x v="3"/>
    <n v="4000"/>
    <n v="160"/>
    <n v="99000000"/>
    <d v="2026-04-27T00:00:00"/>
    <m/>
    <m/>
    <m/>
    <m/>
    <m/>
    <m/>
    <m/>
    <m/>
    <m/>
    <m/>
    <m/>
    <m/>
    <m/>
  </r>
  <r>
    <x v="0"/>
    <s v="BODEGA EN CONSIGNACION"/>
    <d v="2026-04-24T00:00:00"/>
    <d v="1899-12-30T06:31:00"/>
    <x v="301"/>
    <m/>
    <d v="2026-04-24T00:00:00"/>
    <d v="1899-12-30T09:19:00"/>
    <x v="58"/>
    <s v="MEDELLIN"/>
    <x v="30"/>
    <n v="4000"/>
    <n v="160"/>
    <n v="330052000"/>
    <d v="2026-04-27T00:00:00"/>
    <m/>
    <m/>
    <m/>
    <m/>
    <m/>
    <m/>
    <m/>
    <m/>
    <m/>
    <m/>
    <m/>
    <m/>
    <m/>
  </r>
  <r>
    <x v="0"/>
    <s v="BODEGA EN CONSIGNACION"/>
    <d v="2026-04-24T00:00:00"/>
    <d v="1899-12-30T06:31:00"/>
    <x v="301"/>
    <m/>
    <d v="2026-04-24T00:00:00"/>
    <d v="1899-12-30T09:19:00"/>
    <x v="58"/>
    <s v="MEDELLIN"/>
    <x v="20"/>
    <n v="1000"/>
    <n v="40"/>
    <n v="138640000"/>
    <d v="2026-04-27T00:00:00"/>
    <m/>
    <m/>
    <m/>
    <m/>
    <m/>
    <m/>
    <m/>
    <m/>
    <m/>
    <m/>
    <m/>
    <m/>
    <m/>
  </r>
  <r>
    <x v="0"/>
    <m/>
    <d v="2026-04-24T00:00:00"/>
    <d v="1899-12-30T09:56:00"/>
    <x v="302"/>
    <s v="BG26039"/>
    <d v="2026-04-24T00:00:00"/>
    <d v="1899-12-30T11:10:00"/>
    <x v="61"/>
    <s v="DON MATIAS"/>
    <x v="19"/>
    <n v="20"/>
    <n v="1"/>
    <n v="1220000"/>
    <d v="2026-04-24T00:00:00"/>
    <m/>
    <m/>
    <m/>
    <m/>
    <m/>
    <m/>
    <m/>
    <m/>
    <m/>
    <m/>
    <m/>
    <m/>
    <m/>
  </r>
  <r>
    <x v="0"/>
    <m/>
    <d v="2026-04-24T00:00:00"/>
    <d v="1899-12-30T09:56:00"/>
    <x v="302"/>
    <s v="BG26039"/>
    <d v="2026-04-24T00:00:00"/>
    <d v="1899-12-30T11:10:00"/>
    <x v="61"/>
    <s v="DON MATIAS"/>
    <x v="32"/>
    <n v="6"/>
    <n v="0"/>
    <n v="1350000"/>
    <d v="2026-04-24T00:00:00"/>
    <m/>
    <m/>
    <m/>
    <m/>
    <m/>
    <m/>
    <m/>
    <m/>
    <m/>
    <m/>
    <m/>
    <m/>
    <m/>
  </r>
  <r>
    <x v="0"/>
    <m/>
    <d v="2026-04-24T00:00:00"/>
    <d v="1899-12-30T09:56:00"/>
    <x v="303"/>
    <s v="BG26052"/>
    <d v="2026-04-24T00:00:00"/>
    <d v="1899-12-30T11:10:00"/>
    <x v="61"/>
    <s v="DON MATIAS"/>
    <x v="31"/>
    <n v="1.95"/>
    <n v="0"/>
    <n v="0"/>
    <d v="2026-04-24T00:00:00"/>
    <m/>
    <m/>
    <m/>
    <m/>
    <m/>
    <m/>
    <m/>
    <m/>
    <m/>
    <m/>
    <m/>
    <m/>
    <m/>
  </r>
  <r>
    <x v="0"/>
    <m/>
    <d v="2026-04-24T00:00:00"/>
    <d v="1899-12-30T10:00:00"/>
    <x v="304"/>
    <s v="BG26038"/>
    <d v="2026-04-24T00:00:00"/>
    <d v="1899-12-30T11:55:00"/>
    <x v="91"/>
    <s v="ANSERMA NUEVO"/>
    <x v="11"/>
    <n v="13"/>
    <n v="0"/>
    <n v="1365000"/>
    <d v="2026-04-27T00:00:00"/>
    <m/>
    <m/>
    <m/>
    <m/>
    <m/>
    <m/>
    <m/>
    <m/>
    <m/>
    <m/>
    <m/>
    <m/>
    <m/>
  </r>
  <r>
    <x v="0"/>
    <m/>
    <d v="2026-04-24T00:00:00"/>
    <d v="1899-12-30T15:00:00"/>
    <x v="305"/>
    <s v="BG26041"/>
    <d v="2026-04-24T00:00:00"/>
    <d v="1899-12-30T13:15:00"/>
    <x v="92"/>
    <s v="BOGOTA"/>
    <x v="5"/>
    <n v="98.5"/>
    <n v="4"/>
    <n v="51121000"/>
    <d v="2026-04-24T00:00:00"/>
    <m/>
    <m/>
    <m/>
    <m/>
    <m/>
    <m/>
    <m/>
    <m/>
    <m/>
    <m/>
    <m/>
    <m/>
    <m/>
  </r>
  <r>
    <x v="0"/>
    <m/>
    <d v="2026-04-24T00:00:00"/>
    <d v="1899-12-30T15:00:00"/>
    <x v="305"/>
    <s v="BG26041"/>
    <d v="2026-04-24T00:00:00"/>
    <d v="1899-12-30T13:15:00"/>
    <x v="92"/>
    <s v="BOGOTA"/>
    <x v="11"/>
    <n v="31"/>
    <n v="1"/>
    <n v="3162000"/>
    <d v="2026-04-24T00:00:00"/>
    <m/>
    <m/>
    <m/>
    <m/>
    <m/>
    <m/>
    <m/>
    <m/>
    <m/>
    <m/>
    <m/>
    <m/>
    <m/>
  </r>
  <r>
    <x v="0"/>
    <m/>
    <d v="2026-04-24T00:00:00"/>
    <d v="1899-12-30T15:00:00"/>
    <x v="305"/>
    <s v="BG26041"/>
    <d v="2026-04-24T00:00:00"/>
    <d v="1899-12-30T13:15:00"/>
    <x v="92"/>
    <s v="BOGOTA"/>
    <x v="19"/>
    <n v="80"/>
    <n v="3"/>
    <n v="4880000"/>
    <d v="2026-04-24T00:00:00"/>
    <m/>
    <m/>
    <m/>
    <m/>
    <m/>
    <m/>
    <m/>
    <m/>
    <m/>
    <m/>
    <m/>
    <m/>
    <m/>
  </r>
  <r>
    <x v="0"/>
    <m/>
    <d v="2026-04-24T00:00:00"/>
    <d v="1899-12-30T15:00:00"/>
    <x v="305"/>
    <s v="BG26041"/>
    <d v="2026-04-24T00:00:00"/>
    <d v="1899-12-30T13:15:00"/>
    <x v="92"/>
    <s v="BOGOTA"/>
    <x v="0"/>
    <n v="125"/>
    <n v="5"/>
    <n v="2000000"/>
    <d v="2026-04-24T00:00:00"/>
    <m/>
    <m/>
    <m/>
    <m/>
    <m/>
    <m/>
    <m/>
    <m/>
    <m/>
    <m/>
    <m/>
    <m/>
    <m/>
  </r>
  <r>
    <x v="0"/>
    <m/>
    <d v="2026-04-24T00:00:00"/>
    <d v="1899-12-30T15:00:00"/>
    <x v="305"/>
    <s v="BG26041"/>
    <d v="2026-04-24T00:00:00"/>
    <d v="1899-12-30T13:15:00"/>
    <x v="92"/>
    <s v="BOGOTA"/>
    <x v="29"/>
    <n v="125"/>
    <n v="5"/>
    <n v="8875000"/>
    <d v="2026-04-24T00:00:00"/>
    <m/>
    <m/>
    <m/>
    <m/>
    <m/>
    <m/>
    <m/>
    <m/>
    <m/>
    <m/>
    <m/>
    <m/>
    <m/>
  </r>
  <r>
    <x v="0"/>
    <m/>
    <d v="2026-04-24T00:00:00"/>
    <d v="1899-12-30T15:00:00"/>
    <x v="305"/>
    <s v="BG26041"/>
    <d v="2026-04-24T00:00:00"/>
    <d v="1899-12-30T13:15:00"/>
    <x v="92"/>
    <s v="BOGOTA"/>
    <x v="34"/>
    <n v="350"/>
    <n v="14"/>
    <n v="19600000"/>
    <d v="2026-04-24T00:00:00"/>
    <m/>
    <m/>
    <m/>
    <m/>
    <m/>
    <m/>
    <m/>
    <m/>
    <m/>
    <m/>
    <m/>
    <m/>
    <m/>
  </r>
  <r>
    <x v="0"/>
    <n v="1409612"/>
    <d v="2026-04-24T00:00:00"/>
    <d v="1899-12-30T15:47:00"/>
    <x v="306"/>
    <m/>
    <d v="2026-04-27T00:00:00"/>
    <d v="1899-12-30T09:27:00"/>
    <x v="22"/>
    <s v="BOGOTA"/>
    <x v="8"/>
    <n v="50"/>
    <n v="2"/>
    <n v="2593000"/>
    <d v="2026-04-28T00:00:00"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">
  <r>
    <m/>
    <n v="4700008737"/>
    <d v="2026-01-28T00:00:00"/>
    <d v="1899-12-30T17:53:00"/>
    <x v="0"/>
    <m/>
    <m/>
    <m/>
    <s v="PREMEX S.A.S."/>
    <s v="MEDELLIN"/>
    <s v="CLORTETRAX 20 X 25 KG"/>
    <n v="26000"/>
    <n v="1040"/>
    <n v="416000000"/>
    <d v="2026-05-30T00:00:00"/>
  </r>
  <r>
    <m/>
    <n v="4700008736"/>
    <d v="2026-01-28T00:00:00"/>
    <d v="1899-12-30T17:53:00"/>
    <x v="0"/>
    <m/>
    <m/>
    <m/>
    <s v="PREMEX S.A.S."/>
    <s v="MEDELLIN"/>
    <s v="CLORTETRAX 20 X 25 KG"/>
    <n v="26000"/>
    <n v="1040"/>
    <n v="416000000"/>
    <d v="2026-05-15T00:00:00"/>
  </r>
  <r>
    <m/>
    <n v="4700008735"/>
    <d v="2026-01-28T00:00:00"/>
    <d v="1899-12-30T17:53:00"/>
    <x v="0"/>
    <m/>
    <m/>
    <m/>
    <s v="PREMEX S.A.S."/>
    <s v="MEDELLIN"/>
    <s v="CLORTETRAX 20 X 25 KG"/>
    <n v="26000"/>
    <n v="1040"/>
    <n v="416000000"/>
    <d v="2026-05-02T00:00:00"/>
  </r>
  <r>
    <m/>
    <m/>
    <m/>
    <m/>
    <x v="1"/>
    <m/>
    <d v="2026-03-02T00:00:00"/>
    <d v="1899-12-30T11:10:00"/>
    <s v="AVICOLA AVISID"/>
    <s v="GUAQUIL"/>
    <s v="MONECYL X 25 KG"/>
    <n v="13000"/>
    <n v="520"/>
    <s v="71500 USD"/>
    <d v="2026-05-08T00:00:00"/>
  </r>
  <r>
    <m/>
    <n v="7000403038"/>
    <m/>
    <m/>
    <x v="0"/>
    <m/>
    <m/>
    <m/>
    <s v="ALIMENTOS POLAR COLOMBIA SAS"/>
    <s v="REFILOGISTICA"/>
    <s v="MICRO AID X 25 KG"/>
    <n v="2500"/>
    <n v="100"/>
    <m/>
    <d v="2026-05-11T00:00:00"/>
  </r>
  <r>
    <m/>
    <n v="4700008972"/>
    <d v="2026-04-21T00:00:00"/>
    <d v="1899-12-30T12:02:00"/>
    <x v="2"/>
    <m/>
    <d v="2026-04-22T00:00:00"/>
    <d v="1899-12-30T08:11:00"/>
    <s v="PREMEZCLAS LATINOAMERICANAS PRALSA"/>
    <s v="GUTEMALA"/>
    <s v="HALQUINOX 500 X 25 KG"/>
    <n v="7000"/>
    <n v="280"/>
    <s v="89530 USD"/>
    <d v="2026-05-11T00:00:00"/>
  </r>
  <r>
    <s v="TRANSPORTE"/>
    <n v="4500377573"/>
    <d v="2026-04-23T00:00:00"/>
    <d v="1899-12-30T08:39:00"/>
    <x v="3"/>
    <m/>
    <d v="2026-04-23T00:00:00"/>
    <d v="1899-12-30T10:47:00"/>
    <s v="SOLLA S.A."/>
    <s v="BUGA"/>
    <s v="TILVASYYN x 25 KG"/>
    <n v="125"/>
    <n v="5"/>
    <n v="23750000"/>
    <d v="2026-05-06T00:00:00"/>
  </r>
  <r>
    <m/>
    <n v="4500377573"/>
    <d v="2026-04-23T00:00:00"/>
    <d v="1899-12-30T08:39:00"/>
    <x v="4"/>
    <m/>
    <d v="2026-04-23T00:00:00"/>
    <d v="1899-12-30T10:47:00"/>
    <s v="SOLLA S.A."/>
    <s v="BUGA"/>
    <s v="TILVASYYN x 25 KG"/>
    <n v="100"/>
    <n v="4"/>
    <n v="19000000"/>
    <d v="2026-05-29T00:00:00"/>
  </r>
  <r>
    <m/>
    <s v="006-OC-029656"/>
    <d v="2026-04-23T00:00:00"/>
    <d v="1899-12-30T10:46:00"/>
    <x v="5"/>
    <m/>
    <d v="2026-04-23T00:00:00"/>
    <d v="1899-12-30T15:40:00"/>
    <s v="AGROAVICOLA SAN MARINO"/>
    <s v="ITALCOL IBAGUE"/>
    <s v="LOTUS X 25 KG"/>
    <n v="325"/>
    <n v="13"/>
    <n v="13162000"/>
    <d v="2026-04-28T00:00:00"/>
  </r>
  <r>
    <m/>
    <s v="100-CON-00025157"/>
    <d v="2026-04-24T00:00:00"/>
    <d v="1899-12-30T13:17:00"/>
    <x v="6"/>
    <m/>
    <d v="2026-04-27T00:00:00"/>
    <d v="1899-12-30T08:56:00"/>
    <s v="PORCICULTORES APA"/>
    <s v="GIRARDOTA"/>
    <s v="FRACTAL P X 25 KG"/>
    <n v="350"/>
    <n v="14"/>
    <n v="9205000"/>
    <d v="2026-05-07T00:00:00"/>
  </r>
  <r>
    <m/>
    <s v="100-CON-00025157"/>
    <d v="2026-04-24T00:00:00"/>
    <d v="1899-12-30T13:17:00"/>
    <x v="6"/>
    <m/>
    <d v="2026-04-27T00:00:00"/>
    <d v="1899-12-30T08:56:00"/>
    <s v="PORCICULTORES APA"/>
    <s v="GIRARDOTA"/>
    <s v="LOTUS X 25 KG"/>
    <n v="450"/>
    <n v="18"/>
    <n v="18225000"/>
    <d v="2026-05-07T00:00:00"/>
  </r>
  <r>
    <m/>
    <s v="OC00003669BX"/>
    <d v="2026-04-24T00:00:00"/>
    <d v="1899-12-30T14:49:00"/>
    <x v="7"/>
    <m/>
    <d v="2026-04-27T00:00:00"/>
    <d v="1899-12-30T09:23:00"/>
    <s v="MEZCLAS BIOMIX"/>
    <s v="SABANETA"/>
    <s v="DMB 11 X 25 KG"/>
    <n v="150"/>
    <n v="6"/>
    <n v="2925000"/>
    <d v="2026-05-06T00:00:00"/>
  </r>
  <r>
    <m/>
    <s v="001-OCN-00013932"/>
    <d v="2026-04-24T00:00:00"/>
    <d v="1899-12-30T15:59:00"/>
    <x v="8"/>
    <m/>
    <d v="2026-04-27T00:00:00"/>
    <d v="1899-12-30T09:29:00"/>
    <s v="MEJIA &amp; CIA"/>
    <s v="MOSQUERA"/>
    <s v="SAGAH X 25 KILOS"/>
    <n v="300"/>
    <n v="12"/>
    <n v="10500000"/>
    <d v="2026-05-07T00:00:00"/>
  </r>
  <r>
    <m/>
    <n v="1409719"/>
    <d v="2026-04-24T00:00:00"/>
    <d v="1899-12-30T17:05:00"/>
    <x v="9"/>
    <m/>
    <d v="2026-04-27T00:00:00"/>
    <d v="1899-12-30T12:33:00"/>
    <s v="FINCA S.A.S."/>
    <s v="BUGA"/>
    <s v="DINAMIX PREMIX X 25 KG"/>
    <n v="50"/>
    <n v="2"/>
    <n v="1086500"/>
    <d v="2026-05-04T00:00:00"/>
  </r>
  <r>
    <m/>
    <n v="1409719"/>
    <d v="2026-04-24T00:00:00"/>
    <d v="1899-12-30T17:05:00"/>
    <x v="9"/>
    <m/>
    <d v="2026-04-27T00:00:00"/>
    <d v="1899-12-30T12:33:00"/>
    <s v="FINCA S.A.S."/>
    <s v="BUGA"/>
    <s v="CELERITY NP X 25 KG"/>
    <n v="50"/>
    <n v="2"/>
    <n v="675000"/>
    <d v="2026-05-04T00:00:00"/>
  </r>
  <r>
    <m/>
    <s v="001-OC -00052257"/>
    <d v="2026-04-24T00:00:00"/>
    <d v="1899-12-30T17:45:00"/>
    <x v="10"/>
    <m/>
    <d v="2026-04-27T00:00:00"/>
    <d v="1899-12-30T13:59:00"/>
    <s v="AGRICOLA COLOMBIANA"/>
    <s v="EL LIMON"/>
    <s v="ROFLOX 20 X 1L DECNO"/>
    <n v="200"/>
    <n v="8"/>
    <n v="10000000"/>
    <d v="2026-04-28T00:00:00"/>
  </r>
  <r>
    <s v="CARTERA"/>
    <n v="9009596831"/>
    <d v="2026-04-24T00:00:00"/>
    <d v="1899-12-30T18:52:00"/>
    <x v="11"/>
    <m/>
    <d v="2026-04-27T00:00:00"/>
    <d v="1899-12-30T14:04:00"/>
    <s v="AGRIFEED"/>
    <s v="CIENAGA"/>
    <s v="FRACTAL P X 25 KG"/>
    <n v="200"/>
    <n v="8"/>
    <n v="5260000"/>
    <d v="2026-05-29T00:00:00"/>
  </r>
  <r>
    <s v="CARTERA"/>
    <n v="9009596831"/>
    <d v="2026-04-24T00:00:00"/>
    <d v="1899-12-30T18:52:00"/>
    <x v="11"/>
    <m/>
    <d v="2026-04-27T00:00:00"/>
    <d v="1899-12-30T14:04:00"/>
    <s v="AGRIFEED"/>
    <s v="CIENAGA"/>
    <s v="CIPROFLOX X 5 KG"/>
    <n v="50"/>
    <n v="2"/>
    <n v="2860000"/>
    <d v="2026-05-29T00:00:00"/>
  </r>
  <r>
    <m/>
    <s v="COC-00000646"/>
    <d v="2026-04-28T00:00:00"/>
    <d v="1899-12-30T13:47:00"/>
    <x v="12"/>
    <m/>
    <d v="2026-04-28T00:00:00"/>
    <d v="1899-12-30T14:33:00"/>
    <s v="INVERSIONES TRIBILIN"/>
    <s v="SABANETA"/>
    <s v="FOSMYCINA 90 X 500 GR"/>
    <n v="5"/>
    <n v="0"/>
    <n v="2600000"/>
    <d v="2026-04-28T00:00:00"/>
  </r>
  <r>
    <m/>
    <s v="001-OCN-00013878"/>
    <d v="2026-04-09T00:00:00"/>
    <d v="1899-12-30T09:32:00"/>
    <x v="13"/>
    <m/>
    <d v="2026-04-09T00:00:00"/>
    <d v="1899-12-30T12:09:00"/>
    <s v="MEJIA &amp; CIA"/>
    <s v="MOSQUERA"/>
    <s v="HALQUINOX 800 X 25 KG"/>
    <n v="500"/>
    <n v="20"/>
    <n v="51250000"/>
    <d v="2026-04-28T00:00:00"/>
  </r>
  <r>
    <m/>
    <n v="4504059517"/>
    <d v="2026-04-25T00:00:00"/>
    <d v="1899-12-30T11:44:00"/>
    <x v="14"/>
    <m/>
    <d v="2026-04-27T00:00:00"/>
    <d v="1899-12-30T14:25:00"/>
    <s v="AVSA S.A."/>
    <s v="BUGA"/>
    <s v="MONECYL X 25 KG"/>
    <n v="6000"/>
    <n v="240"/>
    <n v="117000000"/>
    <d v="2026-05-05T00:00:00"/>
  </r>
  <r>
    <s v="BONIFICACIONES"/>
    <n v="4504059517"/>
    <d v="2026-04-25T00:00:00"/>
    <d v="1899-12-30T11:44:00"/>
    <x v="15"/>
    <m/>
    <d v="2026-04-27T00:00:00"/>
    <d v="1899-12-30T14:27:00"/>
    <s v="AVSA S.A."/>
    <s v="BUGA"/>
    <s v="MONECYL X 25 KG"/>
    <n v="150"/>
    <n v="6"/>
    <n v="0"/>
    <d v="2026-05-05T00:00:00"/>
  </r>
  <r>
    <m/>
    <n v="4504059517"/>
    <d v="2026-04-25T00:00:00"/>
    <d v="1899-12-30T11:44:00"/>
    <x v="16"/>
    <m/>
    <d v="2026-04-27T00:00:00"/>
    <d v="1899-12-30T14:25:00"/>
    <s v="AVSA S.A."/>
    <s v="BUGA"/>
    <s v="MONECYL X 25 KG"/>
    <n v="6000"/>
    <n v="240"/>
    <n v="117000000"/>
    <d v="2026-05-12T00:00:00"/>
  </r>
  <r>
    <s v="BONIFICACIONES"/>
    <n v="4504059517"/>
    <d v="2026-04-25T00:00:00"/>
    <d v="1899-12-30T11:44:00"/>
    <x v="17"/>
    <m/>
    <d v="2026-04-27T00:00:00"/>
    <d v="1899-12-30T14:27:00"/>
    <s v="AVSA S.A."/>
    <s v="BUGA"/>
    <s v="MONECYL X 25 KG"/>
    <n v="150"/>
    <n v="6"/>
    <n v="0"/>
    <d v="2026-05-12T00:00:00"/>
  </r>
  <r>
    <m/>
    <n v="5504634719"/>
    <d v="2026-04-27T00:00:00"/>
    <d v="1899-12-30T15:20:00"/>
    <x v="18"/>
    <s v="BG26111"/>
    <d v="2026-04-27T00:00:00"/>
    <d v="1899-12-30T15:32:00"/>
    <s v="POLLOS EL BUCANERO"/>
    <s v="ARJONA"/>
    <s v="TILOMIX 250 PREMIX X 25 KG"/>
    <n v="250"/>
    <n v="10"/>
    <n v="15500000"/>
    <d v="2026-05-29T00:00:00"/>
  </r>
  <r>
    <m/>
    <m/>
    <d v="2026-04-21T00:00:00"/>
    <d v="1899-12-30T11:32:00"/>
    <x v="19"/>
    <m/>
    <d v="2026-04-21T00:00:00"/>
    <d v="1899-12-30T13:06:00"/>
    <s v="AVICOLA EL GUAMITO"/>
    <s v="BUCARAMANGA"/>
    <s v="CIPROFLOX X 5 KG"/>
    <n v="15"/>
    <n v="1"/>
    <n v="2666000"/>
    <d v="2026-04-21T00:00:00"/>
  </r>
  <r>
    <m/>
    <m/>
    <d v="2026-04-21T00:00:00"/>
    <d v="1899-12-30T11:32:00"/>
    <x v="19"/>
    <m/>
    <d v="2026-04-21T00:00:00"/>
    <d v="1899-12-30T13:06:00"/>
    <s v="AVICOLA EL GUAMITO"/>
    <s v="BUCARAMANGA"/>
    <s v="1 KG DE CIPROFLOX"/>
    <n v="43"/>
    <n v="2"/>
    <n v="915000"/>
    <d v="2026-04-21T00:00:00"/>
  </r>
  <r>
    <m/>
    <m/>
    <d v="2026-04-21T00:00:00"/>
    <d v="1899-12-30T11:32:00"/>
    <x v="20"/>
    <m/>
    <d v="2026-04-21T00:00:00"/>
    <d v="1899-12-30T13:06:00"/>
    <s v="AVICOLA EL GUAMITO"/>
    <s v="BUCARAMANGA"/>
    <s v="SMOOT SWEET X 75 GR"/>
    <n v="4.3499999999999996"/>
    <n v="0"/>
    <n v="0"/>
    <d v="2026-04-21T00:00:00"/>
  </r>
  <r>
    <m/>
    <n v="4700008977"/>
    <d v="2026-04-28T00:00:00"/>
    <d v="1899-12-30T08:00:00"/>
    <x v="21"/>
    <m/>
    <d v="2026-04-28T00:00:00"/>
    <d v="1899-12-30T08:02:00"/>
    <s v="PREMEZCLAS LATINOAMERICANAS PRALSA"/>
    <s v="GUATEMALA"/>
    <s v="HALQUINOX 500 X 25 KG"/>
    <n v="8000"/>
    <n v="320"/>
    <s v="102320 USD"/>
    <d v="2026-05-20T00:00:00"/>
  </r>
  <r>
    <m/>
    <m/>
    <d v="2026-04-21T00:00:00"/>
    <d v="1899-12-30T16:00:00"/>
    <x v="22"/>
    <m/>
    <d v="2026-04-22T00:00:00"/>
    <d v="1899-12-30T09:45:00"/>
    <s v="PREMEX INC"/>
    <s v="REPUBLICA DOMINICANA"/>
    <s v="CLORTETRAX 20 X 25 KG"/>
    <n v="1000"/>
    <n v="40"/>
    <s v="4700 USD"/>
    <d v="2025-04-29T00:00:00"/>
  </r>
  <r>
    <m/>
    <m/>
    <d v="2026-04-28T00:00:00"/>
    <d v="1899-12-30T09:20:00"/>
    <x v="23"/>
    <m/>
    <d v="2026-04-28T00:00:00"/>
    <d v="1899-12-30T11:51:00"/>
    <s v="AVICOLA EL GUAMITO"/>
    <s v="LEBRIJA"/>
    <s v="FENIFLOR ORAL X 500 GR"/>
    <n v="80"/>
    <n v="3"/>
    <n v="8160000"/>
    <d v="2026-04-28T00:00:00"/>
  </r>
  <r>
    <m/>
    <m/>
    <d v="2026-04-28T00:00:00"/>
    <d v="1899-12-30T14:00:00"/>
    <x v="24"/>
    <m/>
    <d v="2026-04-28T00:00:00"/>
    <d v="1899-12-30T14:01:00"/>
    <s v="JHON RIZO"/>
    <s v="BUGA"/>
    <s v="ACCUREMAX X 25 KG"/>
    <n v="50"/>
    <n v="2"/>
    <n v="3194500"/>
    <d v="2026-05-04T00:00:00"/>
  </r>
  <r>
    <m/>
    <n v="361283"/>
    <d v="2026-04-28T00:00:00"/>
    <d v="1899-12-30T12:51:00"/>
    <x v="25"/>
    <s v="BG26195"/>
    <d v="2026-04-28T00:00:00"/>
    <d v="1899-12-30T14:09:00"/>
    <s v="INCUBADORA SANTANDER"/>
    <s v="BUCARAMANGA"/>
    <s v="FOSMYCINA 90 X 500 GR"/>
    <n v="50"/>
    <n v="2"/>
    <n v="25810300"/>
    <d v="2026-04-28T00:00:00"/>
  </r>
  <r>
    <s v="TRANSPORTE"/>
    <s v="CFMP-2053"/>
    <d v="2026-04-28T00:00:00"/>
    <d v="1899-12-30T16:30:00"/>
    <x v="26"/>
    <m/>
    <d v="2026-04-29T00:00:00"/>
    <d v="1899-12-30T09:26:00"/>
    <s v="AGROPECUARIA GOLOSO"/>
    <s v="LA SORTIJA"/>
    <s v="5 KG FENIFLOR PREMIX"/>
    <n v="10"/>
    <n v="0"/>
    <n v="700000"/>
    <d v="2026-04-04T00:00:00"/>
  </r>
  <r>
    <m/>
    <m/>
    <d v="2026-04-29T00:00:00"/>
    <d v="1899-12-30T08:11:00"/>
    <x v="27"/>
    <m/>
    <d v="2026-04-29T00:00:00"/>
    <d v="1899-12-30T10:04:00"/>
    <s v="INVERSIONES CARDONA RIOS (AVICOLA LA MARIA)"/>
    <s v="LA CEJA"/>
    <s v="FENIFLOR PREMIX X 25 Kg"/>
    <n v="75"/>
    <n v="3"/>
    <n v="5250000"/>
    <d v="2026-04-29T00:00:00"/>
  </r>
  <r>
    <m/>
    <n v="1412307"/>
    <d v="2026-04-29T00:00:00"/>
    <d v="1899-12-30T08:15:00"/>
    <x v="28"/>
    <m/>
    <d v="2026-04-29T00:00:00"/>
    <d v="1899-12-30T10:18:00"/>
    <s v="OPERADORA AVICOLA COLOMBIA S.A.S."/>
    <s v="PEREIRA"/>
    <s v="FENIFLOR ORAL X 500 GR"/>
    <n v="100"/>
    <n v="4"/>
    <n v="9500000"/>
    <d v="2026-05-04T00:00:00"/>
  </r>
  <r>
    <m/>
    <n v="1412307"/>
    <d v="2026-04-29T00:00:00"/>
    <d v="1899-12-30T08:15:00"/>
    <x v="28"/>
    <m/>
    <d v="2026-04-29T00:00:00"/>
    <d v="1899-12-30T10:18:00"/>
    <s v="OPERADORA AVICOLA COLOMBIA S.A.S."/>
    <s v="PEREIRA"/>
    <s v="CIPROFLOX X 5 KG"/>
    <n v="30"/>
    <n v="1"/>
    <n v="1575000"/>
    <d v="2026-05-04T00:00:00"/>
  </r>
  <r>
    <m/>
    <n v="1412307"/>
    <d v="2026-04-29T00:00:00"/>
    <d v="1899-12-30T08:15:00"/>
    <x v="29"/>
    <m/>
    <d v="2026-04-29T00:00:00"/>
    <d v="1899-12-30T10:18:00"/>
    <s v="OPERADORA AVICOLA COLOMBIA S.A.S."/>
    <s v="PEREIRA"/>
    <s v="SMOOT SWEET X 75 GR"/>
    <n v="2.25"/>
    <n v="0"/>
    <n v="0"/>
    <d v="2026-05-04T00:00:00"/>
  </r>
  <r>
    <m/>
    <s v="01-OC -00004160"/>
    <d v="2026-04-29T00:00:00"/>
    <d v="1899-12-30T15:29:00"/>
    <x v="30"/>
    <m/>
    <d v="2026-04-29T00:00:00"/>
    <d v="1899-12-30T10:48:00"/>
    <s v="INVERSIONES ESCALA"/>
    <s v="NUTRITEC"/>
    <s v="DMB 11 X 25 KG"/>
    <n v="175"/>
    <n v="7"/>
    <n v="3412500"/>
    <d v="2026-05-14T00:00:00"/>
  </r>
  <r>
    <m/>
    <s v="01-OC -00004160"/>
    <d v="2026-04-29T00:00:00"/>
    <d v="1899-12-30T15:29:00"/>
    <x v="31"/>
    <m/>
    <d v="2026-04-29T00:00:00"/>
    <d v="1899-12-30T10:48:00"/>
    <s v="INVERSIONES ESCALA"/>
    <s v="NUTRITEC"/>
    <s v="ACCUREMAX 10% X 25 KG"/>
    <n v="75"/>
    <n v="3"/>
    <n v="18000000"/>
    <d v="2026-05-14T00:00:00"/>
  </r>
  <r>
    <m/>
    <n v="1410797"/>
    <d v="2026-04-27T00:00:00"/>
    <d v="1899-12-30T16:49:00"/>
    <x v="32"/>
    <m/>
    <d v="2026-04-29T00:00:00"/>
    <d v="1899-12-30T10:53:00"/>
    <s v="CONTEGRAL S.A.S."/>
    <s v="CARTAGO"/>
    <s v="ESPELIN 88 X 25 KG"/>
    <n v="175"/>
    <n v="7"/>
    <n v="6807500"/>
    <d v="2026-05-04T00:00:00"/>
  </r>
  <r>
    <m/>
    <n v="1410797"/>
    <d v="2026-04-27T00:00:00"/>
    <d v="1899-12-30T16:49:00"/>
    <x v="32"/>
    <m/>
    <d v="2026-04-29T00:00:00"/>
    <d v="1899-12-30T10:53:00"/>
    <s v="CONTEGRAL S.A.S."/>
    <s v="CARTAGO"/>
    <s v="TILVASYYN x 25 KG"/>
    <n v="75"/>
    <n v="3"/>
    <n v="13515000"/>
    <d v="2026-05-04T00:00:00"/>
  </r>
  <r>
    <m/>
    <s v="A02-COC-329026"/>
    <d v="2026-04-27T00:00:00"/>
    <d v="1899-12-30T19:23:00"/>
    <x v="33"/>
    <m/>
    <d v="2026-04-29T00:00:00"/>
    <d v="1899-12-30T10:58:00"/>
    <s v="COOPERATIVA COLANTA"/>
    <s v="ITAGUI"/>
    <s v="DINAMIX 800 X 25 KG"/>
    <n v="1000"/>
    <n v="40"/>
    <n v="164000000"/>
    <d v="2026-05-05T00:00:00"/>
  </r>
  <r>
    <m/>
    <n v="67293"/>
    <d v="2026-04-27T00:00:00"/>
    <d v="1899-12-30T11:02:00"/>
    <x v="34"/>
    <m/>
    <d v="2026-04-27T00:00:00"/>
    <d v="1899-12-30T11:45:00"/>
    <s v="INVERSIONES J.V. S.A.S."/>
    <s v="BUCARAMANGA"/>
    <s v="ACCUREMAX"/>
    <n v="50"/>
    <n v="2"/>
    <n v="3040000"/>
    <d v="2026-05-29T00:00:00"/>
  </r>
  <r>
    <m/>
    <m/>
    <d v="2026-04-29T00:00:00"/>
    <d v="1899-12-30T14:43:00"/>
    <x v="35"/>
    <m/>
    <d v="2026-04-29T00:00:00"/>
    <d v="1899-12-30T14:50:00"/>
    <s v="BETANAGRO"/>
    <s v="SANTA ROSA"/>
    <s v="DQCICLIN X 1 KG"/>
    <n v="10"/>
    <n v="0"/>
    <n v="2500000"/>
    <d v="2026-05-29T00:00:00"/>
  </r>
  <r>
    <m/>
    <m/>
    <d v="2026-04-29T00:00:00"/>
    <d v="1899-12-30T14:43:00"/>
    <x v="35"/>
    <m/>
    <d v="2026-04-29T00:00:00"/>
    <d v="1899-12-30T14:50:00"/>
    <s v="BETANAGRO"/>
    <s v="SANTA ROSA"/>
    <s v="PROYECTO TILVASIN X KG"/>
    <n v="5"/>
    <n v="0"/>
    <n v="1050000"/>
    <d v="2026-05-29T00:00:00"/>
  </r>
  <r>
    <m/>
    <s v="PC-INS-00965"/>
    <d v="2026-04-29T00:00:00"/>
    <d v="1899-12-30T15:15:00"/>
    <x v="36"/>
    <m/>
    <d v="2026-04-30T00:00:00"/>
    <d v="1899-12-30T08:19:00"/>
    <s v="COOPERATIVA DE PORCICULTORES DEL EJE CAFETERO"/>
    <s v="PEREIRA"/>
    <s v="FENIFLOR ORAL X 500 GR"/>
    <n v="7"/>
    <n v="0"/>
    <n v="717500"/>
    <d v="2026-05-04T00:00:00"/>
  </r>
  <r>
    <m/>
    <s v="PC-INS-00965"/>
    <d v="2026-04-29T00:00:00"/>
    <d v="1899-12-30T15:15:00"/>
    <x v="36"/>
    <m/>
    <d v="2026-04-30T00:00:00"/>
    <d v="1899-12-30T08:19:00"/>
    <s v="COOPERATIVA DE PORCICULTORES DEL EJE CAFETERO"/>
    <s v="PEREIRA"/>
    <s v="NORFLOX X 1 LITRO"/>
    <n v="5"/>
    <n v="0"/>
    <n v="272500"/>
    <d v="2026-05-04T00:00:00"/>
  </r>
  <r>
    <m/>
    <n v="13905"/>
    <d v="2026-04-29T00:00:00"/>
    <d v="1899-12-30T16:04:00"/>
    <x v="37"/>
    <m/>
    <d v="2026-04-30T00:00:00"/>
    <d v="1899-12-30T09:13:00"/>
    <s v="CONCENTRADOS DEL CAMPO"/>
    <s v="SAN PEDRO"/>
    <s v="FRACTAL P X 25 KG"/>
    <n v="500"/>
    <n v="20"/>
    <n v="12750000"/>
    <d v="2026-05-08T00:00:00"/>
  </r>
  <r>
    <m/>
    <n v="13905"/>
    <d v="2026-04-29T00:00:00"/>
    <d v="1899-12-30T16:04:00"/>
    <x v="37"/>
    <m/>
    <d v="2026-04-30T00:00:00"/>
    <d v="1899-12-30T09:13:00"/>
    <s v="CONCENTRADOS DEL CAMPO"/>
    <s v="SAN PEDRO"/>
    <s v="LOTUS X 25 KG"/>
    <n v="200"/>
    <n v="8"/>
    <n v="7700000"/>
    <d v="2026-05-08T00:00:00"/>
  </r>
  <r>
    <m/>
    <n v="13905"/>
    <d v="2026-04-29T00:00:00"/>
    <d v="1899-12-30T16:04:00"/>
    <x v="37"/>
    <m/>
    <d v="2026-04-30T00:00:00"/>
    <d v="1899-12-30T09:13:00"/>
    <s v="CONCENTRADOS DEL CAMPO"/>
    <s v="SAN PEDRO"/>
    <s v="CLORTETRAX 20 X 25 KG"/>
    <n v="600"/>
    <n v="24"/>
    <n v="9600000"/>
    <d v="2026-05-08T00:00:00"/>
  </r>
  <r>
    <m/>
    <n v="13905"/>
    <d v="2026-04-29T00:00:00"/>
    <d v="1899-12-30T16:04:00"/>
    <x v="38"/>
    <m/>
    <d v="2026-04-30T00:00:00"/>
    <d v="1899-12-30T09:13:00"/>
    <s v="CONCENTRADOS DEL CAMPO"/>
    <s v="SAN PEDRO"/>
    <s v="200 MONECYL R X 25 KG"/>
    <n v="100"/>
    <n v="4"/>
    <n v="2100000"/>
    <d v="2026-05-08T00:00:00"/>
  </r>
  <r>
    <m/>
    <n v="5504646398"/>
    <d v="2026-04-29T00:00:00"/>
    <d v="1899-12-30T17:34:00"/>
    <x v="39"/>
    <m/>
    <d v="2026-04-30T00:00:00"/>
    <d v="1899-12-30T09:17:00"/>
    <s v="POLLOS EL BUCANERO"/>
    <s v="CAVASA"/>
    <s v="DMB 11 X 25 KG"/>
    <n v="8000"/>
    <n v="320"/>
    <n v="146800000"/>
    <d v="2026-05-06T00:00:00"/>
  </r>
  <r>
    <m/>
    <n v="4500088625"/>
    <d v="2026-04-29T00:00:00"/>
    <d v="1899-12-30T23:42:00"/>
    <x v="40"/>
    <m/>
    <d v="2026-04-30T00:00:00"/>
    <d v="1899-12-30T09:23:00"/>
    <s v="PREMEX S.A.S."/>
    <s v="MEDELLIN"/>
    <s v="CIPROFLOX X 5 KG"/>
    <n v="3000"/>
    <n v="120"/>
    <n v="157500000"/>
    <d v="2026-05-02T00:00:00"/>
  </r>
  <r>
    <m/>
    <n v="4500088625"/>
    <d v="2026-04-29T00:00:00"/>
    <d v="1899-12-30T23:42:00"/>
    <x v="40"/>
    <m/>
    <d v="2026-04-30T00:00:00"/>
    <d v="1899-12-30T09:23:00"/>
    <s v="PREMEX S.A.S."/>
    <s v="MEDELLIN"/>
    <s v="TILCOMIX PREMIX S X 5KG"/>
    <n v="200"/>
    <n v="8"/>
    <n v="26250000"/>
    <d v="2026-05-02T00:00:00"/>
  </r>
  <r>
    <m/>
    <n v="4500088625"/>
    <d v="2026-04-29T00:00:00"/>
    <d v="1899-12-30T23:42:00"/>
    <x v="41"/>
    <m/>
    <d v="2026-04-30T00:00:00"/>
    <d v="1899-12-30T09:23:00"/>
    <s v="PREMEX S.A.S."/>
    <s v="MEDELLIN"/>
    <s v="10 KG SMOOTH SWEET"/>
    <n v="2250"/>
    <n v="90"/>
    <n v="0"/>
    <d v="2026-05-02T00:00:00"/>
  </r>
  <r>
    <m/>
    <m/>
    <d v="2026-04-30T00:00:00"/>
    <d v="1899-12-30T11:55:00"/>
    <x v="42"/>
    <m/>
    <d v="2026-04-30T00:00:00"/>
    <d v="1899-12-30T12:13:00"/>
    <s v="COMERCIALIZADORA G&amp;M"/>
    <s v="MAICAO"/>
    <s v="ACCUREMAX 10% X 25 KG"/>
    <n v="500"/>
    <n v="20"/>
    <n v="118500000"/>
    <d v="2026-05-02T00:00:00"/>
  </r>
  <r>
    <m/>
    <m/>
    <d v="2026-04-30T00:00:00"/>
    <d v="1899-12-30T11:55:00"/>
    <x v="42"/>
    <m/>
    <d v="2026-04-30T00:00:00"/>
    <d v="1899-12-30T12:13:00"/>
    <s v="COMERCIALIZADORA G&amp;M"/>
    <s v="MAICAO"/>
    <s v="DINAMIX 200 PREMIX X 25 KG"/>
    <n v="1200"/>
    <n v="48"/>
    <n v="61200000"/>
    <d v="2026-05-02T00:00:00"/>
  </r>
  <r>
    <m/>
    <m/>
    <d v="2026-04-30T00:00:00"/>
    <d v="1899-12-30T11:55:00"/>
    <x v="42"/>
    <m/>
    <d v="2026-04-30T00:00:00"/>
    <d v="1899-12-30T12:13:00"/>
    <s v="COMERCIALIZADORA G&amp;M"/>
    <s v="MAICAO"/>
    <s v="MONECYL X 25 KG"/>
    <n v="175"/>
    <n v="7"/>
    <n v="3675000"/>
    <d v="2026-05-02T00:00:00"/>
  </r>
  <r>
    <m/>
    <n v="103025"/>
    <d v="2026-04-30T00:00:00"/>
    <d v="1899-12-30T13:24:00"/>
    <x v="43"/>
    <m/>
    <d v="2026-05-04T00:00:00"/>
    <d v="1899-12-30T07:56:00"/>
    <s v="GARCIA GOMEZ AGROINVERSIONES S.A."/>
    <s v="BUGA"/>
    <s v="AMOXIN X 1 KILO"/>
    <n v="100"/>
    <n v="4"/>
    <n v="14500000"/>
    <d v="2026-05-12T00:00:00"/>
  </r>
  <r>
    <m/>
    <n v="103025"/>
    <d v="2026-04-30T00:00:00"/>
    <d v="1899-12-30T13:24:00"/>
    <x v="43"/>
    <m/>
    <d v="2026-05-04T00:00:00"/>
    <d v="1899-12-30T07:56:00"/>
    <s v="GARCIA GOMEZ AGROINVERSIONES S.A."/>
    <s v="BUGA"/>
    <s v="FENIFLOR ORAL X 500 GR"/>
    <n v="440"/>
    <n v="18"/>
    <n v="42768000"/>
    <d v="2026-05-12T00:00:00"/>
  </r>
  <r>
    <m/>
    <n v="103025"/>
    <d v="2026-04-30T00:00:00"/>
    <d v="1899-12-30T13:24:00"/>
    <x v="43"/>
    <m/>
    <d v="2026-05-04T00:00:00"/>
    <d v="1899-12-30T07:56:00"/>
    <s v="GARCIA GOMEZ AGROINVERSIONES S.A."/>
    <s v="BUGA"/>
    <s v="NORFLOX X 1 LITRO"/>
    <n v="50"/>
    <n v="2"/>
    <n v="3575000"/>
    <d v="2026-05-12T00:00:00"/>
  </r>
  <r>
    <m/>
    <n v="103025"/>
    <d v="2026-04-30T00:00:00"/>
    <d v="1899-12-30T13:24:00"/>
    <x v="43"/>
    <m/>
    <d v="2026-05-04T00:00:00"/>
    <d v="1899-12-30T07:56:00"/>
    <s v="GARCIA GOMEZ AGROINVERSIONES S.A."/>
    <s v="BUGA"/>
    <s v="FOSMYCINA 90 X 500 GR"/>
    <n v="50"/>
    <n v="2"/>
    <n v="25740000"/>
    <d v="2026-05-12T00:00:00"/>
  </r>
  <r>
    <m/>
    <n v="103025"/>
    <d v="2026-04-30T00:00:00"/>
    <d v="1899-12-30T13:24:00"/>
    <x v="44"/>
    <s v="BG26147"/>
    <d v="2026-05-04T00:00:00"/>
    <d v="1899-12-30T07:56:00"/>
    <s v="GARCIA GOMEZ AGROINVERSIONES S.A."/>
    <s v="BUGA"/>
    <s v="FENIFLOR ORAL X 500 GR"/>
    <n v="60"/>
    <n v="2"/>
    <n v="5832000"/>
    <d v="2026-05-12T00:00:00"/>
  </r>
  <r>
    <s v="ALISTAMIENTO"/>
    <n v="103024"/>
    <d v="2026-04-30T00:00:00"/>
    <d v="1899-12-30T13:24:00"/>
    <x v="45"/>
    <m/>
    <d v="2026-05-04T00:00:00"/>
    <d v="1899-12-30T07:56:00"/>
    <s v="GARCIA GOMEZ AGROINVERSIONES S.A."/>
    <s v="BUGA"/>
    <s v="NORFLOX X 1 LITRO"/>
    <n v="30"/>
    <n v="1"/>
    <n v="2145000"/>
    <d v="2026-05-05T00:00:00"/>
  </r>
  <r>
    <s v="ALISTAMIENTO"/>
    <n v="103024"/>
    <d v="2026-04-30T00:00:00"/>
    <d v="1899-12-30T13:24:00"/>
    <x v="45"/>
    <m/>
    <d v="2026-05-04T00:00:00"/>
    <d v="1899-12-30T07:56:00"/>
    <s v="GARCIA GOMEZ AGROINVERSIONES S.A."/>
    <s v="BUGA"/>
    <s v="FOSMYCINA 90 X 500 GR"/>
    <n v="200"/>
    <n v="8"/>
    <n v="102960000"/>
    <d v="2026-05-05T00:00:00"/>
  </r>
  <r>
    <m/>
    <n v="103027"/>
    <d v="2026-04-30T00:00:00"/>
    <d v="1899-12-30T13:24:00"/>
    <x v="46"/>
    <m/>
    <d v="2026-05-04T00:00:00"/>
    <d v="1899-12-30T08:11:00"/>
    <s v="GRUPO PORCINO"/>
    <s v="BUGA"/>
    <s v="FENIFLOR ORAL X 500 GR"/>
    <n v="500"/>
    <n v="20"/>
    <n v="48600000"/>
    <d v="2026-05-05T00:00:00"/>
  </r>
  <r>
    <s v="ALISTAMIENTO"/>
    <n v="1413806"/>
    <d v="2026-04-30T00:00:00"/>
    <d v="1899-12-30T14:06:00"/>
    <x v="47"/>
    <m/>
    <d v="2026-05-04T00:00:00"/>
    <d v="1899-12-30T08:16:00"/>
    <s v="FINCA S.A.S."/>
    <s v="BUCARAMANGA"/>
    <s v="FRACTAL P X 25 KG"/>
    <n v="200"/>
    <n v="8"/>
    <n v="4965000"/>
    <d v="2026-05-06T00:00:00"/>
  </r>
  <r>
    <s v="ALISTAMIENTO"/>
    <n v="1413806"/>
    <d v="2026-04-30T00:00:00"/>
    <d v="1899-12-30T14:06:00"/>
    <x v="47"/>
    <m/>
    <d v="2026-05-04T00:00:00"/>
    <d v="1899-12-30T08:16:00"/>
    <s v="FINCA S.A.S."/>
    <s v="BUCARAMANGA"/>
    <s v="LOTUS X 25 KG"/>
    <n v="100"/>
    <n v="4"/>
    <n v="3450000"/>
    <d v="2026-05-06T00:00:00"/>
  </r>
  <r>
    <m/>
    <m/>
    <d v="2026-04-30T00:00:00"/>
    <d v="1899-12-30T14:25:00"/>
    <x v="48"/>
    <m/>
    <d v="2026-05-04T00:00:00"/>
    <d v="1899-12-30T08:19:00"/>
    <s v="BIOPRES"/>
    <s v="ROVIRA"/>
    <s v="MONECYL X 25 KG"/>
    <n v="100"/>
    <n v="4"/>
    <n v="2100000"/>
    <d v="2026-05-06T00:00:00"/>
  </r>
  <r>
    <m/>
    <m/>
    <d v="2026-04-30T00:00:00"/>
    <d v="1899-12-30T15:00:00"/>
    <x v="49"/>
    <m/>
    <d v="2026-05-04T00:00:00"/>
    <d v="1899-12-30T08:36:00"/>
    <s v="AVSA S.A."/>
    <s v="CHIMITA"/>
    <s v="DMB 11 X 25 KG"/>
    <n v="650"/>
    <n v="26"/>
    <n v="11537500"/>
    <d v="2026-05-05T00:00:00"/>
  </r>
  <r>
    <s v="CARTERA"/>
    <m/>
    <d v="2026-04-30T00:00:00"/>
    <d v="1899-12-30T15:02:00"/>
    <x v="50"/>
    <m/>
    <d v="2026-05-04T00:00:00"/>
    <d v="1899-12-30T08:41:00"/>
    <s v="MARIA JOSE ORTIZ"/>
    <s v="BUCARAMANGA"/>
    <s v="FENIFLOR ORAL X 500 GR"/>
    <n v="6"/>
    <n v="0"/>
    <n v="630000"/>
    <d v="2026-05-04T00:00:00"/>
  </r>
  <r>
    <m/>
    <s v="OC 006"/>
    <d v="2026-05-01T00:00:00"/>
    <d v="1899-12-30T12:47:00"/>
    <x v="51"/>
    <m/>
    <d v="2026-05-04T00:00:00"/>
    <d v="1899-12-30T08:49:00"/>
    <s v="AVICOLA SINAIN"/>
    <s v="BUCARAMANGA"/>
    <s v="FENIFLOR PREMIX X 25 Kg"/>
    <n v="100"/>
    <n v="4"/>
    <n v="6900000"/>
    <d v="2026-05-04T00:00:00"/>
  </r>
  <r>
    <m/>
    <n v="4500088661"/>
    <d v="2026-05-01T00:00:00"/>
    <d v="1899-12-30T10:32:00"/>
    <x v="52"/>
    <m/>
    <d v="2026-05-04T00:00:00"/>
    <d v="1899-12-30T08:54:00"/>
    <s v="PREMEX S.A.S."/>
    <s v="MEDELLIN"/>
    <s v="CIPROFLOX X 5 KG"/>
    <n v="1000"/>
    <n v="40"/>
    <n v="52500000"/>
    <d v="2026-05-05T00:00:00"/>
  </r>
  <r>
    <m/>
    <n v="4500088661"/>
    <d v="2026-05-01T00:00:00"/>
    <d v="1899-12-30T10:32:00"/>
    <x v="52"/>
    <m/>
    <d v="2026-05-04T00:00:00"/>
    <d v="1899-12-30T08:54:00"/>
    <s v="PREMEX S.A.S."/>
    <s v="MEDELLIN"/>
    <s v="KIRA X 25 KG"/>
    <n v="400"/>
    <n v="16"/>
    <n v="7870000"/>
    <d v="2026-05-05T00:00:00"/>
  </r>
  <r>
    <m/>
    <n v="4500088661"/>
    <d v="2026-05-01T00:00:00"/>
    <d v="1899-12-30T10:32:00"/>
    <x v="52"/>
    <m/>
    <d v="2026-05-04T00:00:00"/>
    <d v="1899-12-30T08:54:00"/>
    <s v="PREMEX S.A.S."/>
    <s v="MEDELLIN"/>
    <s v="DQCICLIN X 1 KG"/>
    <n v="30"/>
    <n v="1"/>
    <n v="5250000"/>
    <d v="2026-05-05T00:00:00"/>
  </r>
  <r>
    <m/>
    <n v="4500088661"/>
    <d v="2026-05-01T00:00:00"/>
    <d v="1899-12-30T10:32:00"/>
    <x v="52"/>
    <m/>
    <d v="2026-05-04T00:00:00"/>
    <d v="1899-12-30T08:54:00"/>
    <s v="PREMEX S.A.S."/>
    <s v="MEDELLIN"/>
    <s v="10 KG SMOOTH SWEET"/>
    <n v="80"/>
    <n v="3"/>
    <n v="0"/>
    <d v="2026-05-05T00:00:00"/>
  </r>
  <r>
    <m/>
    <n v="5504045659"/>
    <d v="2026-05-01T00:00:00"/>
    <d v="1899-12-30T10:33:00"/>
    <x v="53"/>
    <m/>
    <d v="2026-05-04T00:00:00"/>
    <d v="1899-12-30T10:04:00"/>
    <s v="POLLOS EL BUCANERO"/>
    <s v="SUPER AGRO"/>
    <s v="1 KG NEOCYN"/>
    <n v="50"/>
    <n v="2"/>
    <n v="3600000"/>
    <d v="2026-05-06T00:00:00"/>
  </r>
  <r>
    <m/>
    <n v="5504231581"/>
    <d v="2026-04-15T00:00:00"/>
    <d v="1899-12-30T11:21:00"/>
    <x v="54"/>
    <m/>
    <d v="2026-05-04T00:00:00"/>
    <d v="1899-12-30T11:12:00"/>
    <s v="POLLOS EL BUCANERO"/>
    <s v="SUPER AGRO"/>
    <s v="ROFLOX 20 X 1L DECNO"/>
    <n v="100"/>
    <n v="100"/>
    <n v="4650000"/>
    <d v="2026-05-06T00:00:00"/>
  </r>
  <r>
    <m/>
    <n v="5504044879"/>
    <d v="2026-04-15T00:00:00"/>
    <d v="1899-12-30T11:21:00"/>
    <x v="55"/>
    <m/>
    <d v="2026-05-04T00:00:00"/>
    <d v="1899-12-30T11:17:00"/>
    <s v="POLLOS EL BUCANERO"/>
    <s v="SUPER AGRO"/>
    <s v="TRIMBAC X 5KG"/>
    <n v="90"/>
    <n v="90"/>
    <n v="14400000"/>
    <d v="2026-05-06T00:00:00"/>
  </r>
  <r>
    <m/>
    <s v="103-OCC-39117"/>
    <d v="2026-05-03T00:00:00"/>
    <d v="1899-12-30T21:18:00"/>
    <x v="56"/>
    <m/>
    <d v="2026-05-04T00:00:00"/>
    <d v="1899-12-30T11:22:00"/>
    <s v="ITALCOL DE OCCIDENTE"/>
    <s v="GIRARDOTA"/>
    <s v="DINAMIX PREMIX X 25 KG"/>
    <n v="300"/>
    <n v="12"/>
    <n v="7500000"/>
    <d v="2026-05-06T00:00:00"/>
  </r>
  <r>
    <m/>
    <s v="TAS-OC-0005005"/>
    <d v="2026-05-04T00:00:00"/>
    <d v="1899-12-30T06:59:00"/>
    <x v="57"/>
    <m/>
    <d v="2026-05-04T00:00:00"/>
    <d v="1899-12-30T12:04:00"/>
    <s v="TERRAZAS AGROPECUARIAS"/>
    <s v="BARCON"/>
    <s v="TILCOMIX PREMIX S X 5KG"/>
    <n v="50"/>
    <n v="2"/>
    <n v="8250000"/>
    <d v="2026-05-06T00:00:00"/>
  </r>
  <r>
    <m/>
    <m/>
    <d v="2026-05-04T00:00:00"/>
    <d v="1899-12-30T12:14:00"/>
    <x v="58"/>
    <m/>
    <d v="2026-05-04T00:00:00"/>
    <d v="1899-12-30T12:24:00"/>
    <s v="INVERSIONES FEEDS S.A.S"/>
    <s v="LOS PINOS"/>
    <s v="CLORTETRAX 20 X 25 KG"/>
    <n v="400"/>
    <n v="16"/>
    <n v="6400000"/>
    <d v="2026-05-05T00:00:00"/>
  </r>
  <r>
    <m/>
    <m/>
    <d v="2026-05-04T00:00:00"/>
    <d v="1899-12-30T12:14:00"/>
    <x v="58"/>
    <m/>
    <d v="2026-05-04T00:00:00"/>
    <d v="1899-12-30T12:24:00"/>
    <s v="INVERSIONES FEEDS S.A.S"/>
    <s v="LOS PINOS"/>
    <s v="DMB 11 X 25 KG"/>
    <n v="100"/>
    <n v="4"/>
    <n v="1950000"/>
    <d v="2026-05-05T00:00:00"/>
  </r>
  <r>
    <m/>
    <m/>
    <d v="2026-05-04T00:00:00"/>
    <d v="1899-12-30T12:14:00"/>
    <x v="58"/>
    <m/>
    <d v="2026-05-04T00:00:00"/>
    <d v="1899-12-30T12:24:00"/>
    <s v="INVERSIONES FEEDS S.A.S"/>
    <s v="LOS PINOS"/>
    <s v="FRACTAL P X 25 KG"/>
    <n v="100"/>
    <n v="4"/>
    <n v="2630000"/>
    <d v="2026-05-05T00:00:00"/>
  </r>
  <r>
    <m/>
    <m/>
    <d v="2026-05-04T00:00:00"/>
    <d v="1899-12-30T12:14:00"/>
    <x v="58"/>
    <m/>
    <d v="2026-05-04T00:00:00"/>
    <d v="1899-12-30T12:24:00"/>
    <s v="INVERSIONES FEEDS S.A.S"/>
    <s v="LOS PINOS"/>
    <s v="TILOMIX 250 PREMIX X 25 KG"/>
    <n v="25"/>
    <n v="1"/>
    <n v="1550000"/>
    <d v="2026-05-05T00:00:00"/>
  </r>
  <r>
    <m/>
    <s v="999-OCN-00022734"/>
    <d v="2026-05-04T00:00:00"/>
    <d v="1899-12-30T10:36:00"/>
    <x v="59"/>
    <m/>
    <d v="2026-05-04T00:00:00"/>
    <d v="1899-12-30T12:33:00"/>
    <s v="AVICOLA EL GUAMITO"/>
    <s v="BRUJAL"/>
    <s v="FRACTAL P X 25 KG"/>
    <n v="1200"/>
    <n v="48"/>
    <n v="30600000"/>
    <d v="2026-05-06T00:00:00"/>
  </r>
  <r>
    <m/>
    <s v="999-OCN-00022732"/>
    <d v="2026-05-04T00:00:00"/>
    <d v="1899-12-30T10:36:00"/>
    <x v="60"/>
    <m/>
    <d v="2026-05-04T00:00:00"/>
    <d v="1899-12-30T12:33:00"/>
    <s v="AVICOLA EL GUAMITO"/>
    <s v="LEBRIJA"/>
    <s v="FRACTAL P X 25 KG"/>
    <n v="2500"/>
    <n v="100"/>
    <n v="63750000"/>
    <d v="2026-05-06T00:00:00"/>
  </r>
  <r>
    <m/>
    <s v="COC-00000457"/>
    <d v="2026-05-04T00:00:00"/>
    <d v="1899-12-30T08:01:00"/>
    <x v="61"/>
    <m/>
    <d v="2026-05-04T00:00:00"/>
    <d v="1899-12-30T12:38:00"/>
    <s v="CERDON S.A.S"/>
    <s v="DON MATIAS"/>
    <s v="NEOCYN X 25 KG"/>
    <n v="100"/>
    <n v="4"/>
    <n v="6750000"/>
    <d v="2026-05-06T00:00:00"/>
  </r>
  <r>
    <m/>
    <s v="COC-00000457"/>
    <d v="2026-05-04T00:00:00"/>
    <d v="1899-12-30T08:01:00"/>
    <x v="62"/>
    <m/>
    <d v="2026-05-04T00:00:00"/>
    <d v="1899-12-30T16:16:00"/>
    <s v="CERDON S.A.S"/>
    <s v="DON MATIAS"/>
    <s v="FRACTAL P X 25 KG"/>
    <n v="900"/>
    <n v="36"/>
    <n v="23670000"/>
    <d v="2026-05-06T00:00:00"/>
  </r>
  <r>
    <m/>
    <m/>
    <d v="2026-05-04T00:00:00"/>
    <d v="1899-12-30T10:41:00"/>
    <x v="63"/>
    <m/>
    <d v="2026-05-04T00:00:00"/>
    <d v="1899-12-30T12:41:00"/>
    <s v="CONCENTRADOS ESPARTACO S.A."/>
    <s v="GIRON"/>
    <s v="HALQUINOX 500 X 25 KG"/>
    <n v="50"/>
    <n v="2"/>
    <n v="3350000"/>
    <d v="2026-05-06T00:00:00"/>
  </r>
  <r>
    <m/>
    <n v="4500088706"/>
    <d v="2026-05-04T00:00:00"/>
    <d v="1899-12-30T11:23:00"/>
    <x v="64"/>
    <m/>
    <d v="2026-05-04T00:00:00"/>
    <d v="1899-12-30T12:57:00"/>
    <s v="PREMEX S.A.S."/>
    <s v="CELTA"/>
    <s v="NEOCYN X 25 KG"/>
    <n v="350"/>
    <n v="14"/>
    <n v="21595000"/>
    <d v="2026-05-06T00:00:00"/>
  </r>
  <r>
    <m/>
    <n v="4500088706"/>
    <d v="2026-05-04T00:00:00"/>
    <d v="1899-12-30T11:23:00"/>
    <x v="64"/>
    <m/>
    <d v="2026-05-04T00:00:00"/>
    <d v="1899-12-30T12:57:00"/>
    <s v="PREMEX S.A.S."/>
    <s v="CELTA"/>
    <s v="AVINOVA X 25 KG"/>
    <n v="50"/>
    <n v="2"/>
    <n v="975000"/>
    <d v="2026-05-06T00:00:00"/>
  </r>
  <r>
    <m/>
    <n v="4500088706"/>
    <d v="2026-05-04T00:00:00"/>
    <d v="1899-12-30T11:23:00"/>
    <x v="64"/>
    <m/>
    <d v="2026-05-04T00:00:00"/>
    <d v="1899-12-30T12:57:00"/>
    <s v="PREMEX S.A.S."/>
    <s v="CELTA"/>
    <s v="MONECYL X 25 KG"/>
    <n v="2500"/>
    <n v="100"/>
    <n v="48125000"/>
    <d v="2026-05-06T00:00:00"/>
  </r>
  <r>
    <m/>
    <n v="4500088706"/>
    <d v="2026-05-04T00:00:00"/>
    <d v="1899-12-30T11:23:00"/>
    <x v="64"/>
    <m/>
    <d v="2026-05-04T00:00:00"/>
    <d v="1899-12-30T12:57:00"/>
    <s v="PREMEX S.A.S."/>
    <s v="CELTA"/>
    <s v="ACCUREMAX 20% X 25 KG"/>
    <n v="100"/>
    <n v="4"/>
    <n v="44880000"/>
    <d v="2026-05-06T00:00:00"/>
  </r>
  <r>
    <m/>
    <n v="4500088706"/>
    <d v="2026-05-04T00:00:00"/>
    <d v="1899-12-30T11:23:00"/>
    <x v="65"/>
    <m/>
    <d v="2026-05-04T00:00:00"/>
    <d v="1899-12-30T12:57:00"/>
    <s v="PREMEX S.A.S."/>
    <s v="CELTA"/>
    <s v="LOTUS X 25 KG"/>
    <n v="300"/>
    <n v="12"/>
    <n v="10350000"/>
    <d v="2026-05-06T00:00:00"/>
  </r>
  <r>
    <m/>
    <n v="4500088706"/>
    <d v="2026-05-04T00:00:00"/>
    <d v="1899-12-30T11:23:00"/>
    <x v="64"/>
    <m/>
    <d v="2026-05-04T00:00:00"/>
    <d v="1899-12-30T12:57:00"/>
    <s v="PREMEX S.A.S."/>
    <s v="CELTA"/>
    <s v="TILOMIX 250 PREMIX X 25 KG"/>
    <n v="500"/>
    <n v="20"/>
    <n v="25950000"/>
    <d v="2026-05-06T00:00:00"/>
  </r>
  <r>
    <s v="INVENTARIO"/>
    <n v="4500088706"/>
    <d v="2026-05-04T00:00:00"/>
    <d v="1899-12-30T11:23:00"/>
    <x v="64"/>
    <m/>
    <d v="2026-05-04T00:00:00"/>
    <d v="1899-12-30T12:57:00"/>
    <s v="PREMEX S.A.S."/>
    <s v="CELTA"/>
    <s v="200 MONECYL R X 25 KG"/>
    <n v="1000"/>
    <n v="40"/>
    <n v="19250000"/>
    <d v="2026-05-06T00:00:00"/>
  </r>
  <r>
    <m/>
    <n v="4500088706"/>
    <d v="2026-05-04T00:00:00"/>
    <d v="1899-12-30T11:23:00"/>
    <x v="64"/>
    <m/>
    <d v="2026-05-04T00:00:00"/>
    <d v="1899-12-30T12:57:00"/>
    <s v="PREMEX S.A.S."/>
    <s v="CELTA"/>
    <s v="DMB 11 X 25 KG"/>
    <n v="100"/>
    <n v="4"/>
    <n v="1760000"/>
    <d v="2026-05-06T00:00:00"/>
  </r>
  <r>
    <m/>
    <n v="4500088706"/>
    <d v="2026-05-04T00:00:00"/>
    <d v="1899-12-30T11:23:00"/>
    <x v="64"/>
    <m/>
    <d v="2026-05-04T00:00:00"/>
    <d v="1899-12-30T12:57:00"/>
    <s v="PREMEX S.A.S."/>
    <s v="CELTA"/>
    <s v="FRACTAL P X 25 KG"/>
    <n v="200"/>
    <n v="8"/>
    <n v="4950000"/>
    <d v="2026-05-06T00:00:00"/>
  </r>
  <r>
    <m/>
    <n v="4500088706"/>
    <d v="2026-05-04T00:00:00"/>
    <d v="1899-12-30T11:23:00"/>
    <x v="64"/>
    <m/>
    <d v="2026-05-04T00:00:00"/>
    <d v="1899-12-30T12:57:00"/>
    <s v="PREMEX S.A.S."/>
    <s v="CELTA"/>
    <s v="SAGAH X 25 KILOS"/>
    <n v="150"/>
    <n v="6"/>
    <n v="4530000"/>
    <d v="2026-05-06T00:00:00"/>
  </r>
  <r>
    <m/>
    <m/>
    <d v="2026-05-04T00:00:00"/>
    <d v="1899-12-30T12:48:00"/>
    <x v="66"/>
    <m/>
    <d v="2026-05-04T00:00:00"/>
    <d v="1899-12-30T13:07:00"/>
    <s v="SEIKOU"/>
    <s v="PUERTO GAITAN"/>
    <s v="FENIFLOR ORAL X 500 GR"/>
    <n v="45"/>
    <n v="2"/>
    <n v="4725000"/>
    <d v="2026-05-06T00:00:00"/>
  </r>
  <r>
    <m/>
    <s v="BODEGA EN CONSIGNACION"/>
    <d v="2026-04-30T00:00:00"/>
    <d v="1899-12-30T16:21:00"/>
    <x v="67"/>
    <m/>
    <d v="2026-05-04T00:00:00"/>
    <d v="1899-12-30T13:14:00"/>
    <s v="PREMEX S.A.S."/>
    <s v="MEDELLIN"/>
    <s v="FRACTAL P X 25 KG"/>
    <n v="3000"/>
    <n v="120"/>
    <n v="74250000"/>
    <d v="2026-05-04T00:00:00"/>
  </r>
  <r>
    <m/>
    <s v="BODEGA EN CONSIGNACION"/>
    <d v="2026-04-30T00:00:00"/>
    <d v="1899-12-30T16:21:00"/>
    <x v="67"/>
    <m/>
    <d v="2026-05-04T00:00:00"/>
    <d v="1899-12-30T13:14:00"/>
    <s v="PREMEX S.A.S."/>
    <s v="MEDELLIN"/>
    <s v="DMB 11 X 25 KG"/>
    <n v="1000"/>
    <n v="40"/>
    <n v="17600000"/>
    <d v="2026-05-04T00:00:00"/>
  </r>
  <r>
    <m/>
    <s v="BODEGA EN CONSIGNACION"/>
    <d v="2026-04-30T00:00:00"/>
    <d v="1899-12-30T16:21:00"/>
    <x v="67"/>
    <m/>
    <d v="2026-05-04T00:00:00"/>
    <d v="1899-12-30T13:14:00"/>
    <s v="PREMEX S.A.S."/>
    <s v="MEDELLIN"/>
    <s v="SAGAH X 25 KILOS"/>
    <n v="2100"/>
    <n v="84"/>
    <n v="63420000"/>
    <d v="2026-05-04T00:00:00"/>
  </r>
  <r>
    <m/>
    <s v="BODEGA EN CONSIGNACION"/>
    <d v="2026-04-30T00:00:00"/>
    <d v="1899-12-30T16:21:00"/>
    <x v="67"/>
    <m/>
    <d v="2026-05-04T00:00:00"/>
    <d v="1899-12-30T13:14:00"/>
    <s v="PREMEX S.A.S."/>
    <s v="MEDELLIN"/>
    <s v="TILOMIX 250 PREMIX X 25 KG"/>
    <n v="2000"/>
    <n v="80"/>
    <n v="103800000"/>
    <d v="2026-05-04T00:00:00"/>
  </r>
  <r>
    <m/>
    <s v="BODEGA EN CONSIGNACION"/>
    <d v="2026-04-30T00:00:00"/>
    <d v="1899-12-30T16:21:00"/>
    <x v="67"/>
    <m/>
    <d v="2026-05-04T00:00:00"/>
    <d v="1899-12-30T13:14:00"/>
    <s v="PREMEX S.A.S."/>
    <s v="MEDELLIN"/>
    <s v="MONECYL X 25 KG"/>
    <n v="2000"/>
    <n v="80"/>
    <n v="38500000"/>
    <d v="2026-05-04T00:00:00"/>
  </r>
  <r>
    <m/>
    <s v="BODEGA EN CONSIGNACION"/>
    <d v="2026-04-30T00:00:00"/>
    <d v="1899-12-30T16:21:00"/>
    <x v="68"/>
    <s v="BG26201"/>
    <d v="2026-05-04T00:00:00"/>
    <d v="1899-12-30T13:14:00"/>
    <s v="MESAGE S.A.S."/>
    <s v="MEDELLIN"/>
    <s v="HALQUINOX 800 X 25 KG"/>
    <n v="2000"/>
    <n v="80"/>
    <n v="145734000"/>
    <d v="2026-05-04T00:00:00"/>
  </r>
  <r>
    <m/>
    <s v="N/A"/>
    <d v="2026-05-04T00:00:00"/>
    <d v="1899-12-30T14:27:00"/>
    <x v="69"/>
    <m/>
    <d v="2026-05-04T00:00:00"/>
    <d v="1899-12-30T15:34:00"/>
    <s v="INVERSIONES FEEDS S.A.S"/>
    <s v="LOS PINOS"/>
    <s v="FOSMYCINA 90 X 500 GR"/>
    <n v="5"/>
    <n v="0"/>
    <n v="2600000"/>
    <d v="2026-05-05T00:00:00"/>
  </r>
  <r>
    <m/>
    <m/>
    <d v="2026-05-04T00:00:00"/>
    <d v="1899-12-30T16:12:00"/>
    <x v="70"/>
    <m/>
    <d v="2026-05-04T00:00:00"/>
    <d v="1899-12-30T16:28:00"/>
    <s v="ANTIOQUEÑA DE PORCINOS"/>
    <s v="SAN ANTONIO DE PRADO"/>
    <s v="NORFLOX X 1 LITRO"/>
    <n v="25"/>
    <n v="1"/>
    <n v="1625000"/>
    <d v="2026-05-05T00:00:00"/>
  </r>
  <r>
    <m/>
    <s v="Paraíso Cría"/>
    <d v="2026-05-04T00:00:00"/>
    <d v="1899-12-30T16:31:00"/>
    <x v="71"/>
    <m/>
    <d v="2026-05-05T00:00:00"/>
    <d v="1899-12-30T08:40:00"/>
    <s v="PROMOTORA PORCINA"/>
    <s v="LOMA DEL ESCOBERO"/>
    <s v="TILCOMIX ORAL X 1 LITRO"/>
    <n v="20"/>
    <n v="1"/>
    <n v="4600000"/>
    <d v="2026-05-05T00:00:00"/>
  </r>
  <r>
    <m/>
    <s v="Paraíso Cría"/>
    <d v="2026-05-04T00:00:00"/>
    <d v="1899-12-30T16:31:00"/>
    <x v="72"/>
    <m/>
    <d v="2026-05-05T00:00:00"/>
    <d v="1899-12-30T08:40:00"/>
    <s v="PROMOTORA PORCINA"/>
    <s v="LOMA DEL ESCOBERO"/>
    <s v="TILCOMIX ORAL X 1 LITRO"/>
    <n v="10"/>
    <n v="0"/>
    <n v="2300000"/>
    <d v="2026-05-05T00:00:00"/>
  </r>
  <r>
    <m/>
    <s v="Paraíso Cría"/>
    <d v="2026-05-04T00:00:00"/>
    <d v="1899-12-30T16:31:00"/>
    <x v="73"/>
    <m/>
    <d v="2026-05-05T00:00:00"/>
    <d v="1899-12-30T08:40:00"/>
    <s v="PROMOTORA PORCINA"/>
    <s v="LOMA DEL ESCOBERO"/>
    <s v="SMOOT SWEET X 75 GR"/>
    <n v="0.75"/>
    <n v="0"/>
    <n v="0"/>
    <d v="2026-05-05T00:00:00"/>
  </r>
  <r>
    <m/>
    <s v="Paraíso Cría"/>
    <d v="2026-05-04T00:00:00"/>
    <d v="1899-12-30T16:31:00"/>
    <x v="74"/>
    <m/>
    <d v="2026-05-05T00:00:00"/>
    <d v="1899-12-30T08:40:00"/>
    <s v="PROMOTORA PORCINA"/>
    <s v="LOMA DEL ESCOBERO"/>
    <s v="SMOOT SWEET X 75 GR"/>
    <n v="1.5"/>
    <n v="0"/>
    <n v="0"/>
    <d v="2026-05-05T00:00:00"/>
  </r>
  <r>
    <m/>
    <s v="Corralejas"/>
    <d v="2026-05-04T00:00:00"/>
    <d v="1899-12-30T16:31:00"/>
    <x v="75"/>
    <m/>
    <d v="2026-05-05T00:00:00"/>
    <d v="1899-12-30T08:40:00"/>
    <s v="PROMOTORA PORCINA"/>
    <s v="LOMA DEL ESCOBERO"/>
    <s v="NORFLOX X 1 LITRO"/>
    <n v="5"/>
    <n v="0"/>
    <n v="325000"/>
    <d v="2026-05-05T00:00:00"/>
  </r>
  <r>
    <m/>
    <s v="OC-050002"/>
    <d v="2026-05-04T00:00:00"/>
    <d v="1899-12-30T09:00:00"/>
    <x v="76"/>
    <m/>
    <d v="2026-05-05T00:00:00"/>
    <d v="1899-12-30T09:03:00"/>
    <s v="AVICOLA SINAIN"/>
    <s v="BUCARAMANGA"/>
    <s v="SAGAH X 25 KILOS"/>
    <n v="25"/>
    <n v="1"/>
    <n v="875000"/>
    <d v="2026-05-06T00:00:00"/>
  </r>
  <r>
    <s v="PEDIDOS DEL MES ANTERIOR"/>
    <n v="100818"/>
    <d v="2026-03-09T00:00:00"/>
    <d v="1899-12-30T08:11:00"/>
    <x v="77"/>
    <m/>
    <d v="2026-03-09T00:00:00"/>
    <d v="1899-12-30T11:50:00"/>
    <s v="CERDOS DEL VALLE"/>
    <s v="BUGA"/>
    <s v="AMOXIN X 1 KILO"/>
    <n v="50"/>
    <n v="2"/>
    <n v="7250000"/>
    <d v="2026-03-11T00:00:00"/>
  </r>
  <r>
    <s v="PEDIDOS DEL MES ANTERIOR"/>
    <n v="101700"/>
    <d v="2026-03-30T00:00:00"/>
    <d v="1899-12-30T19:35:00"/>
    <x v="78"/>
    <m/>
    <d v="2026-03-31T00:00:00"/>
    <d v="1899-12-30T12:33:00"/>
    <s v="CERDOS DEL VALLE"/>
    <s v="BUGA"/>
    <s v="AMOXIN X 1 KILO"/>
    <n v="50"/>
    <n v="2"/>
    <n v="7250000"/>
    <d v="2026-04-08T00:00:00"/>
  </r>
  <r>
    <s v="PEDIDOS DEL MES ANTERIOR"/>
    <n v="50221"/>
    <d v="2026-03-31T00:00:00"/>
    <d v="1899-12-30T11:57:00"/>
    <x v="79"/>
    <m/>
    <d v="2026-03-31T00:00:00"/>
    <d v="1899-12-30T12:51:00"/>
    <s v="LA CASA MAYOR"/>
    <s v="HATILLO"/>
    <s v="FRACTAL L X 20 LITROS"/>
    <n v="60"/>
    <n v="3"/>
    <n v="2400000"/>
    <d v="2026-04-16T00:00:00"/>
  </r>
  <r>
    <s v="PEDIDOS DEL MES ANTERIOR"/>
    <n v="50239"/>
    <d v="2026-03-31T00:00:00"/>
    <d v="1899-12-30T14:40:00"/>
    <x v="80"/>
    <m/>
    <d v="2026-04-06T00:00:00"/>
    <d v="1899-12-30T09:20:00"/>
    <s v="LA CASA MAYOR"/>
    <s v="EL ROBLE"/>
    <s v="FRACTAL L X 20 LITROS"/>
    <n v="40"/>
    <n v="2"/>
    <n v="1600000"/>
    <d v="2026-04-06T00:00:00"/>
  </r>
  <r>
    <s v="PEDIDOS DEL MES ANTERIOR"/>
    <n v="50165"/>
    <d v="2026-03-26T00:00:00"/>
    <d v="1899-12-30T09:26:00"/>
    <x v="81"/>
    <m/>
    <d v="2026-03-26T00:00:00"/>
    <d v="1899-12-30T12:40:00"/>
    <s v="LA CASA MAYOR"/>
    <s v="DON MATIAS"/>
    <s v="FENIFLOR ORAL X 500 GR"/>
    <n v="30"/>
    <n v="1"/>
    <n v="3300000"/>
    <d v="2026-03-26T00:00:00"/>
  </r>
  <r>
    <s v="PEDIDOS DEL MES ANTERIOR"/>
    <n v="50165"/>
    <d v="2026-03-26T00:00:00"/>
    <d v="1899-12-30T09:26:00"/>
    <x v="81"/>
    <m/>
    <d v="2026-03-26T00:00:00"/>
    <d v="1899-12-30T12:40:00"/>
    <s v="LA CASA MAYOR"/>
    <s v="DON MATIAS"/>
    <s v="FENIFLOR ORAL X 500 GR"/>
    <n v="30"/>
    <n v="1"/>
    <n v="3300000"/>
    <d v="2026-03-26T00:00:00"/>
  </r>
  <r>
    <s v="PEDIDOS DEL MES ANTERIOR/ INVENTARIO// CANCELADO"/>
    <n v="4500088189"/>
    <d v="2026-04-13T00:00:00"/>
    <d v="1899-12-30T10:01:00"/>
    <x v="82"/>
    <m/>
    <d v="2026-04-13T00:00:00"/>
    <d v="1899-12-30T12:04:00"/>
    <s v="PREMEX S.A.S."/>
    <s v="CELTA"/>
    <s v="200 MONECYL R X 25 KG"/>
    <n v="100"/>
    <n v="4"/>
    <n v="1625000"/>
    <d v="2026-04-14T00:00:00"/>
  </r>
  <r>
    <s v="PEDIDOS DEL MES ANTERIOR"/>
    <n v="4500088189"/>
    <d v="2026-04-13T00:00:00"/>
    <d v="1899-12-30T10:01:00"/>
    <x v="82"/>
    <s v="BG26146"/>
    <d v="2026-04-13T00:00:00"/>
    <d v="1899-12-30T12:04:00"/>
    <s v="PREMEX S.A.S."/>
    <s v="CELTA"/>
    <s v="200 MONECYL R X 25 KG"/>
    <n v="2400"/>
    <n v="96"/>
    <n v="46500000"/>
    <d v="2026-04-14T00:00:00"/>
  </r>
  <r>
    <s v="PEDIDOS DEL MES ANTERIOR"/>
    <n v="102329"/>
    <d v="2026-04-17T00:00:00"/>
    <d v="1899-12-30T10:47:00"/>
    <x v="83"/>
    <s v="BG26199"/>
    <d v="2026-04-17T00:00:00"/>
    <d v="1899-12-30T11:53:00"/>
    <s v="GARCIA GOMEZ AGROINVERSIONES S.A."/>
    <s v="BUGA"/>
    <s v="AMOXIN X 1 KILO"/>
    <n v="28"/>
    <n v="1"/>
    <n v="-42150000"/>
    <d v="2026-04-18T00:00:00"/>
  </r>
  <r>
    <s v="PEDIDOS DEL MES ANTERIOR"/>
    <n v="102331"/>
    <d v="2026-04-17T00:00:00"/>
    <d v="1899-12-30T10:49:00"/>
    <x v="84"/>
    <s v="BG26198"/>
    <d v="2026-04-17T00:00:00"/>
    <d v="1899-12-30T12:00:00"/>
    <s v="IMPRO- AGRO"/>
    <s v="BUGA"/>
    <s v="AMOXIN X 1 KILO"/>
    <n v="30"/>
    <n v="1"/>
    <n v="4350000"/>
    <d v="2026-04-18T00:00:00"/>
  </r>
  <r>
    <s v="PEDIDOS DEL MES ANTERIOR"/>
    <s v="P-1692"/>
    <d v="2026-04-23T00:00:00"/>
    <d v="1899-12-30T14:54:00"/>
    <x v="85"/>
    <s v="BG26197"/>
    <d v="2026-04-23T00:00:00"/>
    <d v="1899-12-30T17:08:00"/>
    <s v="AGROPECUARIA DE OCCIDENTE"/>
    <s v="CALI"/>
    <s v="AMOXIN X 1 KILO"/>
    <n v="13"/>
    <n v="1"/>
    <n v="2015000"/>
    <d v="2026-04-27T00:00:00"/>
  </r>
  <r>
    <s v="PEDIDOS DEL MES ANTERIOR"/>
    <n v="4500088572"/>
    <d v="2026-04-27T00:00:00"/>
    <d v="1899-12-30T23:12:00"/>
    <x v="86"/>
    <s v="BG26200"/>
    <d v="2026-04-28T00:00:00"/>
    <d v="1899-12-30T08:29:00"/>
    <s v="PREMEX S.A.S."/>
    <s v="MEDELLIN"/>
    <s v="AMOXIN X 1 KILO"/>
    <n v="200"/>
    <n v="8"/>
    <n v="27100000"/>
    <d v="2025-04-29T00:00:00"/>
  </r>
  <r>
    <s v="PEDIDOS DEL MES ANTERIOR"/>
    <n v="4500088122"/>
    <d v="2026-04-09T00:00:00"/>
    <d v="1899-12-30T17:42:00"/>
    <x v="87"/>
    <s v="BG26148"/>
    <d v="2026-04-10T00:00:00"/>
    <d v="1899-12-30T10:10:00"/>
    <s v="PREMEX S.A.S."/>
    <s v="MEDELLIN"/>
    <s v="200 MONECYL R X 25 KG"/>
    <n v="2000"/>
    <n v="80"/>
    <n v="48125000"/>
    <d v="2026-04-14T00:00:00"/>
  </r>
  <r>
    <s v="CARTERA"/>
    <n v="50619"/>
    <d v="2026-05-04T00:00:00"/>
    <d v="1899-12-30T14:08:00"/>
    <x v="88"/>
    <m/>
    <d v="2026-05-05T00:00:00"/>
    <d v="1899-12-30T09:29:00"/>
    <s v="LA CASA MAYOR"/>
    <s v="HATILLO"/>
    <s v="FENIFLOR ORAL X 500 GR"/>
    <n v="15"/>
    <n v="1"/>
    <n v="1650000"/>
    <d v="2026-05-08T00:00:00"/>
  </r>
  <r>
    <s v="CARTERA"/>
    <n v="50620"/>
    <d v="2026-05-04T00:00:00"/>
    <d v="1899-12-30T14:08:00"/>
    <x v="89"/>
    <m/>
    <d v="2026-05-05T00:00:00"/>
    <d v="1899-12-30T09:29:00"/>
    <s v="LA CASA MAYOR"/>
    <s v="PARAISO"/>
    <s v="FRACTAL L X 20 LITROS"/>
    <n v="60"/>
    <n v="3"/>
    <n v="2400000"/>
    <d v="2026-05-08T00:00:00"/>
  </r>
  <r>
    <s v="CARTERA"/>
    <n v="50621"/>
    <d v="2026-05-04T00:00:00"/>
    <d v="1899-12-30T14:08:00"/>
    <x v="90"/>
    <m/>
    <d v="2026-05-05T00:00:00"/>
    <d v="1899-12-30T09:29:00"/>
    <s v="LA CASA MAYOR"/>
    <s v="PARAISO"/>
    <s v="FRACTAL L X 20 LITROS"/>
    <n v="40"/>
    <n v="2"/>
    <n v="1600000"/>
    <d v="2026-05-08T00:00:00"/>
  </r>
  <r>
    <m/>
    <s v="OC-COMPR-23026"/>
    <d v="2026-05-04T00:00:00"/>
    <d v="1899-12-30T16:33:00"/>
    <x v="91"/>
    <m/>
    <d v="2026-05-05T00:00:00"/>
    <d v="1899-12-30T09:48:00"/>
    <s v="AGROPECURIA ALFA"/>
    <s v="RICAURTE"/>
    <s v="BIMMU X 25 KG"/>
    <n v="100"/>
    <n v="4"/>
    <n v="3500000"/>
    <d v="2026-05-11T00:00:00"/>
  </r>
  <r>
    <m/>
    <s v="OC-COMPR-23026"/>
    <d v="2026-05-04T00:00:00"/>
    <d v="1899-12-30T16:33:00"/>
    <x v="91"/>
    <m/>
    <d v="2026-05-05T00:00:00"/>
    <d v="1899-12-30T09:48:00"/>
    <s v="AGROPECURIA ALFA"/>
    <s v="RICAURTE"/>
    <s v="CLORTETRAX 20 X 25 KG"/>
    <n v="25"/>
    <n v="1"/>
    <n v="481250"/>
    <d v="2026-05-11T00:00:00"/>
  </r>
  <r>
    <m/>
    <n v="1415021"/>
    <d v="2026-05-04T00:00:00"/>
    <d v="1899-12-30T16:17:00"/>
    <x v="92"/>
    <m/>
    <d v="2026-05-05T00:00:00"/>
    <d v="1899-12-30T09:50:00"/>
    <s v="CONTEGRAL S.A.S."/>
    <s v="BOGOTA"/>
    <s v="LOTUS X 25 KG"/>
    <n v="350"/>
    <n v="14"/>
    <n v="12075000"/>
    <d v="2026-05-06T00:00:00"/>
  </r>
  <r>
    <m/>
    <n v="4500088745"/>
    <d v="2026-05-04T00:00:00"/>
    <d v="1899-12-30T09:53:00"/>
    <x v="93"/>
    <m/>
    <d v="2026-05-05T00:00:00"/>
    <d v="1899-12-30T11:45:00"/>
    <s v="PREMEX S.A.S."/>
    <s v="MEDELLIN"/>
    <s v="CIPROFLOX X 5 KG"/>
    <n v="1200"/>
    <n v="48"/>
    <n v="57480000"/>
    <d v="2026-05-07T00:00:00"/>
  </r>
  <r>
    <m/>
    <n v="4500088745"/>
    <d v="2026-05-04T00:00:00"/>
    <d v="1899-12-30T09:53:00"/>
    <x v="93"/>
    <m/>
    <d v="2026-05-05T00:00:00"/>
    <d v="1899-12-30T11:45:00"/>
    <s v="PREMEX S.A.S."/>
    <s v="MEDELLIN"/>
    <s v="TILVASYYN x 25 KG"/>
    <n v="100"/>
    <n v="4"/>
    <n v="18020000"/>
    <d v="2026-05-07T00:00:00"/>
  </r>
  <r>
    <m/>
    <n v="4500088745"/>
    <d v="2026-05-04T00:00:00"/>
    <d v="1899-12-30T09:53:00"/>
    <x v="93"/>
    <m/>
    <d v="2026-05-05T00:00:00"/>
    <d v="1899-12-30T11:45:00"/>
    <s v="PREMEX S.A.S."/>
    <s v="MEDELLIN"/>
    <s v="KIRA X 25 KG"/>
    <n v="400"/>
    <n v="16"/>
    <n v="7870000"/>
    <d v="2026-05-07T00:00:00"/>
  </r>
  <r>
    <m/>
    <n v="4500088745"/>
    <d v="2026-05-04T00:00:00"/>
    <d v="1899-12-30T09:53:00"/>
    <x v="94"/>
    <m/>
    <d v="2026-05-05T00:00:00"/>
    <d v="1899-12-30T11:45:00"/>
    <s v="PREMEX S.A.S."/>
    <s v="MEDELLIN"/>
    <s v="SMOOT SWEET X 75 GR"/>
    <n v="90"/>
    <n v="4"/>
    <n v="0"/>
    <d v="2026-05-07T00:00:00"/>
  </r>
  <r>
    <m/>
    <n v="1415476"/>
    <d v="2026-05-05T00:00:00"/>
    <d v="1899-12-30T11:19:00"/>
    <x v="95"/>
    <m/>
    <d v="2026-05-05T00:00:00"/>
    <d v="1899-12-30T12:06:00"/>
    <s v="FINCA S.A.S."/>
    <s v="BUGA"/>
    <s v="TILVASYYN x 25 KG"/>
    <n v="75"/>
    <n v="3"/>
    <n v="13125000"/>
    <d v="2026-05-08T00:00:00"/>
  </r>
  <r>
    <m/>
    <n v="1415675"/>
    <d v="2026-05-05T00:00:00"/>
    <d v="1899-12-30T13:47:00"/>
    <x v="96"/>
    <m/>
    <d v="2026-05-05T00:00:00"/>
    <d v="1899-12-30T13:36:00"/>
    <s v="OPERADORA AVICOLA COLOMBIA S.A.S."/>
    <s v="CALDAS ANTIOQUIA"/>
    <s v="FRACTAL L X 2O LITROS"/>
    <n v="120"/>
    <n v="5"/>
    <n v="4266000"/>
    <d v="2026-05-07T00:00:00"/>
  </r>
  <r>
    <m/>
    <n v="1415675"/>
    <d v="2026-05-05T00:00:00"/>
    <d v="1899-12-30T13:47:00"/>
    <x v="96"/>
    <m/>
    <d v="2026-05-05T00:00:00"/>
    <d v="1899-12-30T13:36:00"/>
    <s v="OPERADORA AVICOLA COLOMBIA S.A.S."/>
    <s v="CALDAS ANTIOQUIA"/>
    <s v="TILCOMIX ORAL X 1 LITRO"/>
    <n v="10"/>
    <n v="0"/>
    <n v="2100000"/>
    <d v="2026-05-07T00:00:00"/>
  </r>
  <r>
    <m/>
    <n v="1415675"/>
    <d v="2026-05-05T00:00:00"/>
    <d v="1899-12-30T13:47:00"/>
    <x v="97"/>
    <m/>
    <d v="2026-05-05T00:00:00"/>
    <d v="1899-12-30T13:36:00"/>
    <s v="OPERADORA AVICOLA COLOMBIA S.A.S."/>
    <s v="CALDAS ANTIOQUIA"/>
    <s v="SMOOT SWEET X 75 GR"/>
    <n v="0.75"/>
    <n v="0"/>
    <n v="0"/>
    <d v="2026-05-07T00:00:00"/>
  </r>
  <r>
    <m/>
    <n v="4500088777"/>
    <d v="2026-05-05T00:00:00"/>
    <d v="1899-12-30T15:33:00"/>
    <x v="98"/>
    <m/>
    <d v="2026-05-05T00:00:00"/>
    <d v="1899-12-30T15:58:00"/>
    <s v="PREMEX S.A.S."/>
    <s v="CELTA"/>
    <s v="CIPROFLOX X 5 KG"/>
    <n v="400"/>
    <n v="16"/>
    <n v="19160000"/>
    <d v="2026-05-06T00:00:00"/>
  </r>
  <r>
    <m/>
    <n v="4500088777"/>
    <d v="2026-05-05T00:00:00"/>
    <d v="1899-12-30T15:33:00"/>
    <x v="99"/>
    <m/>
    <d v="2026-05-05T00:00:00"/>
    <d v="1899-12-30T15:58:00"/>
    <s v="PREMEX S.A.S."/>
    <s v="CELTA"/>
    <s v="10 KG SMOOTH SWEET"/>
    <n v="30"/>
    <n v="1"/>
    <n v="0"/>
    <d v="2026-05-06T00:00:00"/>
  </r>
  <r>
    <m/>
    <s v="001-SC-016058"/>
    <d v="2026-05-05T00:00:00"/>
    <d v="1899-12-30T15:54:00"/>
    <x v="100"/>
    <m/>
    <d v="2026-05-06T00:00:00"/>
    <d v="1899-12-30T07:57:00"/>
    <s v="NUTRICION EXPERTA DE COLOMBIA"/>
    <s v="ARMENIA"/>
    <s v="HALQUINOX 800 X 25 KG"/>
    <n v="50"/>
    <n v="2"/>
    <n v="5125000"/>
    <d v="2026-05-07T00:00:00"/>
  </r>
  <r>
    <s v="CARTERA"/>
    <m/>
    <d v="2026-05-05T00:00:00"/>
    <m/>
    <x v="101"/>
    <m/>
    <d v="2026-05-06T00:00:00"/>
    <d v="1899-12-30T09:20:00"/>
    <s v="COOPERATIVA DE PORCICULTORES DEL EJE CAFETERO"/>
    <s v="NUTREXCOL"/>
    <s v="HALQUINOX 800 X 25 KG"/>
    <n v="100"/>
    <n v="4"/>
    <n v="10250000"/>
    <d v="2026-05-07T00:00:00"/>
  </r>
  <r>
    <s v="CARTERA"/>
    <m/>
    <d v="2026-05-05T00:00:00"/>
    <m/>
    <x v="101"/>
    <m/>
    <d v="2026-05-06T00:00:00"/>
    <d v="1899-12-30T09:20:00"/>
    <s v="COOPERATIVA DE PORCICULTORES DEL EJE CAFETERO"/>
    <s v="NUTREXCOL"/>
    <s v="TILCOMIX PREMIX S X 5KG"/>
    <n v="100"/>
    <n v="4"/>
    <n v="15030000"/>
    <d v="2026-05-07T00:00:00"/>
  </r>
  <r>
    <s v="CARTERA"/>
    <m/>
    <d v="2026-05-05T00:00:00"/>
    <m/>
    <x v="101"/>
    <m/>
    <d v="2026-05-06T00:00:00"/>
    <d v="1899-12-30T09:20:00"/>
    <s v="COOPERATIVA DE PORCICULTORES DEL EJE CAFETERO"/>
    <s v="NUTREXCOL"/>
    <s v="TILOMIX 250 PREMIX X 25 KG"/>
    <n v="50"/>
    <n v="2"/>
    <n v="2825000"/>
    <d v="2026-05-07T00:00:00"/>
  </r>
  <r>
    <s v="CARTERA"/>
    <m/>
    <d v="2026-05-05T00:00:00"/>
    <m/>
    <x v="101"/>
    <m/>
    <d v="2026-05-06T00:00:00"/>
    <d v="1899-12-30T09:20:00"/>
    <s v="COOPERATIVA DE PORCICULTORES DEL EJE CAFETERO"/>
    <s v="NUTREXCOL"/>
    <s v="CIPROFLOX X 5 KG"/>
    <n v="200"/>
    <n v="8"/>
    <n v="10600000"/>
    <d v="2026-05-07T00:00:00"/>
  </r>
  <r>
    <s v="CARTERA"/>
    <m/>
    <d v="2026-05-05T00:00:00"/>
    <m/>
    <x v="101"/>
    <m/>
    <d v="2026-05-06T00:00:00"/>
    <d v="1899-12-30T09:20:00"/>
    <s v="COOPERATIVA DE PORCICULTORES DEL EJE CAFETERO"/>
    <s v="NUTREXCOL"/>
    <s v="TILVASYYN x 25 KG"/>
    <n v="100"/>
    <n v="4"/>
    <n v="19000000"/>
    <d v="2026-05-07T00:00:00"/>
  </r>
  <r>
    <s v="CARTERA"/>
    <m/>
    <d v="2026-05-05T00:00:00"/>
    <m/>
    <x v="102"/>
    <m/>
    <d v="2026-05-06T00:00:00"/>
    <d v="1899-12-30T10:18:00"/>
    <s v="COOPERATIVA DE PORCICULTORES DEL EJE CAFETERO"/>
    <s v="NUTREXCOL"/>
    <s v="SMOOT SWEET X 75 GR"/>
    <n v="15"/>
    <n v="1"/>
    <n v="0"/>
    <d v="2026-05-07T00:00:00"/>
  </r>
  <r>
    <m/>
    <s v="ORC-2605004"/>
    <d v="2026-05-05T00:00:00"/>
    <d v="1899-12-30T14:15:00"/>
    <x v="103"/>
    <m/>
    <d v="2026-05-06T00:00:00"/>
    <d v="1899-12-30T10:14:00"/>
    <s v="PORCICOLA PRADERA S.A."/>
    <s v="MANIZALES"/>
    <s v="ACCUREMAX X 25 KG"/>
    <n v="25"/>
    <n v="1"/>
    <n v="1520000"/>
    <d v="2026-05-07T00:00:00"/>
  </r>
  <r>
    <m/>
    <s v="ORC-2605004"/>
    <d v="2026-05-05T00:00:00"/>
    <d v="1899-12-30T14:15:00"/>
    <x v="103"/>
    <m/>
    <d v="2026-05-06T00:00:00"/>
    <d v="1899-12-30T10:14:00"/>
    <s v="PORCICOLA PRADERA S.A."/>
    <s v="MANIZALES"/>
    <s v="FRACTAL P X 25 KG"/>
    <n v="125"/>
    <n v="5"/>
    <n v="3187000"/>
    <d v="2026-05-07T00:00:00"/>
  </r>
  <r>
    <m/>
    <s v="ORC-2605004"/>
    <d v="2026-05-05T00:00:00"/>
    <d v="1899-12-30T14:15:00"/>
    <x v="103"/>
    <m/>
    <d v="2026-05-06T00:00:00"/>
    <d v="1899-12-30T10:14:00"/>
    <s v="PORCICOLA PRADERA S.A."/>
    <s v="MANIZALES"/>
    <s v="HALQUINOX 500 X 25 KG"/>
    <n v="100"/>
    <n v="4"/>
    <n v="6580000"/>
    <d v="2026-05-07T00:00:00"/>
  </r>
  <r>
    <m/>
    <s v="ORC-2605004"/>
    <d v="2026-05-05T00:00:00"/>
    <d v="1899-12-30T14:15:00"/>
    <x v="103"/>
    <m/>
    <d v="2026-05-06T00:00:00"/>
    <d v="1899-12-30T10:14:00"/>
    <s v="PORCICOLA PRADERA S.A."/>
    <s v="MANIZALES"/>
    <s v="FENIFLOR PREMIX X 25 Kg"/>
    <n v="50"/>
    <n v="2"/>
    <n v="3450000"/>
    <d v="2026-05-07T00:00:00"/>
  </r>
  <r>
    <m/>
    <s v="0038"/>
    <d v="2026-05-05T00:00:00"/>
    <d v="1899-12-30T15:52:00"/>
    <x v="104"/>
    <m/>
    <d v="2026-05-06T00:00:00"/>
    <d v="1899-12-30T10:26:00"/>
    <s v="GRUPO AGROBOX"/>
    <s v="GRANADA"/>
    <s v="CLORTETRAX 20 X 25 KG"/>
    <n v="250"/>
    <n v="10"/>
    <n v="4000000"/>
    <d v="2026-05-08T00:00:00"/>
  </r>
  <r>
    <m/>
    <n v="1415847"/>
    <d v="2026-05-05T00:00:00"/>
    <d v="1899-12-30T16:36:00"/>
    <x v="105"/>
    <m/>
    <d v="2026-05-06T00:00:00"/>
    <d v="1899-12-30T10:31:00"/>
    <s v="FINCA S.A.S."/>
    <s v="MOSQUERA"/>
    <s v="TRIMBAC X 5KG"/>
    <n v="100"/>
    <n v="4"/>
    <n v="14700000"/>
    <d v="2026-05-07T00:00:00"/>
  </r>
  <r>
    <m/>
    <n v="1415847"/>
    <d v="2026-05-05T00:00:00"/>
    <d v="1899-12-30T16:36:00"/>
    <x v="105"/>
    <m/>
    <d v="2026-05-06T00:00:00"/>
    <d v="1899-12-30T10:31:00"/>
    <s v="FINCA S.A.S."/>
    <s v="MOSQUERA"/>
    <s v="DINAMIX 200 PREMIX X 25 KG"/>
    <n v="50"/>
    <n v="2"/>
    <n v="2000000"/>
    <d v="2026-05-07T00:00:00"/>
  </r>
  <r>
    <m/>
    <n v="1415847"/>
    <d v="2026-05-05T00:00:00"/>
    <d v="1899-12-30T16:36:00"/>
    <x v="105"/>
    <m/>
    <d v="2026-05-06T00:00:00"/>
    <d v="1899-12-30T10:31:00"/>
    <s v="FINCA S.A.S."/>
    <s v="MOSQUERA"/>
    <s v="FENIFLOR PREMIX X 25 Kg"/>
    <n v="50"/>
    <n v="2"/>
    <n v="2593000"/>
    <d v="2026-05-07T00:00:00"/>
  </r>
  <r>
    <m/>
    <n v="1415847"/>
    <d v="2026-05-05T00:00:00"/>
    <d v="1899-12-30T16:36:00"/>
    <x v="105"/>
    <m/>
    <d v="2026-05-06T00:00:00"/>
    <d v="1899-12-30T10:31:00"/>
    <s v="FINCA S.A.S."/>
    <s v="MOSQUERA"/>
    <s v="FRACTAL P X 25 KG"/>
    <n v="100"/>
    <n v="4"/>
    <n v="2475000"/>
    <d v="2026-05-07T00:00:00"/>
  </r>
  <r>
    <m/>
    <n v="1415847"/>
    <d v="2026-05-05T00:00:00"/>
    <d v="1899-12-30T16:36:00"/>
    <x v="105"/>
    <m/>
    <d v="2026-05-06T00:00:00"/>
    <d v="1899-12-30T10:31:00"/>
    <s v="FINCA S.A.S."/>
    <s v="MOSQUERA"/>
    <s v="BIMMU X 25 KG"/>
    <n v="100"/>
    <n v="4"/>
    <n v="3000000"/>
    <d v="2026-05-07T00:00:00"/>
  </r>
  <r>
    <m/>
    <n v="67352"/>
    <d v="2026-05-05T00:00:00"/>
    <d v="1899-12-30T13:34:00"/>
    <x v="106"/>
    <m/>
    <d v="2026-05-06T00:00:00"/>
    <d v="1899-12-30T10:35:00"/>
    <s v="INVERSIONES J.V. S.A.S."/>
    <s v="BUCARAMANGA"/>
    <s v="ACCUREMAX X 25 KG"/>
    <n v="50"/>
    <n v="2"/>
    <n v="3040000"/>
    <d v="2026-07-08T00:00:00"/>
  </r>
  <r>
    <m/>
    <n v="1416093"/>
    <d v="2026-05-05T00:00:00"/>
    <d v="1899-12-30T20:17:00"/>
    <x v="107"/>
    <m/>
    <d v="2026-05-06T00:00:00"/>
    <d v="1899-12-30T10:37:00"/>
    <s v="OPERADORA AVICOLA COLOMBIA S.A.S."/>
    <s v="BUCARAMANGA"/>
    <s v="CIPROFLOX X 5 KG"/>
    <n v="100"/>
    <n v="4"/>
    <n v="5250000"/>
    <d v="2026-05-06T00:00:00"/>
  </r>
  <r>
    <m/>
    <n v="1416093"/>
    <d v="2026-05-05T00:00:00"/>
    <d v="1899-12-30T20:17:00"/>
    <x v="108"/>
    <m/>
    <d v="2026-05-06T00:00:00"/>
    <d v="1899-12-30T10:37:00"/>
    <s v="OPERADORA AVICOLA COLOMBIA S.A.S."/>
    <s v="BUCARAMANGA"/>
    <s v="CIPROFLOX X 5 KG"/>
    <n v="100"/>
    <n v="4"/>
    <n v="5250000"/>
    <d v="2026-05-06T00:00:00"/>
  </r>
  <r>
    <m/>
    <n v="4504062377"/>
    <d v="2026-05-06T00:00:00"/>
    <d v="1899-12-30T08:28:00"/>
    <x v="109"/>
    <m/>
    <d v="2026-05-06T00:00:00"/>
    <d v="1899-12-30T10:45:00"/>
    <s v="AVSA S.A."/>
    <s v="BUGA"/>
    <s v="DMB 11 X 25 KG"/>
    <n v="6000"/>
    <n v="240"/>
    <n v="106500000"/>
    <d v="2026-05-13T00:00:00"/>
  </r>
  <r>
    <m/>
    <n v="4504062377"/>
    <d v="2026-05-06T00:00:00"/>
    <d v="1899-12-30T08:28:00"/>
    <x v="110"/>
    <m/>
    <d v="2026-05-06T00:00:00"/>
    <d v="1899-12-30T10:45:00"/>
    <s v="AVSA S.A."/>
    <s v="BUGA"/>
    <s v="DMB 11 X 25 KG"/>
    <n v="6000"/>
    <n v="240"/>
    <n v="106500000"/>
    <d v="2026-05-21T00:00:00"/>
  </r>
  <r>
    <m/>
    <n v="4504062377"/>
    <d v="2026-05-06T00:00:00"/>
    <d v="1899-12-30T08:28:00"/>
    <x v="111"/>
    <m/>
    <d v="2026-05-06T00:00:00"/>
    <d v="1899-12-30T10:45:00"/>
    <s v="AVSA S.A."/>
    <s v="BUGA"/>
    <s v="DMB 11 X 25 KG"/>
    <n v="6000"/>
    <n v="240"/>
    <n v="106500000"/>
    <d v="2026-05-27T00:00:00"/>
  </r>
  <r>
    <s v="CARTERA"/>
    <n v="4504061849"/>
    <d v="2026-05-06T00:00:00"/>
    <d v="1899-12-30T08:28:00"/>
    <x v="112"/>
    <m/>
    <d v="2026-05-06T00:00:00"/>
    <d v="1899-12-30T10:50:00"/>
    <s v="AVIDESA DE OCCIDENTE"/>
    <s v="BUGA"/>
    <s v="DMB 11 X 25 KG"/>
    <n v="1500"/>
    <n v="60"/>
    <n v="26625000"/>
    <d v="2026-05-08T00:00:00"/>
  </r>
  <r>
    <m/>
    <m/>
    <d v="2026-05-06T00:00:00"/>
    <d v="1899-12-30T09:45:00"/>
    <x v="113"/>
    <m/>
    <d v="2026-05-06T00:00:00"/>
    <d v="1899-12-30T11:10:00"/>
    <s v="MARIA JOSE ORTIZ"/>
    <s v="BUCARAMANGA"/>
    <s v="FENIFLOR ORAL X 500 GR"/>
    <n v="4"/>
    <n v="0"/>
    <n v="420000"/>
    <d v="2026-05-06T00:00:00"/>
  </r>
  <r>
    <m/>
    <n v="4500210895"/>
    <d v="2026-05-06T00:00:00"/>
    <d v="1899-12-30T11:19:00"/>
    <x v="114"/>
    <m/>
    <d v="2026-05-06T00:00:00"/>
    <d v="1899-12-30T11:36:00"/>
    <s v="AGROPECUARIA ALIAR"/>
    <s v="BARLOVENTO"/>
    <s v="DINAMIX 800 X 25 KG"/>
    <n v="250"/>
    <n v="10"/>
    <n v="35000000"/>
    <d v="2026-05-08T00:00:00"/>
  </r>
  <r>
    <m/>
    <n v="4500378712"/>
    <d v="2026-05-06T00:00:00"/>
    <d v="1899-12-30T09:29:00"/>
    <x v="115"/>
    <m/>
    <d v="2026-05-06T00:00:00"/>
    <d v="1899-12-30T11:38:00"/>
    <s v="SOLLA S.A."/>
    <s v="BUGA"/>
    <s v="MONECYL X 25 KG"/>
    <n v="2400"/>
    <n v="96"/>
    <n v="46800000"/>
    <d v="2026-05-22T00:00:00"/>
  </r>
  <r>
    <m/>
    <n v="4500378712"/>
    <d v="2026-05-06T00:00:00"/>
    <d v="1899-12-30T09:29:00"/>
    <x v="116"/>
    <m/>
    <d v="2026-05-06T00:00:00"/>
    <d v="1899-12-30T11:38:00"/>
    <s v="SOLLA S.A."/>
    <s v="BUGA"/>
    <s v="MONECYL X 25 KG"/>
    <n v="1450"/>
    <n v="58"/>
    <n v="28275000"/>
    <d v="2026-05-29T00:00:00"/>
  </r>
  <r>
    <m/>
    <s v="oc pendiente"/>
    <d v="2026-05-05T00:00:00"/>
    <d v="1899-12-30T13:34:00"/>
    <x v="117"/>
    <m/>
    <d v="2026-05-06T00:00:00"/>
    <d v="1899-12-30T10:35:00"/>
    <s v="INVERSIONES J.V. S.A.S."/>
    <s v="BUCARAMANGA"/>
    <s v="DMB 11 X 25 KG"/>
    <n v="50"/>
    <n v="2"/>
    <n v="1000000"/>
    <d v="2026-07-08T00:00:00"/>
  </r>
  <r>
    <m/>
    <s v="COC-00000002 (AURES PRECEBO)"/>
    <d v="2026-05-06T00:00:00"/>
    <d v="1899-12-30T07:55:00"/>
    <x v="118"/>
    <m/>
    <d v="2026-07-07T00:00:00"/>
    <d v="1899-12-30T08:27:00"/>
    <s v="AGROSIGO"/>
    <s v="SABANETA"/>
    <s v="ROFLOX 20 X 1L DECNO"/>
    <n v="10"/>
    <n v="0"/>
    <n v="550000"/>
    <d v="2026-05-07T00:00:00"/>
  </r>
  <r>
    <m/>
    <s v="COC-00000002 (AURES CEBA)"/>
    <d v="2026-05-06T00:00:00"/>
    <d v="1899-12-30T07:55:00"/>
    <x v="119"/>
    <m/>
    <d v="2026-07-07T00:00:00"/>
    <d v="1899-12-30T08:27:00"/>
    <s v="AGROSIGO"/>
    <s v="SABANETA"/>
    <s v="ROFLOX 20 X 1L DECNO"/>
    <n v="10"/>
    <n v="0"/>
    <n v="550000"/>
    <d v="2026-05-07T00:00:00"/>
  </r>
  <r>
    <m/>
    <s v="AG-0013-26"/>
    <d v="2026-04-21T00:00:00"/>
    <d v="1899-12-30T15:30:00"/>
    <x v="120"/>
    <m/>
    <d v="2026-07-07T00:00:00"/>
    <d v="1899-12-30T08:38:00"/>
    <s v="AGROINDUSTRIAL SAN JOSE"/>
    <s v="BUGA"/>
    <s v="FRACTAL P X 25 KG"/>
    <n v="450"/>
    <n v="18"/>
    <n v="13150000"/>
    <d v="2026-05-08T00:00:00"/>
  </r>
  <r>
    <m/>
    <s v="AG-0013-26"/>
    <d v="2026-04-21T00:00:00"/>
    <d v="1899-12-30T15:30:00"/>
    <x v="121"/>
    <m/>
    <d v="2026-07-07T00:00:00"/>
    <d v="1899-12-30T08:38:00"/>
    <s v="AGROINDUSTRIAL SAN JOSE"/>
    <s v="BUGA"/>
    <s v="FRACTAL P X 25 KG"/>
    <n v="50"/>
    <n v="2"/>
    <n v="900000"/>
    <d v="2026-05-08T00:00:00"/>
  </r>
  <r>
    <m/>
    <n v="1417040"/>
    <d v="2026-05-06T00:00:00"/>
    <d v="1899-12-30T18:32:00"/>
    <x v="122"/>
    <m/>
    <d v="2026-07-07T00:00:00"/>
    <d v="1899-12-30T11:48:00"/>
    <s v="CONTEGRAL S.A.S."/>
    <s v="ENVIGADO"/>
    <s v="ACCUREMAX X 25 KG"/>
    <n v="50"/>
    <n v="2"/>
    <n v="2705000"/>
    <d v="2026-05-21T00:00:00"/>
  </r>
  <r>
    <m/>
    <n v="23989"/>
    <d v="2026-07-07T00:00:00"/>
    <d v="1899-12-30T10:57:00"/>
    <x v="123"/>
    <m/>
    <d v="2026-07-07T00:00:00"/>
    <d v="1899-12-30T11:50:00"/>
    <s v="RIBARCO"/>
    <s v="ANSERMA"/>
    <s v="DMB 11 X 25 KG"/>
    <n v="500"/>
    <n v="20"/>
    <n v="10000000"/>
    <d v="2026-05-08T00:00:00"/>
  </r>
  <r>
    <m/>
    <s v="BODEGA EN CONSIGNACION"/>
    <d v="2026-07-07T00:00:00"/>
    <d v="1899-12-30T09:43:00"/>
    <x v="124"/>
    <m/>
    <d v="2026-07-07T00:00:00"/>
    <d v="1899-12-30T12:07:00"/>
    <s v="PREMEX S.A.S."/>
    <s v="MEDELLIN"/>
    <s v="FENIFLOR PREMIX X 25 Kg"/>
    <n v="500"/>
    <n v="20"/>
    <n v="25930000"/>
    <d v="2026-05-07T00:00:00"/>
  </r>
  <r>
    <m/>
    <s v="BODEGA EN CONSIGNACION"/>
    <d v="2026-07-07T00:00:00"/>
    <d v="1899-12-30T09:43:00"/>
    <x v="124"/>
    <m/>
    <d v="2026-07-07T00:00:00"/>
    <d v="1899-12-30T12:07:00"/>
    <s v="PREMEX S.A.S."/>
    <s v="MEDELLIN"/>
    <s v="FRACTAL P X 25 KG"/>
    <n v="4000"/>
    <n v="160"/>
    <n v="99000000"/>
    <d v="2026-05-07T00:00:00"/>
  </r>
  <r>
    <m/>
    <s v="BODEGA EN CONSIGNACION"/>
    <d v="2026-07-07T00:00:00"/>
    <d v="1899-12-30T09:43:00"/>
    <x v="124"/>
    <m/>
    <d v="2026-07-07T00:00:00"/>
    <d v="1899-12-30T12:07:00"/>
    <s v="PREMEX S.A.S."/>
    <s v="MEDELLIN"/>
    <s v="200 MONECYL"/>
    <n v="2000"/>
    <n v="80"/>
    <n v="38500000"/>
    <d v="2026-05-07T00:00:00"/>
  </r>
  <r>
    <m/>
    <s v="BODEGA EN CONSIGNACION"/>
    <d v="2026-07-07T00:00:00"/>
    <d v="1899-12-30T09:43:00"/>
    <x v="124"/>
    <m/>
    <d v="2026-07-07T00:00:00"/>
    <d v="1899-12-30T12:07:00"/>
    <s v="PREMEX S.A.S."/>
    <s v="MEDELLIN"/>
    <s v="SAGAH X 25 KILOS"/>
    <n v="200"/>
    <n v="8"/>
    <n v="6040000"/>
    <d v="2026-05-07T00:00:00"/>
  </r>
  <r>
    <m/>
    <s v="BODEGA EN CONSIGNACION"/>
    <d v="2026-07-07T00:00:00"/>
    <d v="1899-12-30T09:43:00"/>
    <x v="124"/>
    <m/>
    <d v="2026-07-07T00:00:00"/>
    <d v="1899-12-30T12:07:00"/>
    <s v="PREMEX S.A.S."/>
    <s v="MEDELLIN"/>
    <s v="TILOMIX 250 PREMIX X 25 KG"/>
    <n v="2000"/>
    <n v="80"/>
    <n v="103800000"/>
    <d v="2026-05-07T00:00:00"/>
  </r>
  <r>
    <m/>
    <s v="BODEGA EN CONSIGNACION"/>
    <d v="2026-07-07T00:00:00"/>
    <d v="1899-12-30T09:43:00"/>
    <x v="125"/>
    <m/>
    <d v="2026-07-07T00:00:00"/>
    <d v="1899-12-30T12:07:00"/>
    <s v="PREMEX S.A.S."/>
    <s v="MEDELLIN"/>
    <s v="LOTUS X 25 KG"/>
    <n v="5000"/>
    <n v="200"/>
    <n v="172500000"/>
    <d v="2026-05-07T00:00:00"/>
  </r>
  <r>
    <m/>
    <s v="BODEGA EN CONSIGNACION"/>
    <d v="2026-07-07T00:00:00"/>
    <d v="1899-12-30T09:43:00"/>
    <x v="126"/>
    <m/>
    <d v="2026-07-07T00:00:00"/>
    <d v="1899-12-30T12:07:00"/>
    <s v="MESAGE S.A.S."/>
    <s v="MEDELLIN"/>
    <s v="HALQUINOX 800 X 25 KG"/>
    <n v="2000"/>
    <n v="80"/>
    <n v="145734000"/>
    <d v="2026-05-07T00:00:00"/>
  </r>
  <r>
    <m/>
    <m/>
    <d v="2026-05-06T00:00:00"/>
    <d v="1899-12-30T15:44:00"/>
    <x v="127"/>
    <m/>
    <d v="2026-07-07T00:00:00"/>
    <d v="1899-12-30T12:15:00"/>
    <s v="ARANGO HERMANOS"/>
    <s v="DON MATIAS"/>
    <s v="TILOMIX 250 PREMIX X 25 KG"/>
    <n v="100"/>
    <n v="4"/>
    <n v="6000000"/>
    <d v="2026-05-12T00:00:00"/>
  </r>
  <r>
    <m/>
    <m/>
    <d v="2026-05-06T00:00:00"/>
    <d v="1899-12-30T15:44:00"/>
    <x v="127"/>
    <m/>
    <d v="2026-07-07T00:00:00"/>
    <d v="1899-12-30T12:15:00"/>
    <s v="ARANGO HERMANOS"/>
    <s v="DON MATIAS"/>
    <s v="DMB 11 X 25 KG"/>
    <n v="200"/>
    <n v="8"/>
    <n v="5850000"/>
    <d v="2026-05-12T00:00:00"/>
  </r>
  <r>
    <m/>
    <m/>
    <d v="2026-05-06T00:00:00"/>
    <d v="1899-12-30T15:44:00"/>
    <x v="127"/>
    <m/>
    <d v="2026-07-07T00:00:00"/>
    <d v="1899-12-30T12:15:00"/>
    <s v="ARANGO HERMANOS"/>
    <s v="DON MATIAS"/>
    <s v="FENIFLOR PREMIX X 25 Kg"/>
    <n v="200"/>
    <n v="8"/>
    <n v="13600000"/>
    <d v="2026-05-12T00:00:00"/>
  </r>
  <r>
    <m/>
    <m/>
    <d v="2026-05-06T00:00:00"/>
    <d v="1899-12-30T15:44:00"/>
    <x v="127"/>
    <m/>
    <d v="2026-07-07T00:00:00"/>
    <d v="1899-12-30T12:15:00"/>
    <s v="ARANGO HERMANOS"/>
    <s v="DON MATIAS"/>
    <s v="CLORTETRAX 20 X 25 KG"/>
    <n v="300"/>
    <n v="12"/>
    <n v="4800000"/>
    <d v="2026-05-12T00:00:00"/>
  </r>
  <r>
    <m/>
    <m/>
    <d v="2026-05-06T00:00:00"/>
    <d v="1899-12-30T15:44:00"/>
    <x v="128"/>
    <m/>
    <d v="2026-07-07T00:00:00"/>
    <d v="1899-12-30T12:15:00"/>
    <s v="ARANGO HERMANOS"/>
    <s v="DON MATIAS"/>
    <s v="CLORTETRAX 20 X 25 KG"/>
    <n v="300"/>
    <n v="12"/>
    <n v="4800000"/>
    <d v="2026-05-26T00:00:00"/>
  </r>
  <r>
    <m/>
    <m/>
    <d v="2026-05-06T00:00:00"/>
    <d v="1899-12-30T15:44:00"/>
    <x v="129"/>
    <m/>
    <d v="2026-07-07T00:00:00"/>
    <d v="1899-12-30T12:15:00"/>
    <s v="ARANGO HERMANOS"/>
    <s v="DON MATIAS"/>
    <s v="TILVASYYN x 25 KG"/>
    <n v="100"/>
    <n v="4"/>
    <n v="21000000"/>
    <d v="2026-05-26T00:00:00"/>
  </r>
  <r>
    <m/>
    <m/>
    <d v="2026-05-06T00:00:00"/>
    <d v="1899-12-30T15:44:00"/>
    <x v="129"/>
    <m/>
    <d v="2026-07-07T00:00:00"/>
    <d v="1899-12-30T12:15:00"/>
    <s v="ARANGO HERMANOS"/>
    <s v="DON MATIAS"/>
    <s v="FRACTAL P X 25 KG"/>
    <n v="500"/>
    <n v="20"/>
    <n v="13150000"/>
    <d v="2026-05-26T00:00:00"/>
  </r>
  <r>
    <m/>
    <m/>
    <d v="2026-05-06T00:00:00"/>
    <d v="1899-12-30T15:44:00"/>
    <x v="129"/>
    <m/>
    <d v="2026-07-07T00:00:00"/>
    <d v="1899-12-30T12:15:00"/>
    <s v="ARANGO HERMANOS"/>
    <s v="DON MATIAS"/>
    <s v="DMB 11 X 25 KG"/>
    <n v="200"/>
    <n v="8"/>
    <n v="5850000"/>
    <d v="2026-05-26T00:00:00"/>
  </r>
  <r>
    <m/>
    <m/>
    <d v="2026-05-06T00:00:00"/>
    <d v="1899-12-30T15:44:00"/>
    <x v="129"/>
    <m/>
    <d v="2026-07-07T00:00:00"/>
    <d v="1899-12-30T12:15:00"/>
    <s v="ARANGO HERMANOS"/>
    <s v="DON MATIAS"/>
    <s v="FENIFLOR PREMIX X 25 Kg"/>
    <n v="200"/>
    <n v="8"/>
    <n v="13600000"/>
    <d v="2026-05-26T00:00:00"/>
  </r>
  <r>
    <m/>
    <m/>
    <d v="2026-05-06T00:00:00"/>
    <d v="1899-12-30T15:44:00"/>
    <x v="129"/>
    <m/>
    <d v="2026-07-07T00:00:00"/>
    <d v="1899-12-30T12:15:00"/>
    <s v="ARANGO HERMANOS"/>
    <s v="DON MATIAS"/>
    <s v="CLORTETRAX 20 X 25 KG"/>
    <n v="300"/>
    <n v="12"/>
    <n v="4800000"/>
    <d v="2026-05-26T00:00:00"/>
  </r>
  <r>
    <m/>
    <n v="5504612323"/>
    <d v="2026-07-07T00:00:00"/>
    <d v="1899-12-30T14:30:00"/>
    <x v="130"/>
    <m/>
    <d v="2026-07-07T00:00:00"/>
    <d v="1899-12-30T15:09:00"/>
    <s v="POLLOS EL BUCANERO"/>
    <s v="BUCARAMANGA"/>
    <s v="NORFLOX X 1 LITRO"/>
    <n v="100"/>
    <n v="4"/>
    <n v="5500000"/>
    <d v="2026-05-07T00:00:00"/>
  </r>
  <r>
    <m/>
    <m/>
    <d v="2026-07-07T00:00:00"/>
    <d v="1899-12-30T13:20:00"/>
    <x v="131"/>
    <m/>
    <d v="2026-07-07T00:00:00"/>
    <d v="1899-12-30T16:00:00"/>
    <s v="PORCICOLA EMMANUEL"/>
    <s v="LERIDA"/>
    <s v="TRIMBAC X 5KG"/>
    <n v="100"/>
    <n v="4"/>
    <n v="16800000"/>
    <d v="2026-05-09T00:00:00"/>
  </r>
  <r>
    <m/>
    <m/>
    <d v="2026-07-07T00:00:00"/>
    <d v="1899-12-30T13:20:00"/>
    <x v="131"/>
    <m/>
    <d v="2026-07-07T00:00:00"/>
    <d v="1899-12-30T16:00:00"/>
    <s v="PORCICOLA EMMANUEL"/>
    <s v="LERIDA"/>
    <s v="TILVASYYN x 25 KG"/>
    <n v="50"/>
    <n v="2"/>
    <n v="9500000"/>
    <d v="2026-05-09T00:00:00"/>
  </r>
  <r>
    <m/>
    <m/>
    <d v="2026-07-07T00:00:00"/>
    <d v="1899-12-30T13:20:00"/>
    <x v="131"/>
    <m/>
    <d v="2026-07-07T00:00:00"/>
    <d v="1899-12-30T16:00:00"/>
    <s v="PORCICOLA EMMANUEL"/>
    <s v="LERIDA"/>
    <s v="AMOXIN X 1 KILO"/>
    <n v="50"/>
    <n v="2"/>
    <n v="7250000"/>
    <d v="2026-05-09T00:00:00"/>
  </r>
  <r>
    <m/>
    <m/>
    <d v="2026-07-07T00:00:00"/>
    <d v="1899-12-30T13:20:00"/>
    <x v="131"/>
    <m/>
    <d v="2026-07-07T00:00:00"/>
    <d v="1899-12-30T16:00:00"/>
    <s v="PORCICOLA EMMANUEL"/>
    <s v="LERIDA"/>
    <s v="CLORTETRAX 20 X 25 KG"/>
    <n v="50"/>
    <n v="2"/>
    <n v="790000"/>
    <d v="2026-05-09T00:00:00"/>
  </r>
  <r>
    <s v="CARTERA"/>
    <m/>
    <d v="2026-07-07T00:00:00"/>
    <d v="1899-12-30T16:14:00"/>
    <x v="132"/>
    <m/>
    <d v="2026-07-07T00:00:00"/>
    <d v="1899-12-30T04:34:00"/>
    <s v="MARIA JOSE ORTIZ"/>
    <s v="BUCARAMANGA"/>
    <s v="FENIFLOR ORAL X 500 GR"/>
    <n v="3"/>
    <n v="0"/>
    <n v="315000"/>
    <d v="2026-05-07T00:00:00"/>
  </r>
  <r>
    <s v="CARTERA"/>
    <m/>
    <d v="2026-05-08T00:00:00"/>
    <d v="1899-12-30T14:40:00"/>
    <x v="133"/>
    <m/>
    <d v="2026-05-08T00:00:00"/>
    <d v="1899-12-30T07:26:00"/>
    <s v="DISTRIBUIDORA AGRO-PLUS"/>
    <s v="DON MATIAS"/>
    <s v="1 KG NEOCYN"/>
    <n v="20"/>
    <n v="1"/>
    <n v="1440000"/>
    <d v="2026-05-08T00:00:00"/>
  </r>
  <r>
    <m/>
    <m/>
    <d v="2026-05-08T00:00:00"/>
    <d v="1899-12-30T09:48:00"/>
    <x v="134"/>
    <m/>
    <d v="2026-05-08T00:00:00"/>
    <d v="1899-12-30T10:20:00"/>
    <s v="INVERSIONES CARDONA RIOS (AVICOLA LA MARIA)"/>
    <s v="LA CEJA"/>
    <s v="FENIFLOR PREMIX X 25 Kg"/>
    <n v="25"/>
    <n v="1"/>
    <n v="5250000"/>
    <d v="2026-05-08T00:00:00"/>
  </r>
  <r>
    <s v="CARTERA"/>
    <m/>
    <d v="2026-05-08T00:00:00"/>
    <d v="1899-12-30T09:01:00"/>
    <x v="135"/>
    <m/>
    <d v="2026-05-08T00:00:00"/>
    <d v="1899-12-30T10:25:00"/>
    <s v="MARIA JOSE ORTIZ"/>
    <s v="BUCARAMANGA"/>
    <s v="1 KG CIPROFLOX"/>
    <n v="15"/>
    <n v="1"/>
    <n v="930000"/>
    <d v="2026-05-08T00:00:00"/>
  </r>
  <r>
    <s v="CARTERA"/>
    <m/>
    <d v="2026-05-08T00:00:00"/>
    <d v="1899-12-30T09:01:00"/>
    <x v="135"/>
    <m/>
    <d v="2026-05-08T00:00:00"/>
    <d v="1899-12-30T10:25:00"/>
    <s v="MARIA JOSE ORTIZ"/>
    <s v="BUCARAMANGA"/>
    <s v="1 KG NEOCYN"/>
    <n v="5"/>
    <n v="0"/>
    <n v="360000"/>
    <d v="2026-05-08T00:00:00"/>
  </r>
  <r>
    <m/>
    <n v="1417954"/>
    <d v="2026-07-07T00:00:00"/>
    <d v="1899-12-30T17:33:00"/>
    <x v="136"/>
    <m/>
    <d v="2026-05-08T00:00:00"/>
    <d v="1899-12-30T10:29:00"/>
    <s v="FINCA S.A.S."/>
    <s v="MOSQUERA"/>
    <s v="FENIFLOR PREMIX X 25 Kg"/>
    <n v="50"/>
    <n v="2"/>
    <n v="2593000"/>
    <d v="2026-05-11T00:00:00"/>
  </r>
  <r>
    <m/>
    <n v="1417956"/>
    <d v="2026-07-07T00:00:00"/>
    <d v="1899-12-30T17:33:00"/>
    <x v="137"/>
    <m/>
    <d v="2026-05-08T00:00:00"/>
    <d v="1899-12-30T10:29:00"/>
    <s v="FINCA S.A.S."/>
    <s v="MOSQUERA"/>
    <s v="FENIFLOR PREMIX X 25 Kg"/>
    <n v="100"/>
    <n v="4"/>
    <n v="5186000"/>
    <d v="2026-05-11T00:00:00"/>
  </r>
  <r>
    <m/>
    <m/>
    <d v="2026-05-08T00:00:00"/>
    <d v="1899-12-30T10:16:00"/>
    <x v="138"/>
    <m/>
    <d v="2026-05-08T00:00:00"/>
    <d v="1899-12-30T10:55:00"/>
    <s v="DISTRIBUIDORA AGRO-PLUS"/>
    <s v="DON MATIAS"/>
    <s v="FENIFLOR ORAL X 500 GR"/>
    <n v="40"/>
    <n v="2"/>
    <n v="4080000"/>
    <d v="2026-05-08T00:00:00"/>
  </r>
  <r>
    <m/>
    <m/>
    <d v="2026-05-08T00:00:00"/>
    <d v="1899-12-30T10:16:00"/>
    <x v="138"/>
    <m/>
    <d v="2026-05-08T00:00:00"/>
    <d v="1899-12-30T10:55:00"/>
    <s v="DISTRIBUIDORA AGRO-PLUS"/>
    <s v="DON MATIAS"/>
    <s v="FOSMYCINA 90 X 500 GR"/>
    <n v="22.5"/>
    <n v="1"/>
    <n v="11677500"/>
    <d v="2026-05-08T00:00:00"/>
  </r>
  <r>
    <m/>
    <m/>
    <d v="2026-05-08T00:00:00"/>
    <d v="1899-12-30T10:16:00"/>
    <x v="138"/>
    <m/>
    <d v="2026-05-08T00:00:00"/>
    <d v="1899-12-30T10:55:00"/>
    <s v="DISTRIBUIDORA AGRO-PLUS"/>
    <s v="DON MATIAS"/>
    <s v="TILCOMIX ORAL X 1 LITRO"/>
    <n v="23"/>
    <n v="1"/>
    <n v="5175000"/>
    <d v="2026-05-08T00:00:00"/>
  </r>
  <r>
    <m/>
    <m/>
    <d v="2026-05-08T00:00:00"/>
    <d v="1899-12-30T10:16:00"/>
    <x v="138"/>
    <m/>
    <d v="2026-05-08T00:00:00"/>
    <d v="1899-12-30T10:55:00"/>
    <s v="DISTRIBUIDORA AGRO-PLUS"/>
    <s v="DON MATIAS"/>
    <s v="FRACTAL L X 20 LITROS"/>
    <n v="40"/>
    <n v="2"/>
    <n v="1600000"/>
    <d v="2026-05-08T00:00:00"/>
  </r>
  <r>
    <m/>
    <m/>
    <d v="2026-05-08T00:00:00"/>
    <d v="1899-12-30T10:16:00"/>
    <x v="139"/>
    <m/>
    <d v="2026-05-08T00:00:00"/>
    <d v="1899-12-30T10:55:00"/>
    <s v="DISTRIBUIDORA AGRO-PLUS"/>
    <s v="DON MATIAS"/>
    <s v="TILCOMIX ORAL X 1 LITRO"/>
    <n v="7"/>
    <n v="0"/>
    <n v="1575000"/>
    <d v="2026-05-11T00:00:00"/>
  </r>
  <r>
    <m/>
    <m/>
    <d v="2026-05-08T00:00:00"/>
    <d v="1899-12-30T10:16:00"/>
    <x v="140"/>
    <m/>
    <d v="2026-05-08T00:00:00"/>
    <d v="1899-12-30T10:55:00"/>
    <s v="DISTRIBUIDORA AGRO-PLUS"/>
    <s v="DON MATIAS"/>
    <s v="SMOOT SWEET X 75 GR"/>
    <n v="17.25"/>
    <n v="1"/>
    <n v="0"/>
    <d v="2026-05-08T00:00:00"/>
  </r>
  <r>
    <m/>
    <m/>
    <d v="2026-05-08T00:00:00"/>
    <d v="1899-12-30T10:16:00"/>
    <x v="141"/>
    <m/>
    <d v="2026-05-08T00:00:00"/>
    <d v="1899-12-30T10:55:00"/>
    <s v="DISTRIBUIDORA AGRO-PLUS"/>
    <s v="DON MATIAS"/>
    <s v="SMOOT SWEET X 75 GR"/>
    <n v="5.25"/>
    <n v="0"/>
    <n v="0"/>
    <d v="2026-05-11T00:00:00"/>
  </r>
  <r>
    <m/>
    <s v="COC-00000464"/>
    <d v="2026-07-07T00:00:00"/>
    <d v="1899-12-30T16:25:00"/>
    <x v="142"/>
    <m/>
    <d v="2026-05-08T00:00:00"/>
    <d v="1899-12-30T11:38:00"/>
    <s v="CERDON S.A.S"/>
    <s v="DON MATIAS"/>
    <s v="CIPROFLOX X 5 KG"/>
    <n v="450"/>
    <n v="18"/>
    <n v="25290000"/>
    <d v="2026-05-13T00:00:00"/>
  </r>
  <r>
    <m/>
    <s v="COC-00000464"/>
    <d v="2026-07-07T00:00:00"/>
    <d v="1899-12-30T16:25:00"/>
    <x v="142"/>
    <m/>
    <d v="2026-05-08T00:00:00"/>
    <d v="1899-12-30T11:38:00"/>
    <s v="CERDON S.A.S"/>
    <s v="DON MATIAS"/>
    <s v="TILVASYYN x 25 KG"/>
    <n v="125"/>
    <n v="5"/>
    <n v="25000000"/>
    <d v="2026-05-13T00:00:00"/>
  </r>
  <r>
    <m/>
    <s v="COC-00000464"/>
    <d v="2026-07-07T00:00:00"/>
    <d v="1899-12-30T16:25:00"/>
    <x v="143"/>
    <m/>
    <d v="2026-05-08T00:00:00"/>
    <d v="1899-12-30T11:38:00"/>
    <s v="CERDON S.A.S"/>
    <s v="DON MATIAS"/>
    <s v="SMOOT SWEET X 75 GR"/>
    <s v="33.75"/>
    <n v="0"/>
    <n v="0"/>
    <d v="2026-05-13T00:00:00"/>
  </r>
  <r>
    <m/>
    <s v="103-OCC-39168"/>
    <d v="2026-05-08T00:00:00"/>
    <d v="1899-12-30T14:01:00"/>
    <x v="144"/>
    <m/>
    <d v="2026-05-08T00:00:00"/>
    <d v="1899-12-30T14:28:00"/>
    <s v="ITALCOL DE OCCIDENTE"/>
    <s v="GIRARDOTA"/>
    <s v="FRACTAL P X 25 KG"/>
    <n v="2500"/>
    <n v="100"/>
    <n v="65750000"/>
    <d v="2026-05-12T00:00:00"/>
  </r>
  <r>
    <m/>
    <s v="103-OCC-39168"/>
    <d v="2026-05-08T00:00:00"/>
    <d v="1899-12-30T14:01:00"/>
    <x v="144"/>
    <m/>
    <d v="2026-05-08T00:00:00"/>
    <d v="1899-12-30T14:28:00"/>
    <s v="ITALCOL DE OCCIDENTE"/>
    <s v="GIRARDOTA"/>
    <s v="DMB 11 X 25 KG"/>
    <n v="500"/>
    <n v="20"/>
    <n v="9750000"/>
    <d v="2026-05-12T00:00:00"/>
  </r>
  <r>
    <m/>
    <n v="1418689"/>
    <d v="2026-05-08T00:00:00"/>
    <d v="1899-12-30T14:18:00"/>
    <x v="145"/>
    <m/>
    <d v="2026-05-08T00:00:00"/>
    <d v="1899-12-30T14:35:00"/>
    <s v="OPERADORA AVICOLA COLOMBIA S.A.S."/>
    <s v="PEREIRA"/>
    <s v="FOSMYCINA 90 X 500 GR"/>
    <n v="25"/>
    <n v="1"/>
    <n v="10681250"/>
    <d v="2026-05-11T00:00:00"/>
  </r>
  <r>
    <m/>
    <n v="1418689"/>
    <d v="2026-05-08T00:00:00"/>
    <d v="1899-12-30T14:18:00"/>
    <x v="145"/>
    <m/>
    <d v="2026-05-08T00:00:00"/>
    <d v="1899-12-30T14:35:00"/>
    <s v="OPERADORA AVICOLA COLOMBIA S.A.S."/>
    <s v="PEREIRA"/>
    <s v="FENIFLOR ORAL X 500 GR"/>
    <n v="40"/>
    <n v="2"/>
    <n v="3800000"/>
    <d v="2026-05-1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539C6-6B10-408B-8AA0-90263FDF0B18}" name="TablaDinámica2" cacheId="182" applyNumberFormats="0" applyBorderFormats="0" applyFontFormats="0" applyPatternFormats="0" applyAlignmentFormats="0" applyWidthHeightFormats="1" dataCaption="Valores" updatedVersion="8" minRefreshableVersion="3" useAutoFormatting="1" createdVersion="8" indent="0" outline="1" outlineData="1" multipleFieldFilters="0">
  <location ref="A3:B311" firstHeaderRow="1" firstDataRow="1" firstDataCol="1"/>
  <pivotFields count="19">
    <pivotField showAll="0"/>
    <pivotField dataField="1" showAll="0"/>
    <pivotField showAll="0"/>
    <pivotField showAll="0"/>
    <pivotField axis="axisRow" showAll="0">
      <items count="308">
        <item x="107"/>
        <item x="27"/>
        <item x="119"/>
        <item x="29"/>
        <item x="4"/>
        <item x="6"/>
        <item x="108"/>
        <item x="7"/>
        <item x="8"/>
        <item x="9"/>
        <item x="10"/>
        <item x="109"/>
        <item x="11"/>
        <item x="110"/>
        <item x="12"/>
        <item x="31"/>
        <item x="13"/>
        <item x="14"/>
        <item x="15"/>
        <item x="16"/>
        <item x="17"/>
        <item x="92"/>
        <item x="18"/>
        <item x="105"/>
        <item x="106"/>
        <item x="19"/>
        <item x="20"/>
        <item x="22"/>
        <item x="21"/>
        <item x="23"/>
        <item x="24"/>
        <item x="25"/>
        <item x="26"/>
        <item x="38"/>
        <item x="32"/>
        <item x="33"/>
        <item x="34"/>
        <item x="35"/>
        <item x="50"/>
        <item x="36"/>
        <item x="37"/>
        <item x="42"/>
        <item x="39"/>
        <item x="40"/>
        <item x="43"/>
        <item x="44"/>
        <item x="46"/>
        <item x="47"/>
        <item x="48"/>
        <item x="49"/>
        <item x="51"/>
        <item x="59"/>
        <item x="52"/>
        <item x="53"/>
        <item x="54"/>
        <item x="55"/>
        <item x="56"/>
        <item x="57"/>
        <item x="58"/>
        <item x="60"/>
        <item x="62"/>
        <item x="6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7"/>
        <item x="78"/>
        <item x="79"/>
        <item x="80"/>
        <item x="120"/>
        <item x="81"/>
        <item x="76"/>
        <item x="82"/>
        <item x="83"/>
        <item x="84"/>
        <item x="85"/>
        <item x="87"/>
        <item x="88"/>
        <item x="89"/>
        <item x="94"/>
        <item x="90"/>
        <item x="91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11"/>
        <item x="112"/>
        <item x="113"/>
        <item x="114"/>
        <item x="115"/>
        <item x="116"/>
        <item x="117"/>
        <item x="118"/>
        <item x="86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2"/>
        <item x="3"/>
        <item x="5"/>
        <item x="139"/>
        <item x="138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"/>
        <item x="151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4"/>
        <item x="165"/>
        <item x="166"/>
        <item x="158"/>
        <item x="167"/>
        <item x="168"/>
        <item x="169"/>
        <item x="170"/>
        <item x="171"/>
        <item x="172"/>
        <item x="173"/>
        <item x="174"/>
        <item x="177"/>
        <item x="175"/>
        <item x="176"/>
        <item x="178"/>
        <item x="179"/>
        <item x="180"/>
        <item x="181"/>
        <item x="182"/>
        <item x="183"/>
        <item x="184"/>
        <item x="185"/>
        <item x="186"/>
        <item x="187"/>
        <item x="41"/>
        <item x="188"/>
        <item x="189"/>
        <item x="190"/>
        <item x="191"/>
        <item x="192"/>
        <item x="199"/>
        <item x="193"/>
        <item x="194"/>
        <item x="195"/>
        <item x="196"/>
        <item x="197"/>
        <item x="198"/>
        <item x="200"/>
        <item x="201"/>
        <item x="204"/>
        <item x="203"/>
        <item x="202"/>
        <item x="205"/>
        <item x="206"/>
        <item x="207"/>
        <item x="208"/>
        <item x="209"/>
        <item x="210"/>
        <item x="211"/>
        <item x="212"/>
        <item x="213"/>
        <item x="214"/>
        <item x="28"/>
        <item x="220"/>
        <item x="215"/>
        <item x="216"/>
        <item x="217"/>
        <item x="218"/>
        <item x="221"/>
        <item x="223"/>
        <item x="219"/>
        <item x="222"/>
        <item x="224"/>
        <item x="225"/>
        <item x="226"/>
        <item x="30"/>
        <item x="45"/>
        <item x="227"/>
        <item x="228"/>
        <item x="229"/>
        <item x="230"/>
        <item x="231"/>
        <item x="232"/>
        <item x="233"/>
        <item x="234"/>
        <item x="235"/>
        <item x="236"/>
        <item x="238"/>
        <item x="237"/>
        <item x="239"/>
        <item x="240"/>
        <item x="241"/>
        <item x="242"/>
        <item x="243"/>
        <item x="244"/>
        <item x="245"/>
        <item x="246"/>
        <item x="248"/>
        <item x="247"/>
        <item x="249"/>
        <item x="250"/>
        <item x="251"/>
        <item x="252"/>
        <item x="253"/>
        <item x="254"/>
        <item x="256"/>
        <item x="255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2"/>
        <item x="271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2"/>
        <item x="303"/>
        <item x="304"/>
        <item x="305"/>
        <item x="301"/>
        <item x="30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0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 t="grand">
      <x/>
    </i>
  </rowItems>
  <colItems count="1">
    <i/>
  </colItems>
  <dataFields count="1">
    <dataField name="Cuenta de O.C.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CE506A-2F7B-405C-943F-C836BFE07DE2}" name="TablaDinámica2" cacheId="1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105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</items>
    </pivotField>
  </pivotFields>
  <rowFields count="2">
    <field x="0"/>
    <field x="1"/>
  </rowFields>
  <rowItems count="102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3"/>
    </i>
    <i>
      <x v="2"/>
    </i>
    <i r="1">
      <x v="13"/>
    </i>
    <i r="1">
      <x v="14"/>
    </i>
    <i r="1">
      <x v="15"/>
    </i>
    <i>
      <x v="3"/>
    </i>
    <i r="1">
      <x v="16"/>
    </i>
    <i r="1">
      <x v="17"/>
    </i>
    <i r="1">
      <x v="18"/>
    </i>
    <i r="1">
      <x v="19"/>
    </i>
    <i r="1">
      <x v="4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5"/>
    </i>
    <i r="1">
      <x v="6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>
      <x v="4"/>
    </i>
    <i r="1">
      <x v="45"/>
    </i>
    <i r="1">
      <x v="46"/>
    </i>
    <i>
      <x v="5"/>
    </i>
    <i r="1">
      <x v="8"/>
    </i>
    <i r="1">
      <x v="9"/>
    </i>
    <i>
      <x v="6"/>
    </i>
    <i r="1">
      <x v="47"/>
    </i>
    <i r="1">
      <x v="26"/>
    </i>
    <i>
      <x v="7"/>
    </i>
    <i r="1">
      <x v="48"/>
    </i>
    <i>
      <x v="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7"/>
    </i>
    <i r="1">
      <x v="62"/>
    </i>
    <i r="1">
      <x v="10"/>
    </i>
    <i r="1">
      <x v="63"/>
    </i>
    <i r="1">
      <x v="11"/>
    </i>
    <i>
      <x v="9"/>
    </i>
    <i r="1">
      <x v="64"/>
    </i>
    <i>
      <x v="10"/>
    </i>
    <i r="1">
      <x v="65"/>
    </i>
    <i>
      <x v="11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37"/>
    </i>
    <i r="1">
      <x v="74"/>
    </i>
    <i r="1">
      <x v="75"/>
    </i>
    <i r="1">
      <x v="76"/>
    </i>
    <i r="1">
      <x v="77"/>
    </i>
    <i t="grand">
      <x/>
    </i>
  </rowItem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5"/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oja5!$A$1:$D$118">
        <x15:activeTabTopLevelEntity name="[Rango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DF78F-9AC6-4494-B05A-5D6E56D93A44}" name="TablaDinámica1" cacheId="19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50" firstHeaderRow="1" firstDataRow="1" firstDataCol="1"/>
  <pivotFields count="15">
    <pivotField showAll="0"/>
    <pivotField showAll="0"/>
    <pivotField numFmtId="14" showAll="0"/>
    <pivotField numFmtId="20" showAll="0"/>
    <pivotField axis="axisRow" showAll="0">
      <items count="147">
        <item x="0"/>
        <item x="81"/>
        <item x="77"/>
        <item x="78"/>
        <item x="79"/>
        <item x="80"/>
        <item x="13"/>
        <item x="87"/>
        <item x="82"/>
        <item x="83"/>
        <item x="84"/>
        <item x="19"/>
        <item x="20"/>
        <item x="22"/>
        <item x="85"/>
        <item x="8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 t="grand">
      <x/>
    </i>
  </rowItems>
  <colItems count="1">
    <i/>
  </colItems>
  <dataFields count="1">
    <dataField name="Cuenta de N° de Factura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343A0-5CBC-4ABC-8CE4-F263FF291B46}" name="TablaDinámica1" cacheId="1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468" firstHeaderRow="0" firstDataRow="1" firstDataCol="1"/>
  <pivotFields count="28">
    <pivotField axis="axisRow" showAll="0">
      <items count="14">
        <item x="9"/>
        <item x="8"/>
        <item x="3"/>
        <item x="5"/>
        <item x="2"/>
        <item x="0"/>
        <item x="1"/>
        <item x="4"/>
        <item x="6"/>
        <item x="7"/>
        <item x="10"/>
        <item x="11"/>
        <item x="12"/>
        <item t="default"/>
      </items>
    </pivotField>
    <pivotField showAll="0"/>
    <pivotField showAll="0"/>
    <pivotField numFmtId="20" showAll="0"/>
    <pivotField axis="axisRow" showAll="0">
      <items count="308">
        <item x="0"/>
        <item x="13"/>
        <item x="107"/>
        <item x="119"/>
        <item x="108"/>
        <item x="25"/>
        <item x="109"/>
        <item x="110"/>
        <item x="92"/>
        <item x="105"/>
        <item x="10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11"/>
        <item x="112"/>
        <item x="113"/>
        <item x="114"/>
        <item x="115"/>
        <item x="116"/>
        <item x="117"/>
        <item x="118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showAll="0"/>
    <pivotField showAll="0"/>
    <pivotField showAll="0"/>
    <pivotField axis="axisRow" showAll="0">
      <items count="94">
        <item x="37"/>
        <item x="21"/>
        <item x="12"/>
        <item x="16"/>
        <item x="55"/>
        <item x="10"/>
        <item x="23"/>
        <item x="39"/>
        <item x="3"/>
        <item x="89"/>
        <item x="0"/>
        <item x="4"/>
        <item x="5"/>
        <item x="2"/>
        <item x="18"/>
        <item x="6"/>
        <item x="47"/>
        <item x="28"/>
        <item x="58"/>
        <item x="66"/>
        <item x="7"/>
        <item x="71"/>
        <item x="20"/>
        <item x="56"/>
        <item x="45"/>
        <item x="85"/>
        <item x="50"/>
        <item x="29"/>
        <item x="31"/>
        <item x="80"/>
        <item x="54"/>
        <item x="1"/>
        <item x="59"/>
        <item x="19"/>
        <item x="92"/>
        <item x="15"/>
        <item x="67"/>
        <item x="53"/>
        <item x="9"/>
        <item x="57"/>
        <item x="72"/>
        <item x="76"/>
        <item x="90"/>
        <item x="79"/>
        <item x="40"/>
        <item x="83"/>
        <item x="61"/>
        <item x="26"/>
        <item x="33"/>
        <item x="32"/>
        <item x="25"/>
        <item x="8"/>
        <item x="11"/>
        <item x="13"/>
        <item x="14"/>
        <item x="17"/>
        <item x="22"/>
        <item x="24"/>
        <item x="27"/>
        <item x="30"/>
        <item x="34"/>
        <item x="35"/>
        <item x="36"/>
        <item x="38"/>
        <item x="41"/>
        <item x="42"/>
        <item x="43"/>
        <item x="44"/>
        <item x="46"/>
        <item x="48"/>
        <item x="49"/>
        <item x="51"/>
        <item x="52"/>
        <item x="60"/>
        <item x="62"/>
        <item x="63"/>
        <item x="64"/>
        <item x="65"/>
        <item x="68"/>
        <item x="69"/>
        <item x="70"/>
        <item x="73"/>
        <item x="74"/>
        <item x="75"/>
        <item x="77"/>
        <item x="78"/>
        <item x="81"/>
        <item x="82"/>
        <item x="84"/>
        <item x="86"/>
        <item x="87"/>
        <item x="88"/>
        <item x="91"/>
        <item t="default"/>
      </items>
    </pivotField>
    <pivotField showAll="0"/>
    <pivotField showAll="0">
      <items count="52">
        <item x="42"/>
        <item x="48"/>
        <item x="41"/>
        <item x="24"/>
        <item x="45"/>
        <item x="40"/>
        <item x="46"/>
        <item x="10"/>
        <item x="49"/>
        <item x="35"/>
        <item x="17"/>
        <item x="13"/>
        <item x="18"/>
        <item x="22"/>
        <item x="23"/>
        <item x="19"/>
        <item x="0"/>
        <item x="38"/>
        <item x="44"/>
        <item x="20"/>
        <item x="33"/>
        <item x="7"/>
        <item x="16"/>
        <item x="34"/>
        <item x="25"/>
        <item x="11"/>
        <item x="8"/>
        <item x="5"/>
        <item x="12"/>
        <item x="3"/>
        <item x="6"/>
        <item x="30"/>
        <item x="26"/>
        <item x="4"/>
        <item x="2"/>
        <item x="50"/>
        <item x="9"/>
        <item x="36"/>
        <item x="29"/>
        <item x="1"/>
        <item x="43"/>
        <item x="15"/>
        <item x="28"/>
        <item x="31"/>
        <item x="32"/>
        <item x="39"/>
        <item x="27"/>
        <item x="37"/>
        <item x="14"/>
        <item x="47"/>
        <item x="21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8"/>
    <field x="4"/>
  </rowFields>
  <rowItems count="465">
    <i>
      <x/>
    </i>
    <i r="1">
      <x v="1"/>
    </i>
    <i r="2">
      <x v="113"/>
    </i>
    <i r="2">
      <x v="212"/>
    </i>
    <i>
      <x v="1"/>
    </i>
    <i r="1">
      <x v="16"/>
    </i>
    <i r="2">
      <x/>
    </i>
    <i r="1">
      <x v="62"/>
    </i>
    <i r="2">
      <x v="111"/>
    </i>
    <i r="1">
      <x v="85"/>
    </i>
    <i r="2">
      <x v="249"/>
    </i>
    <i>
      <x v="2"/>
    </i>
    <i r="1">
      <x/>
    </i>
    <i r="2">
      <x v="74"/>
    </i>
    <i r="1">
      <x v="4"/>
    </i>
    <i r="2">
      <x v="109"/>
    </i>
    <i r="1">
      <x v="16"/>
    </i>
    <i r="2">
      <x v="97"/>
    </i>
    <i r="1">
      <x v="17"/>
    </i>
    <i r="2">
      <x v="8"/>
    </i>
    <i r="2">
      <x v="56"/>
    </i>
    <i r="2">
      <x v="64"/>
    </i>
    <i r="1">
      <x v="23"/>
    </i>
    <i r="2">
      <x v="9"/>
    </i>
    <i r="2">
      <x v="10"/>
    </i>
    <i r="1">
      <x v="24"/>
    </i>
    <i r="2">
      <x v="244"/>
    </i>
    <i r="1">
      <x v="32"/>
    </i>
    <i r="2">
      <x v="116"/>
    </i>
    <i r="1">
      <x v="33"/>
    </i>
    <i r="2">
      <x v="35"/>
    </i>
    <i r="2">
      <x v="36"/>
    </i>
    <i r="2">
      <x v="37"/>
    </i>
    <i r="2">
      <x v="39"/>
    </i>
    <i r="2">
      <x v="52"/>
    </i>
    <i r="1">
      <x v="35"/>
    </i>
    <i r="2">
      <x v="31"/>
    </i>
    <i r="2">
      <x v="32"/>
    </i>
    <i r="1">
      <x v="42"/>
    </i>
    <i r="2">
      <x v="298"/>
    </i>
    <i r="1">
      <x v="47"/>
    </i>
    <i r="2">
      <x v="199"/>
    </i>
    <i r="1">
      <x v="48"/>
    </i>
    <i r="2">
      <x v="68"/>
    </i>
    <i r="2">
      <x v="69"/>
    </i>
    <i r="1">
      <x v="50"/>
    </i>
    <i r="2">
      <x v="100"/>
    </i>
    <i r="1">
      <x v="51"/>
    </i>
    <i r="2">
      <x v="214"/>
    </i>
    <i r="2">
      <x v="285"/>
    </i>
    <i r="2">
      <x v="299"/>
    </i>
    <i r="1">
      <x v="58"/>
    </i>
    <i r="2">
      <x v="2"/>
    </i>
    <i r="2">
      <x v="55"/>
    </i>
    <i r="2">
      <x v="101"/>
    </i>
    <i r="2">
      <x v="151"/>
    </i>
    <i r="2">
      <x v="152"/>
    </i>
    <i r="1">
      <x v="64"/>
    </i>
    <i r="2">
      <x v="238"/>
    </i>
    <i>
      <x v="3"/>
    </i>
    <i r="1">
      <x v="10"/>
    </i>
    <i r="2">
      <x v="7"/>
    </i>
    <i r="2">
      <x v="125"/>
    </i>
    <i r="2">
      <x v="227"/>
    </i>
    <i r="1">
      <x v="24"/>
    </i>
    <i r="2">
      <x v="94"/>
    </i>
    <i r="2">
      <x v="95"/>
    </i>
    <i r="1">
      <x v="27"/>
    </i>
    <i r="2">
      <x v="57"/>
    </i>
    <i r="1">
      <x v="29"/>
    </i>
    <i r="2">
      <x v="235"/>
    </i>
    <i r="1">
      <x v="31"/>
    </i>
    <i r="2">
      <x v="3"/>
    </i>
    <i r="2">
      <x v="6"/>
    </i>
    <i r="2">
      <x v="137"/>
    </i>
    <i r="1">
      <x v="44"/>
    </i>
    <i r="2">
      <x v="84"/>
    </i>
    <i r="2">
      <x v="170"/>
    </i>
    <i r="1">
      <x v="59"/>
    </i>
    <i r="2">
      <x v="60"/>
    </i>
    <i r="2">
      <x v="234"/>
    </i>
    <i r="1">
      <x v="66"/>
    </i>
    <i r="2">
      <x v="90"/>
    </i>
    <i r="1">
      <x v="71"/>
    </i>
    <i r="2">
      <x v="104"/>
    </i>
    <i r="1">
      <x v="86"/>
    </i>
    <i r="2">
      <x v="236"/>
    </i>
    <i>
      <x v="4"/>
    </i>
    <i r="1">
      <x v="2"/>
    </i>
    <i r="2">
      <x v="88"/>
    </i>
    <i r="1">
      <x v="12"/>
    </i>
    <i r="2">
      <x v="18"/>
    </i>
    <i r="1">
      <x v="22"/>
    </i>
    <i r="2">
      <x v="40"/>
    </i>
    <i r="1">
      <x v="31"/>
    </i>
    <i r="2">
      <x v="44"/>
    </i>
    <i r="2">
      <x v="149"/>
    </i>
    <i r="1">
      <x v="47"/>
    </i>
    <i r="2">
      <x v="51"/>
    </i>
    <i r="2">
      <x v="199"/>
    </i>
    <i r="1">
      <x v="51"/>
    </i>
    <i r="2">
      <x v="54"/>
    </i>
    <i r="1">
      <x v="52"/>
    </i>
    <i r="2">
      <x v="24"/>
    </i>
    <i r="2">
      <x v="197"/>
    </i>
    <i>
      <x v="5"/>
    </i>
    <i r="1">
      <x/>
    </i>
    <i r="2">
      <x v="183"/>
    </i>
    <i r="2">
      <x v="193"/>
    </i>
    <i r="1">
      <x v="1"/>
    </i>
    <i r="2">
      <x v="42"/>
    </i>
    <i r="2">
      <x v="92"/>
    </i>
    <i r="2">
      <x v="142"/>
    </i>
    <i r="2">
      <x v="154"/>
    </i>
    <i r="2">
      <x v="155"/>
    </i>
    <i r="2">
      <x v="156"/>
    </i>
    <i r="2">
      <x v="163"/>
    </i>
    <i r="2">
      <x v="168"/>
    </i>
    <i r="1">
      <x v="2"/>
    </i>
    <i r="2">
      <x v="25"/>
    </i>
    <i r="2">
      <x v="26"/>
    </i>
    <i r="2">
      <x v="87"/>
    </i>
    <i r="2">
      <x v="272"/>
    </i>
    <i r="2">
      <x v="273"/>
    </i>
    <i r="1">
      <x v="3"/>
    </i>
    <i r="2">
      <x v="33"/>
    </i>
    <i r="2">
      <x v="165"/>
    </i>
    <i r="1">
      <x v="5"/>
    </i>
    <i r="2">
      <x v="23"/>
    </i>
    <i r="2">
      <x v="131"/>
    </i>
    <i r="2">
      <x v="194"/>
    </i>
    <i r="2">
      <x v="207"/>
    </i>
    <i r="2">
      <x v="209"/>
    </i>
    <i r="2">
      <x v="281"/>
    </i>
    <i r="1">
      <x v="6"/>
    </i>
    <i r="2">
      <x v="46"/>
    </i>
    <i r="2">
      <x v="71"/>
    </i>
    <i r="2">
      <x v="148"/>
    </i>
    <i r="2">
      <x v="175"/>
    </i>
    <i r="2">
      <x v="176"/>
    </i>
    <i r="2">
      <x v="231"/>
    </i>
    <i r="2">
      <x v="232"/>
    </i>
    <i r="1">
      <x v="7"/>
    </i>
    <i r="2">
      <x v="76"/>
    </i>
    <i r="1">
      <x v="8"/>
    </i>
    <i r="2">
      <x v="14"/>
    </i>
    <i r="2">
      <x v="15"/>
    </i>
    <i r="2">
      <x v="226"/>
    </i>
    <i r="1">
      <x v="9"/>
    </i>
    <i r="2">
      <x v="282"/>
    </i>
    <i r="1">
      <x v="10"/>
    </i>
    <i r="2">
      <x/>
    </i>
    <i r="2">
      <x v="11"/>
    </i>
    <i r="2">
      <x v="59"/>
    </i>
    <i r="2">
      <x v="78"/>
    </i>
    <i r="2">
      <x v="79"/>
    </i>
    <i r="2">
      <x v="80"/>
    </i>
    <i r="2">
      <x v="114"/>
    </i>
    <i r="2">
      <x v="125"/>
    </i>
    <i r="2">
      <x v="126"/>
    </i>
    <i r="2">
      <x v="143"/>
    </i>
    <i r="2">
      <x v="160"/>
    </i>
    <i r="2">
      <x v="161"/>
    </i>
    <i r="2">
      <x v="174"/>
    </i>
    <i r="2">
      <x v="202"/>
    </i>
    <i r="2">
      <x v="203"/>
    </i>
    <i r="2">
      <x v="204"/>
    </i>
    <i r="2">
      <x v="227"/>
    </i>
    <i r="2">
      <x v="228"/>
    </i>
    <i r="2">
      <x v="269"/>
    </i>
    <i r="2">
      <x v="270"/>
    </i>
    <i r="2">
      <x v="296"/>
    </i>
    <i r="2">
      <x v="300"/>
    </i>
    <i r="1">
      <x v="11"/>
    </i>
    <i r="2">
      <x v="16"/>
    </i>
    <i r="2">
      <x v="29"/>
    </i>
    <i r="2">
      <x v="145"/>
    </i>
    <i r="1">
      <x v="12"/>
    </i>
    <i r="2">
      <x v="17"/>
    </i>
    <i r="2">
      <x v="201"/>
    </i>
    <i r="1">
      <x v="13"/>
    </i>
    <i r="2">
      <x v="12"/>
    </i>
    <i r="2">
      <x v="13"/>
    </i>
    <i r="1">
      <x v="14"/>
    </i>
    <i r="2">
      <x v="34"/>
    </i>
    <i r="2">
      <x v="62"/>
    </i>
    <i r="2">
      <x v="63"/>
    </i>
    <i r="2">
      <x v="262"/>
    </i>
    <i r="2">
      <x v="263"/>
    </i>
    <i r="1">
      <x v="15"/>
    </i>
    <i r="2">
      <x v="1"/>
    </i>
    <i r="2">
      <x v="19"/>
    </i>
    <i r="1">
      <x v="16"/>
    </i>
    <i r="2">
      <x v="138"/>
    </i>
    <i r="1">
      <x v="18"/>
    </i>
    <i r="2">
      <x v="115"/>
    </i>
    <i r="2">
      <x v="118"/>
    </i>
    <i r="2">
      <x v="119"/>
    </i>
    <i r="2">
      <x v="144"/>
    </i>
    <i r="2">
      <x v="189"/>
    </i>
    <i r="2">
      <x v="229"/>
    </i>
    <i r="2">
      <x v="237"/>
    </i>
    <i r="2">
      <x v="278"/>
    </i>
    <i r="2">
      <x v="301"/>
    </i>
    <i r="1">
      <x v="19"/>
    </i>
    <i r="2">
      <x v="177"/>
    </i>
    <i r="1">
      <x v="20"/>
    </i>
    <i r="2">
      <x v="20"/>
    </i>
    <i r="1">
      <x v="21"/>
    </i>
    <i r="2">
      <x v="195"/>
    </i>
    <i r="1">
      <x v="22"/>
    </i>
    <i r="2">
      <x v="206"/>
    </i>
    <i r="1">
      <x v="23"/>
    </i>
    <i r="2">
      <x v="200"/>
    </i>
    <i r="2">
      <x v="218"/>
    </i>
    <i r="2">
      <x v="219"/>
    </i>
    <i r="2">
      <x v="239"/>
    </i>
    <i r="2">
      <x v="277"/>
    </i>
    <i r="2">
      <x v="279"/>
    </i>
    <i r="2">
      <x v="280"/>
    </i>
    <i r="1">
      <x v="24"/>
    </i>
    <i r="2">
      <x v="112"/>
    </i>
    <i r="2">
      <x v="184"/>
    </i>
    <i r="2">
      <x v="185"/>
    </i>
    <i r="1">
      <x v="25"/>
    </i>
    <i r="2">
      <x v="252"/>
    </i>
    <i r="2">
      <x v="253"/>
    </i>
    <i r="1">
      <x v="26"/>
    </i>
    <i r="2">
      <x v="103"/>
    </i>
    <i r="2">
      <x v="271"/>
    </i>
    <i r="1">
      <x v="27"/>
    </i>
    <i r="2">
      <x v="57"/>
    </i>
    <i r="1">
      <x v="28"/>
    </i>
    <i r="2">
      <x v="61"/>
    </i>
    <i r="2">
      <x v="146"/>
    </i>
    <i r="2">
      <x v="147"/>
    </i>
    <i r="1">
      <x v="29"/>
    </i>
    <i r="2">
      <x v="235"/>
    </i>
    <i r="1">
      <x v="30"/>
    </i>
    <i r="2">
      <x v="108"/>
    </i>
    <i r="2">
      <x v="122"/>
    </i>
    <i r="2">
      <x v="123"/>
    </i>
    <i r="2">
      <x v="124"/>
    </i>
    <i r="1">
      <x v="31"/>
    </i>
    <i r="2">
      <x v="136"/>
    </i>
    <i r="2">
      <x v="208"/>
    </i>
    <i r="2">
      <x v="243"/>
    </i>
    <i r="2">
      <x v="259"/>
    </i>
    <i r="1">
      <x v="34"/>
    </i>
    <i r="2">
      <x v="305"/>
    </i>
    <i r="1">
      <x v="36"/>
    </i>
    <i r="2">
      <x v="179"/>
    </i>
    <i r="1">
      <x v="37"/>
    </i>
    <i r="2">
      <x v="107"/>
    </i>
    <i r="2">
      <x v="132"/>
    </i>
    <i r="2">
      <x v="133"/>
    </i>
    <i r="2">
      <x v="134"/>
    </i>
    <i r="2">
      <x v="135"/>
    </i>
    <i r="2">
      <x v="257"/>
    </i>
    <i r="1">
      <x v="38"/>
    </i>
    <i r="2">
      <x v="22"/>
    </i>
    <i r="1">
      <x v="39"/>
    </i>
    <i r="2">
      <x v="4"/>
    </i>
    <i r="2">
      <x v="121"/>
    </i>
    <i r="2">
      <x v="141"/>
    </i>
    <i r="2">
      <x v="254"/>
    </i>
    <i r="2">
      <x v="255"/>
    </i>
    <i r="2">
      <x v="256"/>
    </i>
    <i r="2">
      <x v="274"/>
    </i>
    <i r="2">
      <x v="275"/>
    </i>
    <i r="1">
      <x v="40"/>
    </i>
    <i r="2">
      <x v="198"/>
    </i>
    <i r="1">
      <x v="41"/>
    </i>
    <i r="2">
      <x v="220"/>
    </i>
    <i r="2">
      <x v="268"/>
    </i>
    <i r="1">
      <x v="43"/>
    </i>
    <i r="2">
      <x v="230"/>
    </i>
    <i r="2">
      <x v="265"/>
    </i>
    <i r="1">
      <x v="44"/>
    </i>
    <i r="2">
      <x v="83"/>
    </i>
    <i r="2">
      <x v="167"/>
    </i>
    <i r="2">
      <x v="294"/>
    </i>
    <i r="1">
      <x v="45"/>
    </i>
    <i r="2">
      <x v="242"/>
    </i>
    <i r="1">
      <x v="46"/>
    </i>
    <i r="2">
      <x v="139"/>
    </i>
    <i r="2">
      <x v="140"/>
    </i>
    <i r="2">
      <x v="302"/>
    </i>
    <i r="2">
      <x v="303"/>
    </i>
    <i r="1">
      <x v="48"/>
    </i>
    <i r="2">
      <x v="166"/>
    </i>
    <i r="2">
      <x v="223"/>
    </i>
    <i r="1">
      <x v="50"/>
    </i>
    <i r="2">
      <x v="50"/>
    </i>
    <i r="2">
      <x v="248"/>
    </i>
    <i r="1">
      <x v="51"/>
    </i>
    <i r="2">
      <x v="21"/>
    </i>
    <i r="2">
      <x v="45"/>
    </i>
    <i r="2">
      <x v="58"/>
    </i>
    <i r="2">
      <x v="77"/>
    </i>
    <i r="2">
      <x v="106"/>
    </i>
    <i r="2">
      <x v="171"/>
    </i>
    <i r="2">
      <x v="213"/>
    </i>
    <i r="2">
      <x v="247"/>
    </i>
    <i r="2">
      <x v="290"/>
    </i>
    <i r="1">
      <x v="52"/>
    </i>
    <i r="2">
      <x v="28"/>
    </i>
    <i r="2">
      <x v="41"/>
    </i>
    <i r="2">
      <x v="66"/>
    </i>
    <i r="2">
      <x v="82"/>
    </i>
    <i r="2">
      <x v="100"/>
    </i>
    <i r="2">
      <x v="172"/>
    </i>
    <i r="2">
      <x v="196"/>
    </i>
    <i r="2">
      <x v="205"/>
    </i>
    <i r="2">
      <x v="251"/>
    </i>
    <i r="2">
      <x v="297"/>
    </i>
    <i r="1">
      <x v="53"/>
    </i>
    <i r="2">
      <x v="27"/>
    </i>
    <i r="1">
      <x v="54"/>
    </i>
    <i r="2">
      <x v="30"/>
    </i>
    <i r="1">
      <x v="55"/>
    </i>
    <i r="2">
      <x v="5"/>
    </i>
    <i r="2">
      <x v="67"/>
    </i>
    <i r="2">
      <x v="153"/>
    </i>
    <i r="1">
      <x v="56"/>
    </i>
    <i r="2">
      <x v="43"/>
    </i>
    <i r="2">
      <x v="47"/>
    </i>
    <i r="2">
      <x v="81"/>
    </i>
    <i r="2">
      <x v="117"/>
    </i>
    <i r="2">
      <x v="159"/>
    </i>
    <i r="2">
      <x v="162"/>
    </i>
    <i r="2">
      <x v="178"/>
    </i>
    <i r="2">
      <x v="188"/>
    </i>
    <i r="2">
      <x v="233"/>
    </i>
    <i r="2">
      <x v="250"/>
    </i>
    <i r="2">
      <x v="258"/>
    </i>
    <i r="2">
      <x v="266"/>
    </i>
    <i r="2">
      <x v="286"/>
    </i>
    <i r="2">
      <x v="306"/>
    </i>
    <i r="1">
      <x v="57"/>
    </i>
    <i r="2">
      <x v="48"/>
    </i>
    <i r="2">
      <x v="49"/>
    </i>
    <i r="1">
      <x v="59"/>
    </i>
    <i r="2">
      <x v="60"/>
    </i>
    <i r="2">
      <x v="234"/>
    </i>
    <i r="1">
      <x v="60"/>
    </i>
    <i r="2">
      <x v="70"/>
    </i>
    <i r="1">
      <x v="61"/>
    </i>
    <i r="2">
      <x v="72"/>
    </i>
    <i r="1">
      <x v="62"/>
    </i>
    <i r="2">
      <x v="73"/>
    </i>
    <i r="2">
      <x v="110"/>
    </i>
    <i r="2">
      <x v="120"/>
    </i>
    <i r="2">
      <x v="127"/>
    </i>
    <i r="2">
      <x v="128"/>
    </i>
    <i r="2">
      <x v="180"/>
    </i>
    <i r="2">
      <x v="181"/>
    </i>
    <i r="2">
      <x v="291"/>
    </i>
    <i r="2">
      <x v="292"/>
    </i>
    <i r="2">
      <x v="293"/>
    </i>
    <i r="2">
      <x v="295"/>
    </i>
    <i r="1">
      <x v="63"/>
    </i>
    <i r="2">
      <x v="75"/>
    </i>
    <i r="2">
      <x v="150"/>
    </i>
    <i r="2">
      <x v="225"/>
    </i>
    <i r="2">
      <x v="288"/>
    </i>
    <i r="2">
      <x v="289"/>
    </i>
    <i r="1">
      <x v="64"/>
    </i>
    <i r="2">
      <x v="85"/>
    </i>
    <i r="2">
      <x v="86"/>
    </i>
    <i r="1">
      <x v="65"/>
    </i>
    <i r="2">
      <x v="89"/>
    </i>
    <i r="1">
      <x v="66"/>
    </i>
    <i r="2">
      <x v="90"/>
    </i>
    <i r="2">
      <x v="91"/>
    </i>
    <i r="1">
      <x v="67"/>
    </i>
    <i r="2">
      <x v="93"/>
    </i>
    <i r="2">
      <x v="129"/>
    </i>
    <i r="2">
      <x v="261"/>
    </i>
    <i r="1">
      <x v="68"/>
    </i>
    <i r="2">
      <x v="96"/>
    </i>
    <i r="2">
      <x v="287"/>
    </i>
    <i r="1">
      <x v="69"/>
    </i>
    <i r="2">
      <x v="98"/>
    </i>
    <i r="2">
      <x v="99"/>
    </i>
    <i r="1">
      <x v="70"/>
    </i>
    <i r="2">
      <x v="102"/>
    </i>
    <i r="2">
      <x v="264"/>
    </i>
    <i r="1">
      <x v="71"/>
    </i>
    <i r="2">
      <x v="104"/>
    </i>
    <i r="2">
      <x v="190"/>
    </i>
    <i r="2">
      <x v="191"/>
    </i>
    <i r="2">
      <x v="260"/>
    </i>
    <i r="2">
      <x v="284"/>
    </i>
    <i r="1">
      <x v="72"/>
    </i>
    <i r="2">
      <x v="105"/>
    </i>
    <i r="1">
      <x v="73"/>
    </i>
    <i r="2">
      <x v="130"/>
    </i>
    <i r="1">
      <x v="74"/>
    </i>
    <i r="2">
      <x v="157"/>
    </i>
    <i r="2">
      <x v="158"/>
    </i>
    <i r="2">
      <x v="210"/>
    </i>
    <i r="1">
      <x v="75"/>
    </i>
    <i r="2">
      <x v="164"/>
    </i>
    <i r="1">
      <x v="76"/>
    </i>
    <i r="2">
      <x v="169"/>
    </i>
    <i r="1">
      <x v="77"/>
    </i>
    <i r="2">
      <x v="173"/>
    </i>
    <i r="1">
      <x v="78"/>
    </i>
    <i r="2">
      <x v="182"/>
    </i>
    <i r="1">
      <x v="80"/>
    </i>
    <i r="2">
      <x v="192"/>
    </i>
    <i r="1">
      <x v="81"/>
    </i>
    <i r="2">
      <x v="211"/>
    </i>
    <i r="2">
      <x v="283"/>
    </i>
    <i r="1">
      <x v="82"/>
    </i>
    <i r="2">
      <x v="215"/>
    </i>
    <i r="2">
      <x v="216"/>
    </i>
    <i r="1">
      <x v="83"/>
    </i>
    <i r="2">
      <x v="217"/>
    </i>
    <i r="1">
      <x v="84"/>
    </i>
    <i r="2">
      <x v="221"/>
    </i>
    <i r="1">
      <x v="85"/>
    </i>
    <i r="2">
      <x v="224"/>
    </i>
    <i r="1">
      <x v="86"/>
    </i>
    <i r="2">
      <x v="236"/>
    </i>
    <i r="1">
      <x v="87"/>
    </i>
    <i r="2">
      <x v="241"/>
    </i>
    <i r="1">
      <x v="88"/>
    </i>
    <i r="2">
      <x v="245"/>
    </i>
    <i r="2">
      <x v="246"/>
    </i>
    <i r="1">
      <x v="89"/>
    </i>
    <i r="2">
      <x v="266"/>
    </i>
    <i r="1">
      <x v="90"/>
    </i>
    <i r="2">
      <x v="267"/>
    </i>
    <i r="1">
      <x v="91"/>
    </i>
    <i r="2">
      <x v="276"/>
    </i>
    <i r="1">
      <x v="92"/>
    </i>
    <i r="2">
      <x v="304"/>
    </i>
    <i>
      <x v="6"/>
    </i>
    <i r="1">
      <x v="31"/>
    </i>
    <i r="2">
      <x/>
    </i>
    <i>
      <x v="7"/>
    </i>
    <i r="1">
      <x v="33"/>
    </i>
    <i r="2">
      <x v="38"/>
    </i>
    <i r="2">
      <x v="53"/>
    </i>
    <i>
      <x v="8"/>
    </i>
    <i r="1">
      <x v="10"/>
    </i>
    <i r="2">
      <x v="59"/>
    </i>
    <i>
      <x v="9"/>
    </i>
    <i r="1">
      <x v="48"/>
    </i>
    <i r="2">
      <x v="68"/>
    </i>
    <i r="1">
      <x v="49"/>
    </i>
    <i r="2">
      <x v="65"/>
    </i>
    <i>
      <x v="10"/>
    </i>
    <i r="1">
      <x v="79"/>
    </i>
    <i r="2">
      <x v="186"/>
    </i>
    <i r="2">
      <x v="187"/>
    </i>
    <i>
      <x v="11"/>
    </i>
    <i r="1">
      <x v="52"/>
    </i>
    <i r="2">
      <x v="222"/>
    </i>
    <i>
      <x v="12"/>
    </i>
    <i r="1">
      <x v="10"/>
    </i>
    <i r="2">
      <x v="24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Kg. Solicitados" fld="11" baseField="0" baseItem="0"/>
    <dataField name="Suma de Valor total" fld="13" baseField="11" baseItem="33"/>
  </dataFields>
  <formats count="35">
    <format dxfId="34">
      <pivotArea outline="0" collapsedLevelsAreSubtotals="1" fieldPosition="0"/>
    </format>
    <format dxfId="33">
      <pivotArea dataOnly="0" labelOnly="1" outline="0" axis="axisValues" fieldPosition="0"/>
    </format>
    <format dxfId="32">
      <pivotArea collapsedLevelsAreSubtotals="1" fieldPosition="0">
        <references count="1">
          <reference field="0" count="1">
            <x v="3"/>
          </reference>
        </references>
      </pivotArea>
    </format>
    <format dxfId="31">
      <pivotArea collapsedLevelsAreSubtotals="1" fieldPosition="0">
        <references count="2">
          <reference field="0" count="1" selected="0">
            <x v="3"/>
          </reference>
          <reference field="8" count="1">
            <x v="10"/>
          </reference>
        </references>
      </pivotArea>
    </format>
    <format dxfId="30">
      <pivotArea collapsedLevelsAreSubtotals="1" fieldPosition="0">
        <references count="3">
          <reference field="0" count="1" selected="0">
            <x v="3"/>
          </reference>
          <reference field="4" count="3">
            <x v="7"/>
            <x v="125"/>
            <x v="227"/>
          </reference>
          <reference field="8" count="1" selected="0">
            <x v="10"/>
          </reference>
        </references>
      </pivotArea>
    </format>
    <format dxfId="29">
      <pivotArea collapsedLevelsAreSubtotals="1" fieldPosition="0">
        <references count="2">
          <reference field="0" count="1" selected="0">
            <x v="3"/>
          </reference>
          <reference field="8" count="1">
            <x v="24"/>
          </reference>
        </references>
      </pivotArea>
    </format>
    <format dxfId="28">
      <pivotArea collapsedLevelsAreSubtotals="1" fieldPosition="0">
        <references count="3">
          <reference field="0" count="1" selected="0">
            <x v="3"/>
          </reference>
          <reference field="4" count="2">
            <x v="94"/>
            <x v="95"/>
          </reference>
          <reference field="8" count="1" selected="0">
            <x v="24"/>
          </reference>
        </references>
      </pivotArea>
    </format>
    <format dxfId="27">
      <pivotArea collapsedLevelsAreSubtotals="1" fieldPosition="0">
        <references count="2">
          <reference field="0" count="1" selected="0">
            <x v="3"/>
          </reference>
          <reference field="8" count="1">
            <x v="27"/>
          </reference>
        </references>
      </pivotArea>
    </format>
    <format dxfId="26">
      <pivotArea collapsedLevelsAreSubtotals="1" fieldPosition="0">
        <references count="3">
          <reference field="0" count="1" selected="0">
            <x v="3"/>
          </reference>
          <reference field="4" count="1">
            <x v="57"/>
          </reference>
          <reference field="8" count="1" selected="0">
            <x v="27"/>
          </reference>
        </references>
      </pivotArea>
    </format>
    <format dxfId="25">
      <pivotArea collapsedLevelsAreSubtotals="1" fieldPosition="0">
        <references count="2">
          <reference field="0" count="1" selected="0">
            <x v="3"/>
          </reference>
          <reference field="8" count="1">
            <x v="29"/>
          </reference>
        </references>
      </pivotArea>
    </format>
    <format dxfId="24">
      <pivotArea collapsedLevelsAreSubtotals="1" fieldPosition="0">
        <references count="3">
          <reference field="0" count="1" selected="0">
            <x v="3"/>
          </reference>
          <reference field="4" count="1">
            <x v="235"/>
          </reference>
          <reference field="8" count="1" selected="0">
            <x v="29"/>
          </reference>
        </references>
      </pivotArea>
    </format>
    <format dxfId="23">
      <pivotArea collapsedLevelsAreSubtotals="1" fieldPosition="0">
        <references count="2">
          <reference field="0" count="1" selected="0">
            <x v="3"/>
          </reference>
          <reference field="8" count="1">
            <x v="31"/>
          </reference>
        </references>
      </pivotArea>
    </format>
    <format dxfId="22">
      <pivotArea collapsedLevelsAreSubtotals="1" fieldPosition="0">
        <references count="3">
          <reference field="0" count="1" selected="0">
            <x v="3"/>
          </reference>
          <reference field="4" count="3">
            <x v="3"/>
            <x v="6"/>
            <x v="137"/>
          </reference>
          <reference field="8" count="1" selected="0">
            <x v="31"/>
          </reference>
        </references>
      </pivotArea>
    </format>
    <format dxfId="21">
      <pivotArea collapsedLevelsAreSubtotals="1" fieldPosition="0">
        <references count="2">
          <reference field="0" count="1" selected="0">
            <x v="3"/>
          </reference>
          <reference field="8" count="1">
            <x v="44"/>
          </reference>
        </references>
      </pivotArea>
    </format>
    <format dxfId="20">
      <pivotArea collapsedLevelsAreSubtotals="1" fieldPosition="0">
        <references count="3">
          <reference field="0" count="1" selected="0">
            <x v="3"/>
          </reference>
          <reference field="4" count="2">
            <x v="84"/>
            <x v="170"/>
          </reference>
          <reference field="8" count="1" selected="0">
            <x v="44"/>
          </reference>
        </references>
      </pivotArea>
    </format>
    <format dxfId="19">
      <pivotArea collapsedLevelsAreSubtotals="1" fieldPosition="0">
        <references count="2">
          <reference field="0" count="1" selected="0">
            <x v="3"/>
          </reference>
          <reference field="8" count="1">
            <x v="59"/>
          </reference>
        </references>
      </pivotArea>
    </format>
    <format dxfId="18">
      <pivotArea collapsedLevelsAreSubtotals="1" fieldPosition="0">
        <references count="3">
          <reference field="0" count="1" selected="0">
            <x v="3"/>
          </reference>
          <reference field="4" count="2">
            <x v="60"/>
            <x v="234"/>
          </reference>
          <reference field="8" count="1" selected="0">
            <x v="59"/>
          </reference>
        </references>
      </pivotArea>
    </format>
    <format dxfId="17">
      <pivotArea collapsedLevelsAreSubtotals="1" fieldPosition="0">
        <references count="2">
          <reference field="0" count="1" selected="0">
            <x v="3"/>
          </reference>
          <reference field="8" count="1">
            <x v="66"/>
          </reference>
        </references>
      </pivotArea>
    </format>
    <format dxfId="16">
      <pivotArea collapsedLevelsAreSubtotals="1" fieldPosition="0">
        <references count="3">
          <reference field="0" count="1" selected="0">
            <x v="3"/>
          </reference>
          <reference field="4" count="1">
            <x v="90"/>
          </reference>
          <reference field="8" count="1" selected="0">
            <x v="66"/>
          </reference>
        </references>
      </pivotArea>
    </format>
    <format dxfId="15">
      <pivotArea collapsedLevelsAreSubtotals="1" fieldPosition="0">
        <references count="2">
          <reference field="0" count="1" selected="0">
            <x v="3"/>
          </reference>
          <reference field="8" count="1">
            <x v="71"/>
          </reference>
        </references>
      </pivotArea>
    </format>
    <format dxfId="14">
      <pivotArea collapsedLevelsAreSubtotals="1" fieldPosition="0">
        <references count="3">
          <reference field="0" count="1" selected="0">
            <x v="3"/>
          </reference>
          <reference field="4" count="1">
            <x v="104"/>
          </reference>
          <reference field="8" count="1" selected="0">
            <x v="71"/>
          </reference>
        </references>
      </pivotArea>
    </format>
    <format dxfId="13">
      <pivotArea collapsedLevelsAreSubtotals="1" fieldPosition="0">
        <references count="2">
          <reference field="0" count="1" selected="0">
            <x v="3"/>
          </reference>
          <reference field="8" count="1">
            <x v="86"/>
          </reference>
        </references>
      </pivotArea>
    </format>
    <format dxfId="12">
      <pivotArea collapsedLevelsAreSubtotals="1" fieldPosition="0">
        <references count="3">
          <reference field="0" count="1" selected="0">
            <x v="3"/>
          </reference>
          <reference field="4" count="1">
            <x v="236"/>
          </reference>
          <reference field="8" count="1" selected="0">
            <x v="86"/>
          </reference>
        </references>
      </pivotArea>
    </format>
    <format dxfId="11">
      <pivotArea dataOnly="0" labelOnly="1" fieldPosition="0">
        <references count="1">
          <reference field="0" count="1">
            <x v="3"/>
          </reference>
        </references>
      </pivotArea>
    </format>
    <format dxfId="10">
      <pivotArea dataOnly="0" labelOnly="1" fieldPosition="0">
        <references count="2">
          <reference field="0" count="1" selected="0">
            <x v="3"/>
          </reference>
          <reference field="8" count="10">
            <x v="10"/>
            <x v="24"/>
            <x v="27"/>
            <x v="29"/>
            <x v="31"/>
            <x v="44"/>
            <x v="59"/>
            <x v="66"/>
            <x v="71"/>
            <x v="86"/>
          </reference>
        </references>
      </pivotArea>
    </format>
    <format dxfId="9">
      <pivotArea dataOnly="0" labelOnly="1" fieldPosition="0">
        <references count="3">
          <reference field="0" count="1" selected="0">
            <x v="3"/>
          </reference>
          <reference field="4" count="3">
            <x v="7"/>
            <x v="125"/>
            <x v="227"/>
          </reference>
          <reference field="8" count="1" selected="0">
            <x v="10"/>
          </reference>
        </references>
      </pivotArea>
    </format>
    <format dxfId="8">
      <pivotArea dataOnly="0" labelOnly="1" fieldPosition="0">
        <references count="3">
          <reference field="0" count="1" selected="0">
            <x v="3"/>
          </reference>
          <reference field="4" count="2">
            <x v="94"/>
            <x v="95"/>
          </reference>
          <reference field="8" count="1" selected="0">
            <x v="24"/>
          </reference>
        </references>
      </pivotArea>
    </format>
    <format dxfId="7">
      <pivotArea dataOnly="0" labelOnly="1" fieldPosition="0">
        <references count="3">
          <reference field="0" count="1" selected="0">
            <x v="3"/>
          </reference>
          <reference field="4" count="1">
            <x v="57"/>
          </reference>
          <reference field="8" count="1" selected="0">
            <x v="27"/>
          </reference>
        </references>
      </pivotArea>
    </format>
    <format dxfId="6">
      <pivotArea dataOnly="0" labelOnly="1" fieldPosition="0">
        <references count="3">
          <reference field="0" count="1" selected="0">
            <x v="3"/>
          </reference>
          <reference field="4" count="1">
            <x v="235"/>
          </reference>
          <reference field="8" count="1" selected="0">
            <x v="29"/>
          </reference>
        </references>
      </pivotArea>
    </format>
    <format dxfId="5">
      <pivotArea dataOnly="0" labelOnly="1" fieldPosition="0">
        <references count="3">
          <reference field="0" count="1" selected="0">
            <x v="3"/>
          </reference>
          <reference field="4" count="3">
            <x v="3"/>
            <x v="6"/>
            <x v="137"/>
          </reference>
          <reference field="8" count="1" selected="0">
            <x v="31"/>
          </reference>
        </references>
      </pivotArea>
    </format>
    <format dxfId="4">
      <pivotArea dataOnly="0" labelOnly="1" fieldPosition="0">
        <references count="3">
          <reference field="0" count="1" selected="0">
            <x v="3"/>
          </reference>
          <reference field="4" count="2">
            <x v="84"/>
            <x v="170"/>
          </reference>
          <reference field="8" count="1" selected="0">
            <x v="44"/>
          </reference>
        </references>
      </pivotArea>
    </format>
    <format dxfId="3">
      <pivotArea dataOnly="0" labelOnly="1" fieldPosition="0">
        <references count="3">
          <reference field="0" count="1" selected="0">
            <x v="3"/>
          </reference>
          <reference field="4" count="2">
            <x v="60"/>
            <x v="234"/>
          </reference>
          <reference field="8" count="1" selected="0">
            <x v="59"/>
          </reference>
        </references>
      </pivotArea>
    </format>
    <format dxfId="2">
      <pivotArea dataOnly="0" labelOnly="1" fieldPosition="0">
        <references count="3">
          <reference field="0" count="1" selected="0">
            <x v="3"/>
          </reference>
          <reference field="4" count="1">
            <x v="90"/>
          </reference>
          <reference field="8" count="1" selected="0">
            <x v="66"/>
          </reference>
        </references>
      </pivotArea>
    </format>
    <format dxfId="1">
      <pivotArea dataOnly="0" labelOnly="1" fieldPosition="0">
        <references count="3">
          <reference field="0" count="1" selected="0">
            <x v="3"/>
          </reference>
          <reference field="4" count="1">
            <x v="104"/>
          </reference>
          <reference field="8" count="1" selected="0">
            <x v="71"/>
          </reference>
        </references>
      </pivotArea>
    </format>
    <format dxfId="0">
      <pivotArea dataOnly="0" labelOnly="1" fieldPosition="0">
        <references count="3">
          <reference field="0" count="1" selected="0">
            <x v="3"/>
          </reference>
          <reference field="4" count="1">
            <x v="236"/>
          </reference>
          <reference field="8" count="1" selected="0">
            <x v="8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BF5D85-43D4-4581-A987-B8F65CFCB537}" name="TablaDinámica1" cacheId="1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4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Recuento de Pedido" fld="1" subtotal="count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oja2!$A$1:$O$101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ECC52-B575-4B63-8A9E-8B50C767BB7D}" name="TablaDinámica1" cacheId="18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21" firstHeaderRow="1" firstDataRow="1" firstDataCol="1"/>
  <pivotFields count="18">
    <pivotField showAll="0"/>
    <pivotField showAll="0"/>
    <pivotField showAll="0"/>
    <pivotField numFmtId="20" showAll="0"/>
    <pivotField showAll="0"/>
    <pivotField axis="axisRow" showAll="0">
      <items count="317">
        <item x="38"/>
        <item x="11"/>
        <item x="200"/>
        <item x="213"/>
        <item x="4"/>
        <item x="17"/>
        <item x="18"/>
        <item x="5"/>
        <item x="6"/>
        <item x="8"/>
        <item x="7"/>
        <item x="9"/>
        <item x="19"/>
        <item x="10"/>
        <item x="12"/>
        <item x="13"/>
        <item x="14"/>
        <item x="15"/>
        <item x="16"/>
        <item x="74"/>
        <item x="20"/>
        <item x="22"/>
        <item x="21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6"/>
        <item x="62"/>
        <item x="39"/>
        <item x="40"/>
        <item x="61"/>
        <item x="42"/>
        <item x="41"/>
        <item x="43"/>
        <item x="44"/>
        <item x="45"/>
        <item x="48"/>
        <item x="46"/>
        <item x="49"/>
        <item x="47"/>
        <item x="50"/>
        <item x="51"/>
        <item x="52"/>
        <item x="53"/>
        <item x="54"/>
        <item x="55"/>
        <item x="56"/>
        <item x="57"/>
        <item x="58"/>
        <item x="59"/>
        <item x="60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126"/>
        <item x="94"/>
        <item x="95"/>
        <item x="96"/>
        <item x="97"/>
        <item x="98"/>
        <item x="129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3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32"/>
        <item x="125"/>
        <item x="127"/>
        <item x="128"/>
        <item x="130"/>
        <item x="134"/>
        <item x="131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0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91"/>
        <item x="192"/>
        <item x="193"/>
        <item x="194"/>
        <item x="195"/>
        <item x="196"/>
        <item x="197"/>
        <item x="198"/>
        <item x="199"/>
        <item x="201"/>
        <item x="268"/>
        <item x="203"/>
        <item x="202"/>
        <item x="190"/>
        <item x="211"/>
        <item x="214"/>
        <item x="206"/>
        <item x="207"/>
        <item x="208"/>
        <item x="209"/>
        <item x="210"/>
        <item x="212"/>
        <item x="189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5"/>
        <item x="232"/>
        <item x="233"/>
        <item x="234"/>
        <item x="236"/>
        <item x="237"/>
        <item x="238"/>
        <item x="239"/>
        <item x="240"/>
        <item x="241"/>
        <item x="254"/>
        <item x="242"/>
        <item x="243"/>
        <item x="244"/>
        <item x="245"/>
        <item x="246"/>
        <item x="247"/>
        <item x="248"/>
        <item x="249"/>
        <item x="250"/>
        <item x="251"/>
        <item x="257"/>
        <item x="252"/>
        <item x="204"/>
        <item x="255"/>
        <item x="256"/>
        <item x="258"/>
        <item x="259"/>
        <item x="260"/>
        <item x="261"/>
        <item x="262"/>
        <item x="205"/>
        <item x="263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6"/>
        <item x="278"/>
        <item x="279"/>
        <item x="280"/>
        <item x="281"/>
        <item x="253"/>
        <item x="282"/>
        <item x="283"/>
        <item x="284"/>
        <item x="285"/>
        <item x="286"/>
        <item x="288"/>
        <item x="287"/>
        <item x="277"/>
        <item x="289"/>
        <item x="290"/>
        <item x="291"/>
        <item x="292"/>
        <item x="293"/>
        <item x="294"/>
        <item x="295"/>
        <item x="315"/>
        <item x="296"/>
        <item x="297"/>
        <item x="298"/>
        <item x="299"/>
        <item x="300"/>
        <item x="301"/>
        <item x="302"/>
        <item x="303"/>
        <item x="2"/>
        <item x="1"/>
        <item x="314"/>
        <item x="304"/>
        <item x="306"/>
        <item x="305"/>
        <item x="307"/>
        <item x="308"/>
        <item x="313"/>
        <item x="312"/>
        <item x="309"/>
        <item x="310"/>
        <item x="311"/>
        <item x="23"/>
        <item t="default"/>
      </items>
    </pivotField>
    <pivotField showAll="0"/>
    <pivotField showAll="0"/>
    <pivotField showAll="0"/>
    <pivotField axis="axisRow" dataField="1" showAll="0">
      <items count="91">
        <item x="40"/>
        <item x="71"/>
        <item x="33"/>
        <item x="16"/>
        <item x="27"/>
        <item x="77"/>
        <item x="31"/>
        <item x="23"/>
        <item x="19"/>
        <item x="20"/>
        <item x="32"/>
        <item x="14"/>
        <item x="70"/>
        <item x="82"/>
        <item x="29"/>
        <item x="53"/>
        <item x="1"/>
        <item x="69"/>
        <item x="11"/>
        <item x="15"/>
        <item x="61"/>
        <item x="68"/>
        <item x="59"/>
        <item x="63"/>
        <item x="10"/>
        <item x="48"/>
        <item x="83"/>
        <item x="37"/>
        <item x="41"/>
        <item x="49"/>
        <item x="28"/>
        <item x="26"/>
        <item x="4"/>
        <item x="36"/>
        <item x="6"/>
        <item x="89"/>
        <item x="12"/>
        <item x="80"/>
        <item x="39"/>
        <item x="54"/>
        <item x="67"/>
        <item x="34"/>
        <item x="62"/>
        <item x="57"/>
        <item x="52"/>
        <item x="5"/>
        <item x="46"/>
        <item x="18"/>
        <item x="60"/>
        <item x="85"/>
        <item x="75"/>
        <item x="45"/>
        <item x="72"/>
        <item x="35"/>
        <item x="47"/>
        <item x="87"/>
        <item x="64"/>
        <item x="7"/>
        <item x="22"/>
        <item x="56"/>
        <item x="13"/>
        <item x="74"/>
        <item x="9"/>
        <item x="42"/>
        <item x="8"/>
        <item x="38"/>
        <item x="25"/>
        <item x="43"/>
        <item x="88"/>
        <item x="76"/>
        <item x="44"/>
        <item x="51"/>
        <item x="58"/>
        <item x="24"/>
        <item x="78"/>
        <item x="50"/>
        <item x="30"/>
        <item x="0"/>
        <item x="3"/>
        <item x="65"/>
        <item x="17"/>
        <item x="86"/>
        <item x="66"/>
        <item x="21"/>
        <item x="2"/>
        <item x="79"/>
        <item x="84"/>
        <item x="55"/>
        <item x="81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24">
        <item x="12"/>
        <item x="7"/>
        <item x="18"/>
        <item x="19"/>
        <item x="2"/>
        <item x="5"/>
        <item x="10"/>
        <item x="0"/>
        <item x="6"/>
        <item x="4"/>
        <item x="3"/>
        <item x="13"/>
        <item x="8"/>
        <item x="9"/>
        <item x="14"/>
        <item x="17"/>
        <item x="1"/>
        <item x="16"/>
        <item x="15"/>
        <item m="1" x="20"/>
        <item m="1" x="21"/>
        <item m="1" x="22"/>
        <item x="11"/>
        <item t="default"/>
      </items>
    </pivotField>
  </pivotFields>
  <rowFields count="3">
    <field x="17"/>
    <field x="9"/>
    <field x="5"/>
  </rowFields>
  <rowItems count="518">
    <i>
      <x/>
    </i>
    <i r="1">
      <x v="84"/>
    </i>
    <i r="2">
      <x v="55"/>
    </i>
    <i>
      <x v="1"/>
    </i>
    <i r="1">
      <x v="84"/>
    </i>
    <i r="2">
      <x v="25"/>
    </i>
    <i>
      <x v="2"/>
    </i>
    <i r="1">
      <x v="66"/>
    </i>
    <i r="2">
      <x v="182"/>
    </i>
    <i>
      <x v="3"/>
    </i>
    <i r="1">
      <x v="35"/>
    </i>
    <i r="2">
      <x v="304"/>
    </i>
    <i>
      <x v="4"/>
    </i>
    <i r="1">
      <x v="8"/>
    </i>
    <i r="2">
      <x v="34"/>
    </i>
    <i r="1">
      <x v="30"/>
    </i>
    <i r="2">
      <x v="293"/>
    </i>
    <i r="1">
      <x v="32"/>
    </i>
    <i r="2">
      <x v="180"/>
    </i>
    <i r="1">
      <x v="34"/>
    </i>
    <i r="2">
      <x v="52"/>
    </i>
    <i r="2">
      <x v="92"/>
    </i>
    <i r="2">
      <x v="204"/>
    </i>
    <i r="2">
      <x v="205"/>
    </i>
    <i r="1">
      <x v="45"/>
    </i>
    <i r="2">
      <x v="10"/>
    </i>
    <i r="2">
      <x v="88"/>
    </i>
    <i r="2">
      <x v="147"/>
    </i>
    <i r="2">
      <x v="191"/>
    </i>
    <i r="2">
      <x v="220"/>
    </i>
    <i r="2">
      <x v="238"/>
    </i>
    <i r="1">
      <x v="48"/>
    </i>
    <i r="2">
      <x v="149"/>
    </i>
    <i r="1">
      <x v="64"/>
    </i>
    <i r="2">
      <x v="310"/>
    </i>
    <i r="1">
      <x v="80"/>
    </i>
    <i r="2">
      <x v="28"/>
    </i>
    <i r="1">
      <x v="84"/>
    </i>
    <i r="2">
      <x v="94"/>
    </i>
    <i>
      <x v="5"/>
    </i>
    <i r="1">
      <x v="19"/>
    </i>
    <i r="2">
      <x v="142"/>
    </i>
    <i r="1">
      <x v="32"/>
    </i>
    <i r="2">
      <x v="271"/>
    </i>
    <i r="1">
      <x v="34"/>
    </i>
    <i r="2">
      <x v="15"/>
    </i>
    <i r="2">
      <x v="38"/>
    </i>
    <i r="2">
      <x v="252"/>
    </i>
    <i r="1">
      <x v="45"/>
    </i>
    <i r="2">
      <x v="33"/>
    </i>
    <i r="2">
      <x v="261"/>
    </i>
    <i r="1">
      <x v="66"/>
    </i>
    <i r="2">
      <x v="183"/>
    </i>
    <i r="1">
      <x v="76"/>
    </i>
    <i r="2">
      <x v="60"/>
    </i>
    <i>
      <x v="6"/>
    </i>
    <i r="1">
      <x v="7"/>
    </i>
    <i r="2">
      <x v="44"/>
    </i>
    <i r="2">
      <x v="178"/>
    </i>
    <i r="2">
      <x v="300"/>
    </i>
    <i r="1">
      <x v="8"/>
    </i>
    <i r="2">
      <x v="105"/>
    </i>
    <i r="1">
      <x v="20"/>
    </i>
    <i r="2">
      <x v="150"/>
    </i>
    <i r="1">
      <x v="22"/>
    </i>
    <i r="2">
      <x v="145"/>
    </i>
    <i r="1">
      <x v="24"/>
    </i>
    <i r="2">
      <x v="163"/>
    </i>
    <i r="1">
      <x v="25"/>
    </i>
    <i r="2">
      <x v="106"/>
    </i>
    <i r="1">
      <x v="29"/>
    </i>
    <i r="2">
      <x v="107"/>
    </i>
    <i r="1">
      <x v="32"/>
    </i>
    <i r="2">
      <x v="160"/>
    </i>
    <i r="2">
      <x v="216"/>
    </i>
    <i r="1">
      <x v="34"/>
    </i>
    <i r="2">
      <x v="184"/>
    </i>
    <i r="2">
      <x v="187"/>
    </i>
    <i r="1">
      <x v="45"/>
    </i>
    <i r="2">
      <x v="56"/>
    </i>
    <i r="2">
      <x v="57"/>
    </i>
    <i r="2">
      <x v="90"/>
    </i>
    <i r="2">
      <x v="143"/>
    </i>
    <i r="2">
      <x v="295"/>
    </i>
    <i r="1">
      <x v="50"/>
    </i>
    <i r="2">
      <x v="239"/>
    </i>
    <i r="1">
      <x v="52"/>
    </i>
    <i r="2">
      <x v="224"/>
    </i>
    <i r="1">
      <x v="54"/>
    </i>
    <i r="2">
      <x v="103"/>
    </i>
    <i r="1">
      <x v="59"/>
    </i>
    <i r="2">
      <x v="255"/>
    </i>
    <i r="1">
      <x v="62"/>
    </i>
    <i r="2">
      <x v="80"/>
    </i>
    <i r="1">
      <x v="67"/>
    </i>
    <i r="2">
      <x v="233"/>
    </i>
    <i r="1">
      <x v="68"/>
    </i>
    <i r="2">
      <x v="314"/>
    </i>
    <i r="1">
      <x v="74"/>
    </i>
    <i r="2">
      <x v="243"/>
    </i>
    <i>
      <x v="7"/>
    </i>
    <i r="1">
      <x/>
    </i>
    <i r="2">
      <x v="76"/>
    </i>
    <i r="1">
      <x v="4"/>
    </i>
    <i r="2">
      <x v="53"/>
    </i>
    <i r="2">
      <x v="61"/>
    </i>
    <i r="2">
      <x v="62"/>
    </i>
    <i r="2">
      <x v="85"/>
    </i>
    <i r="2">
      <x v="206"/>
    </i>
    <i r="1">
      <x v="5"/>
    </i>
    <i r="2">
      <x v="242"/>
    </i>
    <i r="1">
      <x v="6"/>
    </i>
    <i r="2">
      <x v="37"/>
    </i>
    <i r="2">
      <x v="40"/>
    </i>
    <i r="2">
      <x v="192"/>
    </i>
    <i r="2">
      <x v="270"/>
    </i>
    <i r="1">
      <x v="7"/>
    </i>
    <i r="2">
      <x v="253"/>
    </i>
    <i r="2">
      <x v="258"/>
    </i>
    <i r="1">
      <x v="10"/>
    </i>
    <i r="2">
      <x v="63"/>
    </i>
    <i r="2">
      <x v="209"/>
    </i>
    <i r="2">
      <x v="269"/>
    </i>
    <i r="1">
      <x v="11"/>
    </i>
    <i r="2">
      <x v="24"/>
    </i>
    <i r="2">
      <x v="83"/>
    </i>
    <i r="2">
      <x v="227"/>
    </i>
    <i r="2">
      <x v="257"/>
    </i>
    <i r="1">
      <x v="12"/>
    </i>
    <i r="2">
      <x v="203"/>
    </i>
    <i r="1">
      <x v="14"/>
    </i>
    <i r="2">
      <x v="59"/>
    </i>
    <i r="1">
      <x v="15"/>
    </i>
    <i r="2">
      <x v="121"/>
    </i>
    <i r="1">
      <x v="16"/>
    </i>
    <i r="2">
      <x v="112"/>
    </i>
    <i r="1">
      <x v="17"/>
    </i>
    <i r="2">
      <x v="260"/>
    </i>
    <i r="1">
      <x v="18"/>
    </i>
    <i r="2">
      <x v="12"/>
    </i>
    <i r="1">
      <x v="19"/>
    </i>
    <i r="2">
      <x v="26"/>
    </i>
    <i r="1">
      <x v="22"/>
    </i>
    <i r="2">
      <x v="145"/>
    </i>
    <i r="1">
      <x v="23"/>
    </i>
    <i r="2">
      <x v="164"/>
    </i>
    <i r="2">
      <x v="194"/>
    </i>
    <i r="2">
      <x v="195"/>
    </i>
    <i r="1">
      <x v="24"/>
    </i>
    <i r="2">
      <x v="5"/>
    </i>
    <i r="2">
      <x v="176"/>
    </i>
    <i r="2">
      <x v="256"/>
    </i>
    <i r="1">
      <x v="27"/>
    </i>
    <i r="2">
      <x v="70"/>
    </i>
    <i r="1">
      <x v="28"/>
    </i>
    <i r="2">
      <x v="77"/>
    </i>
    <i r="2">
      <x v="101"/>
    </i>
    <i r="1">
      <x v="29"/>
    </i>
    <i r="2">
      <x v="211"/>
    </i>
    <i r="1">
      <x v="30"/>
    </i>
    <i r="2">
      <x v="58"/>
    </i>
    <i r="2">
      <x v="135"/>
    </i>
    <i r="2">
      <x v="292"/>
    </i>
    <i r="1">
      <x v="31"/>
    </i>
    <i r="2">
      <x v="46"/>
    </i>
    <i r="1">
      <x v="32"/>
    </i>
    <i r="2">
      <x v="2"/>
    </i>
    <i r="2">
      <x v="8"/>
    </i>
    <i r="2">
      <x v="39"/>
    </i>
    <i r="2">
      <x v="78"/>
    </i>
    <i r="2">
      <x v="81"/>
    </i>
    <i r="2">
      <x v="137"/>
    </i>
    <i r="2">
      <x v="151"/>
    </i>
    <i r="2">
      <x v="172"/>
    </i>
    <i r="2">
      <x v="230"/>
    </i>
    <i r="2">
      <x v="234"/>
    </i>
    <i r="2">
      <x v="286"/>
    </i>
    <i r="2">
      <x v="289"/>
    </i>
    <i r="1">
      <x v="34"/>
    </i>
    <i r="2">
      <x v="9"/>
    </i>
    <i r="2">
      <x v="87"/>
    </i>
    <i r="2">
      <x v="108"/>
    </i>
    <i r="2">
      <x v="138"/>
    </i>
    <i r="2">
      <x v="148"/>
    </i>
    <i r="2">
      <x v="158"/>
    </i>
    <i r="2">
      <x v="218"/>
    </i>
    <i r="2">
      <x v="267"/>
    </i>
    <i r="2">
      <x v="277"/>
    </i>
    <i r="1">
      <x v="36"/>
    </i>
    <i r="2">
      <x v="22"/>
    </i>
    <i r="2">
      <x v="51"/>
    </i>
    <i r="2">
      <x v="188"/>
    </i>
    <i r="2">
      <x v="215"/>
    </i>
    <i r="1">
      <x v="37"/>
    </i>
    <i r="2">
      <x v="268"/>
    </i>
    <i r="1">
      <x v="38"/>
    </i>
    <i r="2">
      <x v="19"/>
    </i>
    <i r="2">
      <x v="72"/>
    </i>
    <i r="2">
      <x v="79"/>
    </i>
    <i r="1">
      <x v="39"/>
    </i>
    <i r="2">
      <x v="126"/>
    </i>
    <i r="2">
      <x v="196"/>
    </i>
    <i r="1">
      <x v="40"/>
    </i>
    <i r="2">
      <x v="175"/>
    </i>
    <i r="1">
      <x v="41"/>
    </i>
    <i r="2">
      <x v="66"/>
    </i>
    <i r="1">
      <x v="42"/>
    </i>
    <i r="2">
      <x v="161"/>
    </i>
    <i r="1">
      <x v="44"/>
    </i>
    <i r="2">
      <x v="118"/>
    </i>
    <i r="1">
      <x v="45"/>
    </i>
    <i r="2">
      <x v="31"/>
    </i>
    <i r="2">
      <x v="93"/>
    </i>
    <i r="2">
      <x v="140"/>
    </i>
    <i r="2">
      <x v="155"/>
    </i>
    <i r="2">
      <x v="157"/>
    </i>
    <i r="2">
      <x v="177"/>
    </i>
    <i r="2">
      <x v="207"/>
    </i>
    <i r="2">
      <x v="214"/>
    </i>
    <i r="2">
      <x v="262"/>
    </i>
    <i r="2">
      <x v="265"/>
    </i>
    <i r="1">
      <x v="46"/>
    </i>
    <i r="2">
      <x v="102"/>
    </i>
    <i r="2">
      <x v="104"/>
    </i>
    <i r="1">
      <x v="49"/>
    </i>
    <i r="2">
      <x v="297"/>
    </i>
    <i r="1">
      <x v="51"/>
    </i>
    <i r="2">
      <x v="100"/>
    </i>
    <i r="1">
      <x v="53"/>
    </i>
    <i r="2">
      <x v="67"/>
    </i>
    <i r="1">
      <x v="55"/>
    </i>
    <i r="2">
      <x v="312"/>
    </i>
    <i r="2">
      <x v="313"/>
    </i>
    <i r="1">
      <x v="56"/>
    </i>
    <i r="2">
      <x v="166"/>
    </i>
    <i r="1">
      <x v="58"/>
    </i>
    <i r="2">
      <x v="41"/>
    </i>
    <i r="1">
      <x v="60"/>
    </i>
    <i r="2">
      <x v="82"/>
    </i>
    <i r="2">
      <x v="99"/>
    </i>
    <i r="2">
      <x v="246"/>
    </i>
    <i r="2">
      <x v="315"/>
    </i>
    <i r="1">
      <x v="62"/>
    </i>
    <i r="2">
      <x v="17"/>
    </i>
    <i r="2">
      <x v="18"/>
    </i>
    <i r="2">
      <x v="48"/>
    </i>
    <i r="2">
      <x v="165"/>
    </i>
    <i r="2">
      <x v="219"/>
    </i>
    <i r="1">
      <x v="63"/>
    </i>
    <i r="2">
      <x v="95"/>
    </i>
    <i r="2">
      <x v="123"/>
    </i>
    <i r="2">
      <x v="200"/>
    </i>
    <i r="2">
      <x v="232"/>
    </i>
    <i r="2">
      <x v="266"/>
    </i>
    <i r="2">
      <x v="306"/>
    </i>
    <i r="1">
      <x v="64"/>
    </i>
    <i r="2">
      <x v="16"/>
    </i>
    <i r="2">
      <x v="21"/>
    </i>
    <i r="1">
      <x v="65"/>
    </i>
    <i r="2">
      <x v="71"/>
    </i>
    <i r="2">
      <x v="288"/>
    </i>
    <i r="1">
      <x v="66"/>
    </i>
    <i r="2">
      <x v="49"/>
    </i>
    <i r="2">
      <x v="84"/>
    </i>
    <i r="2">
      <x v="181"/>
    </i>
    <i r="1">
      <x v="67"/>
    </i>
    <i r="2">
      <x v="3"/>
    </i>
    <i r="2">
      <x v="96"/>
    </i>
    <i r="2">
      <x v="114"/>
    </i>
    <i r="2">
      <x v="156"/>
    </i>
    <i r="2">
      <x v="305"/>
    </i>
    <i r="2">
      <x v="307"/>
    </i>
    <i r="1">
      <x v="70"/>
    </i>
    <i r="2">
      <x v="173"/>
    </i>
    <i r="2">
      <x v="236"/>
    </i>
    <i r="1">
      <x v="71"/>
    </i>
    <i r="2">
      <x v="117"/>
    </i>
    <i r="2">
      <x v="198"/>
    </i>
    <i r="1">
      <x v="72"/>
    </i>
    <i r="2">
      <x v="144"/>
    </i>
    <i r="1">
      <x v="75"/>
    </i>
    <i r="2">
      <x v="110"/>
    </i>
    <i r="2">
      <x v="244"/>
    </i>
    <i r="2">
      <x v="245"/>
    </i>
    <i r="2">
      <x v="301"/>
    </i>
    <i r="1">
      <x v="76"/>
    </i>
    <i r="2">
      <x v="65"/>
    </i>
    <i r="2">
      <x v="228"/>
    </i>
    <i r="2">
      <x v="275"/>
    </i>
    <i r="1">
      <x v="77"/>
    </i>
    <i r="2">
      <x v="75"/>
    </i>
    <i r="2">
      <x v="109"/>
    </i>
    <i r="2">
      <x v="119"/>
    </i>
    <i r="2">
      <x v="152"/>
    </i>
    <i r="2">
      <x v="153"/>
    </i>
    <i r="2">
      <x v="174"/>
    </i>
    <i r="2">
      <x v="199"/>
    </i>
    <i r="2">
      <x v="202"/>
    </i>
    <i r="2">
      <x v="208"/>
    </i>
    <i r="2">
      <x v="229"/>
    </i>
    <i r="2">
      <x v="247"/>
    </i>
    <i r="2">
      <x v="251"/>
    </i>
    <i r="2">
      <x v="296"/>
    </i>
    <i r="2">
      <x v="308"/>
    </i>
    <i r="2">
      <x v="309"/>
    </i>
    <i r="1">
      <x v="78"/>
    </i>
    <i r="2">
      <x v="7"/>
    </i>
    <i r="2">
      <x v="11"/>
    </i>
    <i r="1">
      <x v="79"/>
    </i>
    <i r="2">
      <x v="169"/>
    </i>
    <i r="1">
      <x v="80"/>
    </i>
    <i r="2">
      <x v="29"/>
    </i>
    <i r="1">
      <x v="81"/>
    </i>
    <i r="2">
      <x v="298"/>
    </i>
    <i r="1">
      <x v="82"/>
    </i>
    <i r="2">
      <x v="171"/>
    </i>
    <i r="1">
      <x v="83"/>
    </i>
    <i r="2">
      <x v="42"/>
    </i>
    <i r="2">
      <x v="68"/>
    </i>
    <i r="2">
      <x v="128"/>
    </i>
    <i r="1">
      <x v="84"/>
    </i>
    <i r="2">
      <x v="4"/>
    </i>
    <i r="2">
      <x v="43"/>
    </i>
    <i r="2">
      <x v="186"/>
    </i>
    <i r="2">
      <x v="190"/>
    </i>
    <i r="1">
      <x v="85"/>
    </i>
    <i r="2">
      <x v="254"/>
    </i>
    <i r="2">
      <x v="280"/>
    </i>
    <i r="2">
      <x v="299"/>
    </i>
    <i r="1">
      <x v="87"/>
    </i>
    <i r="2">
      <x v="125"/>
    </i>
    <i r="1">
      <x v="89"/>
    </i>
    <i r="2">
      <x v="235"/>
    </i>
    <i>
      <x v="8"/>
    </i>
    <i r="1">
      <x v="8"/>
    </i>
    <i r="2">
      <x v="197"/>
    </i>
    <i r="2">
      <x v="263"/>
    </i>
    <i r="2">
      <x v="283"/>
    </i>
    <i r="1">
      <x v="13"/>
    </i>
    <i r="2">
      <x v="281"/>
    </i>
    <i r="1">
      <x v="14"/>
    </i>
    <i r="2">
      <x v="231"/>
    </i>
    <i r="1">
      <x v="17"/>
    </i>
    <i r="2">
      <x v="193"/>
    </i>
    <i r="1">
      <x v="18"/>
    </i>
    <i r="2">
      <x v="32"/>
    </i>
    <i r="2">
      <x v="162"/>
    </i>
    <i r="1">
      <x v="19"/>
    </i>
    <i r="2">
      <x v="273"/>
    </i>
    <i r="1">
      <x v="23"/>
    </i>
    <i r="2">
      <x v="225"/>
    </i>
    <i r="1">
      <x v="24"/>
    </i>
    <i r="2">
      <x v="6"/>
    </i>
    <i r="1">
      <x v="25"/>
    </i>
    <i r="2">
      <x v="226"/>
    </i>
    <i r="1">
      <x v="26"/>
    </i>
    <i r="2">
      <x v="282"/>
    </i>
    <i r="1">
      <x v="27"/>
    </i>
    <i r="2">
      <x v="168"/>
    </i>
    <i r="2">
      <x v="221"/>
    </i>
    <i r="2">
      <x v="222"/>
    </i>
    <i r="1">
      <x v="28"/>
    </i>
    <i r="2">
      <x v="170"/>
    </i>
    <i r="2">
      <x v="276"/>
    </i>
    <i r="1">
      <x v="31"/>
    </i>
    <i r="2">
      <x v="185"/>
    </i>
    <i r="1">
      <x v="32"/>
    </i>
    <i r="2">
      <x v="248"/>
    </i>
    <i r="2">
      <x v="287"/>
    </i>
    <i r="1">
      <x v="33"/>
    </i>
    <i r="2">
      <x v="69"/>
    </i>
    <i r="1">
      <x v="34"/>
    </i>
    <i r="2">
      <x v="179"/>
    </i>
    <i r="2">
      <x v="250"/>
    </i>
    <i r="2">
      <x v="284"/>
    </i>
    <i r="1">
      <x v="39"/>
    </i>
    <i r="2">
      <x v="91"/>
    </i>
    <i r="2">
      <x v="141"/>
    </i>
    <i r="2">
      <x v="290"/>
    </i>
    <i r="1">
      <x v="41"/>
    </i>
    <i r="2">
      <x v="223"/>
    </i>
    <i r="1">
      <x v="45"/>
    </i>
    <i r="2">
      <x v="23"/>
    </i>
    <i r="2">
      <x v="74"/>
    </i>
    <i r="2">
      <x v="89"/>
    </i>
    <i r="2">
      <x v="115"/>
    </i>
    <i r="2">
      <x v="146"/>
    </i>
    <i r="2">
      <x v="154"/>
    </i>
    <i r="2">
      <x v="272"/>
    </i>
    <i r="2">
      <x v="274"/>
    </i>
    <i r="2">
      <x v="285"/>
    </i>
    <i r="1">
      <x v="50"/>
    </i>
    <i r="2">
      <x v="240"/>
    </i>
    <i r="1">
      <x v="57"/>
    </i>
    <i r="2">
      <x v="311"/>
    </i>
    <i r="1">
      <x v="60"/>
    </i>
    <i r="2">
      <x v="36"/>
    </i>
    <i r="2">
      <x v="278"/>
    </i>
    <i r="1">
      <x v="61"/>
    </i>
    <i r="2">
      <x v="237"/>
    </i>
    <i r="1">
      <x v="67"/>
    </i>
    <i r="2">
      <x v="201"/>
    </i>
    <i r="2">
      <x v="210"/>
    </i>
    <i r="2">
      <x v="217"/>
    </i>
    <i r="1">
      <x v="69"/>
    </i>
    <i r="2">
      <x v="241"/>
    </i>
    <i r="1">
      <x v="73"/>
    </i>
    <i r="2">
      <x v="47"/>
    </i>
    <i r="1">
      <x v="77"/>
    </i>
    <i r="2">
      <x v="119"/>
    </i>
    <i r="2">
      <x v="247"/>
    </i>
    <i r="1">
      <x v="84"/>
    </i>
    <i r="2">
      <x v="20"/>
    </i>
    <i r="2">
      <x v="54"/>
    </i>
    <i r="1">
      <x v="85"/>
    </i>
    <i r="2">
      <x v="249"/>
    </i>
    <i r="1">
      <x v="88"/>
    </i>
    <i r="2">
      <x v="279"/>
    </i>
    <i>
      <x v="9"/>
    </i>
    <i r="1">
      <x v="1"/>
    </i>
    <i r="2">
      <x v="213"/>
    </i>
    <i r="1">
      <x v="3"/>
    </i>
    <i r="2">
      <x v="159"/>
    </i>
    <i r="1">
      <x v="4"/>
    </i>
    <i r="2">
      <x v="86"/>
    </i>
    <i r="1">
      <x v="8"/>
    </i>
    <i r="2">
      <x v="116"/>
    </i>
    <i r="1">
      <x v="19"/>
    </i>
    <i r="2">
      <x v="35"/>
    </i>
    <i r="1">
      <x v="24"/>
    </i>
    <i r="2">
      <x v="134"/>
    </i>
    <i r="1">
      <x v="34"/>
    </i>
    <i r="2">
      <x v="291"/>
    </i>
    <i r="1">
      <x v="36"/>
    </i>
    <i r="2">
      <x v="188"/>
    </i>
    <i r="1">
      <x v="39"/>
    </i>
    <i r="2">
      <x v="97"/>
    </i>
    <i r="2">
      <x v="129"/>
    </i>
    <i r="1">
      <x v="47"/>
    </i>
    <i r="2">
      <x v="30"/>
    </i>
    <i r="1">
      <x v="53"/>
    </i>
    <i r="2">
      <x v="122"/>
    </i>
    <i r="1">
      <x v="56"/>
    </i>
    <i r="2">
      <x v="167"/>
    </i>
    <i r="1">
      <x v="58"/>
    </i>
    <i r="2">
      <x v="212"/>
    </i>
    <i r="1">
      <x v="62"/>
    </i>
    <i r="2">
      <x v="131"/>
    </i>
    <i r="1">
      <x v="84"/>
    </i>
    <i r="2">
      <x v="14"/>
    </i>
    <i r="1">
      <x v="86"/>
    </i>
    <i r="2">
      <x v="294"/>
    </i>
    <i>
      <x v="10"/>
    </i>
    <i r="1">
      <x v="34"/>
    </i>
    <i r="2">
      <x v="111"/>
    </i>
    <i r="1">
      <x v="57"/>
    </i>
    <i r="2">
      <x v="13"/>
    </i>
    <i r="1">
      <x v="62"/>
    </i>
    <i r="2">
      <x v="130"/>
    </i>
    <i r="1">
      <x v="70"/>
    </i>
    <i r="2">
      <x v="98"/>
    </i>
    <i r="1">
      <x v="84"/>
    </i>
    <i r="2">
      <x v="1"/>
    </i>
    <i r="2">
      <x v="50"/>
    </i>
    <i r="2">
      <x v="120"/>
    </i>
    <i>
      <x v="11"/>
    </i>
    <i r="1">
      <x v="2"/>
    </i>
    <i r="2">
      <x v="64"/>
    </i>
    <i r="1">
      <x v="39"/>
    </i>
    <i r="2">
      <x v="127"/>
    </i>
    <i r="1">
      <x v="43"/>
    </i>
    <i r="2">
      <x v="136"/>
    </i>
    <i r="1">
      <x v="60"/>
    </i>
    <i r="2">
      <x v="132"/>
    </i>
    <i>
      <x v="12"/>
    </i>
    <i r="1">
      <x v="3"/>
    </i>
    <i r="2">
      <x v="27"/>
    </i>
    <i r="1">
      <x v="8"/>
    </i>
    <i r="2">
      <x v="264"/>
    </i>
    <i r="1">
      <x v="11"/>
    </i>
    <i r="2">
      <x v="227"/>
    </i>
    <i r="1">
      <x v="34"/>
    </i>
    <i r="2">
      <x v="259"/>
    </i>
    <i>
      <x v="13"/>
    </i>
    <i r="1">
      <x v="9"/>
    </i>
    <i r="2">
      <x/>
    </i>
    <i r="1">
      <x v="21"/>
    </i>
    <i r="2">
      <x v="189"/>
    </i>
    <i r="1">
      <x v="34"/>
    </i>
    <i r="2">
      <x v="113"/>
    </i>
    <i>
      <x v="14"/>
    </i>
    <i r="1">
      <x v="34"/>
    </i>
    <i r="2">
      <x v="73"/>
    </i>
    <i r="1">
      <x v="59"/>
    </i>
    <i r="2">
      <x v="133"/>
    </i>
    <i r="1">
      <x v="65"/>
    </i>
    <i r="2">
      <x v="71"/>
    </i>
    <i r="1">
      <x v="77"/>
    </i>
    <i r="2">
      <x v="247"/>
    </i>
    <i>
      <x v="15"/>
    </i>
    <i r="1">
      <x v="34"/>
    </i>
    <i r="2">
      <x v="139"/>
    </i>
    <i>
      <x v="16"/>
    </i>
    <i r="1">
      <x v="77"/>
    </i>
    <i r="2">
      <x v="302"/>
    </i>
    <i r="2">
      <x v="303"/>
    </i>
    <i>
      <x v="17"/>
    </i>
    <i r="1">
      <x v="71"/>
    </i>
    <i r="2">
      <x v="124"/>
    </i>
    <i>
      <x v="18"/>
    </i>
    <i r="1">
      <x v="8"/>
    </i>
    <i r="2">
      <x v="116"/>
    </i>
    <i r="1">
      <x v="77"/>
    </i>
    <i r="2">
      <x v="119"/>
    </i>
    <i>
      <x v="22"/>
    </i>
    <i r="1">
      <x v="84"/>
    </i>
    <i r="2">
      <x v="45"/>
    </i>
    <i t="grand">
      <x/>
    </i>
  </rowItems>
  <colItems count="1">
    <i/>
  </colItems>
  <dataFields count="1">
    <dataField name="Cuenta de Cliente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311"/>
  <sheetViews>
    <sheetView topLeftCell="A287" workbookViewId="0">
      <selection activeCell="B310" activeCellId="1" sqref="A4:A309 B310"/>
    </sheetView>
  </sheetViews>
  <sheetFormatPr baseColWidth="10" defaultColWidth="11" defaultRowHeight="13"/>
  <cols>
    <col min="1" max="1" width="17" bestFit="1" customWidth="1"/>
    <col min="2" max="2" width="13.5" bestFit="1" customWidth="1"/>
    <col min="3" max="3" width="24.19921875" customWidth="1"/>
  </cols>
  <sheetData>
    <row r="3" spans="1:2">
      <c r="A3" s="72" t="s">
        <v>0</v>
      </c>
      <c r="B3" t="s">
        <v>1</v>
      </c>
    </row>
    <row r="4" spans="1:2">
      <c r="A4" s="35" t="s">
        <v>758</v>
      </c>
    </row>
    <row r="5" spans="1:2">
      <c r="A5" s="35" t="s">
        <v>811</v>
      </c>
      <c r="B5">
        <v>1</v>
      </c>
    </row>
    <row r="6" spans="1:2">
      <c r="A6" s="35" t="s">
        <v>759</v>
      </c>
    </row>
    <row r="7" spans="1:2">
      <c r="A7" s="35" t="s">
        <v>814</v>
      </c>
      <c r="B7">
        <v>1</v>
      </c>
    </row>
    <row r="8" spans="1:2">
      <c r="A8" s="35" t="s">
        <v>778</v>
      </c>
      <c r="B8">
        <v>2</v>
      </c>
    </row>
    <row r="9" spans="1:2">
      <c r="A9" s="35" t="s">
        <v>780</v>
      </c>
      <c r="B9">
        <v>2</v>
      </c>
    </row>
    <row r="10" spans="1:2">
      <c r="A10" s="35" t="s">
        <v>760</v>
      </c>
      <c r="B10">
        <v>1</v>
      </c>
    </row>
    <row r="11" spans="1:2">
      <c r="A11" s="35" t="s">
        <v>782</v>
      </c>
      <c r="B11">
        <v>1</v>
      </c>
    </row>
    <row r="12" spans="1:2">
      <c r="A12" s="35" t="s">
        <v>783</v>
      </c>
      <c r="B12">
        <v>1</v>
      </c>
    </row>
    <row r="13" spans="1:2">
      <c r="A13" s="35" t="s">
        <v>786</v>
      </c>
      <c r="B13">
        <v>1</v>
      </c>
    </row>
    <row r="14" spans="1:2">
      <c r="A14" s="35" t="s">
        <v>787</v>
      </c>
      <c r="B14">
        <v>1</v>
      </c>
    </row>
    <row r="15" spans="1:2">
      <c r="A15" s="35" t="s">
        <v>764</v>
      </c>
      <c r="B15">
        <v>1</v>
      </c>
    </row>
    <row r="16" spans="1:2">
      <c r="A16" s="35" t="s">
        <v>788</v>
      </c>
      <c r="B16">
        <v>1</v>
      </c>
    </row>
    <row r="17" spans="1:2">
      <c r="A17" s="35" t="s">
        <v>765</v>
      </c>
      <c r="B17">
        <v>1</v>
      </c>
    </row>
    <row r="18" spans="1:2">
      <c r="A18" s="35" t="s">
        <v>790</v>
      </c>
      <c r="B18">
        <v>1</v>
      </c>
    </row>
    <row r="19" spans="1:2">
      <c r="A19" s="35" t="s">
        <v>818</v>
      </c>
      <c r="B19">
        <v>1</v>
      </c>
    </row>
    <row r="20" spans="1:2">
      <c r="A20" s="35" t="s">
        <v>751</v>
      </c>
      <c r="B20">
        <v>1</v>
      </c>
    </row>
    <row r="21" spans="1:2">
      <c r="A21" s="35" t="s">
        <v>791</v>
      </c>
      <c r="B21">
        <v>1</v>
      </c>
    </row>
    <row r="22" spans="1:2">
      <c r="A22" s="35" t="s">
        <v>792</v>
      </c>
      <c r="B22">
        <v>1</v>
      </c>
    </row>
    <row r="23" spans="1:2">
      <c r="A23" s="35" t="s">
        <v>796</v>
      </c>
      <c r="B23">
        <v>1</v>
      </c>
    </row>
    <row r="24" spans="1:2">
      <c r="A24" s="35" t="s">
        <v>797</v>
      </c>
      <c r="B24">
        <v>1</v>
      </c>
    </row>
    <row r="25" spans="1:2">
      <c r="A25" s="35" t="s">
        <v>768</v>
      </c>
      <c r="B25">
        <v>2</v>
      </c>
    </row>
    <row r="26" spans="1:2">
      <c r="A26" s="35" t="s">
        <v>798</v>
      </c>
      <c r="B26">
        <v>1</v>
      </c>
    </row>
    <row r="27" spans="1:2">
      <c r="A27" s="35" t="s">
        <v>769</v>
      </c>
    </row>
    <row r="28" spans="1:2">
      <c r="A28" s="35" t="s">
        <v>771</v>
      </c>
      <c r="B28">
        <v>1</v>
      </c>
    </row>
    <row r="29" spans="1:2">
      <c r="A29" s="35" t="s">
        <v>799</v>
      </c>
      <c r="B29">
        <v>1</v>
      </c>
    </row>
    <row r="30" spans="1:2">
      <c r="A30" s="35" t="s">
        <v>800</v>
      </c>
      <c r="B30">
        <v>1</v>
      </c>
    </row>
    <row r="31" spans="1:2">
      <c r="A31" s="35" t="s">
        <v>804</v>
      </c>
      <c r="B31">
        <v>1</v>
      </c>
    </row>
    <row r="32" spans="1:2">
      <c r="A32" s="35" t="s">
        <v>801</v>
      </c>
      <c r="B32">
        <v>1</v>
      </c>
    </row>
    <row r="33" spans="1:2">
      <c r="A33" s="35" t="s">
        <v>806</v>
      </c>
      <c r="B33">
        <v>1</v>
      </c>
    </row>
    <row r="34" spans="1:2">
      <c r="A34" s="35" t="s">
        <v>808</v>
      </c>
    </row>
    <row r="35" spans="1:2">
      <c r="A35" s="35" t="s">
        <v>763</v>
      </c>
    </row>
    <row r="36" spans="1:2">
      <c r="A36" s="35" t="s">
        <v>810</v>
      </c>
      <c r="B36">
        <v>2</v>
      </c>
    </row>
    <row r="37" spans="1:2">
      <c r="A37" s="35" t="s">
        <v>830</v>
      </c>
    </row>
    <row r="38" spans="1:2">
      <c r="A38" s="35" t="s">
        <v>821</v>
      </c>
      <c r="B38">
        <v>1</v>
      </c>
    </row>
    <row r="39" spans="1:2">
      <c r="A39" s="35" t="s">
        <v>823</v>
      </c>
      <c r="B39">
        <v>1</v>
      </c>
    </row>
    <row r="40" spans="1:2">
      <c r="A40" s="35" t="s">
        <v>824</v>
      </c>
      <c r="B40">
        <v>1</v>
      </c>
    </row>
    <row r="41" spans="1:2">
      <c r="A41" s="35" t="s">
        <v>825</v>
      </c>
      <c r="B41">
        <v>1</v>
      </c>
    </row>
    <row r="42" spans="1:2">
      <c r="A42" s="35" t="s">
        <v>852</v>
      </c>
      <c r="B42">
        <v>1</v>
      </c>
    </row>
    <row r="43" spans="1:2">
      <c r="A43" s="35" t="s">
        <v>826</v>
      </c>
      <c r="B43">
        <v>1</v>
      </c>
    </row>
    <row r="44" spans="1:2">
      <c r="A44" s="35" t="s">
        <v>829</v>
      </c>
      <c r="B44">
        <v>1</v>
      </c>
    </row>
    <row r="45" spans="1:2">
      <c r="A45" s="35" t="s">
        <v>834</v>
      </c>
    </row>
    <row r="46" spans="1:2">
      <c r="A46" s="35" t="s">
        <v>831</v>
      </c>
      <c r="B46">
        <v>1</v>
      </c>
    </row>
    <row r="47" spans="1:2">
      <c r="A47" s="35" t="s">
        <v>832</v>
      </c>
    </row>
    <row r="48" spans="1:2">
      <c r="A48" s="35" t="s">
        <v>835</v>
      </c>
      <c r="B48">
        <v>2</v>
      </c>
    </row>
    <row r="49" spans="1:2">
      <c r="A49" s="35" t="s">
        <v>837</v>
      </c>
      <c r="B49">
        <v>3</v>
      </c>
    </row>
    <row r="50" spans="1:2">
      <c r="A50" s="35" t="s">
        <v>841</v>
      </c>
      <c r="B50">
        <v>3</v>
      </c>
    </row>
    <row r="51" spans="1:2">
      <c r="A51" s="35" t="s">
        <v>843</v>
      </c>
    </row>
    <row r="52" spans="1:2">
      <c r="A52" s="35" t="s">
        <v>847</v>
      </c>
      <c r="B52">
        <v>1</v>
      </c>
    </row>
    <row r="53" spans="1:2">
      <c r="A53" s="35" t="s">
        <v>849</v>
      </c>
      <c r="B53">
        <v>3</v>
      </c>
    </row>
    <row r="54" spans="1:2">
      <c r="A54" s="35" t="s">
        <v>854</v>
      </c>
      <c r="B54">
        <v>8</v>
      </c>
    </row>
    <row r="55" spans="1:2">
      <c r="A55" s="35" t="s">
        <v>875</v>
      </c>
    </row>
    <row r="56" spans="1:2">
      <c r="A56" s="35" t="s">
        <v>859</v>
      </c>
      <c r="B56">
        <v>5</v>
      </c>
    </row>
    <row r="57" spans="1:2">
      <c r="A57" s="35" t="s">
        <v>864</v>
      </c>
      <c r="B57">
        <v>1</v>
      </c>
    </row>
    <row r="58" spans="1:2">
      <c r="A58" s="35" t="s">
        <v>865</v>
      </c>
      <c r="B58">
        <v>2</v>
      </c>
    </row>
    <row r="59" spans="1:2">
      <c r="A59" s="35" t="s">
        <v>866</v>
      </c>
      <c r="B59">
        <v>1</v>
      </c>
    </row>
    <row r="60" spans="1:2">
      <c r="A60" s="35" t="s">
        <v>867</v>
      </c>
      <c r="B60">
        <v>1</v>
      </c>
    </row>
    <row r="61" spans="1:2">
      <c r="A61" s="35" t="s">
        <v>870</v>
      </c>
      <c r="B61">
        <v>2</v>
      </c>
    </row>
    <row r="62" spans="1:2">
      <c r="A62" s="35" t="s">
        <v>874</v>
      </c>
      <c r="B62">
        <v>3</v>
      </c>
    </row>
    <row r="63" spans="1:2">
      <c r="A63" s="35" t="s">
        <v>877</v>
      </c>
      <c r="B63">
        <v>5</v>
      </c>
    </row>
    <row r="64" spans="1:2">
      <c r="A64" s="35" t="s">
        <v>884</v>
      </c>
    </row>
    <row r="65" spans="1:2">
      <c r="A65" s="35" t="s">
        <v>882</v>
      </c>
      <c r="B65">
        <v>1</v>
      </c>
    </row>
    <row r="66" spans="1:2">
      <c r="A66" s="35" t="s">
        <v>886</v>
      </c>
    </row>
    <row r="67" spans="1:2">
      <c r="A67" s="35" t="s">
        <v>887</v>
      </c>
      <c r="B67">
        <v>1</v>
      </c>
    </row>
    <row r="68" spans="1:2">
      <c r="A68" s="35" t="s">
        <v>888</v>
      </c>
      <c r="B68">
        <v>1</v>
      </c>
    </row>
    <row r="69" spans="1:2">
      <c r="A69" s="35" t="s">
        <v>890</v>
      </c>
      <c r="B69">
        <v>2</v>
      </c>
    </row>
    <row r="70" spans="1:2">
      <c r="A70" s="35" t="s">
        <v>892</v>
      </c>
      <c r="B70">
        <v>1</v>
      </c>
    </row>
    <row r="71" spans="1:2">
      <c r="A71" s="35" t="s">
        <v>894</v>
      </c>
      <c r="B71">
        <v>2</v>
      </c>
    </row>
    <row r="72" spans="1:2">
      <c r="A72" s="35" t="s">
        <v>895</v>
      </c>
      <c r="B72">
        <v>2</v>
      </c>
    </row>
    <row r="73" spans="1:2">
      <c r="A73" s="35" t="s">
        <v>896</v>
      </c>
      <c r="B73">
        <v>7</v>
      </c>
    </row>
    <row r="74" spans="1:2">
      <c r="A74" s="35" t="s">
        <v>897</v>
      </c>
      <c r="B74">
        <v>1</v>
      </c>
    </row>
    <row r="75" spans="1:2">
      <c r="A75" s="35" t="s">
        <v>898</v>
      </c>
      <c r="B75">
        <v>1</v>
      </c>
    </row>
    <row r="76" spans="1:2">
      <c r="A76" s="35" t="s">
        <v>899</v>
      </c>
      <c r="B76">
        <v>1</v>
      </c>
    </row>
    <row r="77" spans="1:2">
      <c r="A77" s="35" t="s">
        <v>900</v>
      </c>
      <c r="B77">
        <v>1</v>
      </c>
    </row>
    <row r="78" spans="1:2">
      <c r="A78" s="35" t="s">
        <v>902</v>
      </c>
      <c r="B78">
        <v>1</v>
      </c>
    </row>
    <row r="79" spans="1:2">
      <c r="A79" s="35" t="s">
        <v>905</v>
      </c>
      <c r="B79">
        <v>1</v>
      </c>
    </row>
    <row r="80" spans="1:2">
      <c r="A80" s="35" t="s">
        <v>906</v>
      </c>
      <c r="B80">
        <v>1</v>
      </c>
    </row>
    <row r="81" spans="1:2">
      <c r="A81" s="35" t="s">
        <v>907</v>
      </c>
      <c r="B81">
        <v>2</v>
      </c>
    </row>
    <row r="82" spans="1:2">
      <c r="A82" s="35" t="s">
        <v>908</v>
      </c>
      <c r="B82">
        <v>1</v>
      </c>
    </row>
    <row r="83" spans="1:2">
      <c r="A83" s="35" t="s">
        <v>969</v>
      </c>
      <c r="B83">
        <v>2</v>
      </c>
    </row>
    <row r="84" spans="1:2">
      <c r="A84" s="35" t="s">
        <v>911</v>
      </c>
    </row>
    <row r="85" spans="1:2">
      <c r="A85" s="35" t="s">
        <v>903</v>
      </c>
      <c r="B85">
        <v>1</v>
      </c>
    </row>
    <row r="86" spans="1:2">
      <c r="A86" s="35" t="s">
        <v>913</v>
      </c>
    </row>
    <row r="87" spans="1:2">
      <c r="A87" s="35" t="s">
        <v>915</v>
      </c>
    </row>
    <row r="88" spans="1:2">
      <c r="A88" s="35" t="s">
        <v>916</v>
      </c>
      <c r="B88">
        <v>1</v>
      </c>
    </row>
    <row r="89" spans="1:2">
      <c r="A89" s="35" t="s">
        <v>917</v>
      </c>
      <c r="B89">
        <v>2</v>
      </c>
    </row>
    <row r="90" spans="1:2">
      <c r="A90" s="35" t="s">
        <v>923</v>
      </c>
      <c r="B90">
        <v>1</v>
      </c>
    </row>
    <row r="91" spans="1:2">
      <c r="A91" s="35" t="s">
        <v>925</v>
      </c>
    </row>
    <row r="92" spans="1:2">
      <c r="A92" s="35" t="s">
        <v>926</v>
      </c>
    </row>
    <row r="93" spans="1:2">
      <c r="A93" s="35" t="s">
        <v>933</v>
      </c>
    </row>
    <row r="94" spans="1:2">
      <c r="A94" s="35" t="s">
        <v>928</v>
      </c>
    </row>
    <row r="95" spans="1:2">
      <c r="A95" s="35" t="s">
        <v>929</v>
      </c>
    </row>
    <row r="96" spans="1:2">
      <c r="A96" s="35" t="s">
        <v>931</v>
      </c>
      <c r="B96">
        <v>2</v>
      </c>
    </row>
    <row r="97" spans="1:2">
      <c r="A97" s="35" t="s">
        <v>934</v>
      </c>
    </row>
    <row r="98" spans="1:2">
      <c r="A98" s="35" t="s">
        <v>935</v>
      </c>
    </row>
    <row r="99" spans="1:2">
      <c r="A99" s="35" t="s">
        <v>937</v>
      </c>
      <c r="B99">
        <v>3</v>
      </c>
    </row>
    <row r="100" spans="1:2">
      <c r="A100" s="35" t="s">
        <v>939</v>
      </c>
      <c r="B100">
        <v>1</v>
      </c>
    </row>
    <row r="101" spans="1:2">
      <c r="A101" s="35" t="s">
        <v>940</v>
      </c>
      <c r="B101">
        <v>2</v>
      </c>
    </row>
    <row r="102" spans="1:2">
      <c r="A102" s="35" t="s">
        <v>941</v>
      </c>
    </row>
    <row r="103" spans="1:2">
      <c r="A103" s="35" t="s">
        <v>942</v>
      </c>
      <c r="B103">
        <v>1</v>
      </c>
    </row>
    <row r="104" spans="1:2">
      <c r="A104" s="35" t="s">
        <v>944</v>
      </c>
      <c r="B104">
        <v>1</v>
      </c>
    </row>
    <row r="105" spans="1:2">
      <c r="A105" s="35" t="s">
        <v>946</v>
      </c>
      <c r="B105">
        <v>1</v>
      </c>
    </row>
    <row r="106" spans="1:2">
      <c r="A106" s="35" t="s">
        <v>947</v>
      </c>
    </row>
    <row r="107" spans="1:2">
      <c r="A107" s="35" t="s">
        <v>955</v>
      </c>
      <c r="B107">
        <v>5</v>
      </c>
    </row>
    <row r="108" spans="1:2">
      <c r="A108" s="35" t="s">
        <v>957</v>
      </c>
      <c r="B108">
        <v>1</v>
      </c>
    </row>
    <row r="109" spans="1:2">
      <c r="A109" s="35" t="s">
        <v>959</v>
      </c>
    </row>
    <row r="110" spans="1:2">
      <c r="A110" s="35" t="s">
        <v>960</v>
      </c>
    </row>
    <row r="111" spans="1:2">
      <c r="A111" s="35" t="s">
        <v>961</v>
      </c>
    </row>
    <row r="112" spans="1:2">
      <c r="A112" s="35" t="s">
        <v>964</v>
      </c>
      <c r="B112">
        <v>1</v>
      </c>
    </row>
    <row r="113" spans="1:2">
      <c r="A113" s="35" t="s">
        <v>965</v>
      </c>
      <c r="B113">
        <v>2</v>
      </c>
    </row>
    <row r="114" spans="1:2">
      <c r="A114" s="35" t="s">
        <v>966</v>
      </c>
      <c r="B114">
        <v>2</v>
      </c>
    </row>
    <row r="115" spans="1:2">
      <c r="A115" s="35" t="s">
        <v>919</v>
      </c>
      <c r="B115">
        <v>1</v>
      </c>
    </row>
    <row r="116" spans="1:2">
      <c r="A116" s="35" t="s">
        <v>970</v>
      </c>
      <c r="B116">
        <v>1</v>
      </c>
    </row>
    <row r="117" spans="1:2">
      <c r="A117" s="35" t="s">
        <v>971</v>
      </c>
      <c r="B117">
        <v>1</v>
      </c>
    </row>
    <row r="118" spans="1:2">
      <c r="A118" s="35" t="s">
        <v>972</v>
      </c>
      <c r="B118">
        <v>1</v>
      </c>
    </row>
    <row r="119" spans="1:2">
      <c r="A119" s="35" t="s">
        <v>973</v>
      </c>
      <c r="B119">
        <v>1</v>
      </c>
    </row>
    <row r="120" spans="1:2">
      <c r="A120" s="35" t="s">
        <v>974</v>
      </c>
      <c r="B120">
        <v>4</v>
      </c>
    </row>
    <row r="121" spans="1:2">
      <c r="A121" s="35" t="s">
        <v>977</v>
      </c>
      <c r="B121">
        <v>1</v>
      </c>
    </row>
    <row r="122" spans="1:2">
      <c r="A122" s="35" t="s">
        <v>978</v>
      </c>
      <c r="B122">
        <v>1</v>
      </c>
    </row>
    <row r="123" spans="1:2">
      <c r="A123" s="35" t="s">
        <v>979</v>
      </c>
      <c r="B123">
        <v>1</v>
      </c>
    </row>
    <row r="124" spans="1:2">
      <c r="A124" s="35" t="s">
        <v>980</v>
      </c>
      <c r="B124">
        <v>1</v>
      </c>
    </row>
    <row r="125" spans="1:2">
      <c r="A125" s="35" t="s">
        <v>981</v>
      </c>
    </row>
    <row r="126" spans="1:2">
      <c r="A126" s="35" t="s">
        <v>983</v>
      </c>
      <c r="B126">
        <v>2</v>
      </c>
    </row>
    <row r="127" spans="1:2">
      <c r="A127" s="35" t="s">
        <v>984</v>
      </c>
    </row>
    <row r="128" spans="1:2">
      <c r="A128" s="35" t="s">
        <v>985</v>
      </c>
    </row>
    <row r="129" spans="1:2">
      <c r="A129" s="35" t="s">
        <v>986</v>
      </c>
    </row>
    <row r="130" spans="1:2">
      <c r="A130" s="35" t="s">
        <v>987</v>
      </c>
    </row>
    <row r="131" spans="1:2">
      <c r="A131" s="35" t="s">
        <v>988</v>
      </c>
      <c r="B131">
        <v>1</v>
      </c>
    </row>
    <row r="132" spans="1:2">
      <c r="A132" s="35" t="s">
        <v>989</v>
      </c>
      <c r="B132">
        <v>1</v>
      </c>
    </row>
    <row r="133" spans="1:2">
      <c r="A133" s="35" t="s">
        <v>775</v>
      </c>
      <c r="B133">
        <v>1</v>
      </c>
    </row>
    <row r="134" spans="1:2">
      <c r="A134" s="35" t="s">
        <v>776</v>
      </c>
      <c r="B134">
        <v>1</v>
      </c>
    </row>
    <row r="135" spans="1:2">
      <c r="A135" s="35" t="s">
        <v>779</v>
      </c>
      <c r="B135">
        <v>1</v>
      </c>
    </row>
    <row r="136" spans="1:2">
      <c r="A136" s="35" t="s">
        <v>992</v>
      </c>
    </row>
    <row r="137" spans="1:2">
      <c r="A137" s="35" t="s">
        <v>990</v>
      </c>
    </row>
    <row r="138" spans="1:2">
      <c r="A138" s="35" t="s">
        <v>993</v>
      </c>
    </row>
    <row r="139" spans="1:2">
      <c r="A139" s="35" t="s">
        <v>994</v>
      </c>
      <c r="B139">
        <v>1</v>
      </c>
    </row>
    <row r="140" spans="1:2">
      <c r="A140" s="35" t="s">
        <v>995</v>
      </c>
      <c r="B140">
        <v>1</v>
      </c>
    </row>
    <row r="141" spans="1:2">
      <c r="A141" s="35" t="s">
        <v>996</v>
      </c>
      <c r="B141">
        <v>6</v>
      </c>
    </row>
    <row r="142" spans="1:2">
      <c r="A142" s="35" t="s">
        <v>997</v>
      </c>
    </row>
    <row r="143" spans="1:2">
      <c r="A143" s="35" t="s">
        <v>998</v>
      </c>
      <c r="B143">
        <v>2</v>
      </c>
    </row>
    <row r="144" spans="1:2">
      <c r="A144" s="35" t="s">
        <v>1000</v>
      </c>
      <c r="B144">
        <v>1</v>
      </c>
    </row>
    <row r="145" spans="1:2">
      <c r="A145" s="35" t="s">
        <v>1001</v>
      </c>
      <c r="B145">
        <v>1</v>
      </c>
    </row>
    <row r="146" spans="1:2">
      <c r="A146" s="35" t="s">
        <v>1002</v>
      </c>
    </row>
    <row r="147" spans="1:2">
      <c r="A147" s="35" t="s">
        <v>1003</v>
      </c>
      <c r="B147">
        <v>1</v>
      </c>
    </row>
    <row r="148" spans="1:2">
      <c r="A148" s="35" t="s">
        <v>1006</v>
      </c>
      <c r="B148">
        <v>2</v>
      </c>
    </row>
    <row r="149" spans="1:2">
      <c r="A149" s="35" t="s">
        <v>772</v>
      </c>
      <c r="B149">
        <v>1</v>
      </c>
    </row>
    <row r="150" spans="1:2">
      <c r="A150" s="35" t="s">
        <v>1007</v>
      </c>
      <c r="B150">
        <v>4</v>
      </c>
    </row>
    <row r="151" spans="1:2">
      <c r="A151" s="35" t="s">
        <v>1008</v>
      </c>
      <c r="B151">
        <v>1</v>
      </c>
    </row>
    <row r="152" spans="1:2">
      <c r="A152" s="35" t="s">
        <v>1009</v>
      </c>
    </row>
    <row r="153" spans="1:2">
      <c r="A153" s="35" t="s">
        <v>1010</v>
      </c>
      <c r="B153">
        <v>1</v>
      </c>
    </row>
    <row r="154" spans="1:2">
      <c r="A154" s="35" t="s">
        <v>1012</v>
      </c>
      <c r="B154">
        <v>1</v>
      </c>
    </row>
    <row r="155" spans="1:2">
      <c r="A155" s="35" t="s">
        <v>1013</v>
      </c>
      <c r="B155">
        <v>1</v>
      </c>
    </row>
    <row r="156" spans="1:2">
      <c r="A156" s="35" t="s">
        <v>1014</v>
      </c>
      <c r="B156">
        <v>2</v>
      </c>
    </row>
    <row r="157" spans="1:2">
      <c r="A157" s="35" t="s">
        <v>1016</v>
      </c>
      <c r="B157">
        <v>1</v>
      </c>
    </row>
    <row r="158" spans="1:2">
      <c r="A158" s="35" t="s">
        <v>1017</v>
      </c>
      <c r="B158">
        <v>3</v>
      </c>
    </row>
    <row r="159" spans="1:2">
      <c r="A159" s="35" t="s">
        <v>1018</v>
      </c>
      <c r="B159">
        <v>1</v>
      </c>
    </row>
    <row r="160" spans="1:2">
      <c r="A160" s="35" t="s">
        <v>1019</v>
      </c>
      <c r="B160">
        <v>1</v>
      </c>
    </row>
    <row r="161" spans="1:2">
      <c r="A161" s="35" t="s">
        <v>1020</v>
      </c>
      <c r="B161">
        <v>1</v>
      </c>
    </row>
    <row r="162" spans="1:2">
      <c r="A162" s="35" t="s">
        <v>1021</v>
      </c>
      <c r="B162">
        <v>1</v>
      </c>
    </row>
    <row r="163" spans="1:2">
      <c r="A163" s="35" t="s">
        <v>1023</v>
      </c>
    </row>
    <row r="164" spans="1:2">
      <c r="A164" s="35" t="s">
        <v>1024</v>
      </c>
    </row>
    <row r="165" spans="1:2">
      <c r="A165" s="35" t="s">
        <v>1015</v>
      </c>
      <c r="B165">
        <v>1</v>
      </c>
    </row>
    <row r="166" spans="1:2">
      <c r="A166" s="35" t="s">
        <v>1026</v>
      </c>
      <c r="B166">
        <v>1</v>
      </c>
    </row>
    <row r="167" spans="1:2">
      <c r="A167" s="35" t="s">
        <v>1027</v>
      </c>
      <c r="B167">
        <v>1</v>
      </c>
    </row>
    <row r="168" spans="1:2">
      <c r="A168" s="35" t="s">
        <v>1028</v>
      </c>
      <c r="B168">
        <v>2</v>
      </c>
    </row>
    <row r="169" spans="1:2">
      <c r="A169" s="35" t="s">
        <v>1029</v>
      </c>
      <c r="B169">
        <v>1</v>
      </c>
    </row>
    <row r="170" spans="1:2">
      <c r="A170" s="35" t="s">
        <v>1031</v>
      </c>
      <c r="B170">
        <v>1</v>
      </c>
    </row>
    <row r="171" spans="1:2">
      <c r="A171" s="35" t="s">
        <v>1032</v>
      </c>
      <c r="B171">
        <v>1</v>
      </c>
    </row>
    <row r="172" spans="1:2">
      <c r="A172" s="35" t="s">
        <v>1033</v>
      </c>
      <c r="B172">
        <v>1</v>
      </c>
    </row>
    <row r="173" spans="1:2">
      <c r="A173" s="35" t="s">
        <v>1035</v>
      </c>
      <c r="B173">
        <v>10</v>
      </c>
    </row>
    <row r="174" spans="1:2">
      <c r="A174" s="35" t="s">
        <v>1038</v>
      </c>
      <c r="B174">
        <v>1</v>
      </c>
    </row>
    <row r="175" spans="1:2">
      <c r="A175" s="35" t="s">
        <v>1036</v>
      </c>
    </row>
    <row r="176" spans="1:2">
      <c r="A176" s="35" t="s">
        <v>1037</v>
      </c>
    </row>
    <row r="177" spans="1:2">
      <c r="A177" s="35" t="s">
        <v>1039</v>
      </c>
      <c r="B177">
        <v>2</v>
      </c>
    </row>
    <row r="178" spans="1:2">
      <c r="A178" s="35" t="s">
        <v>1040</v>
      </c>
      <c r="B178">
        <v>2</v>
      </c>
    </row>
    <row r="179" spans="1:2">
      <c r="A179" s="35" t="s">
        <v>1041</v>
      </c>
      <c r="B179">
        <v>1</v>
      </c>
    </row>
    <row r="180" spans="1:2">
      <c r="A180" s="35" t="s">
        <v>1042</v>
      </c>
      <c r="B180">
        <v>1</v>
      </c>
    </row>
    <row r="181" spans="1:2">
      <c r="A181" s="35" t="s">
        <v>1043</v>
      </c>
      <c r="B181">
        <v>1</v>
      </c>
    </row>
    <row r="182" spans="1:2">
      <c r="A182" s="35" t="s">
        <v>1045</v>
      </c>
      <c r="B182">
        <v>1</v>
      </c>
    </row>
    <row r="183" spans="1:2">
      <c r="A183" s="35" t="s">
        <v>1047</v>
      </c>
      <c r="B183">
        <v>3</v>
      </c>
    </row>
    <row r="184" spans="1:2">
      <c r="A184" s="35" t="s">
        <v>1050</v>
      </c>
      <c r="B184">
        <v>1</v>
      </c>
    </row>
    <row r="185" spans="1:2">
      <c r="A185" s="35" t="s">
        <v>1052</v>
      </c>
    </row>
    <row r="186" spans="1:2">
      <c r="A186" s="35" t="s">
        <v>1054</v>
      </c>
    </row>
    <row r="187" spans="1:2">
      <c r="A187" s="35" t="s">
        <v>833</v>
      </c>
    </row>
    <row r="188" spans="1:2">
      <c r="A188" s="35" t="s">
        <v>1055</v>
      </c>
      <c r="B188">
        <v>2</v>
      </c>
    </row>
    <row r="189" spans="1:2">
      <c r="A189" s="35" t="s">
        <v>1056</v>
      </c>
      <c r="B189">
        <v>2</v>
      </c>
    </row>
    <row r="190" spans="1:2">
      <c r="A190" s="35" t="s">
        <v>1057</v>
      </c>
      <c r="B190">
        <v>7</v>
      </c>
    </row>
    <row r="191" spans="1:2">
      <c r="A191" s="35" t="s">
        <v>1058</v>
      </c>
      <c r="B191">
        <v>1</v>
      </c>
    </row>
    <row r="192" spans="1:2">
      <c r="A192" s="35" t="s">
        <v>1059</v>
      </c>
    </row>
    <row r="193" spans="1:2">
      <c r="A193" s="35" t="s">
        <v>1069</v>
      </c>
      <c r="B193">
        <v>1</v>
      </c>
    </row>
    <row r="194" spans="1:2">
      <c r="A194" s="35" t="s">
        <v>1061</v>
      </c>
      <c r="B194">
        <v>1</v>
      </c>
    </row>
    <row r="195" spans="1:2">
      <c r="A195" s="35" t="s">
        <v>1062</v>
      </c>
      <c r="B195">
        <v>1</v>
      </c>
    </row>
    <row r="196" spans="1:2">
      <c r="A196" s="35" t="s">
        <v>1063</v>
      </c>
      <c r="B196">
        <v>2</v>
      </c>
    </row>
    <row r="197" spans="1:2">
      <c r="A197" s="35" t="s">
        <v>1064</v>
      </c>
      <c r="B197">
        <v>2</v>
      </c>
    </row>
    <row r="198" spans="1:2">
      <c r="A198" s="35" t="s">
        <v>1065</v>
      </c>
      <c r="B198">
        <v>1</v>
      </c>
    </row>
    <row r="199" spans="1:2">
      <c r="A199" s="35" t="s">
        <v>1068</v>
      </c>
      <c r="B199">
        <v>1</v>
      </c>
    </row>
    <row r="200" spans="1:2">
      <c r="A200" s="35" t="s">
        <v>1073</v>
      </c>
    </row>
    <row r="201" spans="1:2">
      <c r="A201" s="35" t="s">
        <v>1074</v>
      </c>
      <c r="B201">
        <v>1</v>
      </c>
    </row>
    <row r="202" spans="1:2">
      <c r="A202" s="35" t="s">
        <v>1077</v>
      </c>
      <c r="B202">
        <v>1</v>
      </c>
    </row>
    <row r="203" spans="1:2">
      <c r="A203" s="35" t="s">
        <v>1076</v>
      </c>
      <c r="B203">
        <v>1</v>
      </c>
    </row>
    <row r="204" spans="1:2">
      <c r="A204" s="35" t="s">
        <v>1075</v>
      </c>
      <c r="B204">
        <v>4</v>
      </c>
    </row>
    <row r="205" spans="1:2">
      <c r="A205" s="35" t="s">
        <v>1078</v>
      </c>
      <c r="B205">
        <v>1</v>
      </c>
    </row>
    <row r="206" spans="1:2">
      <c r="A206" s="35" t="s">
        <v>1079</v>
      </c>
      <c r="B206">
        <v>2</v>
      </c>
    </row>
    <row r="207" spans="1:2">
      <c r="A207" s="35" t="s">
        <v>1080</v>
      </c>
      <c r="B207">
        <v>1</v>
      </c>
    </row>
    <row r="208" spans="1:2">
      <c r="A208" s="35" t="s">
        <v>1081</v>
      </c>
      <c r="B208">
        <v>1</v>
      </c>
    </row>
    <row r="209" spans="1:2">
      <c r="A209" s="35" t="s">
        <v>1082</v>
      </c>
      <c r="B209">
        <v>2</v>
      </c>
    </row>
    <row r="210" spans="1:2">
      <c r="A210" s="35" t="s">
        <v>1083</v>
      </c>
      <c r="B210">
        <v>1</v>
      </c>
    </row>
    <row r="211" spans="1:2">
      <c r="A211" s="35" t="s">
        <v>1085</v>
      </c>
    </row>
    <row r="212" spans="1:2">
      <c r="A212" s="35" t="s">
        <v>1087</v>
      </c>
      <c r="B212">
        <v>1</v>
      </c>
    </row>
    <row r="213" spans="1:2">
      <c r="A213" s="35" t="s">
        <v>1091</v>
      </c>
      <c r="B213">
        <v>1</v>
      </c>
    </row>
    <row r="214" spans="1:2">
      <c r="A214" s="35" t="s">
        <v>1093</v>
      </c>
      <c r="B214">
        <v>1</v>
      </c>
    </row>
    <row r="215" spans="1:2">
      <c r="A215" s="35" t="s">
        <v>813</v>
      </c>
      <c r="B215">
        <v>1</v>
      </c>
    </row>
    <row r="216" spans="1:2">
      <c r="A216" s="35" t="s">
        <v>1101</v>
      </c>
      <c r="B216">
        <v>1</v>
      </c>
    </row>
    <row r="217" spans="1:2">
      <c r="A217" s="35" t="s">
        <v>1094</v>
      </c>
      <c r="B217">
        <v>1</v>
      </c>
    </row>
    <row r="218" spans="1:2">
      <c r="A218" s="35" t="s">
        <v>1096</v>
      </c>
      <c r="B218">
        <v>1</v>
      </c>
    </row>
    <row r="219" spans="1:2">
      <c r="A219" s="35" t="s">
        <v>1097</v>
      </c>
    </row>
    <row r="220" spans="1:2">
      <c r="A220" s="35" t="s">
        <v>1099</v>
      </c>
      <c r="B220">
        <v>1</v>
      </c>
    </row>
    <row r="221" spans="1:2">
      <c r="A221" s="35" t="s">
        <v>1102</v>
      </c>
    </row>
    <row r="222" spans="1:2">
      <c r="A222" s="35" t="s">
        <v>1106</v>
      </c>
    </row>
    <row r="223" spans="1:2">
      <c r="A223" s="35" t="s">
        <v>1100</v>
      </c>
      <c r="B223">
        <v>1</v>
      </c>
    </row>
    <row r="224" spans="1:2">
      <c r="A224" s="35" t="s">
        <v>1105</v>
      </c>
      <c r="B224">
        <v>1</v>
      </c>
    </row>
    <row r="225" spans="1:2">
      <c r="A225" s="35" t="s">
        <v>1107</v>
      </c>
      <c r="B225">
        <v>1</v>
      </c>
    </row>
    <row r="226" spans="1:2">
      <c r="A226" s="35" t="s">
        <v>1108</v>
      </c>
      <c r="B226">
        <v>1</v>
      </c>
    </row>
    <row r="227" spans="1:2">
      <c r="A227" s="35" t="s">
        <v>1109</v>
      </c>
      <c r="B227">
        <v>2</v>
      </c>
    </row>
    <row r="228" spans="1:2">
      <c r="A228" s="35" t="s">
        <v>817</v>
      </c>
      <c r="B228">
        <v>1</v>
      </c>
    </row>
    <row r="229" spans="1:2">
      <c r="A229" s="35" t="s">
        <v>839</v>
      </c>
      <c r="B229">
        <v>1</v>
      </c>
    </row>
    <row r="230" spans="1:2">
      <c r="A230" s="35" t="s">
        <v>1110</v>
      </c>
      <c r="B230">
        <v>3</v>
      </c>
    </row>
    <row r="231" spans="1:2">
      <c r="A231" s="35" t="s">
        <v>1112</v>
      </c>
      <c r="B231">
        <v>6</v>
      </c>
    </row>
    <row r="232" spans="1:2">
      <c r="A232" s="35" t="s">
        <v>1113</v>
      </c>
      <c r="B232">
        <v>2</v>
      </c>
    </row>
    <row r="233" spans="1:2">
      <c r="A233" s="35" t="s">
        <v>1114</v>
      </c>
      <c r="B233">
        <v>1</v>
      </c>
    </row>
    <row r="234" spans="1:2">
      <c r="A234" s="35" t="s">
        <v>1115</v>
      </c>
    </row>
    <row r="235" spans="1:2">
      <c r="A235" s="35" t="s">
        <v>1116</v>
      </c>
    </row>
    <row r="236" spans="1:2">
      <c r="A236" s="35" t="s">
        <v>1117</v>
      </c>
      <c r="B236">
        <v>2</v>
      </c>
    </row>
    <row r="237" spans="1:2">
      <c r="A237" s="35" t="s">
        <v>1118</v>
      </c>
      <c r="B237">
        <v>5</v>
      </c>
    </row>
    <row r="238" spans="1:2">
      <c r="A238" s="35" t="s">
        <v>1120</v>
      </c>
      <c r="B238">
        <v>3</v>
      </c>
    </row>
    <row r="239" spans="1:2">
      <c r="A239" s="35" t="s">
        <v>1122</v>
      </c>
      <c r="B239">
        <v>3</v>
      </c>
    </row>
    <row r="240" spans="1:2">
      <c r="A240" s="35" t="s">
        <v>1125</v>
      </c>
      <c r="B240">
        <v>1</v>
      </c>
    </row>
    <row r="241" spans="1:2">
      <c r="A241" s="35" t="s">
        <v>1124</v>
      </c>
      <c r="B241">
        <v>1</v>
      </c>
    </row>
    <row r="242" spans="1:2">
      <c r="A242" s="35" t="s">
        <v>1126</v>
      </c>
    </row>
    <row r="243" spans="1:2">
      <c r="A243" s="35" t="s">
        <v>1128</v>
      </c>
      <c r="B243">
        <v>1</v>
      </c>
    </row>
    <row r="244" spans="1:2">
      <c r="A244" s="35" t="s">
        <v>1130</v>
      </c>
    </row>
    <row r="245" spans="1:2">
      <c r="A245" s="35" t="s">
        <v>1132</v>
      </c>
    </row>
    <row r="246" spans="1:2">
      <c r="A246" s="35" t="s">
        <v>1133</v>
      </c>
      <c r="B246">
        <v>1</v>
      </c>
    </row>
    <row r="247" spans="1:2">
      <c r="A247" s="35" t="s">
        <v>1135</v>
      </c>
      <c r="B247">
        <v>5</v>
      </c>
    </row>
    <row r="248" spans="1:2">
      <c r="A248" s="35" t="s">
        <v>1136</v>
      </c>
    </row>
    <row r="249" spans="1:2">
      <c r="A249" s="35" t="s">
        <v>1137</v>
      </c>
    </row>
    <row r="250" spans="1:2">
      <c r="A250" s="35" t="s">
        <v>1139</v>
      </c>
      <c r="B250">
        <v>1</v>
      </c>
    </row>
    <row r="251" spans="1:2">
      <c r="A251" s="35" t="s">
        <v>1138</v>
      </c>
      <c r="B251">
        <v>1</v>
      </c>
    </row>
    <row r="252" spans="1:2">
      <c r="A252" s="35" t="s">
        <v>1140</v>
      </c>
      <c r="B252">
        <v>1</v>
      </c>
    </row>
    <row r="253" spans="1:2">
      <c r="A253" s="35" t="s">
        <v>1143</v>
      </c>
      <c r="B253">
        <v>1</v>
      </c>
    </row>
    <row r="254" spans="1:2">
      <c r="A254" s="35" t="s">
        <v>1144</v>
      </c>
      <c r="B254">
        <v>1</v>
      </c>
    </row>
    <row r="255" spans="1:2">
      <c r="A255" s="35" t="s">
        <v>1145</v>
      </c>
      <c r="B255">
        <v>2</v>
      </c>
    </row>
    <row r="256" spans="1:2">
      <c r="A256" s="35" t="s">
        <v>1146</v>
      </c>
      <c r="B256">
        <v>1</v>
      </c>
    </row>
    <row r="257" spans="1:2">
      <c r="A257" s="35" t="s">
        <v>1147</v>
      </c>
      <c r="B257">
        <v>1</v>
      </c>
    </row>
    <row r="258" spans="1:2">
      <c r="A258" s="35" t="s">
        <v>1149</v>
      </c>
      <c r="B258">
        <v>1</v>
      </c>
    </row>
    <row r="259" spans="1:2">
      <c r="A259" s="35" t="s">
        <v>1148</v>
      </c>
      <c r="B259">
        <v>1</v>
      </c>
    </row>
    <row r="260" spans="1:2">
      <c r="A260" s="35" t="s">
        <v>1150</v>
      </c>
    </row>
    <row r="261" spans="1:2">
      <c r="A261" s="35" t="s">
        <v>1152</v>
      </c>
      <c r="B261">
        <v>1</v>
      </c>
    </row>
    <row r="262" spans="1:2">
      <c r="A262" s="35" t="s">
        <v>1153</v>
      </c>
      <c r="B262">
        <v>1</v>
      </c>
    </row>
    <row r="263" spans="1:2">
      <c r="A263" s="35" t="s">
        <v>1154</v>
      </c>
      <c r="B263">
        <v>2</v>
      </c>
    </row>
    <row r="264" spans="1:2">
      <c r="A264" s="35" t="s">
        <v>1155</v>
      </c>
      <c r="B264">
        <v>1</v>
      </c>
    </row>
    <row r="265" spans="1:2">
      <c r="A265" s="35" t="s">
        <v>1157</v>
      </c>
      <c r="B265">
        <v>2</v>
      </c>
    </row>
    <row r="266" spans="1:2">
      <c r="A266" s="35" t="s">
        <v>1158</v>
      </c>
      <c r="B266">
        <v>1</v>
      </c>
    </row>
    <row r="267" spans="1:2">
      <c r="A267" s="35" t="s">
        <v>1159</v>
      </c>
    </row>
    <row r="268" spans="1:2">
      <c r="A268" s="35" t="s">
        <v>1160</v>
      </c>
      <c r="B268">
        <v>1</v>
      </c>
    </row>
    <row r="269" spans="1:2">
      <c r="A269" s="35" t="s">
        <v>1161</v>
      </c>
      <c r="B269">
        <v>1</v>
      </c>
    </row>
    <row r="270" spans="1:2">
      <c r="A270" s="35" t="s">
        <v>1163</v>
      </c>
      <c r="B270">
        <v>1</v>
      </c>
    </row>
    <row r="271" spans="1:2">
      <c r="A271" s="35" t="s">
        <v>1164</v>
      </c>
    </row>
    <row r="272" spans="1:2">
      <c r="A272" s="35" t="s">
        <v>1166</v>
      </c>
      <c r="B272">
        <v>6</v>
      </c>
    </row>
    <row r="273" spans="1:2">
      <c r="A273" s="35" t="s">
        <v>1167</v>
      </c>
      <c r="B273">
        <v>1</v>
      </c>
    </row>
    <row r="274" spans="1:2">
      <c r="A274" s="35" t="s">
        <v>1169</v>
      </c>
    </row>
    <row r="275" spans="1:2">
      <c r="A275" s="35" t="s">
        <v>1168</v>
      </c>
    </row>
    <row r="276" spans="1:2">
      <c r="A276" s="35" t="s">
        <v>1170</v>
      </c>
    </row>
    <row r="277" spans="1:2">
      <c r="A277" s="35" t="s">
        <v>1171</v>
      </c>
      <c r="B277">
        <v>1</v>
      </c>
    </row>
    <row r="278" spans="1:2">
      <c r="A278" s="35" t="s">
        <v>1172</v>
      </c>
      <c r="B278">
        <v>1</v>
      </c>
    </row>
    <row r="279" spans="1:2">
      <c r="A279" s="35" t="s">
        <v>1173</v>
      </c>
    </row>
    <row r="280" spans="1:2">
      <c r="A280" s="35" t="s">
        <v>1177</v>
      </c>
      <c r="B280">
        <v>1</v>
      </c>
    </row>
    <row r="281" spans="1:2">
      <c r="A281" s="35" t="s">
        <v>1178</v>
      </c>
      <c r="B281">
        <v>1</v>
      </c>
    </row>
    <row r="282" spans="1:2">
      <c r="A282" s="35" t="s">
        <v>1179</v>
      </c>
      <c r="B282">
        <v>1</v>
      </c>
    </row>
    <row r="283" spans="1:2">
      <c r="A283" s="35" t="s">
        <v>1180</v>
      </c>
      <c r="B283">
        <v>1</v>
      </c>
    </row>
    <row r="284" spans="1:2">
      <c r="A284" s="35" t="s">
        <v>1181</v>
      </c>
      <c r="B284">
        <v>3</v>
      </c>
    </row>
    <row r="285" spans="1:2">
      <c r="A285" s="35" t="s">
        <v>1182</v>
      </c>
      <c r="B285">
        <v>1</v>
      </c>
    </row>
    <row r="286" spans="1:2">
      <c r="A286" s="35" t="s">
        <v>1183</v>
      </c>
    </row>
    <row r="287" spans="1:2">
      <c r="A287" s="35" t="s">
        <v>1184</v>
      </c>
      <c r="B287">
        <v>1</v>
      </c>
    </row>
    <row r="288" spans="1:2">
      <c r="A288" s="35" t="s">
        <v>1186</v>
      </c>
      <c r="B288">
        <v>1</v>
      </c>
    </row>
    <row r="289" spans="1:2">
      <c r="A289" s="35" t="s">
        <v>1187</v>
      </c>
      <c r="B289">
        <v>1</v>
      </c>
    </row>
    <row r="290" spans="1:2">
      <c r="A290" s="35" t="s">
        <v>1188</v>
      </c>
      <c r="B290">
        <v>1</v>
      </c>
    </row>
    <row r="291" spans="1:2">
      <c r="A291" s="35" t="s">
        <v>1189</v>
      </c>
      <c r="B291">
        <v>1</v>
      </c>
    </row>
    <row r="292" spans="1:2">
      <c r="A292" s="35" t="s">
        <v>1190</v>
      </c>
      <c r="B292">
        <v>1</v>
      </c>
    </row>
    <row r="293" spans="1:2">
      <c r="A293" s="35" t="s">
        <v>1191</v>
      </c>
      <c r="B293">
        <v>1</v>
      </c>
    </row>
    <row r="294" spans="1:2">
      <c r="A294" s="35" t="s">
        <v>1192</v>
      </c>
      <c r="B294">
        <v>1</v>
      </c>
    </row>
    <row r="295" spans="1:2">
      <c r="A295" s="35" t="s">
        <v>1193</v>
      </c>
      <c r="B295">
        <v>1</v>
      </c>
    </row>
    <row r="296" spans="1:2">
      <c r="A296" s="35" t="s">
        <v>1194</v>
      </c>
      <c r="B296">
        <v>1</v>
      </c>
    </row>
    <row r="297" spans="1:2">
      <c r="A297" s="35" t="s">
        <v>1196</v>
      </c>
      <c r="B297">
        <v>2</v>
      </c>
    </row>
    <row r="298" spans="1:2">
      <c r="A298" s="35" t="s">
        <v>1197</v>
      </c>
      <c r="B298">
        <v>3</v>
      </c>
    </row>
    <row r="299" spans="1:2">
      <c r="A299" s="35" t="s">
        <v>1198</v>
      </c>
      <c r="B299">
        <v>5</v>
      </c>
    </row>
    <row r="300" spans="1:2">
      <c r="A300" s="35" t="s">
        <v>1199</v>
      </c>
      <c r="B300">
        <v>1</v>
      </c>
    </row>
    <row r="301" spans="1:2">
      <c r="A301" s="35" t="s">
        <v>1200</v>
      </c>
      <c r="B301">
        <v>2</v>
      </c>
    </row>
    <row r="302" spans="1:2">
      <c r="A302" s="35" t="s">
        <v>1202</v>
      </c>
      <c r="B302">
        <v>2</v>
      </c>
    </row>
    <row r="303" spans="1:2">
      <c r="A303" s="35" t="s">
        <v>1203</v>
      </c>
      <c r="B303">
        <v>6</v>
      </c>
    </row>
    <row r="304" spans="1:2">
      <c r="A304" s="35" t="s">
        <v>1205</v>
      </c>
    </row>
    <row r="305" spans="1:2">
      <c r="A305" s="35" t="s">
        <v>1206</v>
      </c>
    </row>
    <row r="306" spans="1:2">
      <c r="A306" s="35" t="s">
        <v>1207</v>
      </c>
    </row>
    <row r="307" spans="1:2">
      <c r="A307" s="35" t="s">
        <v>1209</v>
      </c>
    </row>
    <row r="308" spans="1:2">
      <c r="A308" s="35" t="s">
        <v>1204</v>
      </c>
      <c r="B308">
        <v>2</v>
      </c>
    </row>
    <row r="309" spans="1:2">
      <c r="A309" s="35" t="s">
        <v>1210</v>
      </c>
      <c r="B309">
        <v>1</v>
      </c>
    </row>
    <row r="310" spans="1:2">
      <c r="A310" s="35" t="s">
        <v>255</v>
      </c>
      <c r="B310">
        <v>6</v>
      </c>
    </row>
    <row r="311" spans="1:2">
      <c r="A311" s="35" t="s">
        <v>24</v>
      </c>
      <c r="B311">
        <v>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64"/>
  <sheetViews>
    <sheetView showGridLines="0" tabSelected="1" zoomScale="55" zoomScaleNormal="55" workbookViewId="0">
      <selection activeCell="I18" sqref="I18"/>
    </sheetView>
  </sheetViews>
  <sheetFormatPr baseColWidth="10" defaultColWidth="11.59765625" defaultRowHeight="13"/>
  <cols>
    <col min="1" max="1" width="3.3984375" style="3" customWidth="1"/>
    <col min="2" max="2" width="77.8984375" style="1" customWidth="1"/>
    <col min="3" max="3" width="26.5" style="1" customWidth="1"/>
    <col min="4" max="4" width="36.8984375" style="121" customWidth="1"/>
    <col min="5" max="5" width="17.09765625" style="154" customWidth="1"/>
    <col min="6" max="6" width="17.5" style="2" customWidth="1"/>
    <col min="7" max="7" width="43.296875" style="166" customWidth="1"/>
    <col min="8" max="8" width="18.5" style="4" customWidth="1"/>
    <col min="9" max="9" width="32.69921875" style="4" customWidth="1"/>
    <col min="10" max="10" width="19.69921875" style="4" customWidth="1"/>
    <col min="11" max="11" width="22.8984375" style="1" customWidth="1"/>
    <col min="12" max="12" width="24.09765625" style="1" customWidth="1"/>
    <col min="13" max="13" width="15.5" style="1" customWidth="1"/>
    <col min="14" max="14" width="16" style="3" customWidth="1"/>
    <col min="15" max="15" width="77.59765625" style="3" customWidth="1"/>
    <col min="16" max="16384" width="11.59765625" style="3"/>
  </cols>
  <sheetData>
    <row r="1" spans="2:16">
      <c r="M1" s="255"/>
      <c r="N1" s="247"/>
      <c r="O1" s="247"/>
      <c r="P1" s="247"/>
    </row>
    <row r="2" spans="2:16" ht="19" thickBot="1">
      <c r="B2" s="5" t="s">
        <v>46</v>
      </c>
      <c r="C2" s="6"/>
      <c r="D2" s="120"/>
      <c r="E2" s="153"/>
      <c r="F2" s="153"/>
      <c r="G2" s="153"/>
      <c r="H2" s="28"/>
      <c r="I2" s="29"/>
      <c r="J2" s="29"/>
      <c r="K2" s="30"/>
      <c r="L2" s="30"/>
      <c r="M2" s="255"/>
      <c r="N2" s="247"/>
      <c r="O2" s="247"/>
      <c r="P2" s="247"/>
    </row>
    <row r="3" spans="2:16">
      <c r="I3" s="29"/>
      <c r="J3" s="29"/>
      <c r="K3" s="30"/>
      <c r="L3" s="30"/>
      <c r="M3" s="255"/>
      <c r="N3" s="247"/>
      <c r="O3" s="247"/>
      <c r="P3" s="247"/>
    </row>
    <row r="4" spans="2:16" ht="15.75" customHeight="1">
      <c r="B4" s="346" t="s">
        <v>323</v>
      </c>
      <c r="C4" s="346"/>
      <c r="D4" s="346"/>
      <c r="F4" s="347"/>
      <c r="G4" s="347"/>
      <c r="I4" s="8" t="s">
        <v>47</v>
      </c>
      <c r="J4" s="8" t="s">
        <v>48</v>
      </c>
      <c r="K4" s="8"/>
      <c r="L4" s="8"/>
      <c r="M4" s="255"/>
      <c r="N4" s="247"/>
      <c r="O4" s="247"/>
      <c r="P4" s="247"/>
    </row>
    <row r="5" spans="2:16" ht="14.5">
      <c r="B5" s="348" t="s">
        <v>49</v>
      </c>
      <c r="C5" s="7" t="s">
        <v>50</v>
      </c>
      <c r="D5" s="350" t="s">
        <v>51</v>
      </c>
      <c r="E5" s="13"/>
      <c r="F5" s="352"/>
      <c r="G5" s="178"/>
      <c r="H5" s="179"/>
      <c r="I5" s="31" t="s">
        <v>52</v>
      </c>
      <c r="J5" s="109">
        <v>61167</v>
      </c>
      <c r="K5" s="32"/>
      <c r="L5" s="32"/>
      <c r="M5" s="255"/>
      <c r="N5" s="247"/>
      <c r="O5" s="247"/>
      <c r="P5" s="247"/>
    </row>
    <row r="6" spans="2:16">
      <c r="B6" s="349"/>
      <c r="C6" s="9">
        <v>46143</v>
      </c>
      <c r="D6" s="351"/>
      <c r="E6" s="13"/>
      <c r="F6" s="352"/>
      <c r="G6" s="180"/>
      <c r="H6" s="179"/>
      <c r="I6" s="33"/>
      <c r="J6" s="110"/>
      <c r="K6" s="34"/>
      <c r="L6" s="34"/>
      <c r="M6" s="255"/>
      <c r="N6" s="247"/>
      <c r="O6" s="247"/>
      <c r="P6" s="247"/>
    </row>
    <row r="7" spans="2:16">
      <c r="B7" s="10" t="s">
        <v>53</v>
      </c>
      <c r="C7" s="11">
        <v>145</v>
      </c>
      <c r="D7" s="122">
        <f>+C7/C10</f>
        <v>1</v>
      </c>
      <c r="E7" s="13"/>
      <c r="F7" s="177"/>
      <c r="G7" s="180"/>
      <c r="H7" s="179"/>
      <c r="I7" s="33"/>
      <c r="J7" s="110"/>
      <c r="K7" s="34"/>
      <c r="L7" s="34"/>
      <c r="M7" s="255"/>
      <c r="N7" s="247"/>
      <c r="O7" s="247"/>
      <c r="P7" s="247"/>
    </row>
    <row r="8" spans="2:16">
      <c r="B8" s="11" t="s">
        <v>54</v>
      </c>
      <c r="C8" s="11">
        <f>+C7-C9</f>
        <v>129</v>
      </c>
      <c r="D8" s="122">
        <f>+C8/C10</f>
        <v>0.8896551724137931</v>
      </c>
      <c r="E8" s="155"/>
      <c r="F8" s="181"/>
      <c r="G8" s="182"/>
      <c r="H8" s="183"/>
      <c r="I8" s="33"/>
      <c r="J8" s="110"/>
      <c r="K8" s="34"/>
      <c r="L8" s="34"/>
      <c r="M8" s="255"/>
      <c r="N8" s="247"/>
      <c r="O8" s="247"/>
      <c r="P8" s="247"/>
    </row>
    <row r="9" spans="2:16" ht="13.4" customHeight="1">
      <c r="B9" s="11" t="s">
        <v>55</v>
      </c>
      <c r="C9" s="11">
        <v>16</v>
      </c>
      <c r="D9" s="122">
        <f>+C9/C10</f>
        <v>0.1103448275862069</v>
      </c>
      <c r="E9" s="155"/>
      <c r="F9" s="181"/>
      <c r="G9" s="182"/>
      <c r="H9" s="183"/>
      <c r="I9" s="33"/>
      <c r="J9" s="110"/>
      <c r="K9" s="34"/>
      <c r="L9" s="34"/>
      <c r="M9" s="255"/>
      <c r="N9" s="247"/>
      <c r="O9" s="247"/>
      <c r="P9" s="247"/>
    </row>
    <row r="10" spans="2:16">
      <c r="B10" s="12" t="s">
        <v>56</v>
      </c>
      <c r="C10" s="12">
        <f>+C8+C9</f>
        <v>145</v>
      </c>
      <c r="D10" s="123">
        <v>1</v>
      </c>
      <c r="E10" s="156"/>
      <c r="F10" s="184"/>
      <c r="G10" s="185"/>
      <c r="H10" s="186"/>
      <c r="I10" s="33"/>
      <c r="J10" s="110"/>
      <c r="K10" s="34"/>
      <c r="L10" s="34"/>
      <c r="M10" s="255"/>
      <c r="N10" s="247"/>
      <c r="O10" s="247"/>
      <c r="P10" s="247"/>
    </row>
    <row r="11" spans="2:16">
      <c r="F11" s="187"/>
      <c r="G11" s="195"/>
      <c r="H11" s="179"/>
      <c r="I11" s="33"/>
      <c r="J11" s="110"/>
      <c r="K11" s="34"/>
      <c r="L11" s="34"/>
      <c r="M11" s="255"/>
      <c r="N11" s="247"/>
      <c r="O11" s="247"/>
      <c r="P11" s="247"/>
    </row>
    <row r="12" spans="2:16">
      <c r="I12" s="33"/>
      <c r="J12" s="110"/>
      <c r="K12" s="34"/>
      <c r="L12" s="34"/>
      <c r="M12" s="255"/>
      <c r="N12" s="247"/>
      <c r="O12" s="247"/>
      <c r="P12" s="247"/>
    </row>
    <row r="13" spans="2:16">
      <c r="I13" s="33"/>
      <c r="J13" s="110"/>
      <c r="K13" s="34"/>
      <c r="L13" s="34"/>
      <c r="M13" s="255"/>
      <c r="N13" s="247"/>
      <c r="O13" s="247"/>
      <c r="P13" s="247"/>
    </row>
    <row r="14" spans="2:16">
      <c r="B14" s="7" t="s">
        <v>57</v>
      </c>
      <c r="C14" s="9">
        <v>46143</v>
      </c>
      <c r="D14" s="124" t="s">
        <v>58</v>
      </c>
      <c r="F14" s="13"/>
      <c r="G14" s="14"/>
      <c r="I14" s="33"/>
      <c r="J14" s="110"/>
      <c r="K14" s="34"/>
      <c r="L14" s="34"/>
      <c r="M14" s="255"/>
      <c r="N14" s="247"/>
      <c r="O14" s="247"/>
      <c r="P14" s="247"/>
    </row>
    <row r="15" spans="2:16" ht="27.5" customHeight="1">
      <c r="B15" s="159" t="s">
        <v>732</v>
      </c>
      <c r="C15" s="160"/>
      <c r="D15" s="125"/>
      <c r="E15" s="157"/>
      <c r="F15" s="15"/>
      <c r="G15" s="1"/>
      <c r="I15" s="33"/>
      <c r="J15" s="110"/>
      <c r="K15" s="34"/>
      <c r="L15" s="34"/>
      <c r="M15" s="255"/>
      <c r="N15" s="247"/>
      <c r="O15" s="247"/>
      <c r="P15" s="247"/>
    </row>
    <row r="16" spans="2:16" ht="29.5" customHeight="1">
      <c r="B16" s="303" t="s">
        <v>733</v>
      </c>
      <c r="C16" s="188"/>
      <c r="D16" s="189"/>
      <c r="E16" s="157"/>
      <c r="F16" s="15"/>
      <c r="G16" s="1"/>
      <c r="I16" s="33"/>
      <c r="J16" s="110"/>
      <c r="K16" s="34"/>
      <c r="L16" s="34"/>
      <c r="M16" s="255"/>
      <c r="N16" s="247"/>
      <c r="O16" s="247"/>
      <c r="P16" s="247"/>
    </row>
    <row r="17" spans="2:16" ht="26">
      <c r="B17" s="190" t="s">
        <v>740</v>
      </c>
      <c r="C17" s="167">
        <v>1</v>
      </c>
      <c r="D17" s="168">
        <f>+L62</f>
        <v>19250000</v>
      </c>
      <c r="E17" s="157"/>
      <c r="F17" s="15"/>
      <c r="G17" s="1"/>
      <c r="I17" s="33"/>
      <c r="J17" s="110"/>
      <c r="K17" s="34"/>
      <c r="L17" s="34"/>
      <c r="M17" s="255"/>
      <c r="N17" s="247"/>
      <c r="O17" s="247"/>
      <c r="P17" s="247"/>
    </row>
    <row r="18" spans="2:16" ht="26">
      <c r="B18" s="191" t="s">
        <v>741</v>
      </c>
      <c r="C18" s="114"/>
      <c r="D18" s="126"/>
      <c r="E18" s="157"/>
      <c r="F18" s="15"/>
      <c r="G18" s="1"/>
      <c r="I18" s="33"/>
      <c r="J18" s="110"/>
      <c r="K18" s="34"/>
      <c r="L18" s="34"/>
      <c r="M18" s="255"/>
      <c r="N18" s="247"/>
      <c r="O18" s="247"/>
      <c r="P18" s="247"/>
    </row>
    <row r="19" spans="2:16" ht="21" customHeight="1">
      <c r="B19" s="192" t="s">
        <v>734</v>
      </c>
      <c r="C19" s="193"/>
      <c r="D19" s="194"/>
      <c r="E19" s="158"/>
      <c r="F19" s="107"/>
      <c r="G19" s="1"/>
      <c r="I19" s="33"/>
      <c r="J19" s="110"/>
      <c r="K19" s="34"/>
      <c r="L19" s="34"/>
      <c r="M19" s="255"/>
      <c r="N19" s="247"/>
      <c r="O19" s="247"/>
      <c r="P19" s="247"/>
    </row>
    <row r="20" spans="2:16" ht="26">
      <c r="B20" s="169" t="s">
        <v>735</v>
      </c>
      <c r="C20" s="111">
        <v>2</v>
      </c>
      <c r="D20" s="128">
        <f>+L64+L63</f>
        <v>24450000</v>
      </c>
      <c r="F20" s="108"/>
      <c r="G20" s="1"/>
      <c r="I20" s="33"/>
      <c r="J20" s="110"/>
      <c r="K20" s="34"/>
      <c r="L20" s="34"/>
      <c r="M20" s="255"/>
      <c r="N20" s="247"/>
      <c r="O20" s="247"/>
      <c r="P20" s="247"/>
    </row>
    <row r="21" spans="2:16" ht="27.5" customHeight="1">
      <c r="B21" s="16" t="s">
        <v>59</v>
      </c>
      <c r="C21" s="17">
        <v>11</v>
      </c>
      <c r="D21" s="129">
        <f>SUM(L45:L61)</f>
        <v>101775000</v>
      </c>
      <c r="F21" s="15"/>
      <c r="G21" s="1"/>
      <c r="I21" s="33"/>
      <c r="J21" s="110"/>
      <c r="K21" s="34"/>
      <c r="L21" s="34"/>
      <c r="M21" s="255"/>
      <c r="N21" s="247"/>
      <c r="O21" s="247"/>
      <c r="P21" s="247"/>
    </row>
    <row r="22" spans="2:16" ht="27.5" customHeight="1">
      <c r="B22" s="170" t="s">
        <v>736</v>
      </c>
      <c r="C22" s="171">
        <v>2</v>
      </c>
      <c r="D22" s="172">
        <f>+L41+L42+L43+L44</f>
        <v>113520000</v>
      </c>
      <c r="F22" s="15"/>
      <c r="G22" s="1"/>
      <c r="I22" s="33"/>
      <c r="J22" s="110"/>
      <c r="K22" s="34"/>
      <c r="L22" s="34"/>
      <c r="M22" s="255"/>
      <c r="N22" s="247"/>
      <c r="O22" s="247"/>
      <c r="P22" s="247"/>
    </row>
    <row r="23" spans="2:16" ht="27.5" hidden="1" customHeight="1">
      <c r="B23" s="304" t="s">
        <v>737</v>
      </c>
      <c r="C23" s="115"/>
      <c r="D23" s="127"/>
      <c r="F23" s="15"/>
      <c r="G23" s="1"/>
      <c r="I23" s="33"/>
      <c r="J23" s="110"/>
      <c r="K23" s="34"/>
      <c r="L23" s="34"/>
      <c r="M23" s="255"/>
      <c r="N23" s="247"/>
      <c r="O23" s="247"/>
      <c r="P23" s="247"/>
    </row>
    <row r="24" spans="2:16" ht="27.5" hidden="1" customHeight="1">
      <c r="B24" s="18" t="s">
        <v>739</v>
      </c>
      <c r="C24" s="19"/>
      <c r="D24" s="130"/>
      <c r="F24" s="15"/>
      <c r="G24" s="1"/>
      <c r="I24" s="33"/>
      <c r="J24" s="110"/>
      <c r="K24" s="34"/>
      <c r="L24" s="34"/>
      <c r="M24" s="255"/>
      <c r="N24" s="247"/>
      <c r="O24" s="247"/>
      <c r="P24" s="247"/>
    </row>
    <row r="25" spans="2:16" ht="27.5" hidden="1" customHeight="1">
      <c r="B25" s="20" t="s">
        <v>738</v>
      </c>
      <c r="C25" s="21"/>
      <c r="D25" s="131"/>
      <c r="F25" s="15"/>
      <c r="G25" s="1"/>
      <c r="I25" s="33"/>
      <c r="J25" s="110"/>
      <c r="K25" s="34"/>
      <c r="L25" s="34"/>
      <c r="M25" s="255"/>
      <c r="N25" s="247"/>
      <c r="O25" s="247"/>
      <c r="P25" s="247"/>
    </row>
    <row r="26" spans="2:16" ht="27.5" customHeight="1">
      <c r="B26" s="22" t="s">
        <v>60</v>
      </c>
      <c r="C26" s="23"/>
      <c r="D26" s="132"/>
      <c r="F26" s="15"/>
      <c r="G26" s="1"/>
      <c r="I26" s="33"/>
      <c r="J26" s="110"/>
      <c r="K26" s="34"/>
      <c r="L26" s="34"/>
      <c r="M26" s="255"/>
      <c r="N26" s="247"/>
      <c r="O26" s="247"/>
      <c r="P26" s="247"/>
    </row>
    <row r="27" spans="2:16" ht="47.5" customHeight="1">
      <c r="B27" s="305" t="s">
        <v>1225</v>
      </c>
      <c r="C27" s="24"/>
      <c r="D27" s="133"/>
      <c r="G27" s="1"/>
      <c r="I27" s="33"/>
      <c r="J27" s="110"/>
      <c r="K27" s="34"/>
      <c r="L27" s="34"/>
      <c r="M27" s="255"/>
      <c r="N27" s="247"/>
      <c r="O27" s="247"/>
      <c r="P27" s="247"/>
    </row>
    <row r="28" spans="2:16" ht="47.5" customHeight="1">
      <c r="B28" s="321" t="s">
        <v>1228</v>
      </c>
      <c r="C28" s="322"/>
      <c r="D28" s="323"/>
      <c r="G28" s="1"/>
      <c r="I28" s="33"/>
      <c r="J28" s="110"/>
      <c r="K28" s="34"/>
      <c r="L28" s="34"/>
      <c r="M28" s="255"/>
      <c r="N28" s="247"/>
      <c r="O28" s="247"/>
      <c r="P28" s="247"/>
    </row>
    <row r="29" spans="2:16" ht="23.5" customHeight="1">
      <c r="B29" s="309" t="s">
        <v>330</v>
      </c>
      <c r="C29" s="173"/>
      <c r="D29" s="174"/>
      <c r="G29" s="1"/>
      <c r="I29" s="33"/>
      <c r="J29" s="110"/>
      <c r="K29" s="34"/>
      <c r="L29" s="34"/>
      <c r="M29" s="255"/>
      <c r="N29" s="247"/>
      <c r="O29" s="247"/>
      <c r="P29" s="247"/>
    </row>
    <row r="30" spans="2:16" ht="25.5" hidden="1" customHeight="1">
      <c r="B30" s="112" t="s">
        <v>731</v>
      </c>
      <c r="C30" s="113"/>
      <c r="D30" s="134" t="e">
        <f>+Base!#REF!</f>
        <v>#REF!</v>
      </c>
      <c r="G30" s="1"/>
      <c r="I30" s="33"/>
      <c r="J30" s="110"/>
      <c r="K30" s="34"/>
      <c r="L30" s="34"/>
      <c r="M30" s="255"/>
      <c r="N30" s="247"/>
      <c r="O30" s="247"/>
      <c r="P30" s="247"/>
    </row>
    <row r="31" spans="2:16" ht="26.5" customHeight="1">
      <c r="B31" s="25" t="s">
        <v>61</v>
      </c>
      <c r="C31" s="219">
        <f>SUM(C15:C30)</f>
        <v>16</v>
      </c>
      <c r="D31" s="135">
        <f>SUM(D15:D29)</f>
        <v>258995000</v>
      </c>
      <c r="F31" s="26"/>
      <c r="G31" s="27"/>
      <c r="I31" s="33"/>
      <c r="J31" s="110"/>
      <c r="K31" s="34"/>
      <c r="L31" s="34"/>
      <c r="M31" s="255"/>
      <c r="N31" s="247"/>
      <c r="O31" s="247"/>
      <c r="P31" s="247"/>
    </row>
    <row r="32" spans="2:16">
      <c r="B32" s="4" t="s">
        <v>338</v>
      </c>
      <c r="D32" s="136"/>
      <c r="I32" s="33"/>
      <c r="J32" s="110"/>
      <c r="K32" s="34"/>
      <c r="L32" s="34"/>
      <c r="M32" s="255"/>
      <c r="N32" s="247"/>
      <c r="O32" s="247"/>
      <c r="P32" s="247"/>
    </row>
    <row r="33" spans="2:16">
      <c r="I33" s="33"/>
      <c r="K33" s="34"/>
      <c r="L33" s="34"/>
      <c r="M33" s="255"/>
      <c r="N33" s="247"/>
      <c r="O33" s="247"/>
      <c r="P33" s="247"/>
    </row>
    <row r="34" spans="2:16" ht="21">
      <c r="B34" s="345" t="s">
        <v>1444</v>
      </c>
      <c r="C34" s="345"/>
      <c r="D34" s="176">
        <v>0</v>
      </c>
      <c r="F34" s="26"/>
      <c r="G34" s="1"/>
      <c r="M34" s="255"/>
      <c r="N34" s="247"/>
      <c r="O34" s="247"/>
      <c r="P34" s="247"/>
    </row>
    <row r="35" spans="2:16">
      <c r="M35" s="255"/>
      <c r="N35" s="247"/>
      <c r="O35" s="247"/>
      <c r="P35" s="247"/>
    </row>
    <row r="36" spans="2:16" ht="15.5">
      <c r="B36" s="175" t="s">
        <v>62</v>
      </c>
      <c r="M36" s="255"/>
      <c r="N36" s="247"/>
      <c r="O36" s="247"/>
      <c r="P36" s="247"/>
    </row>
    <row r="37" spans="2:16">
      <c r="B37" s="27"/>
      <c r="D37" s="119"/>
      <c r="M37" s="255"/>
      <c r="N37" s="247"/>
      <c r="O37" s="247"/>
      <c r="P37" s="247"/>
    </row>
    <row r="38" spans="2:16">
      <c r="D38" s="119"/>
      <c r="M38" s="255"/>
      <c r="N38" s="247"/>
      <c r="O38" s="247"/>
      <c r="P38" s="247"/>
    </row>
    <row r="39" spans="2:16" ht="40.5" customHeight="1">
      <c r="B39" s="362" t="s">
        <v>1436</v>
      </c>
      <c r="C39" s="362"/>
      <c r="D39" s="362"/>
      <c r="E39" s="362"/>
      <c r="F39" s="362"/>
      <c r="G39" s="362"/>
      <c r="H39" s="362"/>
      <c r="I39" s="362"/>
      <c r="J39" s="362"/>
      <c r="K39" s="362"/>
      <c r="L39" s="362"/>
      <c r="M39" s="362"/>
      <c r="N39" s="362"/>
      <c r="O39" s="362"/>
      <c r="P39" s="247"/>
    </row>
    <row r="40" spans="2:16" ht="51" customHeight="1">
      <c r="B40" s="164" t="s">
        <v>742</v>
      </c>
      <c r="C40" s="164" t="s">
        <v>25</v>
      </c>
      <c r="D40" s="164" t="s">
        <v>86</v>
      </c>
      <c r="E40" s="164" t="s">
        <v>27</v>
      </c>
      <c r="F40" s="164" t="s">
        <v>28</v>
      </c>
      <c r="G40" s="164" t="s">
        <v>357</v>
      </c>
      <c r="H40" s="164" t="s">
        <v>31</v>
      </c>
      <c r="I40" s="165" t="s">
        <v>63</v>
      </c>
      <c r="J40" s="164" t="s">
        <v>336</v>
      </c>
      <c r="K40" s="164" t="s">
        <v>1443</v>
      </c>
      <c r="L40" s="164" t="s">
        <v>58</v>
      </c>
      <c r="M40" s="164" t="s">
        <v>64</v>
      </c>
      <c r="N40" s="164" t="s">
        <v>1442</v>
      </c>
      <c r="O40" s="164" t="s">
        <v>750</v>
      </c>
    </row>
    <row r="41" spans="2:16" ht="47.5" customHeight="1">
      <c r="B41" s="275" t="s">
        <v>729</v>
      </c>
      <c r="C41" s="275">
        <v>103024</v>
      </c>
      <c r="D41" s="276">
        <v>46142</v>
      </c>
      <c r="E41" s="275" t="s">
        <v>1299</v>
      </c>
      <c r="F41" s="275"/>
      <c r="G41" s="277" t="s">
        <v>860</v>
      </c>
      <c r="H41" s="275" t="s">
        <v>98</v>
      </c>
      <c r="I41" s="278" t="s">
        <v>713</v>
      </c>
      <c r="J41" s="275">
        <v>30</v>
      </c>
      <c r="K41" s="275">
        <v>1</v>
      </c>
      <c r="L41" s="279">
        <v>2145000</v>
      </c>
      <c r="M41" s="276">
        <v>46147</v>
      </c>
      <c r="N41" s="276"/>
      <c r="O41" s="363" t="s">
        <v>1437</v>
      </c>
    </row>
    <row r="42" spans="2:16" ht="47.5" customHeight="1">
      <c r="B42" s="275" t="s">
        <v>729</v>
      </c>
      <c r="C42" s="275">
        <v>103024</v>
      </c>
      <c r="D42" s="276">
        <v>46142</v>
      </c>
      <c r="E42" s="275" t="s">
        <v>1299</v>
      </c>
      <c r="F42" s="275"/>
      <c r="G42" s="277" t="s">
        <v>860</v>
      </c>
      <c r="H42" s="275" t="s">
        <v>98</v>
      </c>
      <c r="I42" s="278" t="s">
        <v>163</v>
      </c>
      <c r="J42" s="275">
        <v>200</v>
      </c>
      <c r="K42" s="275">
        <v>8</v>
      </c>
      <c r="L42" s="279">
        <v>102960000</v>
      </c>
      <c r="M42" s="276">
        <v>46147</v>
      </c>
      <c r="N42" s="276"/>
      <c r="O42" s="363" t="s">
        <v>1437</v>
      </c>
    </row>
    <row r="43" spans="2:16" ht="47.5" customHeight="1">
      <c r="B43" s="275" t="s">
        <v>729</v>
      </c>
      <c r="C43" s="275">
        <v>1413806</v>
      </c>
      <c r="D43" s="276">
        <v>46142</v>
      </c>
      <c r="E43" s="275" t="s">
        <v>1301</v>
      </c>
      <c r="F43" s="275"/>
      <c r="G43" s="277" t="s">
        <v>794</v>
      </c>
      <c r="H43" s="275" t="s">
        <v>35</v>
      </c>
      <c r="I43" s="278" t="s">
        <v>67</v>
      </c>
      <c r="J43" s="275">
        <v>200</v>
      </c>
      <c r="K43" s="275">
        <v>8</v>
      </c>
      <c r="L43" s="279">
        <v>4965000</v>
      </c>
      <c r="M43" s="276">
        <v>46148</v>
      </c>
      <c r="N43" s="276"/>
      <c r="O43" s="363" t="s">
        <v>1438</v>
      </c>
    </row>
    <row r="44" spans="2:16" ht="47.5" customHeight="1">
      <c r="B44" s="275" t="s">
        <v>729</v>
      </c>
      <c r="C44" s="275">
        <v>1413806</v>
      </c>
      <c r="D44" s="276">
        <v>46142</v>
      </c>
      <c r="E44" s="275" t="s">
        <v>1301</v>
      </c>
      <c r="F44" s="275"/>
      <c r="G44" s="277" t="s">
        <v>794</v>
      </c>
      <c r="H44" s="275" t="s">
        <v>35</v>
      </c>
      <c r="I44" s="278" t="s">
        <v>627</v>
      </c>
      <c r="J44" s="275">
        <v>100</v>
      </c>
      <c r="K44" s="275">
        <v>4</v>
      </c>
      <c r="L44" s="279">
        <v>3450000</v>
      </c>
      <c r="M44" s="276">
        <v>46148</v>
      </c>
      <c r="N44" s="276"/>
      <c r="O44" s="363" t="s">
        <v>1438</v>
      </c>
    </row>
    <row r="45" spans="2:16" ht="35.5" customHeight="1">
      <c r="B45" s="234" t="s">
        <v>676</v>
      </c>
      <c r="C45" s="234">
        <v>9009596831</v>
      </c>
      <c r="D45" s="235">
        <v>46136</v>
      </c>
      <c r="E45" s="234" t="s">
        <v>1255</v>
      </c>
      <c r="F45" s="234"/>
      <c r="G45" s="236" t="s">
        <v>3</v>
      </c>
      <c r="H45" s="234" t="s">
        <v>42</v>
      </c>
      <c r="I45" s="237" t="s">
        <v>67</v>
      </c>
      <c r="J45" s="234">
        <v>200</v>
      </c>
      <c r="K45" s="234">
        <v>8</v>
      </c>
      <c r="L45" s="238">
        <v>5260000</v>
      </c>
      <c r="M45" s="235">
        <v>46171</v>
      </c>
      <c r="N45" s="369"/>
      <c r="O45" s="369"/>
    </row>
    <row r="46" spans="2:16" ht="35.5" customHeight="1">
      <c r="B46" s="234" t="s">
        <v>676</v>
      </c>
      <c r="C46" s="234">
        <v>9009596831</v>
      </c>
      <c r="D46" s="235">
        <v>46136</v>
      </c>
      <c r="E46" s="234" t="s">
        <v>1255</v>
      </c>
      <c r="F46" s="234"/>
      <c r="G46" s="236" t="s">
        <v>3</v>
      </c>
      <c r="H46" s="234" t="s">
        <v>42</v>
      </c>
      <c r="I46" s="237" t="s">
        <v>68</v>
      </c>
      <c r="J46" s="234">
        <v>50</v>
      </c>
      <c r="K46" s="234">
        <v>2</v>
      </c>
      <c r="L46" s="238">
        <v>2860000</v>
      </c>
      <c r="M46" s="235">
        <v>46171</v>
      </c>
      <c r="N46" s="369"/>
      <c r="O46" s="369"/>
    </row>
    <row r="47" spans="2:16" ht="35.5" customHeight="1">
      <c r="B47" s="234" t="s">
        <v>676</v>
      </c>
      <c r="C47" s="236"/>
      <c r="D47" s="235">
        <v>46142</v>
      </c>
      <c r="E47" s="234" t="s">
        <v>1305</v>
      </c>
      <c r="F47" s="234"/>
      <c r="G47" s="236" t="s">
        <v>15</v>
      </c>
      <c r="H47" s="234" t="s">
        <v>35</v>
      </c>
      <c r="I47" s="237" t="s">
        <v>186</v>
      </c>
      <c r="J47" s="234">
        <v>6</v>
      </c>
      <c r="K47" s="234">
        <v>0</v>
      </c>
      <c r="L47" s="238">
        <v>630000</v>
      </c>
      <c r="M47" s="235">
        <v>46146</v>
      </c>
      <c r="N47" s="369"/>
      <c r="O47" s="369"/>
    </row>
    <row r="48" spans="2:16" ht="35.5" customHeight="1">
      <c r="B48" s="234" t="s">
        <v>676</v>
      </c>
      <c r="C48" s="234">
        <v>50619</v>
      </c>
      <c r="D48" s="235">
        <v>46146</v>
      </c>
      <c r="E48" s="234" t="s">
        <v>1360</v>
      </c>
      <c r="F48" s="234"/>
      <c r="G48" s="236" t="s">
        <v>724</v>
      </c>
      <c r="H48" s="234" t="s">
        <v>752</v>
      </c>
      <c r="I48" s="237" t="s">
        <v>186</v>
      </c>
      <c r="J48" s="234">
        <v>15</v>
      </c>
      <c r="K48" s="234">
        <v>1</v>
      </c>
      <c r="L48" s="238">
        <v>1650000</v>
      </c>
      <c r="M48" s="235">
        <v>46150</v>
      </c>
      <c r="N48" s="369"/>
      <c r="O48" s="369"/>
    </row>
    <row r="49" spans="2:15" ht="35.5" customHeight="1">
      <c r="B49" s="234" t="s">
        <v>676</v>
      </c>
      <c r="C49" s="234">
        <v>50620</v>
      </c>
      <c r="D49" s="235">
        <v>46146</v>
      </c>
      <c r="E49" s="234" t="s">
        <v>1361</v>
      </c>
      <c r="F49" s="234"/>
      <c r="G49" s="236" t="s">
        <v>724</v>
      </c>
      <c r="H49" s="234" t="s">
        <v>1362</v>
      </c>
      <c r="I49" s="237" t="s">
        <v>726</v>
      </c>
      <c r="J49" s="234">
        <v>60</v>
      </c>
      <c r="K49" s="234">
        <v>3</v>
      </c>
      <c r="L49" s="238">
        <v>2400000</v>
      </c>
      <c r="M49" s="235">
        <v>46150</v>
      </c>
      <c r="N49" s="369"/>
      <c r="O49" s="369"/>
    </row>
    <row r="50" spans="2:15" ht="35.5" customHeight="1">
      <c r="B50" s="234" t="s">
        <v>676</v>
      </c>
      <c r="C50" s="234">
        <v>50621</v>
      </c>
      <c r="D50" s="235">
        <v>46146</v>
      </c>
      <c r="E50" s="234" t="s">
        <v>1363</v>
      </c>
      <c r="F50" s="234"/>
      <c r="G50" s="236" t="s">
        <v>724</v>
      </c>
      <c r="H50" s="234" t="s">
        <v>1362</v>
      </c>
      <c r="I50" s="237" t="s">
        <v>726</v>
      </c>
      <c r="J50" s="234">
        <v>40</v>
      </c>
      <c r="K50" s="234">
        <v>2</v>
      </c>
      <c r="L50" s="238">
        <v>1600000</v>
      </c>
      <c r="M50" s="235">
        <v>46150</v>
      </c>
      <c r="N50" s="369"/>
      <c r="O50" s="369"/>
    </row>
    <row r="51" spans="2:15" ht="35.5" customHeight="1">
      <c r="B51" s="234" t="s">
        <v>676</v>
      </c>
      <c r="C51" s="236"/>
      <c r="D51" s="235">
        <v>46147</v>
      </c>
      <c r="E51" s="234" t="s">
        <v>1378</v>
      </c>
      <c r="F51" s="234"/>
      <c r="G51" s="236" t="s">
        <v>10</v>
      </c>
      <c r="H51" s="234" t="s">
        <v>106</v>
      </c>
      <c r="I51" s="237" t="s">
        <v>71</v>
      </c>
      <c r="J51" s="234">
        <v>100</v>
      </c>
      <c r="K51" s="234">
        <v>4</v>
      </c>
      <c r="L51" s="238">
        <v>10250000</v>
      </c>
      <c r="M51" s="235">
        <v>46149</v>
      </c>
      <c r="N51" s="369"/>
      <c r="O51" s="369"/>
    </row>
    <row r="52" spans="2:15" ht="35.5" customHeight="1">
      <c r="B52" s="234" t="s">
        <v>676</v>
      </c>
      <c r="C52" s="236"/>
      <c r="D52" s="235">
        <v>46147</v>
      </c>
      <c r="E52" s="234" t="s">
        <v>1378</v>
      </c>
      <c r="F52" s="234"/>
      <c r="G52" s="236" t="s">
        <v>10</v>
      </c>
      <c r="H52" s="234" t="s">
        <v>106</v>
      </c>
      <c r="I52" s="237" t="s">
        <v>930</v>
      </c>
      <c r="J52" s="234">
        <v>100</v>
      </c>
      <c r="K52" s="234">
        <v>4</v>
      </c>
      <c r="L52" s="238">
        <v>15030000</v>
      </c>
      <c r="M52" s="235">
        <v>46149</v>
      </c>
      <c r="N52" s="369"/>
      <c r="O52" s="369"/>
    </row>
    <row r="53" spans="2:15" ht="35.5" customHeight="1">
      <c r="B53" s="234" t="s">
        <v>676</v>
      </c>
      <c r="C53" s="236"/>
      <c r="D53" s="235">
        <v>46147</v>
      </c>
      <c r="E53" s="234" t="s">
        <v>1378</v>
      </c>
      <c r="F53" s="234"/>
      <c r="G53" s="236" t="s">
        <v>10</v>
      </c>
      <c r="H53" s="234" t="s">
        <v>106</v>
      </c>
      <c r="I53" s="237" t="s">
        <v>92</v>
      </c>
      <c r="J53" s="234">
        <v>50</v>
      </c>
      <c r="K53" s="234">
        <v>2</v>
      </c>
      <c r="L53" s="238">
        <v>2825000</v>
      </c>
      <c r="M53" s="235">
        <v>46149</v>
      </c>
      <c r="N53" s="369"/>
      <c r="O53" s="369"/>
    </row>
    <row r="54" spans="2:15" ht="35.5" customHeight="1">
      <c r="B54" s="234" t="s">
        <v>676</v>
      </c>
      <c r="C54" s="236"/>
      <c r="D54" s="235">
        <v>46147</v>
      </c>
      <c r="E54" s="234" t="s">
        <v>1378</v>
      </c>
      <c r="F54" s="234"/>
      <c r="G54" s="236" t="s">
        <v>10</v>
      </c>
      <c r="H54" s="234" t="s">
        <v>106</v>
      </c>
      <c r="I54" s="237" t="s">
        <v>68</v>
      </c>
      <c r="J54" s="234">
        <v>200</v>
      </c>
      <c r="K54" s="234">
        <v>8</v>
      </c>
      <c r="L54" s="238">
        <v>10600000</v>
      </c>
      <c r="M54" s="235">
        <v>46149</v>
      </c>
      <c r="N54" s="369"/>
      <c r="O54" s="369"/>
    </row>
    <row r="55" spans="2:15" ht="35.5" customHeight="1">
      <c r="B55" s="234" t="s">
        <v>676</v>
      </c>
      <c r="C55" s="236"/>
      <c r="D55" s="235">
        <v>46147</v>
      </c>
      <c r="E55" s="234" t="s">
        <v>1378</v>
      </c>
      <c r="F55" s="234"/>
      <c r="G55" s="236" t="s">
        <v>10</v>
      </c>
      <c r="H55" s="234" t="s">
        <v>106</v>
      </c>
      <c r="I55" s="237" t="s">
        <v>717</v>
      </c>
      <c r="J55" s="234">
        <v>100</v>
      </c>
      <c r="K55" s="234">
        <v>4</v>
      </c>
      <c r="L55" s="238">
        <v>19000000</v>
      </c>
      <c r="M55" s="235">
        <v>46149</v>
      </c>
      <c r="N55" s="369"/>
      <c r="O55" s="369"/>
    </row>
    <row r="56" spans="2:15" ht="35.5" customHeight="1">
      <c r="B56" s="234" t="s">
        <v>676</v>
      </c>
      <c r="C56" s="236"/>
      <c r="D56" s="235">
        <v>46147</v>
      </c>
      <c r="E56" s="234" t="s">
        <v>1379</v>
      </c>
      <c r="F56" s="234"/>
      <c r="G56" s="236" t="s">
        <v>10</v>
      </c>
      <c r="H56" s="234" t="s">
        <v>106</v>
      </c>
      <c r="I56" s="237" t="s">
        <v>722</v>
      </c>
      <c r="J56" s="234">
        <v>15</v>
      </c>
      <c r="K56" s="234">
        <v>1</v>
      </c>
      <c r="L56" s="234">
        <v>0</v>
      </c>
      <c r="M56" s="235">
        <v>46149</v>
      </c>
      <c r="N56" s="369"/>
      <c r="O56" s="369"/>
    </row>
    <row r="57" spans="2:15" ht="35.5" customHeight="1">
      <c r="B57" s="234" t="s">
        <v>676</v>
      </c>
      <c r="C57" s="234">
        <v>4504061849</v>
      </c>
      <c r="D57" s="235">
        <v>46148</v>
      </c>
      <c r="E57" s="234" t="s">
        <v>1391</v>
      </c>
      <c r="F57" s="234"/>
      <c r="G57" s="236" t="s">
        <v>130</v>
      </c>
      <c r="H57" s="234" t="s">
        <v>98</v>
      </c>
      <c r="I57" s="237" t="s">
        <v>150</v>
      </c>
      <c r="J57" s="234">
        <v>1500</v>
      </c>
      <c r="K57" s="234">
        <v>60</v>
      </c>
      <c r="L57" s="238">
        <v>26625000</v>
      </c>
      <c r="M57" s="235">
        <v>46150</v>
      </c>
      <c r="N57" s="369"/>
      <c r="O57" s="369"/>
    </row>
    <row r="58" spans="2:15" ht="35.5" customHeight="1">
      <c r="B58" s="234" t="s">
        <v>676</v>
      </c>
      <c r="C58" s="236"/>
      <c r="D58" s="235">
        <v>46210</v>
      </c>
      <c r="E58" s="234" t="s">
        <v>1418</v>
      </c>
      <c r="F58" s="234"/>
      <c r="G58" s="236" t="s">
        <v>15</v>
      </c>
      <c r="H58" s="234" t="s">
        <v>35</v>
      </c>
      <c r="I58" s="237" t="s">
        <v>186</v>
      </c>
      <c r="J58" s="234">
        <v>3</v>
      </c>
      <c r="K58" s="234">
        <v>0</v>
      </c>
      <c r="L58" s="238">
        <v>315000</v>
      </c>
      <c r="M58" s="235">
        <v>46149</v>
      </c>
      <c r="N58" s="369"/>
      <c r="O58" s="369"/>
    </row>
    <row r="59" spans="2:15" ht="35.5" customHeight="1">
      <c r="B59" s="234" t="s">
        <v>676</v>
      </c>
      <c r="C59" s="236"/>
      <c r="D59" s="235">
        <v>46150</v>
      </c>
      <c r="E59" s="234" t="s">
        <v>1419</v>
      </c>
      <c r="F59" s="234"/>
      <c r="G59" s="236" t="s">
        <v>430</v>
      </c>
      <c r="H59" s="234" t="s">
        <v>322</v>
      </c>
      <c r="I59" s="237" t="s">
        <v>1165</v>
      </c>
      <c r="J59" s="234">
        <v>20</v>
      </c>
      <c r="K59" s="234">
        <v>1</v>
      </c>
      <c r="L59" s="238">
        <v>1440000</v>
      </c>
      <c r="M59" s="235">
        <v>46150</v>
      </c>
      <c r="N59" s="369"/>
      <c r="O59" s="369"/>
    </row>
    <row r="60" spans="2:15" ht="35.5" customHeight="1">
      <c r="B60" s="234" t="s">
        <v>676</v>
      </c>
      <c r="C60" s="236"/>
      <c r="D60" s="235">
        <v>46150</v>
      </c>
      <c r="E60" s="234" t="s">
        <v>1421</v>
      </c>
      <c r="F60" s="234"/>
      <c r="G60" s="236" t="s">
        <v>15</v>
      </c>
      <c r="H60" s="234" t="s">
        <v>35</v>
      </c>
      <c r="I60" s="237" t="s">
        <v>1422</v>
      </c>
      <c r="J60" s="234">
        <v>15</v>
      </c>
      <c r="K60" s="234">
        <v>1</v>
      </c>
      <c r="L60" s="238">
        <v>930000</v>
      </c>
      <c r="M60" s="235">
        <v>46150</v>
      </c>
      <c r="N60" s="369"/>
      <c r="O60" s="369"/>
    </row>
    <row r="61" spans="2:15" ht="35.5" customHeight="1">
      <c r="B61" s="234" t="s">
        <v>676</v>
      </c>
      <c r="C61" s="236"/>
      <c r="D61" s="235">
        <v>46150</v>
      </c>
      <c r="E61" s="234" t="s">
        <v>1421</v>
      </c>
      <c r="F61" s="234"/>
      <c r="G61" s="236" t="s">
        <v>15</v>
      </c>
      <c r="H61" s="234" t="s">
        <v>35</v>
      </c>
      <c r="I61" s="237" t="s">
        <v>1165</v>
      </c>
      <c r="J61" s="234">
        <v>5</v>
      </c>
      <c r="K61" s="234">
        <v>0</v>
      </c>
      <c r="L61" s="238">
        <v>360000</v>
      </c>
      <c r="M61" s="235">
        <v>46150</v>
      </c>
      <c r="N61" s="369"/>
      <c r="O61" s="369"/>
    </row>
    <row r="62" spans="2:15" ht="53.5" customHeight="1">
      <c r="B62" s="220" t="s">
        <v>73</v>
      </c>
      <c r="C62" s="220">
        <v>4500088706</v>
      </c>
      <c r="D62" s="221">
        <v>46146</v>
      </c>
      <c r="E62" s="220" t="s">
        <v>1328</v>
      </c>
      <c r="F62" s="364"/>
      <c r="G62" s="222" t="s">
        <v>709</v>
      </c>
      <c r="H62" s="220" t="s">
        <v>331</v>
      </c>
      <c r="I62" s="223" t="s">
        <v>856</v>
      </c>
      <c r="J62" s="220">
        <v>1000</v>
      </c>
      <c r="K62" s="220">
        <v>40</v>
      </c>
      <c r="L62" s="224">
        <v>19250000</v>
      </c>
      <c r="M62" s="221">
        <v>46148</v>
      </c>
      <c r="N62" s="365"/>
      <c r="O62" s="366" t="s">
        <v>1439</v>
      </c>
    </row>
    <row r="63" spans="2:15" ht="31.5" customHeight="1">
      <c r="B63" s="228" t="s">
        <v>714</v>
      </c>
      <c r="C63" s="228">
        <v>4500377573</v>
      </c>
      <c r="D63" s="229">
        <v>46135</v>
      </c>
      <c r="E63" s="228" t="s">
        <v>1240</v>
      </c>
      <c r="F63" s="367"/>
      <c r="G63" s="230" t="s">
        <v>22</v>
      </c>
      <c r="H63" s="228" t="s">
        <v>98</v>
      </c>
      <c r="I63" s="231" t="s">
        <v>717</v>
      </c>
      <c r="J63" s="228">
        <v>125</v>
      </c>
      <c r="K63" s="228">
        <v>5</v>
      </c>
      <c r="L63" s="232">
        <v>23750000</v>
      </c>
      <c r="M63" s="229">
        <v>46148</v>
      </c>
      <c r="N63" s="368"/>
      <c r="O63" s="233" t="s">
        <v>1440</v>
      </c>
    </row>
    <row r="64" spans="2:15" ht="31.5" customHeight="1">
      <c r="B64" s="228" t="s">
        <v>714</v>
      </c>
      <c r="C64" s="228" t="s">
        <v>1272</v>
      </c>
      <c r="D64" s="229">
        <v>46140</v>
      </c>
      <c r="E64" s="228" t="s">
        <v>1273</v>
      </c>
      <c r="F64" s="367"/>
      <c r="G64" s="230" t="s">
        <v>311</v>
      </c>
      <c r="H64" s="228" t="s">
        <v>1048</v>
      </c>
      <c r="I64" s="231" t="s">
        <v>1049</v>
      </c>
      <c r="J64" s="228">
        <v>10</v>
      </c>
      <c r="K64" s="228">
        <v>0</v>
      </c>
      <c r="L64" s="232">
        <v>700000</v>
      </c>
      <c r="M64" s="229">
        <v>46116</v>
      </c>
      <c r="N64" s="368"/>
      <c r="O64" s="233" t="s">
        <v>1441</v>
      </c>
    </row>
  </sheetData>
  <mergeCells count="7">
    <mergeCell ref="B39:O39"/>
    <mergeCell ref="B34:C34"/>
    <mergeCell ref="B4:D4"/>
    <mergeCell ref="F4:G4"/>
    <mergeCell ref="B5:B6"/>
    <mergeCell ref="D5:D6"/>
    <mergeCell ref="F5:F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BFB7-1843-44E2-A28B-4BB48CAD6077}">
  <dimension ref="A3:A105"/>
  <sheetViews>
    <sheetView workbookViewId="0">
      <selection activeCell="A5" sqref="A5:A8"/>
    </sheetView>
  </sheetViews>
  <sheetFormatPr baseColWidth="10" defaultRowHeight="13"/>
  <cols>
    <col min="1" max="1" width="51.796875" bestFit="1" customWidth="1"/>
  </cols>
  <sheetData>
    <row r="3" spans="1:1">
      <c r="A3" s="72" t="s">
        <v>0</v>
      </c>
    </row>
    <row r="4" spans="1:1">
      <c r="A4" s="35" t="s">
        <v>729</v>
      </c>
    </row>
    <row r="5" spans="1:1">
      <c r="A5" s="116" t="s">
        <v>957</v>
      </c>
    </row>
    <row r="6" spans="1:1">
      <c r="A6" s="116" t="s">
        <v>1047</v>
      </c>
    </row>
    <row r="7" spans="1:1">
      <c r="A7" s="116" t="s">
        <v>1087</v>
      </c>
    </row>
    <row r="8" spans="1:1">
      <c r="A8" s="116" t="s">
        <v>1226</v>
      </c>
    </row>
    <row r="9" spans="1:1">
      <c r="A9" s="35" t="s">
        <v>732</v>
      </c>
    </row>
    <row r="10" spans="1:1">
      <c r="A10" s="116" t="s">
        <v>768</v>
      </c>
    </row>
    <row r="11" spans="1:1">
      <c r="A11" s="116" t="s">
        <v>847</v>
      </c>
    </row>
    <row r="12" spans="1:1">
      <c r="A12" s="116" t="s">
        <v>867</v>
      </c>
    </row>
    <row r="13" spans="1:1">
      <c r="A13" s="116" t="s">
        <v>1035</v>
      </c>
    </row>
    <row r="14" spans="1:1">
      <c r="A14" s="116" t="s">
        <v>817</v>
      </c>
    </row>
    <row r="15" spans="1:1">
      <c r="A15" s="116" t="s">
        <v>839</v>
      </c>
    </row>
    <row r="16" spans="1:1">
      <c r="A16" s="116" t="s">
        <v>1118</v>
      </c>
    </row>
    <row r="17" spans="1:1">
      <c r="A17" s="116" t="s">
        <v>1122</v>
      </c>
    </row>
    <row r="18" spans="1:1">
      <c r="A18" s="116" t="s">
        <v>1196</v>
      </c>
    </row>
    <row r="19" spans="1:1">
      <c r="A19" s="116" t="s">
        <v>1226</v>
      </c>
    </row>
    <row r="20" spans="1:1">
      <c r="A20" s="35" t="s">
        <v>65</v>
      </c>
    </row>
    <row r="21" spans="1:1">
      <c r="A21" s="116" t="s">
        <v>255</v>
      </c>
    </row>
    <row r="22" spans="1:1">
      <c r="A22" s="116" t="s">
        <v>947</v>
      </c>
    </row>
    <row r="23" spans="1:1">
      <c r="A23" s="116" t="s">
        <v>1140</v>
      </c>
    </row>
    <row r="24" spans="1:1">
      <c r="A24" s="35" t="s">
        <v>676</v>
      </c>
    </row>
    <row r="25" spans="1:1">
      <c r="A25" s="116" t="s">
        <v>758</v>
      </c>
    </row>
    <row r="26" spans="1:1">
      <c r="A26" s="116" t="s">
        <v>811</v>
      </c>
    </row>
    <row r="27" spans="1:1">
      <c r="A27" s="116" t="s">
        <v>814</v>
      </c>
    </row>
    <row r="28" spans="1:1">
      <c r="A28" s="116" t="s">
        <v>818</v>
      </c>
    </row>
    <row r="29" spans="1:1">
      <c r="A29" s="116" t="s">
        <v>768</v>
      </c>
    </row>
    <row r="30" spans="1:1">
      <c r="A30" s="116" t="s">
        <v>769</v>
      </c>
    </row>
    <row r="31" spans="1:1">
      <c r="A31" s="116" t="s">
        <v>771</v>
      </c>
    </row>
    <row r="32" spans="1:1">
      <c r="A32" s="116" t="s">
        <v>804</v>
      </c>
    </row>
    <row r="33" spans="1:1">
      <c r="A33" s="116" t="s">
        <v>806</v>
      </c>
    </row>
    <row r="34" spans="1:1">
      <c r="A34" s="116" t="s">
        <v>837</v>
      </c>
    </row>
    <row r="35" spans="1:1">
      <c r="A35" s="116" t="s">
        <v>843</v>
      </c>
    </row>
    <row r="36" spans="1:1">
      <c r="A36" s="116" t="s">
        <v>847</v>
      </c>
    </row>
    <row r="37" spans="1:1">
      <c r="A37" s="116" t="s">
        <v>867</v>
      </c>
    </row>
    <row r="38" spans="1:1">
      <c r="A38" s="116" t="s">
        <v>877</v>
      </c>
    </row>
    <row r="39" spans="1:1">
      <c r="A39" s="116" t="s">
        <v>882</v>
      </c>
    </row>
    <row r="40" spans="1:1">
      <c r="A40" s="116" t="s">
        <v>890</v>
      </c>
    </row>
    <row r="41" spans="1:1">
      <c r="A41" s="116" t="s">
        <v>926</v>
      </c>
    </row>
    <row r="42" spans="1:1">
      <c r="A42" s="116" t="s">
        <v>933</v>
      </c>
    </row>
    <row r="43" spans="1:1">
      <c r="A43" s="116" t="s">
        <v>931</v>
      </c>
    </row>
    <row r="44" spans="1:1">
      <c r="A44" s="116" t="s">
        <v>944</v>
      </c>
    </row>
    <row r="45" spans="1:1">
      <c r="A45" s="116" t="s">
        <v>961</v>
      </c>
    </row>
    <row r="46" spans="1:1">
      <c r="A46" s="116" t="s">
        <v>990</v>
      </c>
    </row>
    <row r="47" spans="1:1">
      <c r="A47" s="116" t="s">
        <v>1007</v>
      </c>
    </row>
    <row r="48" spans="1:1">
      <c r="A48" s="116" t="s">
        <v>1008</v>
      </c>
    </row>
    <row r="49" spans="1:1">
      <c r="A49" s="116" t="s">
        <v>1069</v>
      </c>
    </row>
    <row r="50" spans="1:1">
      <c r="A50" s="116" t="s">
        <v>1093</v>
      </c>
    </row>
    <row r="51" spans="1:1">
      <c r="A51" s="116" t="s">
        <v>813</v>
      </c>
    </row>
    <row r="52" spans="1:1">
      <c r="A52" s="116" t="s">
        <v>1125</v>
      </c>
    </row>
    <row r="53" spans="1:1">
      <c r="A53" s="116" t="s">
        <v>1135</v>
      </c>
    </row>
    <row r="54" spans="1:1">
      <c r="A54" s="116" t="s">
        <v>1186</v>
      </c>
    </row>
    <row r="55" spans="1:1">
      <c r="A55" s="116" t="s">
        <v>1200</v>
      </c>
    </row>
    <row r="56" spans="1:1">
      <c r="A56" s="116" t="s">
        <v>1202</v>
      </c>
    </row>
    <row r="57" spans="1:1">
      <c r="A57" s="35" t="s">
        <v>1051</v>
      </c>
    </row>
    <row r="58" spans="1:1">
      <c r="A58" s="116" t="s">
        <v>1052</v>
      </c>
    </row>
    <row r="59" spans="1:1">
      <c r="A59" s="116" t="s">
        <v>1054</v>
      </c>
    </row>
    <row r="60" spans="1:1">
      <c r="A60" s="35" t="s">
        <v>816</v>
      </c>
    </row>
    <row r="61" spans="1:1">
      <c r="A61" s="116" t="s">
        <v>817</v>
      </c>
    </row>
    <row r="62" spans="1:1">
      <c r="A62" s="116" t="s">
        <v>839</v>
      </c>
    </row>
    <row r="63" spans="1:1">
      <c r="A63" s="35" t="s">
        <v>869</v>
      </c>
    </row>
    <row r="64" spans="1:1">
      <c r="A64" s="116" t="s">
        <v>870</v>
      </c>
    </row>
    <row r="65" spans="1:1">
      <c r="A65" s="116" t="s">
        <v>877</v>
      </c>
    </row>
    <row r="66" spans="1:1">
      <c r="A66" s="35" t="s">
        <v>1227</v>
      </c>
    </row>
    <row r="67" spans="1:1">
      <c r="A67" s="116" t="s">
        <v>1157</v>
      </c>
    </row>
    <row r="68" spans="1:1">
      <c r="A68" s="35" t="s">
        <v>73</v>
      </c>
    </row>
    <row r="69" spans="1:1">
      <c r="A69" s="116" t="s">
        <v>759</v>
      </c>
    </row>
    <row r="70" spans="1:1">
      <c r="A70" s="116" t="s">
        <v>764</v>
      </c>
    </row>
    <row r="71" spans="1:1">
      <c r="A71" s="116" t="s">
        <v>765</v>
      </c>
    </row>
    <row r="72" spans="1:1">
      <c r="A72" s="116" t="s">
        <v>849</v>
      </c>
    </row>
    <row r="73" spans="1:1">
      <c r="A73" s="116" t="s">
        <v>859</v>
      </c>
    </row>
    <row r="74" spans="1:1">
      <c r="A74" s="116" t="s">
        <v>903</v>
      </c>
    </row>
    <row r="75" spans="1:1">
      <c r="A75" s="116" t="s">
        <v>913</v>
      </c>
    </row>
    <row r="76" spans="1:1">
      <c r="A76" s="116" t="s">
        <v>923</v>
      </c>
    </row>
    <row r="77" spans="1:1">
      <c r="A77" s="116" t="s">
        <v>937</v>
      </c>
    </row>
    <row r="78" spans="1:1">
      <c r="A78" s="116" t="s">
        <v>919</v>
      </c>
    </row>
    <row r="79" spans="1:1">
      <c r="A79" s="116" t="s">
        <v>974</v>
      </c>
    </row>
    <row r="80" spans="1:1">
      <c r="A80" s="116" t="s">
        <v>989</v>
      </c>
    </row>
    <row r="81" spans="1:1">
      <c r="A81" s="116" t="s">
        <v>1029</v>
      </c>
    </row>
    <row r="82" spans="1:1">
      <c r="A82" s="116" t="s">
        <v>1035</v>
      </c>
    </row>
    <row r="83" spans="1:1">
      <c r="A83" s="116" t="s">
        <v>1110</v>
      </c>
    </row>
    <row r="84" spans="1:1">
      <c r="A84" s="116" t="s">
        <v>1118</v>
      </c>
    </row>
    <row r="85" spans="1:1">
      <c r="A85" s="116" t="s">
        <v>1120</v>
      </c>
    </row>
    <row r="86" spans="1:1">
      <c r="A86" s="116" t="s">
        <v>1122</v>
      </c>
    </row>
    <row r="87" spans="1:1">
      <c r="A87" s="35" t="s">
        <v>853</v>
      </c>
    </row>
    <row r="88" spans="1:1">
      <c r="A88" s="116" t="s">
        <v>854</v>
      </c>
    </row>
    <row r="89" spans="1:1">
      <c r="A89" s="35" t="s">
        <v>1223</v>
      </c>
    </row>
    <row r="90" spans="1:1">
      <c r="A90" s="116" t="s">
        <v>1128</v>
      </c>
    </row>
    <row r="91" spans="1:1">
      <c r="A91" s="35" t="s">
        <v>714</v>
      </c>
    </row>
    <row r="92" spans="1:1">
      <c r="A92" s="116" t="s">
        <v>783</v>
      </c>
    </row>
    <row r="93" spans="1:1">
      <c r="A93" s="116" t="s">
        <v>792</v>
      </c>
    </row>
    <row r="94" spans="1:1">
      <c r="A94" s="116" t="s">
        <v>821</v>
      </c>
    </row>
    <row r="95" spans="1:1">
      <c r="A95" s="116" t="s">
        <v>826</v>
      </c>
    </row>
    <row r="96" spans="1:1">
      <c r="A96" s="116" t="s">
        <v>835</v>
      </c>
    </row>
    <row r="97" spans="1:1">
      <c r="A97" s="116" t="s">
        <v>841</v>
      </c>
    </row>
    <row r="98" spans="1:1">
      <c r="A98" s="116" t="s">
        <v>908</v>
      </c>
    </row>
    <row r="99" spans="1:1">
      <c r="A99" s="116" t="s">
        <v>1003</v>
      </c>
    </row>
    <row r="100" spans="1:1">
      <c r="A100" s="116" t="s">
        <v>1069</v>
      </c>
    </row>
    <row r="101" spans="1:1">
      <c r="A101" s="116" t="s">
        <v>1065</v>
      </c>
    </row>
    <row r="102" spans="1:1">
      <c r="A102" s="116" t="s">
        <v>1105</v>
      </c>
    </row>
    <row r="103" spans="1:1">
      <c r="A103" s="116" t="s">
        <v>1182</v>
      </c>
    </row>
    <row r="104" spans="1:1">
      <c r="A104" s="116" t="s">
        <v>1230</v>
      </c>
    </row>
    <row r="105" spans="1:1">
      <c r="A105" s="35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34A8C-4007-4859-9F00-4E2A46461AF2}">
  <dimension ref="A1:D118"/>
  <sheetViews>
    <sheetView workbookViewId="0">
      <selection sqref="A1:D118"/>
    </sheetView>
  </sheetViews>
  <sheetFormatPr baseColWidth="10" defaultRowHeight="13"/>
  <sheetData>
    <row r="1" spans="1:4" ht="46.5" thickBot="1">
      <c r="A1" s="164" t="s">
        <v>742</v>
      </c>
      <c r="B1" s="164" t="s">
        <v>25</v>
      </c>
      <c r="C1" s="164" t="s">
        <v>86</v>
      </c>
      <c r="D1" s="164" t="s">
        <v>27</v>
      </c>
    </row>
    <row r="2" spans="1:4" ht="13.5" thickBot="1">
      <c r="A2" s="159" t="s">
        <v>732</v>
      </c>
      <c r="B2" s="340">
        <v>100818</v>
      </c>
      <c r="C2" s="341">
        <v>46090</v>
      </c>
      <c r="D2" s="342" t="s">
        <v>817</v>
      </c>
    </row>
    <row r="3" spans="1:4" ht="13.5" thickBot="1">
      <c r="A3" s="159" t="s">
        <v>732</v>
      </c>
      <c r="B3" s="343">
        <v>101700</v>
      </c>
      <c r="C3" s="344">
        <v>46111</v>
      </c>
      <c r="D3" s="343" t="s">
        <v>839</v>
      </c>
    </row>
    <row r="4" spans="1:4" ht="13.5" thickBot="1">
      <c r="A4" s="159" t="s">
        <v>732</v>
      </c>
      <c r="B4" s="343">
        <v>50221</v>
      </c>
      <c r="C4" s="344">
        <v>46112</v>
      </c>
      <c r="D4" s="343" t="s">
        <v>847</v>
      </c>
    </row>
    <row r="5" spans="1:4" ht="13.5" thickBot="1">
      <c r="A5" s="159" t="s">
        <v>732</v>
      </c>
      <c r="B5" s="343">
        <v>50239</v>
      </c>
      <c r="C5" s="344">
        <v>46112</v>
      </c>
      <c r="D5" s="343" t="s">
        <v>867</v>
      </c>
    </row>
    <row r="6" spans="1:4" ht="13.5" thickBot="1">
      <c r="A6" s="159" t="s">
        <v>732</v>
      </c>
      <c r="B6" s="343">
        <v>50165</v>
      </c>
      <c r="C6" s="344">
        <v>46107</v>
      </c>
      <c r="D6" s="343" t="s">
        <v>768</v>
      </c>
    </row>
    <row r="7" spans="1:4" ht="13.5" thickBot="1">
      <c r="A7" s="159" t="s">
        <v>732</v>
      </c>
      <c r="B7" s="343">
        <v>50165</v>
      </c>
      <c r="C7" s="344">
        <v>46107</v>
      </c>
      <c r="D7" s="343" t="s">
        <v>768</v>
      </c>
    </row>
    <row r="8" spans="1:4" ht="13.5" thickBot="1">
      <c r="A8" s="159" t="s">
        <v>732</v>
      </c>
      <c r="B8" s="343">
        <v>4500088189</v>
      </c>
      <c r="C8" s="344">
        <v>46125</v>
      </c>
      <c r="D8" s="343" t="s">
        <v>1035</v>
      </c>
    </row>
    <row r="9" spans="1:4" ht="13.5" thickBot="1">
      <c r="A9" s="159" t="s">
        <v>732</v>
      </c>
      <c r="B9" s="343">
        <v>102329</v>
      </c>
      <c r="C9" s="344">
        <v>46129</v>
      </c>
      <c r="D9" s="343" t="s">
        <v>1118</v>
      </c>
    </row>
    <row r="10" spans="1:4" ht="13.5" thickBot="1">
      <c r="A10" s="159" t="s">
        <v>732</v>
      </c>
      <c r="B10" s="343">
        <v>102331</v>
      </c>
      <c r="C10" s="344">
        <v>46129</v>
      </c>
      <c r="D10" s="343" t="s">
        <v>1122</v>
      </c>
    </row>
    <row r="11" spans="1:4" ht="13.5" thickBot="1">
      <c r="A11" s="159" t="s">
        <v>732</v>
      </c>
      <c r="B11" s="343" t="s">
        <v>1195</v>
      </c>
      <c r="C11" s="344">
        <v>46135</v>
      </c>
      <c r="D11" s="343" t="s">
        <v>1196</v>
      </c>
    </row>
    <row r="12" spans="1:4" ht="13.5" thickBot="1">
      <c r="A12" s="159" t="s">
        <v>732</v>
      </c>
      <c r="B12" s="343">
        <v>4500088572</v>
      </c>
      <c r="C12" s="344">
        <v>46139</v>
      </c>
      <c r="D12" s="343" t="s">
        <v>1226</v>
      </c>
    </row>
    <row r="13" spans="1:4" ht="23">
      <c r="A13" s="234" t="s">
        <v>676</v>
      </c>
      <c r="B13" s="234" t="s">
        <v>803</v>
      </c>
      <c r="C13" s="235">
        <v>46108</v>
      </c>
      <c r="D13" s="234" t="s">
        <v>804</v>
      </c>
    </row>
    <row r="14" spans="1:4" ht="23">
      <c r="A14" s="234" t="s">
        <v>676</v>
      </c>
      <c r="B14" s="234" t="s">
        <v>803</v>
      </c>
      <c r="C14" s="235">
        <v>46108</v>
      </c>
      <c r="D14" s="234" t="s">
        <v>806</v>
      </c>
    </row>
    <row r="15" spans="1:4">
      <c r="A15" s="234" t="s">
        <v>676</v>
      </c>
      <c r="B15" s="238">
        <v>100744</v>
      </c>
      <c r="C15" s="235">
        <v>46086</v>
      </c>
      <c r="D15" s="234" t="s">
        <v>811</v>
      </c>
    </row>
    <row r="16" spans="1:4">
      <c r="A16" s="234" t="s">
        <v>676</v>
      </c>
      <c r="B16" s="238">
        <v>100744</v>
      </c>
      <c r="C16" s="235">
        <v>46086</v>
      </c>
      <c r="D16" s="234" t="s">
        <v>813</v>
      </c>
    </row>
    <row r="17" spans="1:4">
      <c r="A17" s="234" t="s">
        <v>676</v>
      </c>
      <c r="B17" s="238">
        <v>100818</v>
      </c>
      <c r="C17" s="235">
        <v>46090</v>
      </c>
      <c r="D17" s="234" t="s">
        <v>814</v>
      </c>
    </row>
    <row r="18" spans="1:4">
      <c r="A18" s="234" t="s">
        <v>676</v>
      </c>
      <c r="B18" s="234">
        <v>101441</v>
      </c>
      <c r="C18" s="235">
        <v>46102</v>
      </c>
      <c r="D18" s="234" t="s">
        <v>818</v>
      </c>
    </row>
    <row r="19" spans="1:4">
      <c r="A19" s="234" t="s">
        <v>676</v>
      </c>
      <c r="B19" s="234">
        <v>101700</v>
      </c>
      <c r="C19" s="235">
        <v>46111</v>
      </c>
      <c r="D19" s="234" t="s">
        <v>837</v>
      </c>
    </row>
    <row r="20" spans="1:4">
      <c r="A20" s="234" t="s">
        <v>676</v>
      </c>
      <c r="B20" s="234">
        <v>101700</v>
      </c>
      <c r="C20" s="235">
        <v>46111</v>
      </c>
      <c r="D20" s="234" t="s">
        <v>837</v>
      </c>
    </row>
    <row r="21" spans="1:4">
      <c r="A21" s="234" t="s">
        <v>676</v>
      </c>
      <c r="B21" s="234">
        <v>101700</v>
      </c>
      <c r="C21" s="235">
        <v>46111</v>
      </c>
      <c r="D21" s="234" t="s">
        <v>837</v>
      </c>
    </row>
    <row r="22" spans="1:4">
      <c r="A22" s="234" t="s">
        <v>676</v>
      </c>
      <c r="B22" s="236"/>
      <c r="C22" s="235">
        <v>46112</v>
      </c>
      <c r="D22" s="234" t="s">
        <v>843</v>
      </c>
    </row>
    <row r="23" spans="1:4">
      <c r="A23" s="234" t="s">
        <v>676</v>
      </c>
      <c r="B23" s="234">
        <v>50221</v>
      </c>
      <c r="C23" s="235">
        <v>46112</v>
      </c>
      <c r="D23" s="234" t="s">
        <v>847</v>
      </c>
    </row>
    <row r="24" spans="1:4">
      <c r="A24" s="234" t="s">
        <v>676</v>
      </c>
      <c r="B24" s="234">
        <v>50239</v>
      </c>
      <c r="C24" s="235">
        <v>46112</v>
      </c>
      <c r="D24" s="234" t="s">
        <v>867</v>
      </c>
    </row>
    <row r="25" spans="1:4" ht="23">
      <c r="A25" s="234" t="s">
        <v>676</v>
      </c>
      <c r="B25" s="234" t="s">
        <v>876</v>
      </c>
      <c r="C25" s="235">
        <v>46113</v>
      </c>
      <c r="D25" s="234" t="s">
        <v>877</v>
      </c>
    </row>
    <row r="26" spans="1:4" ht="23">
      <c r="A26" s="234" t="s">
        <v>676</v>
      </c>
      <c r="B26" s="234" t="s">
        <v>876</v>
      </c>
      <c r="C26" s="235">
        <v>46113</v>
      </c>
      <c r="D26" s="234" t="s">
        <v>877</v>
      </c>
    </row>
    <row r="27" spans="1:4" ht="23">
      <c r="A27" s="234" t="s">
        <v>676</v>
      </c>
      <c r="B27" s="234" t="s">
        <v>876</v>
      </c>
      <c r="C27" s="235">
        <v>46113</v>
      </c>
      <c r="D27" s="234" t="s">
        <v>877</v>
      </c>
    </row>
    <row r="28" spans="1:4" ht="23">
      <c r="A28" s="234" t="s">
        <v>676</v>
      </c>
      <c r="B28" s="234" t="s">
        <v>876</v>
      </c>
      <c r="C28" s="235">
        <v>46113</v>
      </c>
      <c r="D28" s="234" t="s">
        <v>882</v>
      </c>
    </row>
    <row r="29" spans="1:4">
      <c r="A29" s="234" t="s">
        <v>676</v>
      </c>
      <c r="B29" s="234">
        <v>4500149862</v>
      </c>
      <c r="C29" s="235">
        <v>46113</v>
      </c>
      <c r="D29" s="234" t="s">
        <v>890</v>
      </c>
    </row>
    <row r="30" spans="1:4">
      <c r="A30" s="234" t="s">
        <v>676</v>
      </c>
      <c r="B30" s="234">
        <v>4500149862</v>
      </c>
      <c r="C30" s="235">
        <v>46113</v>
      </c>
      <c r="D30" s="234" t="s">
        <v>890</v>
      </c>
    </row>
    <row r="31" spans="1:4">
      <c r="A31" s="234" t="s">
        <v>676</v>
      </c>
      <c r="B31" s="236"/>
      <c r="C31" s="235">
        <v>46059</v>
      </c>
      <c r="D31" s="234" t="s">
        <v>926</v>
      </c>
    </row>
    <row r="32" spans="1:4">
      <c r="A32" s="234" t="s">
        <v>676</v>
      </c>
      <c r="B32" s="236"/>
      <c r="C32" s="235">
        <v>46059</v>
      </c>
      <c r="D32" s="234" t="s">
        <v>926</v>
      </c>
    </row>
    <row r="33" spans="1:4">
      <c r="A33" s="234" t="s">
        <v>676</v>
      </c>
      <c r="B33" s="234">
        <v>50165</v>
      </c>
      <c r="C33" s="235">
        <v>46107</v>
      </c>
      <c r="D33" s="234" t="s">
        <v>768</v>
      </c>
    </row>
    <row r="34" spans="1:4">
      <c r="A34" s="234" t="s">
        <v>676</v>
      </c>
      <c r="B34" s="234">
        <v>360085</v>
      </c>
      <c r="C34" s="235">
        <v>46118</v>
      </c>
      <c r="D34" s="234" t="s">
        <v>931</v>
      </c>
    </row>
    <row r="35" spans="1:4">
      <c r="A35" s="234" t="s">
        <v>676</v>
      </c>
      <c r="B35" s="236"/>
      <c r="C35" s="235">
        <v>46059</v>
      </c>
      <c r="D35" s="234" t="s">
        <v>933</v>
      </c>
    </row>
    <row r="36" spans="1:4">
      <c r="A36" s="234" t="s">
        <v>676</v>
      </c>
      <c r="B36" s="236"/>
      <c r="C36" s="235">
        <v>46059</v>
      </c>
      <c r="D36" s="234" t="s">
        <v>933</v>
      </c>
    </row>
    <row r="37" spans="1:4">
      <c r="A37" s="234" t="s">
        <v>676</v>
      </c>
      <c r="B37" s="234">
        <v>4504034159</v>
      </c>
      <c r="C37" s="235">
        <v>46119</v>
      </c>
      <c r="D37" s="234" t="s">
        <v>944</v>
      </c>
    </row>
    <row r="38" spans="1:4">
      <c r="A38" s="234" t="s">
        <v>676</v>
      </c>
      <c r="B38" s="236"/>
      <c r="C38" s="235">
        <v>46107</v>
      </c>
      <c r="D38" s="234" t="s">
        <v>769</v>
      </c>
    </row>
    <row r="39" spans="1:4">
      <c r="A39" s="234" t="s">
        <v>676</v>
      </c>
      <c r="B39" s="234" t="s">
        <v>770</v>
      </c>
      <c r="C39" s="235">
        <v>46107</v>
      </c>
      <c r="D39" s="234" t="s">
        <v>771</v>
      </c>
    </row>
    <row r="40" spans="1:4">
      <c r="A40" s="234" t="s">
        <v>676</v>
      </c>
      <c r="B40" s="236"/>
      <c r="C40" s="235">
        <v>46084</v>
      </c>
      <c r="D40" s="234" t="s">
        <v>758</v>
      </c>
    </row>
    <row r="41" spans="1:4">
      <c r="A41" s="234" t="s">
        <v>676</v>
      </c>
      <c r="B41" s="234">
        <v>50165</v>
      </c>
      <c r="C41" s="235">
        <v>46107</v>
      </c>
      <c r="D41" s="234" t="s">
        <v>768</v>
      </c>
    </row>
    <row r="42" spans="1:4">
      <c r="A42" s="234" t="s">
        <v>676</v>
      </c>
      <c r="B42" s="236"/>
      <c r="C42" s="235">
        <v>46119</v>
      </c>
      <c r="D42" s="234" t="s">
        <v>961</v>
      </c>
    </row>
    <row r="43" spans="1:4">
      <c r="A43" s="234" t="s">
        <v>676</v>
      </c>
      <c r="B43" s="236"/>
      <c r="C43" s="235">
        <v>46119</v>
      </c>
      <c r="D43" s="234" t="s">
        <v>961</v>
      </c>
    </row>
    <row r="44" spans="1:4">
      <c r="A44" s="234" t="s">
        <v>676</v>
      </c>
      <c r="B44" s="236"/>
      <c r="C44" s="235">
        <v>46121</v>
      </c>
      <c r="D44" s="234" t="s">
        <v>990</v>
      </c>
    </row>
    <row r="45" spans="1:4">
      <c r="A45" s="234" t="s">
        <v>676</v>
      </c>
      <c r="B45" s="234">
        <v>840</v>
      </c>
      <c r="C45" s="235">
        <v>46121</v>
      </c>
      <c r="D45" s="234" t="s">
        <v>1007</v>
      </c>
    </row>
    <row r="46" spans="1:4">
      <c r="A46" s="234" t="s">
        <v>676</v>
      </c>
      <c r="B46" s="234">
        <v>840</v>
      </c>
      <c r="C46" s="235">
        <v>46121</v>
      </c>
      <c r="D46" s="234" t="s">
        <v>1007</v>
      </c>
    </row>
    <row r="47" spans="1:4">
      <c r="A47" s="234" t="s">
        <v>676</v>
      </c>
      <c r="B47" s="234">
        <v>840</v>
      </c>
      <c r="C47" s="235">
        <v>46121</v>
      </c>
      <c r="D47" s="234" t="s">
        <v>1007</v>
      </c>
    </row>
    <row r="48" spans="1:4">
      <c r="A48" s="234" t="s">
        <v>676</v>
      </c>
      <c r="B48" s="234">
        <v>840</v>
      </c>
      <c r="C48" s="235">
        <v>46121</v>
      </c>
      <c r="D48" s="234" t="s">
        <v>1007</v>
      </c>
    </row>
    <row r="49" spans="1:4">
      <c r="A49" s="234" t="s">
        <v>676</v>
      </c>
      <c r="B49" s="234">
        <v>840</v>
      </c>
      <c r="C49" s="235">
        <v>46121</v>
      </c>
      <c r="D49" s="234" t="s">
        <v>1008</v>
      </c>
    </row>
    <row r="50" spans="1:4">
      <c r="A50" s="234" t="s">
        <v>676</v>
      </c>
      <c r="B50" s="236"/>
      <c r="C50" s="235">
        <v>46126</v>
      </c>
      <c r="D50" s="234" t="s">
        <v>1069</v>
      </c>
    </row>
    <row r="51" spans="1:4">
      <c r="A51" s="234" t="s">
        <v>676</v>
      </c>
      <c r="B51" s="236"/>
      <c r="C51" s="235">
        <v>46126</v>
      </c>
      <c r="D51" s="234" t="s">
        <v>1069</v>
      </c>
    </row>
    <row r="52" spans="1:4" ht="23">
      <c r="A52" s="234" t="s">
        <v>676</v>
      </c>
      <c r="B52" s="234" t="s">
        <v>1092</v>
      </c>
      <c r="C52" s="235">
        <v>46127</v>
      </c>
      <c r="D52" s="234" t="s">
        <v>1093</v>
      </c>
    </row>
    <row r="53" spans="1:4" ht="34.5">
      <c r="A53" s="234" t="s">
        <v>676</v>
      </c>
      <c r="B53" s="234" t="s">
        <v>79</v>
      </c>
      <c r="C53" s="235">
        <v>46129</v>
      </c>
      <c r="D53" s="234" t="s">
        <v>1125</v>
      </c>
    </row>
    <row r="54" spans="1:4">
      <c r="A54" s="234" t="s">
        <v>676</v>
      </c>
      <c r="B54" s="234" t="s">
        <v>1134</v>
      </c>
      <c r="C54" s="235">
        <v>46129</v>
      </c>
      <c r="D54" s="234" t="s">
        <v>1135</v>
      </c>
    </row>
    <row r="55" spans="1:4">
      <c r="A55" s="234" t="s">
        <v>676</v>
      </c>
      <c r="B55" s="234" t="s">
        <v>1134</v>
      </c>
      <c r="C55" s="235">
        <v>46129</v>
      </c>
      <c r="D55" s="234" t="s">
        <v>1135</v>
      </c>
    </row>
    <row r="56" spans="1:4">
      <c r="A56" s="234" t="s">
        <v>676</v>
      </c>
      <c r="B56" s="234" t="s">
        <v>1134</v>
      </c>
      <c r="C56" s="235">
        <v>46129</v>
      </c>
      <c r="D56" s="234" t="s">
        <v>1135</v>
      </c>
    </row>
    <row r="57" spans="1:4">
      <c r="A57" s="234" t="s">
        <v>676</v>
      </c>
      <c r="B57" s="234" t="s">
        <v>1134</v>
      </c>
      <c r="C57" s="235">
        <v>46129</v>
      </c>
      <c r="D57" s="234" t="s">
        <v>1135</v>
      </c>
    </row>
    <row r="58" spans="1:4">
      <c r="A58" s="234" t="s">
        <v>676</v>
      </c>
      <c r="B58" s="234" t="s">
        <v>1134</v>
      </c>
      <c r="C58" s="235">
        <v>46129</v>
      </c>
      <c r="D58" s="234" t="s">
        <v>1135</v>
      </c>
    </row>
    <row r="59" spans="1:4" ht="23">
      <c r="A59" s="234" t="s">
        <v>676</v>
      </c>
      <c r="B59" s="234" t="s">
        <v>1185</v>
      </c>
      <c r="C59" s="235">
        <v>46134</v>
      </c>
      <c r="D59" s="234" t="s">
        <v>1186</v>
      </c>
    </row>
    <row r="60" spans="1:4">
      <c r="A60" s="234" t="s">
        <v>676</v>
      </c>
      <c r="B60" s="234">
        <v>9984</v>
      </c>
      <c r="C60" s="235">
        <v>46135</v>
      </c>
      <c r="D60" s="234" t="s">
        <v>1200</v>
      </c>
    </row>
    <row r="61" spans="1:4">
      <c r="A61" s="234" t="s">
        <v>676</v>
      </c>
      <c r="B61" s="234">
        <v>9984</v>
      </c>
      <c r="C61" s="235">
        <v>46135</v>
      </c>
      <c r="D61" s="234" t="s">
        <v>1200</v>
      </c>
    </row>
    <row r="62" spans="1:4" ht="23">
      <c r="A62" s="234" t="s">
        <v>676</v>
      </c>
      <c r="B62" s="234" t="s">
        <v>1201</v>
      </c>
      <c r="C62" s="235">
        <v>46136</v>
      </c>
      <c r="D62" s="234" t="s">
        <v>1202</v>
      </c>
    </row>
    <row r="63" spans="1:4" ht="23">
      <c r="A63" s="234" t="s">
        <v>676</v>
      </c>
      <c r="B63" s="234" t="s">
        <v>1201</v>
      </c>
      <c r="C63" s="235">
        <v>46136</v>
      </c>
      <c r="D63" s="234" t="s">
        <v>1202</v>
      </c>
    </row>
    <row r="64" spans="1:4" ht="34.5">
      <c r="A64" s="313" t="s">
        <v>729</v>
      </c>
      <c r="B64" s="313" t="s">
        <v>956</v>
      </c>
      <c r="C64" s="314">
        <v>46118</v>
      </c>
      <c r="D64" s="313" t="s">
        <v>957</v>
      </c>
    </row>
    <row r="65" spans="1:4" ht="23">
      <c r="A65" s="315" t="s">
        <v>729</v>
      </c>
      <c r="B65" s="313" t="s">
        <v>1086</v>
      </c>
      <c r="C65" s="314">
        <v>46127</v>
      </c>
      <c r="D65" s="313" t="s">
        <v>1087</v>
      </c>
    </row>
    <row r="66" spans="1:4" ht="23">
      <c r="A66" s="315" t="s">
        <v>729</v>
      </c>
      <c r="B66" s="313" t="s">
        <v>1046</v>
      </c>
      <c r="C66" s="316">
        <v>46125</v>
      </c>
      <c r="D66" s="317" t="s">
        <v>1047</v>
      </c>
    </row>
    <row r="67" spans="1:4" ht="23">
      <c r="A67" s="315" t="s">
        <v>729</v>
      </c>
      <c r="B67" s="318">
        <v>4500088572</v>
      </c>
      <c r="C67" s="314">
        <v>46139</v>
      </c>
      <c r="D67" s="313" t="s">
        <v>1226</v>
      </c>
    </row>
    <row r="68" spans="1:4" ht="34.5">
      <c r="A68" s="248" t="s">
        <v>816</v>
      </c>
      <c r="B68" s="310">
        <v>100818</v>
      </c>
      <c r="C68" s="311">
        <v>46090</v>
      </c>
      <c r="D68" s="312" t="s">
        <v>817</v>
      </c>
    </row>
    <row r="69" spans="1:4" ht="34.5">
      <c r="A69" s="248" t="s">
        <v>816</v>
      </c>
      <c r="B69" s="248">
        <v>101700</v>
      </c>
      <c r="C69" s="249">
        <v>46111</v>
      </c>
      <c r="D69" s="248" t="s">
        <v>839</v>
      </c>
    </row>
    <row r="70" spans="1:4" ht="34.5">
      <c r="A70" s="248" t="s">
        <v>869</v>
      </c>
      <c r="B70" s="248">
        <v>101803</v>
      </c>
      <c r="C70" s="249">
        <v>46112</v>
      </c>
      <c r="D70" s="248" t="s">
        <v>870</v>
      </c>
    </row>
    <row r="71" spans="1:4" ht="34.5">
      <c r="A71" s="248" t="s">
        <v>869</v>
      </c>
      <c r="B71" s="248">
        <v>101803</v>
      </c>
      <c r="C71" s="249">
        <v>46112</v>
      </c>
      <c r="D71" s="248" t="s">
        <v>870</v>
      </c>
    </row>
    <row r="72" spans="1:4" ht="34.5">
      <c r="A72" s="248" t="s">
        <v>869</v>
      </c>
      <c r="B72" s="248" t="s">
        <v>876</v>
      </c>
      <c r="C72" s="249">
        <v>46113</v>
      </c>
      <c r="D72" s="248" t="s">
        <v>877</v>
      </c>
    </row>
    <row r="73" spans="1:4" ht="34.5">
      <c r="A73" s="324" t="s">
        <v>869</v>
      </c>
      <c r="B73" s="324" t="s">
        <v>876</v>
      </c>
      <c r="C73" s="325">
        <v>46113</v>
      </c>
      <c r="D73" s="324" t="s">
        <v>877</v>
      </c>
    </row>
    <row r="74" spans="1:4" ht="34.5">
      <c r="A74" s="319" t="s">
        <v>1227</v>
      </c>
      <c r="B74" s="328" t="s">
        <v>1156</v>
      </c>
      <c r="C74" s="320">
        <v>46132</v>
      </c>
      <c r="D74" s="319" t="s">
        <v>1157</v>
      </c>
    </row>
    <row r="75" spans="1:4" ht="23">
      <c r="A75" s="326" t="s">
        <v>714</v>
      </c>
      <c r="B75" s="326" t="s">
        <v>781</v>
      </c>
      <c r="C75" s="327">
        <v>46099</v>
      </c>
      <c r="D75" s="326" t="s">
        <v>783</v>
      </c>
    </row>
    <row r="76" spans="1:4" ht="23">
      <c r="A76" s="228" t="s">
        <v>714</v>
      </c>
      <c r="B76" s="228">
        <v>1390393</v>
      </c>
      <c r="C76" s="229">
        <v>46106</v>
      </c>
      <c r="D76" s="228" t="s">
        <v>792</v>
      </c>
    </row>
    <row r="77" spans="1:4" ht="23">
      <c r="A77" s="228" t="s">
        <v>714</v>
      </c>
      <c r="B77" s="228" t="s">
        <v>820</v>
      </c>
      <c r="C77" s="229">
        <v>46108</v>
      </c>
      <c r="D77" s="228" t="s">
        <v>821</v>
      </c>
    </row>
    <row r="78" spans="1:4" ht="23">
      <c r="A78" s="228" t="s">
        <v>714</v>
      </c>
      <c r="B78" s="228">
        <v>5504523092</v>
      </c>
      <c r="C78" s="229">
        <v>46111</v>
      </c>
      <c r="D78" s="228" t="s">
        <v>826</v>
      </c>
    </row>
    <row r="79" spans="1:4" ht="23">
      <c r="A79" s="228" t="s">
        <v>714</v>
      </c>
      <c r="B79" s="228">
        <v>13809</v>
      </c>
      <c r="C79" s="229">
        <v>46111</v>
      </c>
      <c r="D79" s="228" t="s">
        <v>835</v>
      </c>
    </row>
    <row r="80" spans="1:4" ht="23">
      <c r="A80" s="228" t="s">
        <v>714</v>
      </c>
      <c r="B80" s="228">
        <v>13809</v>
      </c>
      <c r="C80" s="229">
        <v>46111</v>
      </c>
      <c r="D80" s="228" t="s">
        <v>835</v>
      </c>
    </row>
    <row r="81" spans="1:4" ht="23">
      <c r="A81" s="228" t="s">
        <v>714</v>
      </c>
      <c r="B81" s="228" t="s">
        <v>840</v>
      </c>
      <c r="C81" s="229">
        <v>46112</v>
      </c>
      <c r="D81" s="228" t="s">
        <v>841</v>
      </c>
    </row>
    <row r="82" spans="1:4" ht="23">
      <c r="A82" s="228" t="s">
        <v>714</v>
      </c>
      <c r="B82" s="228" t="s">
        <v>840</v>
      </c>
      <c r="C82" s="229">
        <v>46112</v>
      </c>
      <c r="D82" s="228" t="s">
        <v>841</v>
      </c>
    </row>
    <row r="83" spans="1:4" ht="23">
      <c r="A83" s="228" t="s">
        <v>714</v>
      </c>
      <c r="B83" s="228" t="s">
        <v>840</v>
      </c>
      <c r="C83" s="229">
        <v>46112</v>
      </c>
      <c r="D83" s="228" t="s">
        <v>841</v>
      </c>
    </row>
    <row r="84" spans="1:4" ht="34.5">
      <c r="A84" s="228" t="s">
        <v>714</v>
      </c>
      <c r="B84" s="228" t="s">
        <v>79</v>
      </c>
      <c r="C84" s="229">
        <v>46059</v>
      </c>
      <c r="D84" s="228" t="s">
        <v>908</v>
      </c>
    </row>
    <row r="85" spans="1:4" ht="23">
      <c r="A85" s="228" t="s">
        <v>714</v>
      </c>
      <c r="B85" s="228">
        <v>5504563743</v>
      </c>
      <c r="C85" s="229">
        <v>46121</v>
      </c>
      <c r="D85" s="228" t="s">
        <v>1003</v>
      </c>
    </row>
    <row r="86" spans="1:4" ht="23">
      <c r="A86" s="228" t="s">
        <v>714</v>
      </c>
      <c r="B86" s="228">
        <v>1401882</v>
      </c>
      <c r="C86" s="229">
        <v>46126</v>
      </c>
      <c r="D86" s="228" t="s">
        <v>1065</v>
      </c>
    </row>
    <row r="87" spans="1:4" ht="23">
      <c r="A87" s="228" t="s">
        <v>714</v>
      </c>
      <c r="B87" s="228">
        <v>1401882</v>
      </c>
      <c r="C87" s="229">
        <v>46126</v>
      </c>
      <c r="D87" s="228" t="s">
        <v>1105</v>
      </c>
    </row>
    <row r="88" spans="1:4" ht="23">
      <c r="A88" s="329" t="s">
        <v>714</v>
      </c>
      <c r="B88" s="329">
        <v>13841</v>
      </c>
      <c r="C88" s="330">
        <v>46126</v>
      </c>
      <c r="D88" s="329" t="s">
        <v>1069</v>
      </c>
    </row>
    <row r="89" spans="1:4" ht="23">
      <c r="A89" s="228" t="s">
        <v>714</v>
      </c>
      <c r="B89" s="333">
        <v>1002095278</v>
      </c>
      <c r="C89" s="334">
        <v>46134</v>
      </c>
      <c r="D89" s="333" t="s">
        <v>1182</v>
      </c>
    </row>
    <row r="90" spans="1:4" ht="23">
      <c r="A90" s="326" t="s">
        <v>714</v>
      </c>
      <c r="B90" s="326" t="s">
        <v>1229</v>
      </c>
      <c r="C90" s="327">
        <v>46139</v>
      </c>
      <c r="D90" s="326" t="s">
        <v>1230</v>
      </c>
    </row>
    <row r="91" spans="1:4" ht="23">
      <c r="A91" s="331" t="s">
        <v>853</v>
      </c>
      <c r="B91" s="331">
        <v>4500087944</v>
      </c>
      <c r="C91" s="332">
        <v>46112</v>
      </c>
      <c r="D91" s="331" t="s">
        <v>854</v>
      </c>
    </row>
    <row r="92" spans="1:4" ht="23">
      <c r="A92" s="306" t="s">
        <v>65</v>
      </c>
      <c r="B92" s="307"/>
      <c r="C92" s="308">
        <v>46119</v>
      </c>
      <c r="D92" s="306" t="s">
        <v>947</v>
      </c>
    </row>
    <row r="93" spans="1:4" ht="23">
      <c r="A93" s="306" t="s">
        <v>65</v>
      </c>
      <c r="B93" s="307"/>
      <c r="C93" s="308">
        <v>46125</v>
      </c>
      <c r="D93" s="307"/>
    </row>
    <row r="94" spans="1:4" ht="80.5">
      <c r="A94" s="306" t="s">
        <v>1051</v>
      </c>
      <c r="B94" s="307"/>
      <c r="C94" s="308">
        <v>46125</v>
      </c>
      <c r="D94" s="306" t="s">
        <v>1052</v>
      </c>
    </row>
    <row r="95" spans="1:4" ht="80.5">
      <c r="A95" s="306" t="s">
        <v>1051</v>
      </c>
      <c r="B95" s="307"/>
      <c r="C95" s="308">
        <v>46125</v>
      </c>
      <c r="D95" s="306" t="s">
        <v>1054</v>
      </c>
    </row>
    <row r="96" spans="1:4" ht="23">
      <c r="A96" s="306" t="s">
        <v>65</v>
      </c>
      <c r="B96" s="306">
        <v>155</v>
      </c>
      <c r="C96" s="308">
        <v>46132</v>
      </c>
      <c r="D96" s="306" t="s">
        <v>1140</v>
      </c>
    </row>
    <row r="97" spans="1:4" ht="23">
      <c r="A97" s="225" t="s">
        <v>73</v>
      </c>
      <c r="B97" s="225" t="s">
        <v>848</v>
      </c>
      <c r="C97" s="226">
        <v>46112</v>
      </c>
      <c r="D97" s="225" t="s">
        <v>849</v>
      </c>
    </row>
    <row r="98" spans="1:4" ht="23">
      <c r="A98" s="225" t="s">
        <v>73</v>
      </c>
      <c r="B98" s="225">
        <v>101762</v>
      </c>
      <c r="C98" s="226">
        <v>46112</v>
      </c>
      <c r="D98" s="225" t="s">
        <v>859</v>
      </c>
    </row>
    <row r="99" spans="1:4" ht="23">
      <c r="A99" s="225" t="s">
        <v>73</v>
      </c>
      <c r="B99" s="225">
        <v>101762</v>
      </c>
      <c r="C99" s="226">
        <v>46112</v>
      </c>
      <c r="D99" s="225" t="s">
        <v>859</v>
      </c>
    </row>
    <row r="100" spans="1:4" ht="23">
      <c r="A100" s="225" t="s">
        <v>73</v>
      </c>
      <c r="B100" s="225" t="s">
        <v>901</v>
      </c>
      <c r="C100" s="226">
        <v>46057</v>
      </c>
      <c r="D100" s="225" t="s">
        <v>903</v>
      </c>
    </row>
    <row r="101" spans="1:4" ht="23">
      <c r="A101" s="225" t="s">
        <v>73</v>
      </c>
      <c r="B101" s="227"/>
      <c r="C101" s="226">
        <v>46059</v>
      </c>
      <c r="D101" s="225" t="s">
        <v>913</v>
      </c>
    </row>
    <row r="102" spans="1:4" ht="23">
      <c r="A102" s="225" t="s">
        <v>73</v>
      </c>
      <c r="B102" s="225" t="s">
        <v>918</v>
      </c>
      <c r="C102" s="226">
        <v>46059</v>
      </c>
      <c r="D102" s="225" t="s">
        <v>923</v>
      </c>
    </row>
    <row r="103" spans="1:4" ht="23">
      <c r="A103" s="225" t="s">
        <v>73</v>
      </c>
      <c r="B103" s="225" t="s">
        <v>936</v>
      </c>
      <c r="C103" s="226">
        <v>46118</v>
      </c>
      <c r="D103" s="225" t="s">
        <v>937</v>
      </c>
    </row>
    <row r="104" spans="1:4" ht="23">
      <c r="A104" s="225" t="s">
        <v>73</v>
      </c>
      <c r="B104" s="225">
        <v>5504485810</v>
      </c>
      <c r="C104" s="226">
        <v>46101</v>
      </c>
      <c r="D104" s="225" t="s">
        <v>764</v>
      </c>
    </row>
    <row r="105" spans="1:4" ht="23">
      <c r="A105" s="225" t="s">
        <v>73</v>
      </c>
      <c r="B105" s="225">
        <v>4500087756</v>
      </c>
      <c r="C105" s="226">
        <v>46105</v>
      </c>
      <c r="D105" s="225" t="s">
        <v>765</v>
      </c>
    </row>
    <row r="106" spans="1:4" ht="23">
      <c r="A106" s="225" t="s">
        <v>73</v>
      </c>
      <c r="B106" s="227"/>
      <c r="C106" s="226">
        <v>46058</v>
      </c>
      <c r="D106" s="225" t="s">
        <v>759</v>
      </c>
    </row>
    <row r="107" spans="1:4" ht="23">
      <c r="A107" s="225" t="s">
        <v>73</v>
      </c>
      <c r="B107" s="225">
        <v>4500088071</v>
      </c>
      <c r="C107" s="226">
        <v>46119</v>
      </c>
      <c r="D107" s="225" t="s">
        <v>974</v>
      </c>
    </row>
    <row r="108" spans="1:4" ht="23">
      <c r="A108" s="225" t="s">
        <v>73</v>
      </c>
      <c r="B108" s="225">
        <v>4500088071</v>
      </c>
      <c r="C108" s="226">
        <v>46119</v>
      </c>
      <c r="D108" s="225" t="s">
        <v>974</v>
      </c>
    </row>
    <row r="109" spans="1:4" ht="23">
      <c r="A109" s="225" t="s">
        <v>73</v>
      </c>
      <c r="B109" s="225">
        <v>5504450676</v>
      </c>
      <c r="C109" s="226">
        <v>46120</v>
      </c>
      <c r="D109" s="225" t="s">
        <v>989</v>
      </c>
    </row>
    <row r="110" spans="1:4" ht="23">
      <c r="A110" s="225" t="s">
        <v>73</v>
      </c>
      <c r="B110" s="225">
        <v>4500088311</v>
      </c>
      <c r="C110" s="226">
        <v>46128</v>
      </c>
      <c r="D110" s="225" t="s">
        <v>1110</v>
      </c>
    </row>
    <row r="111" spans="1:4" ht="23">
      <c r="A111" s="225" t="s">
        <v>73</v>
      </c>
      <c r="B111" s="225">
        <v>102329</v>
      </c>
      <c r="C111" s="226">
        <v>46129</v>
      </c>
      <c r="D111" s="225" t="s">
        <v>1118</v>
      </c>
    </row>
    <row r="112" spans="1:4" ht="23">
      <c r="A112" s="225" t="s">
        <v>73</v>
      </c>
      <c r="B112" s="225">
        <v>102329</v>
      </c>
      <c r="C112" s="226">
        <v>46129</v>
      </c>
      <c r="D112" s="225" t="s">
        <v>1118</v>
      </c>
    </row>
    <row r="113" spans="1:4" ht="23">
      <c r="A113" s="225" t="s">
        <v>73</v>
      </c>
      <c r="B113" s="225">
        <v>102330</v>
      </c>
      <c r="C113" s="226">
        <v>46129</v>
      </c>
      <c r="D113" s="225" t="s">
        <v>1120</v>
      </c>
    </row>
    <row r="114" spans="1:4" ht="23">
      <c r="A114" s="335" t="s">
        <v>73</v>
      </c>
      <c r="B114" s="335">
        <v>102331</v>
      </c>
      <c r="C114" s="336">
        <v>46129</v>
      </c>
      <c r="D114" s="335" t="s">
        <v>1122</v>
      </c>
    </row>
    <row r="115" spans="1:4" ht="23">
      <c r="A115" s="225" t="s">
        <v>73</v>
      </c>
      <c r="B115" s="339">
        <v>4500088189</v>
      </c>
      <c r="C115" s="226">
        <v>46125</v>
      </c>
      <c r="D115" s="225" t="s">
        <v>1035</v>
      </c>
    </row>
    <row r="116" spans="1:4" ht="23">
      <c r="A116" s="337" t="s">
        <v>73</v>
      </c>
      <c r="B116" s="337" t="s">
        <v>1025</v>
      </c>
      <c r="C116" s="338">
        <v>46122</v>
      </c>
      <c r="D116" s="337" t="s">
        <v>1029</v>
      </c>
    </row>
    <row r="117" spans="1:4" ht="23">
      <c r="A117" s="220" t="s">
        <v>73</v>
      </c>
      <c r="B117" s="220" t="s">
        <v>918</v>
      </c>
      <c r="C117" s="221">
        <v>46059</v>
      </c>
      <c r="D117" s="220" t="s">
        <v>919</v>
      </c>
    </row>
    <row r="118" spans="1:4" ht="46">
      <c r="A118" s="250" t="s">
        <v>1223</v>
      </c>
      <c r="B118" s="250">
        <v>4500088351</v>
      </c>
      <c r="C118" s="251">
        <v>46129</v>
      </c>
      <c r="D118" s="250" t="s">
        <v>1128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0E87-E30D-4A30-BE9D-4D3E780EBDFF}">
  <dimension ref="A1:AB224"/>
  <sheetViews>
    <sheetView topLeftCell="A211" workbookViewId="0">
      <selection activeCell="A23" sqref="A23:A26"/>
    </sheetView>
  </sheetViews>
  <sheetFormatPr baseColWidth="10" defaultRowHeight="13"/>
  <cols>
    <col min="1" max="1" width="21.69921875" customWidth="1"/>
    <col min="2" max="5" width="11.19921875" customWidth="1"/>
    <col min="9" max="9" width="31.09765625" customWidth="1"/>
    <col min="10" max="10" width="13" customWidth="1"/>
    <col min="11" max="11" width="15.69921875" hidden="1" customWidth="1"/>
    <col min="12" max="12" width="13.69921875" customWidth="1"/>
    <col min="17" max="17" width="32.19921875" style="218" customWidth="1"/>
    <col min="18" max="18" width="20.296875" customWidth="1"/>
  </cols>
  <sheetData>
    <row r="1" spans="1:28" ht="47" thickBot="1">
      <c r="A1" s="196" t="s">
        <v>742</v>
      </c>
      <c r="B1" s="80" t="s">
        <v>25</v>
      </c>
      <c r="C1" s="80" t="s">
        <v>86</v>
      </c>
      <c r="D1" s="80" t="s">
        <v>356</v>
      </c>
      <c r="E1" s="80" t="s">
        <v>27</v>
      </c>
      <c r="F1" s="80" t="s">
        <v>28</v>
      </c>
      <c r="G1" s="81" t="s">
        <v>29</v>
      </c>
      <c r="H1" s="80" t="s">
        <v>30</v>
      </c>
      <c r="I1" s="80" t="s">
        <v>357</v>
      </c>
      <c r="J1" s="80" t="s">
        <v>31</v>
      </c>
      <c r="K1" s="81" t="s">
        <v>63</v>
      </c>
      <c r="L1" s="80" t="s">
        <v>336</v>
      </c>
      <c r="M1" s="80" t="s">
        <v>50</v>
      </c>
      <c r="N1" s="80" t="s">
        <v>88</v>
      </c>
      <c r="O1" s="80" t="s">
        <v>64</v>
      </c>
      <c r="P1" s="262" t="s">
        <v>1211</v>
      </c>
      <c r="Q1" s="262" t="s">
        <v>1212</v>
      </c>
      <c r="R1" s="262" t="s">
        <v>1213</v>
      </c>
      <c r="S1" s="263" t="s">
        <v>1214</v>
      </c>
      <c r="T1" s="263" t="s">
        <v>1215</v>
      </c>
      <c r="U1" s="264" t="s">
        <v>1216</v>
      </c>
      <c r="V1" s="264" t="s">
        <v>1217</v>
      </c>
      <c r="W1" s="263" t="s">
        <v>1218</v>
      </c>
      <c r="X1" s="263" t="s">
        <v>1219</v>
      </c>
      <c r="Y1" s="263" t="s">
        <v>1220</v>
      </c>
      <c r="Z1" s="80" t="s">
        <v>1221</v>
      </c>
      <c r="AA1" s="80" t="s">
        <v>1222</v>
      </c>
      <c r="AB1" s="80" t="s">
        <v>750</v>
      </c>
    </row>
    <row r="2" spans="1:28" ht="23.5" thickBot="1">
      <c r="A2" s="144"/>
      <c r="B2" s="244">
        <v>4700008737</v>
      </c>
      <c r="C2" s="257">
        <v>46050</v>
      </c>
      <c r="D2" s="258">
        <v>0.74513888888888891</v>
      </c>
      <c r="E2" s="259"/>
      <c r="F2" s="259"/>
      <c r="G2" s="259"/>
      <c r="H2" s="259"/>
      <c r="I2" s="259" t="s">
        <v>709</v>
      </c>
      <c r="J2" s="244" t="s">
        <v>40</v>
      </c>
      <c r="K2" s="260" t="s">
        <v>721</v>
      </c>
      <c r="L2" s="244">
        <v>26000</v>
      </c>
      <c r="M2" s="261">
        <v>1040</v>
      </c>
      <c r="N2" s="261">
        <v>416000000</v>
      </c>
      <c r="O2" s="257">
        <v>46172</v>
      </c>
    </row>
    <row r="3" spans="1:28" ht="23.5" thickBot="1">
      <c r="A3" s="144"/>
      <c r="B3" s="36">
        <v>4700008736</v>
      </c>
      <c r="C3" s="37">
        <v>46050</v>
      </c>
      <c r="D3" s="38">
        <v>0.74513888888888891</v>
      </c>
      <c r="E3" s="40"/>
      <c r="F3" s="40"/>
      <c r="G3" s="40"/>
      <c r="H3" s="40"/>
      <c r="I3" s="40" t="s">
        <v>709</v>
      </c>
      <c r="J3" s="36" t="s">
        <v>40</v>
      </c>
      <c r="K3" s="39" t="s">
        <v>721</v>
      </c>
      <c r="L3" s="36">
        <v>26000</v>
      </c>
      <c r="M3" s="145">
        <v>1040</v>
      </c>
      <c r="N3" s="145">
        <v>416000000</v>
      </c>
      <c r="O3" s="37">
        <v>46157</v>
      </c>
    </row>
    <row r="4" spans="1:28" ht="23.5" thickBot="1">
      <c r="A4" s="144"/>
      <c r="B4" s="36">
        <v>4700008735</v>
      </c>
      <c r="C4" s="37">
        <v>46050</v>
      </c>
      <c r="D4" s="38">
        <v>0.74513888888888891</v>
      </c>
      <c r="E4" s="40"/>
      <c r="F4" s="40"/>
      <c r="G4" s="40"/>
      <c r="H4" s="40"/>
      <c r="I4" s="40" t="s">
        <v>709</v>
      </c>
      <c r="J4" s="36" t="s">
        <v>40</v>
      </c>
      <c r="K4" s="39" t="s">
        <v>721</v>
      </c>
      <c r="L4" s="36">
        <v>26000</v>
      </c>
      <c r="M4" s="145">
        <v>1040</v>
      </c>
      <c r="N4" s="145">
        <v>416000000</v>
      </c>
      <c r="O4" s="37">
        <v>46144</v>
      </c>
    </row>
    <row r="5" spans="1:28" ht="23.5" thickBot="1">
      <c r="A5" s="144"/>
      <c r="B5" s="40"/>
      <c r="C5" s="40"/>
      <c r="D5" s="40"/>
      <c r="E5" s="36" t="s">
        <v>1233</v>
      </c>
      <c r="F5" s="40"/>
      <c r="G5" s="37">
        <v>46083</v>
      </c>
      <c r="H5" s="38">
        <v>0.46527777777777779</v>
      </c>
      <c r="I5" s="40" t="s">
        <v>1235</v>
      </c>
      <c r="J5" s="36" t="s">
        <v>1236</v>
      </c>
      <c r="K5" s="39" t="s">
        <v>72</v>
      </c>
      <c r="L5" s="36">
        <v>13000</v>
      </c>
      <c r="M5" s="36">
        <v>520</v>
      </c>
      <c r="N5" s="36" t="s">
        <v>1234</v>
      </c>
      <c r="O5" s="37">
        <v>46150</v>
      </c>
    </row>
    <row r="6" spans="1:28" ht="25.5" thickBot="1">
      <c r="A6" s="144"/>
      <c r="B6" s="36">
        <v>7000403038</v>
      </c>
      <c r="C6" s="40"/>
      <c r="D6" s="40"/>
      <c r="E6" s="40"/>
      <c r="F6" s="40"/>
      <c r="G6" s="40"/>
      <c r="H6" s="40"/>
      <c r="I6" s="40" t="s">
        <v>89</v>
      </c>
      <c r="J6" s="36" t="s">
        <v>777</v>
      </c>
      <c r="K6" s="39" t="s">
        <v>342</v>
      </c>
      <c r="L6" s="36">
        <v>2500</v>
      </c>
      <c r="M6" s="36">
        <v>100</v>
      </c>
      <c r="N6" s="40"/>
      <c r="O6" s="37">
        <v>46153</v>
      </c>
    </row>
    <row r="7" spans="1:28" ht="25.5" thickBot="1">
      <c r="A7" s="144"/>
      <c r="B7" s="36">
        <v>4700008972</v>
      </c>
      <c r="C7" s="37">
        <v>46133</v>
      </c>
      <c r="D7" s="38">
        <v>0.50138888888888888</v>
      </c>
      <c r="E7" s="36" t="s">
        <v>1237</v>
      </c>
      <c r="F7" s="40"/>
      <c r="G7" s="37">
        <v>46134</v>
      </c>
      <c r="H7" s="38">
        <v>0.34097222222222223</v>
      </c>
      <c r="I7" s="40" t="s">
        <v>350</v>
      </c>
      <c r="J7" s="36" t="s">
        <v>1238</v>
      </c>
      <c r="K7" s="39" t="s">
        <v>109</v>
      </c>
      <c r="L7" s="36">
        <v>7000</v>
      </c>
      <c r="M7" s="36">
        <v>280</v>
      </c>
      <c r="N7" s="36" t="s">
        <v>1239</v>
      </c>
      <c r="O7" s="37">
        <v>46153</v>
      </c>
    </row>
    <row r="8" spans="1:28" ht="23.5" thickBot="1">
      <c r="A8" s="199" t="s">
        <v>714</v>
      </c>
      <c r="B8" s="148">
        <v>4500377573</v>
      </c>
      <c r="C8" s="149">
        <v>46135</v>
      </c>
      <c r="D8" s="150">
        <v>0.36041666666666666</v>
      </c>
      <c r="E8" s="148" t="s">
        <v>1240</v>
      </c>
      <c r="F8" s="151"/>
      <c r="G8" s="149">
        <v>46135</v>
      </c>
      <c r="H8" s="150">
        <v>0.44930555555555557</v>
      </c>
      <c r="I8" s="151" t="s">
        <v>22</v>
      </c>
      <c r="J8" s="148" t="s">
        <v>98</v>
      </c>
      <c r="K8" s="200" t="s">
        <v>717</v>
      </c>
      <c r="L8" s="148">
        <v>125</v>
      </c>
      <c r="M8" s="148">
        <v>5</v>
      </c>
      <c r="N8" s="201">
        <v>23750000</v>
      </c>
      <c r="O8" s="149">
        <v>46148</v>
      </c>
    </row>
    <row r="9" spans="1:28" ht="23.5" thickBot="1">
      <c r="A9" s="144"/>
      <c r="B9" s="36">
        <v>4500377573</v>
      </c>
      <c r="C9" s="37">
        <v>46135</v>
      </c>
      <c r="D9" s="38">
        <v>0.36041666666666666</v>
      </c>
      <c r="E9" s="36" t="s">
        <v>1241</v>
      </c>
      <c r="F9" s="40"/>
      <c r="G9" s="37">
        <v>46135</v>
      </c>
      <c r="H9" s="38">
        <v>0.44930555555555557</v>
      </c>
      <c r="I9" s="40" t="s">
        <v>22</v>
      </c>
      <c r="J9" s="36" t="s">
        <v>98</v>
      </c>
      <c r="K9" s="39" t="s">
        <v>717</v>
      </c>
      <c r="L9" s="36">
        <v>100</v>
      </c>
      <c r="M9" s="36">
        <v>4</v>
      </c>
      <c r="N9" s="145">
        <v>19000000</v>
      </c>
      <c r="O9" s="37">
        <v>46171</v>
      </c>
    </row>
    <row r="10" spans="1:28" ht="23.5" thickBot="1">
      <c r="A10" s="144"/>
      <c r="B10" s="36" t="s">
        <v>1242</v>
      </c>
      <c r="C10" s="37">
        <v>46135</v>
      </c>
      <c r="D10" s="38">
        <v>0.44861111111111113</v>
      </c>
      <c r="E10" s="36" t="s">
        <v>1243</v>
      </c>
      <c r="F10" s="40"/>
      <c r="G10" s="37">
        <v>46135</v>
      </c>
      <c r="H10" s="38">
        <v>0.65277777777777779</v>
      </c>
      <c r="I10" s="40" t="s">
        <v>279</v>
      </c>
      <c r="J10" s="36" t="s">
        <v>754</v>
      </c>
      <c r="K10" s="353" t="s">
        <v>627</v>
      </c>
      <c r="L10" s="36">
        <v>325</v>
      </c>
      <c r="M10" s="36">
        <v>13</v>
      </c>
      <c r="N10" s="145">
        <v>13162000</v>
      </c>
      <c r="O10" s="37">
        <v>46140</v>
      </c>
    </row>
    <row r="11" spans="1:28" ht="23.5" thickBot="1">
      <c r="A11" s="144"/>
      <c r="B11" s="36" t="s">
        <v>1244</v>
      </c>
      <c r="C11" s="37">
        <v>46136</v>
      </c>
      <c r="D11" s="38">
        <v>0.55347222222222225</v>
      </c>
      <c r="E11" s="36" t="s">
        <v>1245</v>
      </c>
      <c r="F11" s="40"/>
      <c r="G11" s="37">
        <v>46139</v>
      </c>
      <c r="H11" s="38">
        <v>0.37222222222222223</v>
      </c>
      <c r="I11" s="40" t="s">
        <v>102</v>
      </c>
      <c r="J11" s="36" t="s">
        <v>103</v>
      </c>
      <c r="K11" s="39" t="s">
        <v>67</v>
      </c>
      <c r="L11" s="36">
        <v>350</v>
      </c>
      <c r="M11" s="36">
        <v>14</v>
      </c>
      <c r="N11" s="145">
        <v>9205000</v>
      </c>
      <c r="O11" s="37">
        <v>46149</v>
      </c>
    </row>
    <row r="12" spans="1:28" ht="23.5" thickBot="1">
      <c r="A12" s="144"/>
      <c r="B12" s="36" t="s">
        <v>1244</v>
      </c>
      <c r="C12" s="37">
        <v>46136</v>
      </c>
      <c r="D12" s="38">
        <v>0.55347222222222225</v>
      </c>
      <c r="E12" s="36" t="s">
        <v>1245</v>
      </c>
      <c r="F12" s="40"/>
      <c r="G12" s="37">
        <v>46139</v>
      </c>
      <c r="H12" s="38">
        <v>0.37222222222222223</v>
      </c>
      <c r="I12" s="40" t="s">
        <v>102</v>
      </c>
      <c r="J12" s="36" t="s">
        <v>103</v>
      </c>
      <c r="K12" s="353" t="s">
        <v>627</v>
      </c>
      <c r="L12" s="36">
        <v>450</v>
      </c>
      <c r="M12" s="36">
        <v>18</v>
      </c>
      <c r="N12" s="145">
        <v>18225000</v>
      </c>
      <c r="O12" s="37">
        <v>46149</v>
      </c>
    </row>
    <row r="13" spans="1:28" ht="23.5" thickBot="1">
      <c r="A13" s="144"/>
      <c r="B13" s="36" t="s">
        <v>1246</v>
      </c>
      <c r="C13" s="37">
        <v>46136</v>
      </c>
      <c r="D13" s="38">
        <v>0.61736111111111114</v>
      </c>
      <c r="E13" s="36" t="s">
        <v>1247</v>
      </c>
      <c r="F13" s="40"/>
      <c r="G13" s="37">
        <v>46139</v>
      </c>
      <c r="H13" s="38">
        <v>0.39097222222222222</v>
      </c>
      <c r="I13" s="40" t="s">
        <v>123</v>
      </c>
      <c r="J13" s="36" t="s">
        <v>124</v>
      </c>
      <c r="K13" s="39" t="s">
        <v>150</v>
      </c>
      <c r="L13" s="36">
        <v>150</v>
      </c>
      <c r="M13" s="36">
        <v>6</v>
      </c>
      <c r="N13" s="145">
        <v>2925000</v>
      </c>
      <c r="O13" s="37">
        <v>46148</v>
      </c>
    </row>
    <row r="14" spans="1:28" ht="23.5" thickBot="1">
      <c r="A14" s="144"/>
      <c r="B14" s="36" t="s">
        <v>1248</v>
      </c>
      <c r="C14" s="37">
        <v>46136</v>
      </c>
      <c r="D14" s="38">
        <v>0.66597222222222219</v>
      </c>
      <c r="E14" s="36" t="s">
        <v>1249</v>
      </c>
      <c r="F14" s="40"/>
      <c r="G14" s="37">
        <v>46139</v>
      </c>
      <c r="H14" s="38">
        <v>0.39513888888888887</v>
      </c>
      <c r="I14" s="40" t="s">
        <v>711</v>
      </c>
      <c r="J14" s="36" t="s">
        <v>97</v>
      </c>
      <c r="K14" s="39" t="s">
        <v>858</v>
      </c>
      <c r="L14" s="36">
        <v>300</v>
      </c>
      <c r="M14" s="36">
        <v>12</v>
      </c>
      <c r="N14" s="145">
        <v>10500000</v>
      </c>
      <c r="O14" s="37">
        <v>46149</v>
      </c>
    </row>
    <row r="15" spans="1:28" ht="23.5" thickBot="1">
      <c r="A15" s="144"/>
      <c r="B15" s="36">
        <v>1409719</v>
      </c>
      <c r="C15" s="37">
        <v>46136</v>
      </c>
      <c r="D15" s="38">
        <v>0.71180555555555558</v>
      </c>
      <c r="E15" s="36" t="s">
        <v>1250</v>
      </c>
      <c r="F15" s="40"/>
      <c r="G15" s="37">
        <v>46139</v>
      </c>
      <c r="H15" s="38">
        <v>0.5229166666666667</v>
      </c>
      <c r="I15" s="40" t="s">
        <v>794</v>
      </c>
      <c r="J15" s="36" t="s">
        <v>98</v>
      </c>
      <c r="K15" s="39" t="s">
        <v>168</v>
      </c>
      <c r="L15" s="36">
        <v>50</v>
      </c>
      <c r="M15" s="36">
        <v>2</v>
      </c>
      <c r="N15" s="145">
        <v>1086500</v>
      </c>
      <c r="O15" s="37">
        <v>46146</v>
      </c>
    </row>
    <row r="16" spans="1:28" ht="23.5" thickBot="1">
      <c r="A16" s="144"/>
      <c r="B16" s="36">
        <v>1409719</v>
      </c>
      <c r="C16" s="37">
        <v>46136</v>
      </c>
      <c r="D16" s="38">
        <v>0.71180555555555558</v>
      </c>
      <c r="E16" s="36" t="s">
        <v>1250</v>
      </c>
      <c r="F16" s="40"/>
      <c r="G16" s="37">
        <v>46139</v>
      </c>
      <c r="H16" s="38">
        <v>0.5229166666666667</v>
      </c>
      <c r="I16" s="40" t="s">
        <v>794</v>
      </c>
      <c r="J16" s="36" t="s">
        <v>98</v>
      </c>
      <c r="K16" s="39" t="s">
        <v>1251</v>
      </c>
      <c r="L16" s="36">
        <v>50</v>
      </c>
      <c r="M16" s="36">
        <v>2</v>
      </c>
      <c r="N16" s="145">
        <v>675000</v>
      </c>
      <c r="O16" s="37">
        <v>46146</v>
      </c>
    </row>
    <row r="17" spans="1:15" ht="23.5" thickBot="1">
      <c r="A17" s="144"/>
      <c r="B17" s="36" t="s">
        <v>1252</v>
      </c>
      <c r="C17" s="37">
        <v>46136</v>
      </c>
      <c r="D17" s="38">
        <v>0.73958333333333337</v>
      </c>
      <c r="E17" s="36" t="s">
        <v>1253</v>
      </c>
      <c r="F17" s="40"/>
      <c r="G17" s="37">
        <v>46139</v>
      </c>
      <c r="H17" s="38">
        <v>0.58263888888888893</v>
      </c>
      <c r="I17" s="40" t="s">
        <v>75</v>
      </c>
      <c r="J17" s="36" t="s">
        <v>1254</v>
      </c>
      <c r="K17" s="39" t="s">
        <v>313</v>
      </c>
      <c r="L17" s="36">
        <v>200</v>
      </c>
      <c r="M17" s="36">
        <v>8</v>
      </c>
      <c r="N17" s="145">
        <v>10000000</v>
      </c>
      <c r="O17" s="37">
        <v>46140</v>
      </c>
    </row>
    <row r="18" spans="1:15" ht="23.5" thickBot="1">
      <c r="A18" s="209" t="s">
        <v>676</v>
      </c>
      <c r="B18" s="65">
        <v>9009596831</v>
      </c>
      <c r="C18" s="63">
        <v>46136</v>
      </c>
      <c r="D18" s="64">
        <v>0.78611111111111109</v>
      </c>
      <c r="E18" s="65" t="s">
        <v>1255</v>
      </c>
      <c r="F18" s="62"/>
      <c r="G18" s="63">
        <v>46139</v>
      </c>
      <c r="H18" s="64">
        <v>0.58611111111111114</v>
      </c>
      <c r="I18" s="62" t="s">
        <v>3</v>
      </c>
      <c r="J18" s="65" t="s">
        <v>42</v>
      </c>
      <c r="K18" s="69" t="s">
        <v>67</v>
      </c>
      <c r="L18" s="65">
        <v>200</v>
      </c>
      <c r="M18" s="65">
        <v>8</v>
      </c>
      <c r="N18" s="210">
        <v>5260000</v>
      </c>
      <c r="O18" s="63">
        <v>46171</v>
      </c>
    </row>
    <row r="19" spans="1:15" ht="23.5" thickBot="1">
      <c r="A19" s="209" t="s">
        <v>676</v>
      </c>
      <c r="B19" s="65">
        <v>9009596831</v>
      </c>
      <c r="C19" s="63">
        <v>46136</v>
      </c>
      <c r="D19" s="64">
        <v>0.78611111111111109</v>
      </c>
      <c r="E19" s="65" t="s">
        <v>1255</v>
      </c>
      <c r="F19" s="62"/>
      <c r="G19" s="63">
        <v>46139</v>
      </c>
      <c r="H19" s="64">
        <v>0.58611111111111114</v>
      </c>
      <c r="I19" s="62" t="s">
        <v>3</v>
      </c>
      <c r="J19" s="65" t="s">
        <v>42</v>
      </c>
      <c r="K19" s="69" t="s">
        <v>68</v>
      </c>
      <c r="L19" s="65">
        <v>50</v>
      </c>
      <c r="M19" s="65">
        <v>2</v>
      </c>
      <c r="N19" s="210">
        <v>2860000</v>
      </c>
      <c r="O19" s="63">
        <v>46171</v>
      </c>
    </row>
    <row r="20" spans="1:15" ht="23.5" thickBot="1">
      <c r="A20" s="144"/>
      <c r="B20" s="36" t="s">
        <v>1256</v>
      </c>
      <c r="C20" s="37">
        <v>46140</v>
      </c>
      <c r="D20" s="38">
        <v>0.57430555555555551</v>
      </c>
      <c r="E20" s="36" t="s">
        <v>1257</v>
      </c>
      <c r="F20" s="40"/>
      <c r="G20" s="37">
        <v>46140</v>
      </c>
      <c r="H20" s="38">
        <v>0.60624999999999996</v>
      </c>
      <c r="I20" s="40" t="s">
        <v>139</v>
      </c>
      <c r="J20" s="36" t="s">
        <v>124</v>
      </c>
      <c r="K20" s="39" t="s">
        <v>163</v>
      </c>
      <c r="L20" s="36">
        <v>5</v>
      </c>
      <c r="M20" s="36">
        <v>0</v>
      </c>
      <c r="N20" s="145">
        <v>2600000</v>
      </c>
      <c r="O20" s="37">
        <v>46140</v>
      </c>
    </row>
    <row r="21" spans="1:15" ht="23.5" thickBot="1">
      <c r="A21" s="144"/>
      <c r="B21" s="36" t="s">
        <v>999</v>
      </c>
      <c r="C21" s="37">
        <v>46121</v>
      </c>
      <c r="D21" s="38">
        <v>0.3972222222222222</v>
      </c>
      <c r="E21" s="36" t="s">
        <v>1000</v>
      </c>
      <c r="F21" s="161"/>
      <c r="G21" s="37">
        <v>46121</v>
      </c>
      <c r="H21" s="38">
        <v>0.50624999999999998</v>
      </c>
      <c r="I21" s="161" t="s">
        <v>711</v>
      </c>
      <c r="J21" s="36" t="s">
        <v>97</v>
      </c>
      <c r="K21" s="39" t="s">
        <v>71</v>
      </c>
      <c r="L21" s="36">
        <v>500</v>
      </c>
      <c r="M21" s="36">
        <v>20</v>
      </c>
      <c r="N21" s="145">
        <v>51250000</v>
      </c>
      <c r="O21" s="37">
        <v>46140</v>
      </c>
    </row>
    <row r="22" spans="1:15" ht="23.5" thickBot="1">
      <c r="A22" s="144"/>
      <c r="B22" s="36">
        <v>4504059517</v>
      </c>
      <c r="C22" s="37">
        <v>46137</v>
      </c>
      <c r="D22" s="38">
        <v>0.48888888888888887</v>
      </c>
      <c r="E22" s="36" t="s">
        <v>1258</v>
      </c>
      <c r="F22" s="40"/>
      <c r="G22" s="37">
        <v>46139</v>
      </c>
      <c r="H22" s="38">
        <v>0.60069444444444442</v>
      </c>
      <c r="I22" s="40" t="s">
        <v>1231</v>
      </c>
      <c r="J22" s="36" t="s">
        <v>98</v>
      </c>
      <c r="K22" s="39" t="s">
        <v>72</v>
      </c>
      <c r="L22" s="36">
        <v>6000</v>
      </c>
      <c r="M22" s="36">
        <v>240</v>
      </c>
      <c r="N22" s="145">
        <v>117000000</v>
      </c>
      <c r="O22" s="37">
        <v>46147</v>
      </c>
    </row>
    <row r="23" spans="1:15" ht="23.5" thickBot="1">
      <c r="A23" s="203" t="s">
        <v>1232</v>
      </c>
      <c r="B23" s="204">
        <v>4504059517</v>
      </c>
      <c r="C23" s="205">
        <v>46137</v>
      </c>
      <c r="D23" s="206">
        <v>0.48888888888888887</v>
      </c>
      <c r="E23" s="204" t="s">
        <v>1259</v>
      </c>
      <c r="F23" s="207"/>
      <c r="G23" s="205">
        <v>46139</v>
      </c>
      <c r="H23" s="206">
        <v>0.6020833333333333</v>
      </c>
      <c r="I23" s="207" t="s">
        <v>1231</v>
      </c>
      <c r="J23" s="204" t="s">
        <v>98</v>
      </c>
      <c r="K23" s="208" t="s">
        <v>72</v>
      </c>
      <c r="L23" s="204">
        <v>150</v>
      </c>
      <c r="M23" s="204">
        <v>6</v>
      </c>
      <c r="N23" s="204">
        <v>0</v>
      </c>
      <c r="O23" s="205">
        <v>46147</v>
      </c>
    </row>
    <row r="24" spans="1:15" ht="23.5" thickBot="1">
      <c r="A24" s="144"/>
      <c r="B24" s="36">
        <v>4504059517</v>
      </c>
      <c r="C24" s="37">
        <v>46137</v>
      </c>
      <c r="D24" s="38">
        <v>0.48888888888888887</v>
      </c>
      <c r="E24" s="36" t="s">
        <v>1260</v>
      </c>
      <c r="F24" s="40"/>
      <c r="G24" s="37">
        <v>46139</v>
      </c>
      <c r="H24" s="38">
        <v>0.60069444444444442</v>
      </c>
      <c r="I24" s="40" t="s">
        <v>1231</v>
      </c>
      <c r="J24" s="36" t="s">
        <v>98</v>
      </c>
      <c r="K24" s="39" t="s">
        <v>72</v>
      </c>
      <c r="L24" s="36">
        <v>6000</v>
      </c>
      <c r="M24" s="36">
        <v>240</v>
      </c>
      <c r="N24" s="145">
        <v>117000000</v>
      </c>
      <c r="O24" s="37">
        <v>46154</v>
      </c>
    </row>
    <row r="25" spans="1:15" ht="23.5" thickBot="1">
      <c r="A25" s="203" t="s">
        <v>1232</v>
      </c>
      <c r="B25" s="204">
        <v>4504059517</v>
      </c>
      <c r="C25" s="205">
        <v>46137</v>
      </c>
      <c r="D25" s="206">
        <v>0.48888888888888887</v>
      </c>
      <c r="E25" s="204" t="s">
        <v>1261</v>
      </c>
      <c r="F25" s="207"/>
      <c r="G25" s="205">
        <v>46139</v>
      </c>
      <c r="H25" s="206">
        <v>0.6020833333333333</v>
      </c>
      <c r="I25" s="207" t="s">
        <v>1231</v>
      </c>
      <c r="J25" s="204" t="s">
        <v>98</v>
      </c>
      <c r="K25" s="208" t="s">
        <v>72</v>
      </c>
      <c r="L25" s="204">
        <v>150</v>
      </c>
      <c r="M25" s="204">
        <v>6</v>
      </c>
      <c r="N25" s="204">
        <v>0</v>
      </c>
      <c r="O25" s="205">
        <v>46154</v>
      </c>
    </row>
    <row r="26" spans="1:15" ht="23.5" thickBot="1">
      <c r="A26" s="144"/>
      <c r="B26" s="36">
        <v>5504634719</v>
      </c>
      <c r="C26" s="37">
        <v>46139</v>
      </c>
      <c r="D26" s="38">
        <v>0.63888888888888884</v>
      </c>
      <c r="E26" s="36" t="s">
        <v>1262</v>
      </c>
      <c r="F26" s="36" t="s">
        <v>1263</v>
      </c>
      <c r="G26" s="37">
        <v>46139</v>
      </c>
      <c r="H26" s="38">
        <v>0.64722222222222225</v>
      </c>
      <c r="I26" s="40" t="s">
        <v>17</v>
      </c>
      <c r="J26" s="36" t="s">
        <v>1264</v>
      </c>
      <c r="K26" s="39" t="s">
        <v>92</v>
      </c>
      <c r="L26" s="36">
        <v>250</v>
      </c>
      <c r="M26" s="36">
        <v>10</v>
      </c>
      <c r="N26" s="145">
        <v>15500000</v>
      </c>
      <c r="O26" s="37">
        <v>46171</v>
      </c>
    </row>
    <row r="27" spans="1:15" ht="23.5" thickBot="1">
      <c r="A27" s="144"/>
      <c r="B27" s="40"/>
      <c r="C27" s="37">
        <v>46133</v>
      </c>
      <c r="D27" s="38">
        <v>0.48055555555555557</v>
      </c>
      <c r="E27" s="36" t="s">
        <v>1169</v>
      </c>
      <c r="F27" s="40"/>
      <c r="G27" s="37">
        <v>46133</v>
      </c>
      <c r="H27" s="38">
        <v>0.54583333333333328</v>
      </c>
      <c r="I27" s="40" t="s">
        <v>275</v>
      </c>
      <c r="J27" s="36" t="s">
        <v>35</v>
      </c>
      <c r="K27" s="39" t="s">
        <v>68</v>
      </c>
      <c r="L27" s="36">
        <v>15</v>
      </c>
      <c r="M27" s="36">
        <v>1</v>
      </c>
      <c r="N27" s="145">
        <v>2666000</v>
      </c>
      <c r="O27" s="37">
        <v>46133</v>
      </c>
    </row>
    <row r="28" spans="1:15" ht="23.5" thickBot="1">
      <c r="A28" s="144"/>
      <c r="B28" s="40"/>
      <c r="C28" s="37">
        <v>46133</v>
      </c>
      <c r="D28" s="38">
        <v>0.48055555555555557</v>
      </c>
      <c r="E28" s="36" t="s">
        <v>1169</v>
      </c>
      <c r="F28" s="40"/>
      <c r="G28" s="37">
        <v>46133</v>
      </c>
      <c r="H28" s="38">
        <v>0.54583333333333328</v>
      </c>
      <c r="I28" s="40" t="s">
        <v>275</v>
      </c>
      <c r="J28" s="36" t="s">
        <v>35</v>
      </c>
      <c r="K28" s="39" t="s">
        <v>1011</v>
      </c>
      <c r="L28" s="36">
        <v>43</v>
      </c>
      <c r="M28" s="36">
        <v>2</v>
      </c>
      <c r="N28" s="145">
        <v>915000</v>
      </c>
      <c r="O28" s="37">
        <v>46133</v>
      </c>
    </row>
    <row r="29" spans="1:15" ht="23.5" thickBot="1">
      <c r="A29" s="144"/>
      <c r="B29" s="40"/>
      <c r="C29" s="37">
        <v>46133</v>
      </c>
      <c r="D29" s="38">
        <v>0.48055555555555557</v>
      </c>
      <c r="E29" s="36" t="s">
        <v>1170</v>
      </c>
      <c r="F29" s="40"/>
      <c r="G29" s="37">
        <v>46133</v>
      </c>
      <c r="H29" s="38">
        <v>0.54583333333333328</v>
      </c>
      <c r="I29" s="40" t="s">
        <v>275</v>
      </c>
      <c r="J29" s="36" t="s">
        <v>35</v>
      </c>
      <c r="K29" s="39" t="s">
        <v>722</v>
      </c>
      <c r="L29" s="36">
        <v>4.3499999999999996</v>
      </c>
      <c r="M29" s="36">
        <v>0</v>
      </c>
      <c r="N29" s="36">
        <v>0</v>
      </c>
      <c r="O29" s="37">
        <v>46133</v>
      </c>
    </row>
    <row r="30" spans="1:15" ht="25.5" thickBot="1">
      <c r="A30" s="144"/>
      <c r="B30" s="36">
        <v>4700008977</v>
      </c>
      <c r="C30" s="37">
        <v>46140</v>
      </c>
      <c r="D30" s="38">
        <v>0.33333333333333331</v>
      </c>
      <c r="E30" s="36" t="s">
        <v>1265</v>
      </c>
      <c r="F30" s="40"/>
      <c r="G30" s="37">
        <v>46140</v>
      </c>
      <c r="H30" s="38">
        <v>0.3347222222222222</v>
      </c>
      <c r="I30" s="40" t="s">
        <v>350</v>
      </c>
      <c r="J30" s="36" t="s">
        <v>351</v>
      </c>
      <c r="K30" s="39" t="s">
        <v>109</v>
      </c>
      <c r="L30" s="36">
        <v>8000</v>
      </c>
      <c r="M30" s="36">
        <v>320</v>
      </c>
      <c r="N30" s="36" t="s">
        <v>1266</v>
      </c>
      <c r="O30" s="37">
        <v>46162</v>
      </c>
    </row>
    <row r="31" spans="1:15" ht="23.5" thickBot="1">
      <c r="A31" s="144"/>
      <c r="B31" s="40"/>
      <c r="C31" s="37">
        <v>46133</v>
      </c>
      <c r="D31" s="38">
        <v>0.66666666666666663</v>
      </c>
      <c r="E31" s="36" t="s">
        <v>1173</v>
      </c>
      <c r="F31" s="40"/>
      <c r="G31" s="37">
        <v>46134</v>
      </c>
      <c r="H31" s="38">
        <v>0.40625</v>
      </c>
      <c r="I31" s="40" t="s">
        <v>1174</v>
      </c>
      <c r="J31" s="36" t="s">
        <v>1175</v>
      </c>
      <c r="K31" s="39" t="s">
        <v>721</v>
      </c>
      <c r="L31" s="36">
        <v>1000</v>
      </c>
      <c r="M31" s="36">
        <v>40</v>
      </c>
      <c r="N31" s="36" t="s">
        <v>1176</v>
      </c>
      <c r="O31" s="37">
        <v>45776</v>
      </c>
    </row>
    <row r="32" spans="1:15" ht="23.5" thickBot="1">
      <c r="A32" s="144"/>
      <c r="B32" s="40"/>
      <c r="C32" s="37">
        <v>46140</v>
      </c>
      <c r="D32" s="38">
        <v>0.3888888888888889</v>
      </c>
      <c r="E32" s="36" t="s">
        <v>1267</v>
      </c>
      <c r="F32" s="40"/>
      <c r="G32" s="37">
        <v>46140</v>
      </c>
      <c r="H32" s="38">
        <v>0.49375000000000002</v>
      </c>
      <c r="I32" s="40" t="s">
        <v>275</v>
      </c>
      <c r="J32" s="36" t="s">
        <v>38</v>
      </c>
      <c r="K32" s="39" t="s">
        <v>186</v>
      </c>
      <c r="L32" s="36">
        <v>80</v>
      </c>
      <c r="M32" s="36">
        <v>3</v>
      </c>
      <c r="N32" s="145">
        <v>8160000</v>
      </c>
      <c r="O32" s="37">
        <v>46140</v>
      </c>
    </row>
    <row r="33" spans="1:15" ht="23.5" thickBot="1">
      <c r="A33" s="144"/>
      <c r="B33" s="40"/>
      <c r="C33" s="37">
        <v>46140</v>
      </c>
      <c r="D33" s="38">
        <v>0.58333333333333337</v>
      </c>
      <c r="E33" s="36" t="s">
        <v>1268</v>
      </c>
      <c r="F33" s="40"/>
      <c r="G33" s="37">
        <v>46140</v>
      </c>
      <c r="H33" s="38">
        <v>0.58402777777777781</v>
      </c>
      <c r="I33" s="40" t="s">
        <v>1269</v>
      </c>
      <c r="J33" s="36" t="s">
        <v>98</v>
      </c>
      <c r="K33" s="39" t="s">
        <v>69</v>
      </c>
      <c r="L33" s="36">
        <v>50</v>
      </c>
      <c r="M33" s="36">
        <v>2</v>
      </c>
      <c r="N33" s="145">
        <v>3194500</v>
      </c>
      <c r="O33" s="37">
        <v>46146</v>
      </c>
    </row>
    <row r="34" spans="1:15" ht="23.5" thickBot="1">
      <c r="A34" s="144"/>
      <c r="B34" s="36">
        <v>361283</v>
      </c>
      <c r="C34" s="37">
        <v>46140</v>
      </c>
      <c r="D34" s="38">
        <v>0.53541666666666665</v>
      </c>
      <c r="E34" s="36" t="s">
        <v>1270</v>
      </c>
      <c r="F34" s="36" t="s">
        <v>1271</v>
      </c>
      <c r="G34" s="37">
        <v>46140</v>
      </c>
      <c r="H34" s="38">
        <v>0.58958333333333335</v>
      </c>
      <c r="I34" s="40" t="s">
        <v>135</v>
      </c>
      <c r="J34" s="36" t="s">
        <v>35</v>
      </c>
      <c r="K34" s="39" t="s">
        <v>163</v>
      </c>
      <c r="L34" s="36">
        <v>50</v>
      </c>
      <c r="M34" s="36">
        <v>2</v>
      </c>
      <c r="N34" s="145">
        <v>25810300</v>
      </c>
      <c r="O34" s="37">
        <v>46140</v>
      </c>
    </row>
    <row r="35" spans="1:15" ht="23.5" thickBot="1">
      <c r="A35" s="199" t="s">
        <v>714</v>
      </c>
      <c r="B35" s="148" t="s">
        <v>1272</v>
      </c>
      <c r="C35" s="149">
        <v>46140</v>
      </c>
      <c r="D35" s="150">
        <v>0.6875</v>
      </c>
      <c r="E35" s="148" t="s">
        <v>1273</v>
      </c>
      <c r="F35" s="151"/>
      <c r="G35" s="149">
        <v>46141</v>
      </c>
      <c r="H35" s="150">
        <v>0.39305555555555555</v>
      </c>
      <c r="I35" s="151" t="s">
        <v>311</v>
      </c>
      <c r="J35" s="148" t="s">
        <v>1048</v>
      </c>
      <c r="K35" s="200" t="s">
        <v>1049</v>
      </c>
      <c r="L35" s="148">
        <v>10</v>
      </c>
      <c r="M35" s="148">
        <v>0</v>
      </c>
      <c r="N35" s="201">
        <v>700000</v>
      </c>
      <c r="O35" s="149">
        <v>46116</v>
      </c>
    </row>
    <row r="36" spans="1:15" ht="25.5" thickBot="1">
      <c r="A36" s="144"/>
      <c r="B36" s="40"/>
      <c r="C36" s="37">
        <v>46141</v>
      </c>
      <c r="D36" s="38">
        <v>0.34097222222222223</v>
      </c>
      <c r="E36" s="36" t="s">
        <v>1274</v>
      </c>
      <c r="F36" s="40"/>
      <c r="G36" s="37">
        <v>46141</v>
      </c>
      <c r="H36" s="38">
        <v>0.41944444444444445</v>
      </c>
      <c r="I36" s="40" t="s">
        <v>809</v>
      </c>
      <c r="J36" s="36" t="s">
        <v>762</v>
      </c>
      <c r="K36" s="39" t="s">
        <v>712</v>
      </c>
      <c r="L36" s="36">
        <v>75</v>
      </c>
      <c r="M36" s="36">
        <v>3</v>
      </c>
      <c r="N36" s="145">
        <v>5250000</v>
      </c>
      <c r="O36" s="37">
        <v>46141</v>
      </c>
    </row>
    <row r="37" spans="1:15" ht="25.5" thickBot="1">
      <c r="A37" s="144"/>
      <c r="B37" s="36">
        <v>1412307</v>
      </c>
      <c r="C37" s="37">
        <v>46141</v>
      </c>
      <c r="D37" s="38">
        <v>0.34375</v>
      </c>
      <c r="E37" s="36" t="s">
        <v>1275</v>
      </c>
      <c r="F37" s="40"/>
      <c r="G37" s="37">
        <v>46141</v>
      </c>
      <c r="H37" s="38">
        <v>0.42916666666666664</v>
      </c>
      <c r="I37" s="40" t="s">
        <v>889</v>
      </c>
      <c r="J37" s="36" t="s">
        <v>287</v>
      </c>
      <c r="K37" s="39" t="s">
        <v>186</v>
      </c>
      <c r="L37" s="36">
        <v>100</v>
      </c>
      <c r="M37" s="36">
        <v>4</v>
      </c>
      <c r="N37" s="145">
        <v>9500000</v>
      </c>
      <c r="O37" s="37">
        <v>46146</v>
      </c>
    </row>
    <row r="38" spans="1:15" ht="25.5" thickBot="1">
      <c r="A38" s="144"/>
      <c r="B38" s="36">
        <v>1412307</v>
      </c>
      <c r="C38" s="37">
        <v>46141</v>
      </c>
      <c r="D38" s="38">
        <v>0.34375</v>
      </c>
      <c r="E38" s="36" t="s">
        <v>1275</v>
      </c>
      <c r="F38" s="40"/>
      <c r="G38" s="37">
        <v>46141</v>
      </c>
      <c r="H38" s="38">
        <v>0.42916666666666664</v>
      </c>
      <c r="I38" s="40" t="s">
        <v>889</v>
      </c>
      <c r="J38" s="36" t="s">
        <v>287</v>
      </c>
      <c r="K38" s="39" t="s">
        <v>68</v>
      </c>
      <c r="L38" s="36">
        <v>30</v>
      </c>
      <c r="M38" s="36">
        <v>1</v>
      </c>
      <c r="N38" s="145">
        <v>1575000</v>
      </c>
      <c r="O38" s="37">
        <v>46146</v>
      </c>
    </row>
    <row r="39" spans="1:15" ht="25.5" thickBot="1">
      <c r="A39" s="144"/>
      <c r="B39" s="36">
        <v>1412307</v>
      </c>
      <c r="C39" s="37">
        <v>46141</v>
      </c>
      <c r="D39" s="38">
        <v>0.34375</v>
      </c>
      <c r="E39" s="36" t="s">
        <v>1276</v>
      </c>
      <c r="F39" s="40"/>
      <c r="G39" s="37">
        <v>46141</v>
      </c>
      <c r="H39" s="38">
        <v>0.42916666666666664</v>
      </c>
      <c r="I39" s="40" t="s">
        <v>889</v>
      </c>
      <c r="J39" s="36" t="s">
        <v>287</v>
      </c>
      <c r="K39" s="39" t="s">
        <v>722</v>
      </c>
      <c r="L39" s="36">
        <v>2.25</v>
      </c>
      <c r="M39" s="36">
        <v>0</v>
      </c>
      <c r="N39" s="36">
        <v>0</v>
      </c>
      <c r="O39" s="37">
        <v>46146</v>
      </c>
    </row>
    <row r="40" spans="1:15" ht="23.5" thickBot="1">
      <c r="A40" s="144"/>
      <c r="B40" s="36" t="s">
        <v>1277</v>
      </c>
      <c r="C40" s="37">
        <v>46141</v>
      </c>
      <c r="D40" s="38">
        <v>0.64513888888888893</v>
      </c>
      <c r="E40" s="36" t="s">
        <v>1278</v>
      </c>
      <c r="F40" s="40"/>
      <c r="G40" s="37">
        <v>46141</v>
      </c>
      <c r="H40" s="38">
        <v>0.45</v>
      </c>
      <c r="I40" s="40" t="s">
        <v>335</v>
      </c>
      <c r="J40" s="36" t="s">
        <v>70</v>
      </c>
      <c r="K40" s="39" t="s">
        <v>150</v>
      </c>
      <c r="L40" s="36">
        <v>175</v>
      </c>
      <c r="M40" s="36">
        <v>7</v>
      </c>
      <c r="N40" s="145">
        <v>3412500</v>
      </c>
      <c r="O40" s="37">
        <v>46156</v>
      </c>
    </row>
    <row r="41" spans="1:15" ht="23.5" thickBot="1">
      <c r="A41" s="144"/>
      <c r="B41" s="36" t="s">
        <v>1277</v>
      </c>
      <c r="C41" s="37">
        <v>46141</v>
      </c>
      <c r="D41" s="38">
        <v>0.64513888888888893</v>
      </c>
      <c r="E41" s="36" t="s">
        <v>1279</v>
      </c>
      <c r="F41" s="40"/>
      <c r="G41" s="37">
        <v>46141</v>
      </c>
      <c r="H41" s="38">
        <v>0.45</v>
      </c>
      <c r="I41" s="40" t="s">
        <v>335</v>
      </c>
      <c r="J41" s="36" t="s">
        <v>70</v>
      </c>
      <c r="K41" s="39" t="s">
        <v>710</v>
      </c>
      <c r="L41" s="36">
        <v>75</v>
      </c>
      <c r="M41" s="36">
        <v>3</v>
      </c>
      <c r="N41" s="145">
        <v>18000000</v>
      </c>
      <c r="O41" s="37">
        <v>46156</v>
      </c>
    </row>
    <row r="42" spans="1:15" ht="23.5" thickBot="1">
      <c r="A42" s="144"/>
      <c r="B42" s="36">
        <v>1410797</v>
      </c>
      <c r="C42" s="37">
        <v>46139</v>
      </c>
      <c r="D42" s="38">
        <v>0.7006944444444444</v>
      </c>
      <c r="E42" s="36" t="s">
        <v>1280</v>
      </c>
      <c r="F42" s="40"/>
      <c r="G42" s="37">
        <v>46141</v>
      </c>
      <c r="H42" s="38">
        <v>0.45347222222222222</v>
      </c>
      <c r="I42" s="40" t="s">
        <v>699</v>
      </c>
      <c r="J42" s="36" t="s">
        <v>36</v>
      </c>
      <c r="K42" s="39" t="s">
        <v>114</v>
      </c>
      <c r="L42" s="36">
        <v>175</v>
      </c>
      <c r="M42" s="36">
        <v>7</v>
      </c>
      <c r="N42" s="145">
        <v>6807500</v>
      </c>
      <c r="O42" s="37">
        <v>46146</v>
      </c>
    </row>
    <row r="43" spans="1:15" ht="23.5" thickBot="1">
      <c r="A43" s="144"/>
      <c r="B43" s="36">
        <v>1410797</v>
      </c>
      <c r="C43" s="37">
        <v>46139</v>
      </c>
      <c r="D43" s="38">
        <v>0.7006944444444444</v>
      </c>
      <c r="E43" s="36" t="s">
        <v>1280</v>
      </c>
      <c r="F43" s="40"/>
      <c r="G43" s="37">
        <v>46141</v>
      </c>
      <c r="H43" s="38">
        <v>0.45347222222222222</v>
      </c>
      <c r="I43" s="40" t="s">
        <v>699</v>
      </c>
      <c r="J43" s="36" t="s">
        <v>36</v>
      </c>
      <c r="K43" s="39" t="s">
        <v>717</v>
      </c>
      <c r="L43" s="36">
        <v>75</v>
      </c>
      <c r="M43" s="36">
        <v>3</v>
      </c>
      <c r="N43" s="145">
        <v>13515000</v>
      </c>
      <c r="O43" s="37">
        <v>46146</v>
      </c>
    </row>
    <row r="44" spans="1:15" ht="23.5" thickBot="1">
      <c r="A44" s="144"/>
      <c r="B44" s="36" t="s">
        <v>1281</v>
      </c>
      <c r="C44" s="37">
        <v>46139</v>
      </c>
      <c r="D44" s="38">
        <v>0.80763888888888891</v>
      </c>
      <c r="E44" s="36" t="s">
        <v>1282</v>
      </c>
      <c r="F44" s="40"/>
      <c r="G44" s="37">
        <v>46141</v>
      </c>
      <c r="H44" s="38">
        <v>0.45694444444444443</v>
      </c>
      <c r="I44" s="40" t="s">
        <v>9</v>
      </c>
      <c r="J44" s="36" t="s">
        <v>39</v>
      </c>
      <c r="K44" s="39" t="s">
        <v>165</v>
      </c>
      <c r="L44" s="36">
        <v>1000</v>
      </c>
      <c r="M44" s="36">
        <v>40</v>
      </c>
      <c r="N44" s="145">
        <v>164000000</v>
      </c>
      <c r="O44" s="37">
        <v>46147</v>
      </c>
    </row>
    <row r="45" spans="1:15" ht="23.5" thickBot="1">
      <c r="A45" s="144"/>
      <c r="B45" s="245">
        <v>67293</v>
      </c>
      <c r="C45" s="37">
        <v>46139</v>
      </c>
      <c r="D45" s="38">
        <v>0.4597222222222222</v>
      </c>
      <c r="E45" s="36">
        <v>16615</v>
      </c>
      <c r="F45" s="40"/>
      <c r="G45" s="37">
        <v>46139</v>
      </c>
      <c r="H45" s="38">
        <v>0.48958333333333331</v>
      </c>
      <c r="I45" s="40" t="s">
        <v>13</v>
      </c>
      <c r="J45" s="36" t="s">
        <v>35</v>
      </c>
      <c r="K45" s="39" t="s">
        <v>1283</v>
      </c>
      <c r="L45" s="36">
        <v>50</v>
      </c>
      <c r="M45" s="36">
        <v>2</v>
      </c>
      <c r="N45" s="145">
        <v>3040000</v>
      </c>
      <c r="O45" s="37">
        <v>46171</v>
      </c>
    </row>
    <row r="46" spans="1:15" ht="13.5" thickBot="1">
      <c r="A46" s="144"/>
      <c r="B46" s="40"/>
      <c r="C46" s="37">
        <v>46141</v>
      </c>
      <c r="D46" s="38">
        <v>0.61319444444444449</v>
      </c>
      <c r="E46" s="36" t="s">
        <v>1284</v>
      </c>
      <c r="F46" s="40"/>
      <c r="G46" s="37">
        <v>46141</v>
      </c>
      <c r="H46" s="38">
        <v>0.61805555555555558</v>
      </c>
      <c r="I46" s="40" t="s">
        <v>1285</v>
      </c>
      <c r="J46" s="36" t="s">
        <v>1151</v>
      </c>
      <c r="K46" s="39" t="s">
        <v>177</v>
      </c>
      <c r="L46" s="36">
        <v>10</v>
      </c>
      <c r="M46" s="36">
        <v>0</v>
      </c>
      <c r="N46" s="145">
        <v>2500000</v>
      </c>
      <c r="O46" s="37">
        <v>46171</v>
      </c>
    </row>
    <row r="47" spans="1:15" ht="23.5" thickBot="1">
      <c r="A47" s="144"/>
      <c r="B47" s="40"/>
      <c r="C47" s="37">
        <v>46141</v>
      </c>
      <c r="D47" s="38">
        <v>0.61319444444444449</v>
      </c>
      <c r="E47" s="36" t="s">
        <v>1284</v>
      </c>
      <c r="F47" s="40"/>
      <c r="G47" s="37">
        <v>46141</v>
      </c>
      <c r="H47" s="38">
        <v>0.61805555555555558</v>
      </c>
      <c r="I47" s="40" t="s">
        <v>1285</v>
      </c>
      <c r="J47" s="36" t="s">
        <v>1151</v>
      </c>
      <c r="K47" s="39" t="s">
        <v>1286</v>
      </c>
      <c r="L47" s="36">
        <v>5</v>
      </c>
      <c r="M47" s="36">
        <v>0</v>
      </c>
      <c r="N47" s="145">
        <v>1050000</v>
      </c>
      <c r="O47" s="37">
        <v>46171</v>
      </c>
    </row>
    <row r="48" spans="1:15" ht="38" thickBot="1">
      <c r="A48" s="144"/>
      <c r="B48" s="36" t="s">
        <v>1287</v>
      </c>
      <c r="C48" s="37">
        <v>46141</v>
      </c>
      <c r="D48" s="38">
        <v>0.63541666666666663</v>
      </c>
      <c r="E48" s="36" t="s">
        <v>1288</v>
      </c>
      <c r="F48" s="40"/>
      <c r="G48" s="37">
        <v>46142</v>
      </c>
      <c r="H48" s="38">
        <v>0.34652777777777777</v>
      </c>
      <c r="I48" s="40" t="s">
        <v>10</v>
      </c>
      <c r="J48" s="36" t="s">
        <v>287</v>
      </c>
      <c r="K48" s="39" t="s">
        <v>186</v>
      </c>
      <c r="L48" s="36">
        <v>7</v>
      </c>
      <c r="M48" s="36">
        <v>0</v>
      </c>
      <c r="N48" s="145">
        <v>717500</v>
      </c>
      <c r="O48" s="37">
        <v>46146</v>
      </c>
    </row>
    <row r="49" spans="1:15" ht="38" thickBot="1">
      <c r="A49" s="144"/>
      <c r="B49" s="36" t="s">
        <v>1287</v>
      </c>
      <c r="C49" s="37">
        <v>46141</v>
      </c>
      <c r="D49" s="38">
        <v>0.63541666666666663</v>
      </c>
      <c r="E49" s="36" t="s">
        <v>1288</v>
      </c>
      <c r="F49" s="40"/>
      <c r="G49" s="37">
        <v>46142</v>
      </c>
      <c r="H49" s="38">
        <v>0.34652777777777777</v>
      </c>
      <c r="I49" s="40" t="s">
        <v>10</v>
      </c>
      <c r="J49" s="36" t="s">
        <v>287</v>
      </c>
      <c r="K49" s="39" t="s">
        <v>713</v>
      </c>
      <c r="L49" s="36">
        <v>5</v>
      </c>
      <c r="M49" s="36">
        <v>0</v>
      </c>
      <c r="N49" s="145">
        <v>272500</v>
      </c>
      <c r="O49" s="37">
        <v>46146</v>
      </c>
    </row>
    <row r="50" spans="1:15" ht="23.5" thickBot="1">
      <c r="A50" s="144"/>
      <c r="B50" s="36">
        <v>13905</v>
      </c>
      <c r="C50" s="37">
        <v>46141</v>
      </c>
      <c r="D50" s="38">
        <v>0.6694444444444444</v>
      </c>
      <c r="E50" s="36" t="s">
        <v>1289</v>
      </c>
      <c r="F50" s="40"/>
      <c r="G50" s="37">
        <v>46142</v>
      </c>
      <c r="H50" s="38">
        <v>0.3840277777777778</v>
      </c>
      <c r="I50" s="40" t="s">
        <v>725</v>
      </c>
      <c r="J50" s="36" t="s">
        <v>747</v>
      </c>
      <c r="K50" s="39" t="s">
        <v>67</v>
      </c>
      <c r="L50" s="36">
        <v>500</v>
      </c>
      <c r="M50" s="36">
        <v>20</v>
      </c>
      <c r="N50" s="145">
        <v>12750000</v>
      </c>
      <c r="O50" s="37">
        <v>46150</v>
      </c>
    </row>
    <row r="51" spans="1:15" ht="13.5" thickBot="1">
      <c r="A51" s="144"/>
      <c r="B51" s="36">
        <v>13905</v>
      </c>
      <c r="C51" s="37">
        <v>46141</v>
      </c>
      <c r="D51" s="38">
        <v>0.6694444444444444</v>
      </c>
      <c r="E51" s="36" t="s">
        <v>1289</v>
      </c>
      <c r="F51" s="40"/>
      <c r="G51" s="37">
        <v>46142</v>
      </c>
      <c r="H51" s="38">
        <v>0.3840277777777778</v>
      </c>
      <c r="I51" s="40" t="s">
        <v>725</v>
      </c>
      <c r="J51" s="36" t="s">
        <v>747</v>
      </c>
      <c r="K51" s="353" t="s">
        <v>627</v>
      </c>
      <c r="L51" s="36">
        <v>200</v>
      </c>
      <c r="M51" s="36">
        <v>8</v>
      </c>
      <c r="N51" s="145">
        <v>7700000</v>
      </c>
      <c r="O51" s="37">
        <v>46150</v>
      </c>
    </row>
    <row r="52" spans="1:15" ht="23.5" thickBot="1">
      <c r="A52" s="144"/>
      <c r="B52" s="36">
        <v>13905</v>
      </c>
      <c r="C52" s="37">
        <v>46141</v>
      </c>
      <c r="D52" s="38">
        <v>0.6694444444444444</v>
      </c>
      <c r="E52" s="36" t="s">
        <v>1289</v>
      </c>
      <c r="F52" s="40"/>
      <c r="G52" s="37">
        <v>46142</v>
      </c>
      <c r="H52" s="38">
        <v>0.3840277777777778</v>
      </c>
      <c r="I52" s="40" t="s">
        <v>725</v>
      </c>
      <c r="J52" s="36" t="s">
        <v>747</v>
      </c>
      <c r="K52" s="39" t="s">
        <v>721</v>
      </c>
      <c r="L52" s="36">
        <v>600</v>
      </c>
      <c r="M52" s="36">
        <v>24</v>
      </c>
      <c r="N52" s="145">
        <v>9600000</v>
      </c>
      <c r="O52" s="37">
        <v>46150</v>
      </c>
    </row>
    <row r="53" spans="1:15" ht="23.5" thickBot="1">
      <c r="A53" s="144"/>
      <c r="B53" s="36">
        <v>13905</v>
      </c>
      <c r="C53" s="37">
        <v>46141</v>
      </c>
      <c r="D53" s="38">
        <v>0.6694444444444444</v>
      </c>
      <c r="E53" s="36" t="s">
        <v>1290</v>
      </c>
      <c r="F53" s="40"/>
      <c r="G53" s="37">
        <v>46142</v>
      </c>
      <c r="H53" s="38">
        <v>0.3840277777777778</v>
      </c>
      <c r="I53" s="40" t="s">
        <v>725</v>
      </c>
      <c r="J53" s="36" t="s">
        <v>747</v>
      </c>
      <c r="K53" s="39" t="s">
        <v>856</v>
      </c>
      <c r="L53" s="36">
        <v>100</v>
      </c>
      <c r="M53" s="36">
        <v>4</v>
      </c>
      <c r="N53" s="145">
        <v>2100000</v>
      </c>
      <c r="O53" s="37">
        <v>46150</v>
      </c>
    </row>
    <row r="54" spans="1:15" ht="13.5" thickBot="1">
      <c r="A54" s="144"/>
      <c r="B54" s="36">
        <v>5504646398</v>
      </c>
      <c r="C54" s="37">
        <v>46141</v>
      </c>
      <c r="D54" s="38">
        <v>0.7319444444444444</v>
      </c>
      <c r="E54" s="36" t="s">
        <v>1291</v>
      </c>
      <c r="F54" s="40"/>
      <c r="G54" s="37">
        <v>46142</v>
      </c>
      <c r="H54" s="38">
        <v>0.38680555555555557</v>
      </c>
      <c r="I54" s="40" t="s">
        <v>17</v>
      </c>
      <c r="J54" s="36" t="s">
        <v>91</v>
      </c>
      <c r="K54" s="39" t="s">
        <v>150</v>
      </c>
      <c r="L54" s="36">
        <v>8000</v>
      </c>
      <c r="M54" s="36">
        <v>320</v>
      </c>
      <c r="N54" s="145">
        <v>146800000</v>
      </c>
      <c r="O54" s="37">
        <v>46148</v>
      </c>
    </row>
    <row r="55" spans="1:15" ht="23.5" thickBot="1">
      <c r="A55" s="144"/>
      <c r="B55" s="36">
        <v>4500088625</v>
      </c>
      <c r="C55" s="37">
        <v>46141</v>
      </c>
      <c r="D55" s="38">
        <v>0.98750000000000004</v>
      </c>
      <c r="E55" s="36" t="s">
        <v>1292</v>
      </c>
      <c r="F55" s="40"/>
      <c r="G55" s="37">
        <v>46142</v>
      </c>
      <c r="H55" s="38">
        <v>0.39097222222222222</v>
      </c>
      <c r="I55" s="40" t="s">
        <v>709</v>
      </c>
      <c r="J55" s="36" t="s">
        <v>40</v>
      </c>
      <c r="K55" s="39" t="s">
        <v>68</v>
      </c>
      <c r="L55" s="36">
        <v>3000</v>
      </c>
      <c r="M55" s="36">
        <v>120</v>
      </c>
      <c r="N55" s="145">
        <v>157500000</v>
      </c>
      <c r="O55" s="37">
        <v>46144</v>
      </c>
    </row>
    <row r="56" spans="1:15" ht="23.5" thickBot="1">
      <c r="A56" s="144"/>
      <c r="B56" s="36">
        <v>4500088625</v>
      </c>
      <c r="C56" s="37">
        <v>46141</v>
      </c>
      <c r="D56" s="38">
        <v>0.98750000000000004</v>
      </c>
      <c r="E56" s="36" t="s">
        <v>1292</v>
      </c>
      <c r="F56" s="40"/>
      <c r="G56" s="37">
        <v>46142</v>
      </c>
      <c r="H56" s="38">
        <v>0.39097222222222222</v>
      </c>
      <c r="I56" s="40" t="s">
        <v>709</v>
      </c>
      <c r="J56" s="36" t="s">
        <v>40</v>
      </c>
      <c r="K56" s="39" t="s">
        <v>930</v>
      </c>
      <c r="L56" s="36">
        <v>200</v>
      </c>
      <c r="M56" s="36">
        <v>8</v>
      </c>
      <c r="N56" s="145">
        <v>26250000</v>
      </c>
      <c r="O56" s="37">
        <v>46144</v>
      </c>
    </row>
    <row r="57" spans="1:15" ht="23.5" thickBot="1">
      <c r="A57" s="144"/>
      <c r="B57" s="36">
        <v>4500088625</v>
      </c>
      <c r="C57" s="37">
        <v>46141</v>
      </c>
      <c r="D57" s="38">
        <v>0.98750000000000004</v>
      </c>
      <c r="E57" s="36" t="s">
        <v>1293</v>
      </c>
      <c r="F57" s="40"/>
      <c r="G57" s="37">
        <v>46142</v>
      </c>
      <c r="H57" s="38">
        <v>0.39097222222222222</v>
      </c>
      <c r="I57" s="40" t="s">
        <v>709</v>
      </c>
      <c r="J57" s="36" t="s">
        <v>40</v>
      </c>
      <c r="K57" s="39" t="s">
        <v>1294</v>
      </c>
      <c r="L57" s="36">
        <v>2250</v>
      </c>
      <c r="M57" s="36">
        <v>90</v>
      </c>
      <c r="N57" s="36">
        <v>0</v>
      </c>
      <c r="O57" s="37">
        <v>46144</v>
      </c>
    </row>
    <row r="58" spans="1:15" ht="23.5" thickBot="1">
      <c r="A58" s="144"/>
      <c r="B58" s="40"/>
      <c r="C58" s="37">
        <v>46142</v>
      </c>
      <c r="D58" s="38">
        <v>0.49652777777777779</v>
      </c>
      <c r="E58" s="36" t="s">
        <v>1295</v>
      </c>
      <c r="F58" s="40"/>
      <c r="G58" s="37">
        <v>46142</v>
      </c>
      <c r="H58" s="38">
        <v>0.50902777777777775</v>
      </c>
      <c r="I58" s="40" t="s">
        <v>347</v>
      </c>
      <c r="J58" s="36" t="s">
        <v>723</v>
      </c>
      <c r="K58" s="39" t="s">
        <v>710</v>
      </c>
      <c r="L58" s="36">
        <v>500</v>
      </c>
      <c r="M58" s="36">
        <v>20</v>
      </c>
      <c r="N58" s="145">
        <v>118500000</v>
      </c>
      <c r="O58" s="37">
        <v>46144</v>
      </c>
    </row>
    <row r="59" spans="1:15" ht="23.5" thickBot="1">
      <c r="A59" s="144"/>
      <c r="B59" s="40"/>
      <c r="C59" s="37">
        <v>46142</v>
      </c>
      <c r="D59" s="38">
        <v>0.49652777777777779</v>
      </c>
      <c r="E59" s="36" t="s">
        <v>1295</v>
      </c>
      <c r="F59" s="40"/>
      <c r="G59" s="37">
        <v>46142</v>
      </c>
      <c r="H59" s="38">
        <v>0.50902777777777775</v>
      </c>
      <c r="I59" s="40" t="s">
        <v>347</v>
      </c>
      <c r="J59" s="36" t="s">
        <v>723</v>
      </c>
      <c r="K59" s="39" t="s">
        <v>182</v>
      </c>
      <c r="L59" s="36">
        <v>1200</v>
      </c>
      <c r="M59" s="36">
        <v>48</v>
      </c>
      <c r="N59" s="145">
        <v>61200000</v>
      </c>
      <c r="O59" s="37">
        <v>46144</v>
      </c>
    </row>
    <row r="60" spans="1:15" ht="23.5" thickBot="1">
      <c r="A60" s="144"/>
      <c r="B60" s="40"/>
      <c r="C60" s="37">
        <v>46142</v>
      </c>
      <c r="D60" s="38">
        <v>0.49652777777777779</v>
      </c>
      <c r="E60" s="36" t="s">
        <v>1295</v>
      </c>
      <c r="F60" s="40"/>
      <c r="G60" s="37">
        <v>46142</v>
      </c>
      <c r="H60" s="38">
        <v>0.50902777777777775</v>
      </c>
      <c r="I60" s="40" t="s">
        <v>347</v>
      </c>
      <c r="J60" s="36" t="s">
        <v>723</v>
      </c>
      <c r="K60" s="39" t="s">
        <v>72</v>
      </c>
      <c r="L60" s="36">
        <v>175</v>
      </c>
      <c r="M60" s="36">
        <v>7</v>
      </c>
      <c r="N60" s="145">
        <v>3675000</v>
      </c>
      <c r="O60" s="37">
        <v>46144</v>
      </c>
    </row>
    <row r="61" spans="1:15" ht="25.5" thickBot="1">
      <c r="A61" s="144"/>
      <c r="B61" s="36">
        <v>103025</v>
      </c>
      <c r="C61" s="37">
        <v>46142</v>
      </c>
      <c r="D61" s="38">
        <v>0.55833333333333335</v>
      </c>
      <c r="E61" s="36" t="s">
        <v>1296</v>
      </c>
      <c r="F61" s="40"/>
      <c r="G61" s="37">
        <v>46146</v>
      </c>
      <c r="H61" s="38">
        <v>0.33055555555555555</v>
      </c>
      <c r="I61" s="40" t="s">
        <v>860</v>
      </c>
      <c r="J61" s="36" t="s">
        <v>98</v>
      </c>
      <c r="K61" s="39" t="s">
        <v>756</v>
      </c>
      <c r="L61" s="36">
        <v>100</v>
      </c>
      <c r="M61" s="36">
        <v>4</v>
      </c>
      <c r="N61" s="145">
        <v>14500000</v>
      </c>
      <c r="O61" s="37">
        <v>46154</v>
      </c>
    </row>
    <row r="62" spans="1:15" ht="25.5" thickBot="1">
      <c r="A62" s="144"/>
      <c r="B62" s="36">
        <v>103025</v>
      </c>
      <c r="C62" s="37">
        <v>46142</v>
      </c>
      <c r="D62" s="38">
        <v>0.55833333333333335</v>
      </c>
      <c r="E62" s="36" t="s">
        <v>1296</v>
      </c>
      <c r="F62" s="40"/>
      <c r="G62" s="37">
        <v>46146</v>
      </c>
      <c r="H62" s="38">
        <v>0.33055555555555555</v>
      </c>
      <c r="I62" s="40" t="s">
        <v>860</v>
      </c>
      <c r="J62" s="36" t="s">
        <v>98</v>
      </c>
      <c r="K62" s="39" t="s">
        <v>186</v>
      </c>
      <c r="L62" s="36">
        <v>440</v>
      </c>
      <c r="M62" s="36">
        <v>18</v>
      </c>
      <c r="N62" s="145">
        <v>42768000</v>
      </c>
      <c r="O62" s="37">
        <v>46154</v>
      </c>
    </row>
    <row r="63" spans="1:15" ht="25.5" thickBot="1">
      <c r="A63" s="144"/>
      <c r="B63" s="36">
        <v>103025</v>
      </c>
      <c r="C63" s="37">
        <v>46142</v>
      </c>
      <c r="D63" s="38">
        <v>0.55833333333333335</v>
      </c>
      <c r="E63" s="36" t="s">
        <v>1296</v>
      </c>
      <c r="F63" s="40"/>
      <c r="G63" s="37">
        <v>46146</v>
      </c>
      <c r="H63" s="38">
        <v>0.33055555555555555</v>
      </c>
      <c r="I63" s="40" t="s">
        <v>860</v>
      </c>
      <c r="J63" s="36" t="s">
        <v>98</v>
      </c>
      <c r="K63" s="39" t="s">
        <v>713</v>
      </c>
      <c r="L63" s="36">
        <v>50</v>
      </c>
      <c r="M63" s="36">
        <v>2</v>
      </c>
      <c r="N63" s="145">
        <v>3575000</v>
      </c>
      <c r="O63" s="37">
        <v>46154</v>
      </c>
    </row>
    <row r="64" spans="1:15" ht="25.5" thickBot="1">
      <c r="A64" s="144"/>
      <c r="B64" s="36">
        <v>103025</v>
      </c>
      <c r="C64" s="37">
        <v>46142</v>
      </c>
      <c r="D64" s="38">
        <v>0.55833333333333335</v>
      </c>
      <c r="E64" s="36" t="s">
        <v>1296</v>
      </c>
      <c r="F64" s="40"/>
      <c r="G64" s="37">
        <v>46146</v>
      </c>
      <c r="H64" s="38">
        <v>0.33055555555555555</v>
      </c>
      <c r="I64" s="40" t="s">
        <v>860</v>
      </c>
      <c r="J64" s="36" t="s">
        <v>98</v>
      </c>
      <c r="K64" s="39" t="s">
        <v>163</v>
      </c>
      <c r="L64" s="36">
        <v>50</v>
      </c>
      <c r="M64" s="36">
        <v>2</v>
      </c>
      <c r="N64" s="145">
        <v>25740000</v>
      </c>
      <c r="O64" s="37">
        <v>46154</v>
      </c>
    </row>
    <row r="65" spans="1:15" ht="25.5" thickBot="1">
      <c r="A65" s="144"/>
      <c r="B65" s="36">
        <v>103025</v>
      </c>
      <c r="C65" s="37">
        <v>46142</v>
      </c>
      <c r="D65" s="38">
        <v>0.55833333333333335</v>
      </c>
      <c r="E65" s="36" t="s">
        <v>1297</v>
      </c>
      <c r="F65" s="36" t="s">
        <v>1298</v>
      </c>
      <c r="G65" s="37">
        <v>46146</v>
      </c>
      <c r="H65" s="38">
        <v>0.33055555555555555</v>
      </c>
      <c r="I65" s="40" t="s">
        <v>860</v>
      </c>
      <c r="J65" s="36" t="s">
        <v>98</v>
      </c>
      <c r="K65" s="39" t="s">
        <v>186</v>
      </c>
      <c r="L65" s="36">
        <v>60</v>
      </c>
      <c r="M65" s="36">
        <v>2</v>
      </c>
      <c r="N65" s="145">
        <v>5832000</v>
      </c>
      <c r="O65" s="37">
        <v>46154</v>
      </c>
    </row>
    <row r="66" spans="1:15" ht="25.5" thickBot="1">
      <c r="A66" s="211" t="s">
        <v>729</v>
      </c>
      <c r="B66" s="212">
        <v>103024</v>
      </c>
      <c r="C66" s="213">
        <v>46142</v>
      </c>
      <c r="D66" s="214">
        <v>0.55833333333333335</v>
      </c>
      <c r="E66" s="212" t="s">
        <v>1299</v>
      </c>
      <c r="F66" s="215"/>
      <c r="G66" s="213">
        <v>46146</v>
      </c>
      <c r="H66" s="214">
        <v>0.33055555555555555</v>
      </c>
      <c r="I66" s="215" t="s">
        <v>860</v>
      </c>
      <c r="J66" s="212" t="s">
        <v>98</v>
      </c>
      <c r="K66" s="216" t="s">
        <v>713</v>
      </c>
      <c r="L66" s="212">
        <v>30</v>
      </c>
      <c r="M66" s="212">
        <v>1</v>
      </c>
      <c r="N66" s="217">
        <v>2145000</v>
      </c>
      <c r="O66" s="213">
        <v>46147</v>
      </c>
    </row>
    <row r="67" spans="1:15" ht="25.5" thickBot="1">
      <c r="A67" s="211" t="s">
        <v>729</v>
      </c>
      <c r="B67" s="212">
        <v>103024</v>
      </c>
      <c r="C67" s="213">
        <v>46142</v>
      </c>
      <c r="D67" s="214">
        <v>0.55833333333333335</v>
      </c>
      <c r="E67" s="212" t="s">
        <v>1299</v>
      </c>
      <c r="F67" s="215"/>
      <c r="G67" s="213">
        <v>46146</v>
      </c>
      <c r="H67" s="214">
        <v>0.33055555555555555</v>
      </c>
      <c r="I67" s="215" t="s">
        <v>860</v>
      </c>
      <c r="J67" s="212" t="s">
        <v>98</v>
      </c>
      <c r="K67" s="216" t="s">
        <v>163</v>
      </c>
      <c r="L67" s="212">
        <v>200</v>
      </c>
      <c r="M67" s="212">
        <v>8</v>
      </c>
      <c r="N67" s="217">
        <v>102960000</v>
      </c>
      <c r="O67" s="213">
        <v>46147</v>
      </c>
    </row>
    <row r="68" spans="1:15" ht="23.5" thickBot="1">
      <c r="A68" s="144"/>
      <c r="B68" s="36">
        <v>103027</v>
      </c>
      <c r="C68" s="37">
        <v>46142</v>
      </c>
      <c r="D68" s="38">
        <v>0.55833333333333335</v>
      </c>
      <c r="E68" s="36" t="s">
        <v>1300</v>
      </c>
      <c r="F68" s="40"/>
      <c r="G68" s="37">
        <v>46146</v>
      </c>
      <c r="H68" s="38">
        <v>0.34097222222222223</v>
      </c>
      <c r="I68" s="40" t="s">
        <v>716</v>
      </c>
      <c r="J68" s="36" t="s">
        <v>98</v>
      </c>
      <c r="K68" s="39" t="s">
        <v>186</v>
      </c>
      <c r="L68" s="36">
        <v>500</v>
      </c>
      <c r="M68" s="36">
        <v>20</v>
      </c>
      <c r="N68" s="145">
        <v>48600000</v>
      </c>
      <c r="O68" s="37">
        <v>46147</v>
      </c>
    </row>
    <row r="69" spans="1:15" ht="23.5" thickBot="1">
      <c r="A69" s="211" t="s">
        <v>729</v>
      </c>
      <c r="B69" s="212">
        <v>1413806</v>
      </c>
      <c r="C69" s="213">
        <v>46142</v>
      </c>
      <c r="D69" s="214">
        <v>0.58750000000000002</v>
      </c>
      <c r="E69" s="212" t="s">
        <v>1301</v>
      </c>
      <c r="F69" s="215"/>
      <c r="G69" s="213">
        <v>46146</v>
      </c>
      <c r="H69" s="214">
        <v>0.34444444444444444</v>
      </c>
      <c r="I69" s="215" t="s">
        <v>794</v>
      </c>
      <c r="J69" s="212" t="s">
        <v>35</v>
      </c>
      <c r="K69" s="216" t="s">
        <v>67</v>
      </c>
      <c r="L69" s="212">
        <v>200</v>
      </c>
      <c r="M69" s="212">
        <v>8</v>
      </c>
      <c r="N69" s="217">
        <v>4965000</v>
      </c>
      <c r="O69" s="213">
        <v>46148</v>
      </c>
    </row>
    <row r="70" spans="1:15" ht="23.5" thickBot="1">
      <c r="A70" s="211" t="s">
        <v>729</v>
      </c>
      <c r="B70" s="212">
        <v>1413806</v>
      </c>
      <c r="C70" s="213">
        <v>46142</v>
      </c>
      <c r="D70" s="214">
        <v>0.58750000000000002</v>
      </c>
      <c r="E70" s="212" t="s">
        <v>1301</v>
      </c>
      <c r="F70" s="215"/>
      <c r="G70" s="213">
        <v>46146</v>
      </c>
      <c r="H70" s="214">
        <v>0.34444444444444444</v>
      </c>
      <c r="I70" s="215" t="s">
        <v>794</v>
      </c>
      <c r="J70" s="212" t="s">
        <v>35</v>
      </c>
      <c r="K70" s="216" t="s">
        <v>627</v>
      </c>
      <c r="L70" s="212">
        <v>100</v>
      </c>
      <c r="M70" s="212">
        <v>4</v>
      </c>
      <c r="N70" s="217">
        <v>3450000</v>
      </c>
      <c r="O70" s="213">
        <v>46148</v>
      </c>
    </row>
    <row r="71" spans="1:15" ht="23.5" thickBot="1">
      <c r="A71" s="144"/>
      <c r="B71" s="40"/>
      <c r="C71" s="37">
        <v>46142</v>
      </c>
      <c r="D71" s="38">
        <v>0.60069444444444442</v>
      </c>
      <c r="E71" s="36" t="s">
        <v>1302</v>
      </c>
      <c r="F71" s="40"/>
      <c r="G71" s="37">
        <v>46146</v>
      </c>
      <c r="H71" s="38">
        <v>0.34652777777777777</v>
      </c>
      <c r="I71" s="40" t="s">
        <v>1303</v>
      </c>
      <c r="J71" s="36" t="s">
        <v>743</v>
      </c>
      <c r="K71" s="39" t="s">
        <v>72</v>
      </c>
      <c r="L71" s="36">
        <v>100</v>
      </c>
      <c r="M71" s="36">
        <v>4</v>
      </c>
      <c r="N71" s="145">
        <v>2100000</v>
      </c>
      <c r="O71" s="37">
        <v>46148</v>
      </c>
    </row>
    <row r="72" spans="1:15" ht="13.5" thickBot="1">
      <c r="A72" s="144"/>
      <c r="B72" s="40"/>
      <c r="C72" s="37">
        <v>46142</v>
      </c>
      <c r="D72" s="38">
        <v>0.625</v>
      </c>
      <c r="E72" s="36" t="s">
        <v>1304</v>
      </c>
      <c r="F72" s="40"/>
      <c r="G72" s="37">
        <v>46146</v>
      </c>
      <c r="H72" s="38">
        <v>0.35833333333333334</v>
      </c>
      <c r="I72" s="40" t="s">
        <v>1231</v>
      </c>
      <c r="J72" s="36" t="s">
        <v>943</v>
      </c>
      <c r="K72" s="39" t="s">
        <v>150</v>
      </c>
      <c r="L72" s="36">
        <v>650</v>
      </c>
      <c r="M72" s="36">
        <v>26</v>
      </c>
      <c r="N72" s="145">
        <v>11537500</v>
      </c>
      <c r="O72" s="37">
        <v>46147</v>
      </c>
    </row>
    <row r="73" spans="1:15" ht="23.5" thickBot="1">
      <c r="A73" s="209" t="s">
        <v>676</v>
      </c>
      <c r="B73" s="62"/>
      <c r="C73" s="63">
        <v>46142</v>
      </c>
      <c r="D73" s="64">
        <v>0.62638888888888888</v>
      </c>
      <c r="E73" s="65" t="s">
        <v>1305</v>
      </c>
      <c r="F73" s="62"/>
      <c r="G73" s="63">
        <v>46146</v>
      </c>
      <c r="H73" s="64">
        <v>0.36180555555555555</v>
      </c>
      <c r="I73" s="62" t="s">
        <v>15</v>
      </c>
      <c r="J73" s="65" t="s">
        <v>35</v>
      </c>
      <c r="K73" s="69" t="s">
        <v>186</v>
      </c>
      <c r="L73" s="65">
        <v>6</v>
      </c>
      <c r="M73" s="65">
        <v>0</v>
      </c>
      <c r="N73" s="210">
        <v>630000</v>
      </c>
      <c r="O73" s="63">
        <v>46146</v>
      </c>
    </row>
    <row r="74" spans="1:15" ht="23.5" thickBot="1">
      <c r="A74" s="144"/>
      <c r="B74" s="36" t="s">
        <v>1306</v>
      </c>
      <c r="C74" s="37">
        <v>46143</v>
      </c>
      <c r="D74" s="38">
        <v>0.53263888888888888</v>
      </c>
      <c r="E74" s="36" t="s">
        <v>1307</v>
      </c>
      <c r="F74" s="40"/>
      <c r="G74" s="37">
        <v>46146</v>
      </c>
      <c r="H74" s="38">
        <v>0.36736111111111114</v>
      </c>
      <c r="I74" s="40" t="s">
        <v>727</v>
      </c>
      <c r="J74" s="36" t="s">
        <v>35</v>
      </c>
      <c r="K74" s="39" t="s">
        <v>712</v>
      </c>
      <c r="L74" s="36">
        <v>100</v>
      </c>
      <c r="M74" s="36">
        <v>4</v>
      </c>
      <c r="N74" s="145">
        <v>6900000</v>
      </c>
      <c r="O74" s="37">
        <v>46146</v>
      </c>
    </row>
    <row r="75" spans="1:15" ht="23.5" thickBot="1">
      <c r="A75" s="144"/>
      <c r="B75" s="36">
        <v>4500088661</v>
      </c>
      <c r="C75" s="37">
        <v>46143</v>
      </c>
      <c r="D75" s="38">
        <v>0.43888888888888888</v>
      </c>
      <c r="E75" s="36" t="s">
        <v>1308</v>
      </c>
      <c r="F75" s="40"/>
      <c r="G75" s="37">
        <v>46146</v>
      </c>
      <c r="H75" s="38">
        <v>0.37083333333333335</v>
      </c>
      <c r="I75" s="40" t="s">
        <v>709</v>
      </c>
      <c r="J75" s="36" t="s">
        <v>40</v>
      </c>
      <c r="K75" s="39" t="s">
        <v>68</v>
      </c>
      <c r="L75" s="36">
        <v>1000</v>
      </c>
      <c r="M75" s="36">
        <v>40</v>
      </c>
      <c r="N75" s="145">
        <v>52500000</v>
      </c>
      <c r="O75" s="37">
        <v>46147</v>
      </c>
    </row>
    <row r="76" spans="1:15" ht="13.5" thickBot="1">
      <c r="A76" s="144"/>
      <c r="B76" s="36">
        <v>4500088661</v>
      </c>
      <c r="C76" s="37">
        <v>46143</v>
      </c>
      <c r="D76" s="38">
        <v>0.43888888888888888</v>
      </c>
      <c r="E76" s="36" t="s">
        <v>1308</v>
      </c>
      <c r="F76" s="40"/>
      <c r="G76" s="37">
        <v>46146</v>
      </c>
      <c r="H76" s="38">
        <v>0.37083333333333335</v>
      </c>
      <c r="I76" s="40" t="s">
        <v>709</v>
      </c>
      <c r="J76" s="36" t="s">
        <v>40</v>
      </c>
      <c r="K76" s="39" t="s">
        <v>755</v>
      </c>
      <c r="L76" s="36">
        <v>400</v>
      </c>
      <c r="M76" s="36">
        <v>16</v>
      </c>
      <c r="N76" s="145">
        <v>7870000</v>
      </c>
      <c r="O76" s="37">
        <v>46147</v>
      </c>
    </row>
    <row r="77" spans="1:15" ht="13.5" thickBot="1">
      <c r="A77" s="144"/>
      <c r="B77" s="36">
        <v>4500088661</v>
      </c>
      <c r="C77" s="37">
        <v>46143</v>
      </c>
      <c r="D77" s="38">
        <v>0.43888888888888888</v>
      </c>
      <c r="E77" s="36" t="s">
        <v>1308</v>
      </c>
      <c r="F77" s="40"/>
      <c r="G77" s="37">
        <v>46146</v>
      </c>
      <c r="H77" s="38">
        <v>0.37083333333333335</v>
      </c>
      <c r="I77" s="40" t="s">
        <v>709</v>
      </c>
      <c r="J77" s="36" t="s">
        <v>40</v>
      </c>
      <c r="K77" s="39" t="s">
        <v>177</v>
      </c>
      <c r="L77" s="36">
        <v>30</v>
      </c>
      <c r="M77" s="36">
        <v>1</v>
      </c>
      <c r="N77" s="145">
        <v>5250000</v>
      </c>
      <c r="O77" s="37">
        <v>46147</v>
      </c>
    </row>
    <row r="78" spans="1:15" ht="23.5" thickBot="1">
      <c r="A78" s="144"/>
      <c r="B78" s="36">
        <v>4500088661</v>
      </c>
      <c r="C78" s="37">
        <v>46143</v>
      </c>
      <c r="D78" s="38">
        <v>0.43888888888888888</v>
      </c>
      <c r="E78" s="36" t="s">
        <v>1308</v>
      </c>
      <c r="F78" s="40"/>
      <c r="G78" s="37">
        <v>46146</v>
      </c>
      <c r="H78" s="38">
        <v>0.37083333333333335</v>
      </c>
      <c r="I78" s="40" t="s">
        <v>709</v>
      </c>
      <c r="J78" s="36" t="s">
        <v>40</v>
      </c>
      <c r="K78" s="39" t="s">
        <v>1294</v>
      </c>
      <c r="L78" s="36">
        <v>80</v>
      </c>
      <c r="M78" s="36">
        <v>3</v>
      </c>
      <c r="N78" s="36">
        <v>0</v>
      </c>
      <c r="O78" s="37">
        <v>46147</v>
      </c>
    </row>
    <row r="79" spans="1:15" ht="13.5" thickBot="1">
      <c r="A79" s="144"/>
      <c r="B79" s="36">
        <v>5504045659</v>
      </c>
      <c r="C79" s="37">
        <v>46143</v>
      </c>
      <c r="D79" s="38">
        <v>0.43958333333333333</v>
      </c>
      <c r="E79" s="36" t="s">
        <v>1309</v>
      </c>
      <c r="F79" s="40"/>
      <c r="G79" s="37">
        <v>46146</v>
      </c>
      <c r="H79" s="38">
        <v>0.41944444444444445</v>
      </c>
      <c r="I79" s="40" t="s">
        <v>17</v>
      </c>
      <c r="J79" s="36" t="s">
        <v>774</v>
      </c>
      <c r="K79" s="39" t="s">
        <v>1165</v>
      </c>
      <c r="L79" s="36">
        <v>50</v>
      </c>
      <c r="M79" s="36">
        <v>2</v>
      </c>
      <c r="N79" s="145">
        <v>3600000</v>
      </c>
      <c r="O79" s="37">
        <v>46148</v>
      </c>
    </row>
    <row r="80" spans="1:15" ht="23.5" thickBot="1">
      <c r="A80" s="144"/>
      <c r="B80" s="36">
        <v>5504231581</v>
      </c>
      <c r="C80" s="37">
        <v>46127</v>
      </c>
      <c r="D80" s="38">
        <v>0.47291666666666665</v>
      </c>
      <c r="E80" s="36" t="s">
        <v>1310</v>
      </c>
      <c r="F80" s="40"/>
      <c r="G80" s="37">
        <v>46146</v>
      </c>
      <c r="H80" s="38">
        <v>0.46666666666666667</v>
      </c>
      <c r="I80" s="40" t="s">
        <v>17</v>
      </c>
      <c r="J80" s="36" t="s">
        <v>774</v>
      </c>
      <c r="K80" s="39" t="s">
        <v>313</v>
      </c>
      <c r="L80" s="36">
        <v>100</v>
      </c>
      <c r="M80" s="36">
        <v>100</v>
      </c>
      <c r="N80" s="145">
        <v>4650000</v>
      </c>
      <c r="O80" s="37">
        <v>46148</v>
      </c>
    </row>
    <row r="81" spans="1:15" ht="13.5" thickBot="1">
      <c r="A81" s="144"/>
      <c r="B81" s="36">
        <v>5504044879</v>
      </c>
      <c r="C81" s="37">
        <v>46127</v>
      </c>
      <c r="D81" s="38">
        <v>0.47291666666666665</v>
      </c>
      <c r="E81" s="36" t="s">
        <v>1311</v>
      </c>
      <c r="F81" s="40"/>
      <c r="G81" s="37">
        <v>46146</v>
      </c>
      <c r="H81" s="38">
        <v>0.47013888888888888</v>
      </c>
      <c r="I81" s="40" t="s">
        <v>17</v>
      </c>
      <c r="J81" s="36" t="s">
        <v>774</v>
      </c>
      <c r="K81" s="39" t="s">
        <v>846</v>
      </c>
      <c r="L81" s="36">
        <v>90</v>
      </c>
      <c r="M81" s="36">
        <v>90</v>
      </c>
      <c r="N81" s="145">
        <v>14400000</v>
      </c>
      <c r="O81" s="37">
        <v>46148</v>
      </c>
    </row>
    <row r="82" spans="1:15" ht="23.5" thickBot="1">
      <c r="A82" s="144"/>
      <c r="B82" s="36" t="s">
        <v>1312</v>
      </c>
      <c r="C82" s="37">
        <v>46145</v>
      </c>
      <c r="D82" s="38">
        <v>0.88749999999999996</v>
      </c>
      <c r="E82" s="36" t="s">
        <v>1313</v>
      </c>
      <c r="F82" s="40"/>
      <c r="G82" s="37">
        <v>46146</v>
      </c>
      <c r="H82" s="38">
        <v>0.47361111111111109</v>
      </c>
      <c r="I82" s="40" t="s">
        <v>125</v>
      </c>
      <c r="J82" s="36" t="s">
        <v>103</v>
      </c>
      <c r="K82" s="39" t="s">
        <v>168</v>
      </c>
      <c r="L82" s="36">
        <v>300</v>
      </c>
      <c r="M82" s="36">
        <v>12</v>
      </c>
      <c r="N82" s="145">
        <v>7500000</v>
      </c>
      <c r="O82" s="37">
        <v>46148</v>
      </c>
    </row>
    <row r="83" spans="1:15" ht="23.5" thickBot="1">
      <c r="A83" s="144"/>
      <c r="B83" s="36" t="s">
        <v>1314</v>
      </c>
      <c r="C83" s="37">
        <v>46146</v>
      </c>
      <c r="D83" s="38">
        <v>0.29097222222222224</v>
      </c>
      <c r="E83" s="36" t="s">
        <v>1315</v>
      </c>
      <c r="F83" s="40"/>
      <c r="G83" s="37">
        <v>46146</v>
      </c>
      <c r="H83" s="38">
        <v>0.50277777777777777</v>
      </c>
      <c r="I83" s="40" t="s">
        <v>1316</v>
      </c>
      <c r="J83" s="36" t="s">
        <v>744</v>
      </c>
      <c r="K83" s="39" t="s">
        <v>930</v>
      </c>
      <c r="L83" s="36">
        <v>50</v>
      </c>
      <c r="M83" s="36">
        <v>2</v>
      </c>
      <c r="N83" s="145">
        <v>8250000</v>
      </c>
      <c r="O83" s="37">
        <v>46148</v>
      </c>
    </row>
    <row r="84" spans="1:15" ht="23.5" thickBot="1">
      <c r="A84" s="144"/>
      <c r="B84" s="40"/>
      <c r="C84" s="37">
        <v>46146</v>
      </c>
      <c r="D84" s="38">
        <v>0.50972222222222219</v>
      </c>
      <c r="E84" s="36" t="s">
        <v>1317</v>
      </c>
      <c r="F84" s="40"/>
      <c r="G84" s="37">
        <v>46146</v>
      </c>
      <c r="H84" s="38">
        <v>0.51666666666666672</v>
      </c>
      <c r="I84" s="40" t="s">
        <v>1318</v>
      </c>
      <c r="J84" s="36" t="s">
        <v>1084</v>
      </c>
      <c r="K84" s="39" t="s">
        <v>721</v>
      </c>
      <c r="L84" s="36">
        <v>400</v>
      </c>
      <c r="M84" s="36">
        <v>16</v>
      </c>
      <c r="N84" s="145">
        <v>6400000</v>
      </c>
      <c r="O84" s="37">
        <v>46147</v>
      </c>
    </row>
    <row r="85" spans="1:15" ht="13.5" thickBot="1">
      <c r="A85" s="144"/>
      <c r="B85" s="40"/>
      <c r="C85" s="37">
        <v>46146</v>
      </c>
      <c r="D85" s="38">
        <v>0.50972222222222219</v>
      </c>
      <c r="E85" s="36" t="s">
        <v>1317</v>
      </c>
      <c r="F85" s="40"/>
      <c r="G85" s="37">
        <v>46146</v>
      </c>
      <c r="H85" s="38">
        <v>0.51666666666666672</v>
      </c>
      <c r="I85" s="40" t="s">
        <v>1318</v>
      </c>
      <c r="J85" s="36" t="s">
        <v>1084</v>
      </c>
      <c r="K85" s="39" t="s">
        <v>150</v>
      </c>
      <c r="L85" s="36">
        <v>100</v>
      </c>
      <c r="M85" s="36">
        <v>4</v>
      </c>
      <c r="N85" s="145">
        <v>1950000</v>
      </c>
      <c r="O85" s="37">
        <v>46147</v>
      </c>
    </row>
    <row r="86" spans="1:15" ht="23.5" thickBot="1">
      <c r="A86" s="144"/>
      <c r="B86" s="40"/>
      <c r="C86" s="37">
        <v>46146</v>
      </c>
      <c r="D86" s="38">
        <v>0.50972222222222219</v>
      </c>
      <c r="E86" s="36" t="s">
        <v>1317</v>
      </c>
      <c r="F86" s="40"/>
      <c r="G86" s="37">
        <v>46146</v>
      </c>
      <c r="H86" s="38">
        <v>0.51666666666666672</v>
      </c>
      <c r="I86" s="40" t="s">
        <v>1318</v>
      </c>
      <c r="J86" s="36" t="s">
        <v>1084</v>
      </c>
      <c r="K86" s="39" t="s">
        <v>67</v>
      </c>
      <c r="L86" s="36">
        <v>100</v>
      </c>
      <c r="M86" s="36">
        <v>4</v>
      </c>
      <c r="N86" s="145">
        <v>2630000</v>
      </c>
      <c r="O86" s="37">
        <v>46147</v>
      </c>
    </row>
    <row r="87" spans="1:15" ht="23.5" thickBot="1">
      <c r="A87" s="144"/>
      <c r="B87" s="40"/>
      <c r="C87" s="37">
        <v>46146</v>
      </c>
      <c r="D87" s="38">
        <v>0.50972222222222219</v>
      </c>
      <c r="E87" s="36" t="s">
        <v>1317</v>
      </c>
      <c r="F87" s="40"/>
      <c r="G87" s="37">
        <v>46146</v>
      </c>
      <c r="H87" s="38">
        <v>0.51666666666666672</v>
      </c>
      <c r="I87" s="40" t="s">
        <v>1318</v>
      </c>
      <c r="J87" s="36" t="s">
        <v>1084</v>
      </c>
      <c r="K87" s="39" t="s">
        <v>92</v>
      </c>
      <c r="L87" s="36">
        <v>25</v>
      </c>
      <c r="M87" s="36">
        <v>1</v>
      </c>
      <c r="N87" s="145">
        <v>1550000</v>
      </c>
      <c r="O87" s="37">
        <v>46147</v>
      </c>
    </row>
    <row r="88" spans="1:15" ht="23.5" thickBot="1">
      <c r="A88" s="144"/>
      <c r="B88" s="36" t="s">
        <v>1319</v>
      </c>
      <c r="C88" s="37">
        <v>46146</v>
      </c>
      <c r="D88" s="38">
        <v>0.44166666666666665</v>
      </c>
      <c r="E88" s="36" t="s">
        <v>1320</v>
      </c>
      <c r="F88" s="40"/>
      <c r="G88" s="37">
        <v>46146</v>
      </c>
      <c r="H88" s="38">
        <v>0.5229166666666667</v>
      </c>
      <c r="I88" s="40" t="s">
        <v>275</v>
      </c>
      <c r="J88" s="36" t="s">
        <v>227</v>
      </c>
      <c r="K88" s="39" t="s">
        <v>67</v>
      </c>
      <c r="L88" s="36">
        <v>1200</v>
      </c>
      <c r="M88" s="36">
        <v>48</v>
      </c>
      <c r="N88" s="145">
        <v>30600000</v>
      </c>
      <c r="O88" s="37">
        <v>46148</v>
      </c>
    </row>
    <row r="89" spans="1:15" ht="23.5" thickBot="1">
      <c r="A89" s="144"/>
      <c r="B89" s="36" t="s">
        <v>1321</v>
      </c>
      <c r="C89" s="37">
        <v>46146</v>
      </c>
      <c r="D89" s="38">
        <v>0.44166666666666665</v>
      </c>
      <c r="E89" s="36" t="s">
        <v>1322</v>
      </c>
      <c r="F89" s="40"/>
      <c r="G89" s="37">
        <v>46146</v>
      </c>
      <c r="H89" s="38">
        <v>0.5229166666666667</v>
      </c>
      <c r="I89" s="40" t="s">
        <v>275</v>
      </c>
      <c r="J89" s="36" t="s">
        <v>38</v>
      </c>
      <c r="K89" s="39" t="s">
        <v>67</v>
      </c>
      <c r="L89" s="36">
        <v>2500</v>
      </c>
      <c r="M89" s="36">
        <v>100</v>
      </c>
      <c r="N89" s="145">
        <v>63750000</v>
      </c>
      <c r="O89" s="37">
        <v>46148</v>
      </c>
    </row>
    <row r="90" spans="1:15" ht="23.5" thickBot="1">
      <c r="A90" s="144"/>
      <c r="B90" s="36" t="s">
        <v>1323</v>
      </c>
      <c r="C90" s="37">
        <v>46146</v>
      </c>
      <c r="D90" s="38">
        <v>0.33402777777777776</v>
      </c>
      <c r="E90" s="36" t="s">
        <v>1324</v>
      </c>
      <c r="F90" s="40"/>
      <c r="G90" s="37">
        <v>46146</v>
      </c>
      <c r="H90" s="38">
        <v>0.52638888888888891</v>
      </c>
      <c r="I90" s="40" t="s">
        <v>893</v>
      </c>
      <c r="J90" s="36" t="s">
        <v>322</v>
      </c>
      <c r="K90" s="39" t="s">
        <v>107</v>
      </c>
      <c r="L90" s="36">
        <v>100</v>
      </c>
      <c r="M90" s="36">
        <v>4</v>
      </c>
      <c r="N90" s="145">
        <v>6750000</v>
      </c>
      <c r="O90" s="37">
        <v>46148</v>
      </c>
    </row>
    <row r="91" spans="1:15" ht="23.5" thickBot="1">
      <c r="A91" s="144"/>
      <c r="B91" s="36" t="s">
        <v>1323</v>
      </c>
      <c r="C91" s="37">
        <v>46146</v>
      </c>
      <c r="D91" s="38">
        <v>0.33402777777777776</v>
      </c>
      <c r="E91" s="36" t="s">
        <v>1325</v>
      </c>
      <c r="F91" s="40"/>
      <c r="G91" s="37">
        <v>46146</v>
      </c>
      <c r="H91" s="38">
        <v>0.67777777777777781</v>
      </c>
      <c r="I91" s="40" t="s">
        <v>893</v>
      </c>
      <c r="J91" s="36" t="s">
        <v>322</v>
      </c>
      <c r="K91" s="39" t="s">
        <v>67</v>
      </c>
      <c r="L91" s="36">
        <v>900</v>
      </c>
      <c r="M91" s="36">
        <v>36</v>
      </c>
      <c r="N91" s="145">
        <v>23670000</v>
      </c>
      <c r="O91" s="37">
        <v>46148</v>
      </c>
    </row>
    <row r="92" spans="1:15" ht="25.5" thickBot="1">
      <c r="A92" s="144"/>
      <c r="B92" s="40"/>
      <c r="C92" s="37">
        <v>46146</v>
      </c>
      <c r="D92" s="38">
        <v>0.44513888888888886</v>
      </c>
      <c r="E92" s="36" t="s">
        <v>1326</v>
      </c>
      <c r="F92" s="40"/>
      <c r="G92" s="37">
        <v>46146</v>
      </c>
      <c r="H92" s="38">
        <v>0.52847222222222223</v>
      </c>
      <c r="I92" s="40" t="s">
        <v>1327</v>
      </c>
      <c r="J92" s="36" t="s">
        <v>93</v>
      </c>
      <c r="K92" s="39" t="s">
        <v>109</v>
      </c>
      <c r="L92" s="36">
        <v>50</v>
      </c>
      <c r="M92" s="36">
        <v>2</v>
      </c>
      <c r="N92" s="145">
        <v>3350000</v>
      </c>
      <c r="O92" s="37">
        <v>46148</v>
      </c>
    </row>
    <row r="93" spans="1:15" ht="23.5" thickBot="1">
      <c r="A93" s="144"/>
      <c r="B93" s="36">
        <v>4500088706</v>
      </c>
      <c r="C93" s="37">
        <v>46146</v>
      </c>
      <c r="D93" s="38">
        <v>0.47430555555555554</v>
      </c>
      <c r="E93" s="36" t="s">
        <v>1328</v>
      </c>
      <c r="F93" s="40"/>
      <c r="G93" s="37">
        <v>46146</v>
      </c>
      <c r="H93" s="38">
        <v>0.5395833333333333</v>
      </c>
      <c r="I93" s="40" t="s">
        <v>709</v>
      </c>
      <c r="J93" s="36" t="s">
        <v>331</v>
      </c>
      <c r="K93" s="39" t="s">
        <v>107</v>
      </c>
      <c r="L93" s="36">
        <v>350</v>
      </c>
      <c r="M93" s="36">
        <v>14</v>
      </c>
      <c r="N93" s="145">
        <v>21595000</v>
      </c>
      <c r="O93" s="37">
        <v>46148</v>
      </c>
    </row>
    <row r="94" spans="1:15" ht="13.5" thickBot="1">
      <c r="A94" s="144"/>
      <c r="B94" s="36">
        <v>4500088706</v>
      </c>
      <c r="C94" s="37">
        <v>46146</v>
      </c>
      <c r="D94" s="38">
        <v>0.47430555555555554</v>
      </c>
      <c r="E94" s="36" t="s">
        <v>1328</v>
      </c>
      <c r="F94" s="40"/>
      <c r="G94" s="37">
        <v>46146</v>
      </c>
      <c r="H94" s="38">
        <v>0.5395833333333333</v>
      </c>
      <c r="I94" s="40" t="s">
        <v>709</v>
      </c>
      <c r="J94" s="36" t="s">
        <v>331</v>
      </c>
      <c r="K94" s="39" t="s">
        <v>118</v>
      </c>
      <c r="L94" s="36">
        <v>50</v>
      </c>
      <c r="M94" s="36">
        <v>2</v>
      </c>
      <c r="N94" s="145">
        <v>975000</v>
      </c>
      <c r="O94" s="37">
        <v>46148</v>
      </c>
    </row>
    <row r="95" spans="1:15" ht="23.5" thickBot="1">
      <c r="A95" s="144"/>
      <c r="B95" s="36">
        <v>4500088706</v>
      </c>
      <c r="C95" s="37">
        <v>46146</v>
      </c>
      <c r="D95" s="38">
        <v>0.47430555555555554</v>
      </c>
      <c r="E95" s="36" t="s">
        <v>1328</v>
      </c>
      <c r="F95" s="40"/>
      <c r="G95" s="37">
        <v>46146</v>
      </c>
      <c r="H95" s="38">
        <v>0.5395833333333333</v>
      </c>
      <c r="I95" s="40" t="s">
        <v>709</v>
      </c>
      <c r="J95" s="36" t="s">
        <v>331</v>
      </c>
      <c r="K95" s="39" t="s">
        <v>72</v>
      </c>
      <c r="L95" s="36">
        <v>2500</v>
      </c>
      <c r="M95" s="36">
        <v>100</v>
      </c>
      <c r="N95" s="145">
        <v>48125000</v>
      </c>
      <c r="O95" s="37">
        <v>46148</v>
      </c>
    </row>
    <row r="96" spans="1:15" ht="23.5" thickBot="1">
      <c r="A96" s="144"/>
      <c r="B96" s="36">
        <v>4500088706</v>
      </c>
      <c r="C96" s="37">
        <v>46146</v>
      </c>
      <c r="D96" s="38">
        <v>0.47430555555555554</v>
      </c>
      <c r="E96" s="36" t="s">
        <v>1328</v>
      </c>
      <c r="F96" s="40"/>
      <c r="G96" s="37">
        <v>46146</v>
      </c>
      <c r="H96" s="38">
        <v>0.5395833333333333</v>
      </c>
      <c r="I96" s="40" t="s">
        <v>709</v>
      </c>
      <c r="J96" s="36" t="s">
        <v>331</v>
      </c>
      <c r="K96" s="39" t="s">
        <v>1329</v>
      </c>
      <c r="L96" s="36">
        <v>100</v>
      </c>
      <c r="M96" s="36">
        <v>4</v>
      </c>
      <c r="N96" s="145">
        <v>44880000</v>
      </c>
      <c r="O96" s="37">
        <v>46148</v>
      </c>
    </row>
    <row r="97" spans="1:15" ht="13.5" thickBot="1">
      <c r="A97" s="144"/>
      <c r="B97" s="36">
        <v>4500088706</v>
      </c>
      <c r="C97" s="37">
        <v>46146</v>
      </c>
      <c r="D97" s="38">
        <v>0.47430555555555554</v>
      </c>
      <c r="E97" s="36" t="s">
        <v>1330</v>
      </c>
      <c r="F97" s="40"/>
      <c r="G97" s="37">
        <v>46146</v>
      </c>
      <c r="H97" s="38">
        <v>0.5395833333333333</v>
      </c>
      <c r="I97" s="40" t="s">
        <v>709</v>
      </c>
      <c r="J97" s="36" t="s">
        <v>331</v>
      </c>
      <c r="K97" s="39" t="s">
        <v>627</v>
      </c>
      <c r="L97" s="36">
        <v>300</v>
      </c>
      <c r="M97" s="36">
        <v>12</v>
      </c>
      <c r="N97" s="145">
        <v>10350000</v>
      </c>
      <c r="O97" s="37">
        <v>46148</v>
      </c>
    </row>
    <row r="98" spans="1:15" ht="23.5" thickBot="1">
      <c r="A98" s="144"/>
      <c r="B98" s="36">
        <v>4500088706</v>
      </c>
      <c r="C98" s="37">
        <v>46146</v>
      </c>
      <c r="D98" s="38">
        <v>0.47430555555555554</v>
      </c>
      <c r="E98" s="36" t="s">
        <v>1328</v>
      </c>
      <c r="F98" s="40"/>
      <c r="G98" s="37">
        <v>46146</v>
      </c>
      <c r="H98" s="38">
        <v>0.5395833333333333</v>
      </c>
      <c r="I98" s="40" t="s">
        <v>709</v>
      </c>
      <c r="J98" s="36" t="s">
        <v>331</v>
      </c>
      <c r="K98" s="39" t="s">
        <v>92</v>
      </c>
      <c r="L98" s="36">
        <v>500</v>
      </c>
      <c r="M98" s="36">
        <v>20</v>
      </c>
      <c r="N98" s="145">
        <v>25950000</v>
      </c>
      <c r="O98" s="37">
        <v>46148</v>
      </c>
    </row>
    <row r="99" spans="1:15" ht="23.5" thickBot="1">
      <c r="A99" s="197" t="s">
        <v>73</v>
      </c>
      <c r="B99" s="53">
        <v>4500088706</v>
      </c>
      <c r="C99" s="51">
        <v>46146</v>
      </c>
      <c r="D99" s="52">
        <v>0.47430555555555554</v>
      </c>
      <c r="E99" s="53" t="s">
        <v>1328</v>
      </c>
      <c r="F99" s="146"/>
      <c r="G99" s="51">
        <v>46146</v>
      </c>
      <c r="H99" s="52">
        <v>0.5395833333333333</v>
      </c>
      <c r="I99" s="146" t="s">
        <v>709</v>
      </c>
      <c r="J99" s="53" t="s">
        <v>331</v>
      </c>
      <c r="K99" s="55" t="s">
        <v>856</v>
      </c>
      <c r="L99" s="53">
        <v>1000</v>
      </c>
      <c r="M99" s="53">
        <v>40</v>
      </c>
      <c r="N99" s="147">
        <v>19250000</v>
      </c>
      <c r="O99" s="51">
        <v>46148</v>
      </c>
    </row>
    <row r="100" spans="1:15" ht="13.5" thickBot="1">
      <c r="A100" s="144"/>
      <c r="B100" s="36">
        <v>4500088706</v>
      </c>
      <c r="C100" s="37">
        <v>46146</v>
      </c>
      <c r="D100" s="38">
        <v>0.47430555555555554</v>
      </c>
      <c r="E100" s="36" t="s">
        <v>1328</v>
      </c>
      <c r="F100" s="40"/>
      <c r="G100" s="37">
        <v>46146</v>
      </c>
      <c r="H100" s="38">
        <v>0.5395833333333333</v>
      </c>
      <c r="I100" s="40" t="s">
        <v>709</v>
      </c>
      <c r="J100" s="36" t="s">
        <v>331</v>
      </c>
      <c r="K100" s="39" t="s">
        <v>150</v>
      </c>
      <c r="L100" s="36">
        <v>100</v>
      </c>
      <c r="M100" s="36">
        <v>4</v>
      </c>
      <c r="N100" s="145">
        <v>1760000</v>
      </c>
      <c r="O100" s="37">
        <v>46148</v>
      </c>
    </row>
    <row r="101" spans="1:15" ht="23.5" thickBot="1">
      <c r="A101" s="144"/>
      <c r="B101" s="36">
        <v>4500088706</v>
      </c>
      <c r="C101" s="37">
        <v>46146</v>
      </c>
      <c r="D101" s="38">
        <v>0.47430555555555554</v>
      </c>
      <c r="E101" s="36" t="s">
        <v>1328</v>
      </c>
      <c r="F101" s="40"/>
      <c r="G101" s="37">
        <v>46146</v>
      </c>
      <c r="H101" s="38">
        <v>0.5395833333333333</v>
      </c>
      <c r="I101" s="40" t="s">
        <v>709</v>
      </c>
      <c r="J101" s="36" t="s">
        <v>331</v>
      </c>
      <c r="K101" s="39" t="s">
        <v>67</v>
      </c>
      <c r="L101" s="36">
        <v>200</v>
      </c>
      <c r="M101" s="36">
        <v>8</v>
      </c>
      <c r="N101" s="145">
        <v>4950000</v>
      </c>
      <c r="O101" s="37">
        <v>46148</v>
      </c>
    </row>
    <row r="102" spans="1:15" ht="23.5" thickBot="1">
      <c r="A102" s="144"/>
      <c r="B102" s="36">
        <v>4500088706</v>
      </c>
      <c r="C102" s="37">
        <v>46146</v>
      </c>
      <c r="D102" s="38">
        <v>0.47430555555555554</v>
      </c>
      <c r="E102" s="36" t="s">
        <v>1328</v>
      </c>
      <c r="F102" s="40"/>
      <c r="G102" s="37">
        <v>46146</v>
      </c>
      <c r="H102" s="38">
        <v>0.5395833333333333</v>
      </c>
      <c r="I102" s="40" t="s">
        <v>709</v>
      </c>
      <c r="J102" s="36" t="s">
        <v>331</v>
      </c>
      <c r="K102" s="39" t="s">
        <v>858</v>
      </c>
      <c r="L102" s="36">
        <v>150</v>
      </c>
      <c r="M102" s="36">
        <v>6</v>
      </c>
      <c r="N102" s="145">
        <v>4530000</v>
      </c>
      <c r="O102" s="37">
        <v>46148</v>
      </c>
    </row>
    <row r="103" spans="1:15" ht="23.5" thickBot="1">
      <c r="A103" s="144"/>
      <c r="B103" s="40"/>
      <c r="C103" s="37">
        <v>46146</v>
      </c>
      <c r="D103" s="38">
        <v>0.53333333333333333</v>
      </c>
      <c r="E103" s="36" t="s">
        <v>1331</v>
      </c>
      <c r="F103" s="40"/>
      <c r="G103" s="37">
        <v>46146</v>
      </c>
      <c r="H103" s="38">
        <v>0.54652777777777772</v>
      </c>
      <c r="I103" s="40" t="s">
        <v>1332</v>
      </c>
      <c r="J103" s="36" t="s">
        <v>120</v>
      </c>
      <c r="K103" s="39" t="s">
        <v>186</v>
      </c>
      <c r="L103" s="36">
        <v>45</v>
      </c>
      <c r="M103" s="36">
        <v>2</v>
      </c>
      <c r="N103" s="145">
        <v>4725000</v>
      </c>
      <c r="O103" s="37">
        <v>46148</v>
      </c>
    </row>
    <row r="104" spans="1:15" ht="46.5" thickBot="1">
      <c r="A104" s="144"/>
      <c r="B104" s="36" t="s">
        <v>766</v>
      </c>
      <c r="C104" s="37">
        <v>46142</v>
      </c>
      <c r="D104" s="38">
        <v>0.68125000000000002</v>
      </c>
      <c r="E104" s="36" t="s">
        <v>1333</v>
      </c>
      <c r="F104" s="40"/>
      <c r="G104" s="37">
        <v>46146</v>
      </c>
      <c r="H104" s="38">
        <v>0.55138888888888893</v>
      </c>
      <c r="I104" s="40" t="s">
        <v>709</v>
      </c>
      <c r="J104" s="36" t="s">
        <v>40</v>
      </c>
      <c r="K104" s="39" t="s">
        <v>67</v>
      </c>
      <c r="L104" s="36">
        <v>3000</v>
      </c>
      <c r="M104" s="36">
        <v>120</v>
      </c>
      <c r="N104" s="145">
        <v>74250000</v>
      </c>
      <c r="O104" s="37">
        <v>46146</v>
      </c>
    </row>
    <row r="105" spans="1:15" ht="46.5" thickBot="1">
      <c r="A105" s="144"/>
      <c r="B105" s="36" t="s">
        <v>766</v>
      </c>
      <c r="C105" s="37">
        <v>46142</v>
      </c>
      <c r="D105" s="38">
        <v>0.68125000000000002</v>
      </c>
      <c r="E105" s="36" t="s">
        <v>1333</v>
      </c>
      <c r="F105" s="40"/>
      <c r="G105" s="37">
        <v>46146</v>
      </c>
      <c r="H105" s="38">
        <v>0.55138888888888893</v>
      </c>
      <c r="I105" s="40" t="s">
        <v>709</v>
      </c>
      <c r="J105" s="36" t="s">
        <v>40</v>
      </c>
      <c r="K105" s="39" t="s">
        <v>150</v>
      </c>
      <c r="L105" s="36">
        <v>1000</v>
      </c>
      <c r="M105" s="36">
        <v>40</v>
      </c>
      <c r="N105" s="145">
        <v>17600000</v>
      </c>
      <c r="O105" s="37">
        <v>46146</v>
      </c>
    </row>
    <row r="106" spans="1:15" ht="46.5" thickBot="1">
      <c r="A106" s="144"/>
      <c r="B106" s="36" t="s">
        <v>766</v>
      </c>
      <c r="C106" s="37">
        <v>46142</v>
      </c>
      <c r="D106" s="38">
        <v>0.68125000000000002</v>
      </c>
      <c r="E106" s="36" t="s">
        <v>1333</v>
      </c>
      <c r="F106" s="40"/>
      <c r="G106" s="37">
        <v>46146</v>
      </c>
      <c r="H106" s="38">
        <v>0.55138888888888893</v>
      </c>
      <c r="I106" s="40" t="s">
        <v>709</v>
      </c>
      <c r="J106" s="36" t="s">
        <v>40</v>
      </c>
      <c r="K106" s="39" t="s">
        <v>858</v>
      </c>
      <c r="L106" s="36">
        <v>2100</v>
      </c>
      <c r="M106" s="36">
        <v>84</v>
      </c>
      <c r="N106" s="145">
        <v>63420000</v>
      </c>
      <c r="O106" s="37">
        <v>46146</v>
      </c>
    </row>
    <row r="107" spans="1:15" ht="46.5" thickBot="1">
      <c r="A107" s="144"/>
      <c r="B107" s="36" t="s">
        <v>766</v>
      </c>
      <c r="C107" s="37">
        <v>46142</v>
      </c>
      <c r="D107" s="38">
        <v>0.68125000000000002</v>
      </c>
      <c r="E107" s="36" t="s">
        <v>1333</v>
      </c>
      <c r="F107" s="40"/>
      <c r="G107" s="37">
        <v>46146</v>
      </c>
      <c r="H107" s="38">
        <v>0.55138888888888893</v>
      </c>
      <c r="I107" s="40" t="s">
        <v>709</v>
      </c>
      <c r="J107" s="36" t="s">
        <v>40</v>
      </c>
      <c r="K107" s="39" t="s">
        <v>92</v>
      </c>
      <c r="L107" s="36">
        <v>2000</v>
      </c>
      <c r="M107" s="36">
        <v>80</v>
      </c>
      <c r="N107" s="145">
        <v>103800000</v>
      </c>
      <c r="O107" s="37">
        <v>46146</v>
      </c>
    </row>
    <row r="108" spans="1:15" ht="46.5" thickBot="1">
      <c r="A108" s="144"/>
      <c r="B108" s="36" t="s">
        <v>766</v>
      </c>
      <c r="C108" s="37">
        <v>46142</v>
      </c>
      <c r="D108" s="38">
        <v>0.68125000000000002</v>
      </c>
      <c r="E108" s="36" t="s">
        <v>1333</v>
      </c>
      <c r="F108" s="40"/>
      <c r="G108" s="37">
        <v>46146</v>
      </c>
      <c r="H108" s="38">
        <v>0.55138888888888893</v>
      </c>
      <c r="I108" s="40" t="s">
        <v>709</v>
      </c>
      <c r="J108" s="36" t="s">
        <v>40</v>
      </c>
      <c r="K108" s="39" t="s">
        <v>72</v>
      </c>
      <c r="L108" s="36">
        <v>2000</v>
      </c>
      <c r="M108" s="36">
        <v>80</v>
      </c>
      <c r="N108" s="145">
        <v>38500000</v>
      </c>
      <c r="O108" s="37">
        <v>46146</v>
      </c>
    </row>
    <row r="109" spans="1:15" ht="46.5" thickBot="1">
      <c r="A109" s="144"/>
      <c r="B109" s="36" t="s">
        <v>766</v>
      </c>
      <c r="C109" s="37">
        <v>46142</v>
      </c>
      <c r="D109" s="38">
        <v>0.68125000000000002</v>
      </c>
      <c r="E109" s="36" t="s">
        <v>1334</v>
      </c>
      <c r="F109" s="36" t="s">
        <v>1335</v>
      </c>
      <c r="G109" s="37">
        <v>46146</v>
      </c>
      <c r="H109" s="38">
        <v>0.55138888888888893</v>
      </c>
      <c r="I109" s="40" t="s">
        <v>1336</v>
      </c>
      <c r="J109" s="36" t="s">
        <v>40</v>
      </c>
      <c r="K109" s="39" t="s">
        <v>71</v>
      </c>
      <c r="L109" s="36">
        <v>2000</v>
      </c>
      <c r="M109" s="36">
        <v>80</v>
      </c>
      <c r="N109" s="145">
        <v>145734000</v>
      </c>
      <c r="O109" s="37">
        <v>46146</v>
      </c>
    </row>
    <row r="110" spans="1:15" ht="23.5" thickBot="1">
      <c r="A110" s="144"/>
      <c r="B110" s="36" t="s">
        <v>715</v>
      </c>
      <c r="C110" s="37">
        <v>46146</v>
      </c>
      <c r="D110" s="38">
        <v>0.6020833333333333</v>
      </c>
      <c r="E110" s="36" t="s">
        <v>1337</v>
      </c>
      <c r="F110" s="40"/>
      <c r="G110" s="37">
        <v>46146</v>
      </c>
      <c r="H110" s="38">
        <v>0.64861111111111114</v>
      </c>
      <c r="I110" s="40" t="s">
        <v>1318</v>
      </c>
      <c r="J110" s="36" t="s">
        <v>1084</v>
      </c>
      <c r="K110" s="39" t="s">
        <v>163</v>
      </c>
      <c r="L110" s="36">
        <v>5</v>
      </c>
      <c r="M110" s="36">
        <v>0</v>
      </c>
      <c r="N110" s="145">
        <v>2600000</v>
      </c>
      <c r="O110" s="37">
        <v>46147</v>
      </c>
    </row>
    <row r="111" spans="1:15" ht="35" thickBot="1">
      <c r="A111" s="144"/>
      <c r="B111" s="40"/>
      <c r="C111" s="37">
        <v>46146</v>
      </c>
      <c r="D111" s="38">
        <v>0.67500000000000004</v>
      </c>
      <c r="E111" s="36" t="s">
        <v>1338</v>
      </c>
      <c r="F111" s="40"/>
      <c r="G111" s="37">
        <v>46146</v>
      </c>
      <c r="H111" s="38">
        <v>0.68611111111111112</v>
      </c>
      <c r="I111" s="40" t="s">
        <v>728</v>
      </c>
      <c r="J111" s="36" t="s">
        <v>1339</v>
      </c>
      <c r="K111" s="39" t="s">
        <v>713</v>
      </c>
      <c r="L111" s="36">
        <v>25</v>
      </c>
      <c r="M111" s="36">
        <v>1</v>
      </c>
      <c r="N111" s="145">
        <v>1625000</v>
      </c>
      <c r="O111" s="37">
        <v>46147</v>
      </c>
    </row>
    <row r="112" spans="1:15" ht="23.5" thickBot="1">
      <c r="A112" s="144"/>
      <c r="B112" s="36" t="s">
        <v>1340</v>
      </c>
      <c r="C112" s="37">
        <v>46146</v>
      </c>
      <c r="D112" s="38">
        <v>0.68819444444444444</v>
      </c>
      <c r="E112" s="36" t="s">
        <v>1341</v>
      </c>
      <c r="F112" s="40"/>
      <c r="G112" s="37">
        <v>46147</v>
      </c>
      <c r="H112" s="38">
        <v>0.3611111111111111</v>
      </c>
      <c r="I112" s="40" t="s">
        <v>1342</v>
      </c>
      <c r="J112" s="36" t="s">
        <v>1343</v>
      </c>
      <c r="K112" s="39" t="s">
        <v>1344</v>
      </c>
      <c r="L112" s="36">
        <v>20</v>
      </c>
      <c r="M112" s="36">
        <v>1</v>
      </c>
      <c r="N112" s="145">
        <v>4600000</v>
      </c>
      <c r="O112" s="37">
        <v>46147</v>
      </c>
    </row>
    <row r="113" spans="1:15" ht="23.5" thickBot="1">
      <c r="A113" s="144"/>
      <c r="B113" s="36" t="s">
        <v>1340</v>
      </c>
      <c r="C113" s="37">
        <v>46146</v>
      </c>
      <c r="D113" s="38">
        <v>0.68819444444444444</v>
      </c>
      <c r="E113" s="36" t="s">
        <v>1345</v>
      </c>
      <c r="F113" s="40"/>
      <c r="G113" s="37">
        <v>46147</v>
      </c>
      <c r="H113" s="38">
        <v>0.3611111111111111</v>
      </c>
      <c r="I113" s="40" t="s">
        <v>1342</v>
      </c>
      <c r="J113" s="36" t="s">
        <v>1343</v>
      </c>
      <c r="K113" s="39" t="s">
        <v>1344</v>
      </c>
      <c r="L113" s="36">
        <v>10</v>
      </c>
      <c r="M113" s="36">
        <v>0</v>
      </c>
      <c r="N113" s="145">
        <v>2300000</v>
      </c>
      <c r="O113" s="37">
        <v>46147</v>
      </c>
    </row>
    <row r="114" spans="1:15" ht="23.5" thickBot="1">
      <c r="A114" s="144"/>
      <c r="B114" s="36" t="s">
        <v>1340</v>
      </c>
      <c r="C114" s="37">
        <v>46146</v>
      </c>
      <c r="D114" s="38">
        <v>0.68819444444444444</v>
      </c>
      <c r="E114" s="36" t="s">
        <v>1346</v>
      </c>
      <c r="F114" s="40"/>
      <c r="G114" s="37">
        <v>46147</v>
      </c>
      <c r="H114" s="38">
        <v>0.3611111111111111</v>
      </c>
      <c r="I114" s="40" t="s">
        <v>1342</v>
      </c>
      <c r="J114" s="36" t="s">
        <v>1343</v>
      </c>
      <c r="K114" s="39" t="s">
        <v>722</v>
      </c>
      <c r="L114" s="36">
        <v>0.75</v>
      </c>
      <c r="M114" s="36">
        <v>0</v>
      </c>
      <c r="N114" s="36">
        <v>0</v>
      </c>
      <c r="O114" s="37">
        <v>46147</v>
      </c>
    </row>
    <row r="115" spans="1:15" ht="23.5" thickBot="1">
      <c r="A115" s="144"/>
      <c r="B115" s="36" t="s">
        <v>1340</v>
      </c>
      <c r="C115" s="37">
        <v>46146</v>
      </c>
      <c r="D115" s="38">
        <v>0.68819444444444444</v>
      </c>
      <c r="E115" s="36" t="s">
        <v>1347</v>
      </c>
      <c r="F115" s="40"/>
      <c r="G115" s="37">
        <v>46147</v>
      </c>
      <c r="H115" s="38">
        <v>0.3611111111111111</v>
      </c>
      <c r="I115" s="40" t="s">
        <v>1342</v>
      </c>
      <c r="J115" s="36" t="s">
        <v>1343</v>
      </c>
      <c r="K115" s="39" t="s">
        <v>722</v>
      </c>
      <c r="L115" s="36">
        <v>1.5</v>
      </c>
      <c r="M115" s="36">
        <v>0</v>
      </c>
      <c r="N115" s="36">
        <v>0</v>
      </c>
      <c r="O115" s="37">
        <v>46147</v>
      </c>
    </row>
    <row r="116" spans="1:15" ht="23.5" thickBot="1">
      <c r="A116" s="144"/>
      <c r="B116" s="36" t="s">
        <v>1348</v>
      </c>
      <c r="C116" s="37">
        <v>46146</v>
      </c>
      <c r="D116" s="38">
        <v>0.68819444444444444</v>
      </c>
      <c r="E116" s="36" t="s">
        <v>1349</v>
      </c>
      <c r="F116" s="40"/>
      <c r="G116" s="37">
        <v>46147</v>
      </c>
      <c r="H116" s="38">
        <v>0.3611111111111111</v>
      </c>
      <c r="I116" s="40" t="s">
        <v>1342</v>
      </c>
      <c r="J116" s="36" t="s">
        <v>1343</v>
      </c>
      <c r="K116" s="39" t="s">
        <v>713</v>
      </c>
      <c r="L116" s="36">
        <v>5</v>
      </c>
      <c r="M116" s="36">
        <v>0</v>
      </c>
      <c r="N116" s="145">
        <v>325000</v>
      </c>
      <c r="O116" s="37">
        <v>46147</v>
      </c>
    </row>
    <row r="117" spans="1:15" ht="23.5" thickBot="1">
      <c r="A117" s="144"/>
      <c r="B117" s="36" t="s">
        <v>1350</v>
      </c>
      <c r="C117" s="37">
        <v>46146</v>
      </c>
      <c r="D117" s="38">
        <v>0.375</v>
      </c>
      <c r="E117" s="36" t="s">
        <v>1351</v>
      </c>
      <c r="F117" s="40"/>
      <c r="G117" s="37">
        <v>46147</v>
      </c>
      <c r="H117" s="38">
        <v>0.37708333333333333</v>
      </c>
      <c r="I117" s="40" t="s">
        <v>727</v>
      </c>
      <c r="J117" s="36" t="s">
        <v>35</v>
      </c>
      <c r="K117" s="39" t="s">
        <v>858</v>
      </c>
      <c r="L117" s="36">
        <v>25</v>
      </c>
      <c r="M117" s="36">
        <v>1</v>
      </c>
      <c r="N117" s="145">
        <v>875000</v>
      </c>
      <c r="O117" s="37">
        <v>46148</v>
      </c>
    </row>
    <row r="118" spans="1:15" ht="23.5" thickBot="1">
      <c r="A118" s="354" t="s">
        <v>1352</v>
      </c>
      <c r="B118" s="355">
        <v>100818</v>
      </c>
      <c r="C118" s="356">
        <v>46090</v>
      </c>
      <c r="D118" s="357">
        <v>0.34097222222222223</v>
      </c>
      <c r="E118" s="358" t="s">
        <v>817</v>
      </c>
      <c r="F118" s="359"/>
      <c r="G118" s="356">
        <v>46090</v>
      </c>
      <c r="H118" s="357">
        <v>0.49305555555555558</v>
      </c>
      <c r="I118" s="359" t="s">
        <v>187</v>
      </c>
      <c r="J118" s="358" t="s">
        <v>98</v>
      </c>
      <c r="K118" s="360" t="s">
        <v>756</v>
      </c>
      <c r="L118" s="358">
        <v>50</v>
      </c>
      <c r="M118" s="358">
        <v>2</v>
      </c>
      <c r="N118" s="355">
        <v>7250000</v>
      </c>
      <c r="O118" s="356">
        <v>46092</v>
      </c>
    </row>
    <row r="119" spans="1:15" ht="23.5" thickBot="1">
      <c r="A119" s="354" t="s">
        <v>1352</v>
      </c>
      <c r="B119" s="358">
        <v>101700</v>
      </c>
      <c r="C119" s="356">
        <v>46111</v>
      </c>
      <c r="D119" s="357">
        <v>0.81597222222222221</v>
      </c>
      <c r="E119" s="358" t="s">
        <v>839</v>
      </c>
      <c r="F119" s="359"/>
      <c r="G119" s="356">
        <v>46112</v>
      </c>
      <c r="H119" s="357">
        <v>0.5229166666666667</v>
      </c>
      <c r="I119" s="359" t="s">
        <v>187</v>
      </c>
      <c r="J119" s="358" t="s">
        <v>98</v>
      </c>
      <c r="K119" s="360" t="s">
        <v>756</v>
      </c>
      <c r="L119" s="358">
        <v>50</v>
      </c>
      <c r="M119" s="358">
        <v>2</v>
      </c>
      <c r="N119" s="355">
        <v>7250000</v>
      </c>
      <c r="O119" s="356">
        <v>46120</v>
      </c>
    </row>
    <row r="120" spans="1:15" ht="23.5" thickBot="1">
      <c r="A120" s="354" t="s">
        <v>1352</v>
      </c>
      <c r="B120" s="358">
        <v>50221</v>
      </c>
      <c r="C120" s="356">
        <v>46112</v>
      </c>
      <c r="D120" s="357">
        <v>0.49791666666666667</v>
      </c>
      <c r="E120" s="358" t="s">
        <v>847</v>
      </c>
      <c r="F120" s="359"/>
      <c r="G120" s="356">
        <v>46112</v>
      </c>
      <c r="H120" s="357">
        <v>0.53541666666666665</v>
      </c>
      <c r="I120" s="359" t="s">
        <v>724</v>
      </c>
      <c r="J120" s="358" t="s">
        <v>752</v>
      </c>
      <c r="K120" s="360" t="s">
        <v>726</v>
      </c>
      <c r="L120" s="358">
        <v>60</v>
      </c>
      <c r="M120" s="358">
        <v>3</v>
      </c>
      <c r="N120" s="355">
        <v>2400000</v>
      </c>
      <c r="O120" s="356">
        <v>46128</v>
      </c>
    </row>
    <row r="121" spans="1:15" ht="23.5" thickBot="1">
      <c r="A121" s="354" t="s">
        <v>1352</v>
      </c>
      <c r="B121" s="358">
        <v>50239</v>
      </c>
      <c r="C121" s="356">
        <v>46112</v>
      </c>
      <c r="D121" s="357">
        <v>0.61111111111111116</v>
      </c>
      <c r="E121" s="358" t="s">
        <v>867</v>
      </c>
      <c r="F121" s="359"/>
      <c r="G121" s="356">
        <v>46118</v>
      </c>
      <c r="H121" s="357">
        <v>0.3888888888888889</v>
      </c>
      <c r="I121" s="359" t="s">
        <v>724</v>
      </c>
      <c r="J121" s="358" t="s">
        <v>868</v>
      </c>
      <c r="K121" s="360" t="s">
        <v>726</v>
      </c>
      <c r="L121" s="358">
        <v>40</v>
      </c>
      <c r="M121" s="358">
        <v>2</v>
      </c>
      <c r="N121" s="355">
        <v>1600000</v>
      </c>
      <c r="O121" s="356">
        <v>46118</v>
      </c>
    </row>
    <row r="122" spans="1:15" ht="23.5" thickBot="1">
      <c r="A122" s="354" t="s">
        <v>1352</v>
      </c>
      <c r="B122" s="358">
        <v>50165</v>
      </c>
      <c r="C122" s="356">
        <v>46107</v>
      </c>
      <c r="D122" s="357">
        <v>0.39305555555555555</v>
      </c>
      <c r="E122" s="358" t="s">
        <v>768</v>
      </c>
      <c r="F122" s="359"/>
      <c r="G122" s="356">
        <v>46107</v>
      </c>
      <c r="H122" s="357">
        <v>0.52777777777777779</v>
      </c>
      <c r="I122" s="359" t="s">
        <v>724</v>
      </c>
      <c r="J122" s="358" t="s">
        <v>322</v>
      </c>
      <c r="K122" s="360" t="s">
        <v>186</v>
      </c>
      <c r="L122" s="358">
        <v>30</v>
      </c>
      <c r="M122" s="358">
        <v>1</v>
      </c>
      <c r="N122" s="355">
        <v>3300000</v>
      </c>
      <c r="O122" s="356">
        <v>46107</v>
      </c>
    </row>
    <row r="123" spans="1:15" ht="23.5" thickBot="1">
      <c r="A123" s="354" t="s">
        <v>1352</v>
      </c>
      <c r="B123" s="358">
        <v>50165</v>
      </c>
      <c r="C123" s="356">
        <v>46107</v>
      </c>
      <c r="D123" s="357">
        <v>0.39305555555555555</v>
      </c>
      <c r="E123" s="358" t="s">
        <v>768</v>
      </c>
      <c r="F123" s="359"/>
      <c r="G123" s="356">
        <v>46107</v>
      </c>
      <c r="H123" s="357">
        <v>0.52777777777777779</v>
      </c>
      <c r="I123" s="359" t="s">
        <v>724</v>
      </c>
      <c r="J123" s="358" t="s">
        <v>322</v>
      </c>
      <c r="K123" s="360" t="s">
        <v>186</v>
      </c>
      <c r="L123" s="358">
        <v>30</v>
      </c>
      <c r="M123" s="358">
        <v>1</v>
      </c>
      <c r="N123" s="355">
        <v>3300000</v>
      </c>
      <c r="O123" s="356">
        <v>46107</v>
      </c>
    </row>
    <row r="124" spans="1:15" ht="46.5" thickBot="1">
      <c r="A124" s="198" t="s">
        <v>1353</v>
      </c>
      <c r="B124" s="56">
        <v>4500088189</v>
      </c>
      <c r="C124" s="57">
        <v>46125</v>
      </c>
      <c r="D124" s="58">
        <v>0.41736111111111113</v>
      </c>
      <c r="E124" s="56" t="s">
        <v>1035</v>
      </c>
      <c r="F124" s="59"/>
      <c r="G124" s="57">
        <v>46125</v>
      </c>
      <c r="H124" s="58">
        <v>0.50277777777777777</v>
      </c>
      <c r="I124" s="59" t="s">
        <v>709</v>
      </c>
      <c r="J124" s="56" t="s">
        <v>331</v>
      </c>
      <c r="K124" s="61" t="s">
        <v>856</v>
      </c>
      <c r="L124" s="56">
        <v>100</v>
      </c>
      <c r="M124" s="56">
        <v>4</v>
      </c>
      <c r="N124" s="202">
        <v>1625000</v>
      </c>
      <c r="O124" s="57">
        <v>46126</v>
      </c>
    </row>
    <row r="125" spans="1:15" ht="23.5" thickBot="1">
      <c r="A125" s="354" t="s">
        <v>1352</v>
      </c>
      <c r="B125" s="358">
        <v>4500088189</v>
      </c>
      <c r="C125" s="356">
        <v>46125</v>
      </c>
      <c r="D125" s="357">
        <v>0.41736111111111113</v>
      </c>
      <c r="E125" s="358" t="s">
        <v>1035</v>
      </c>
      <c r="F125" s="358" t="s">
        <v>1354</v>
      </c>
      <c r="G125" s="356">
        <v>46125</v>
      </c>
      <c r="H125" s="357">
        <v>0.50277777777777777</v>
      </c>
      <c r="I125" s="359" t="s">
        <v>709</v>
      </c>
      <c r="J125" s="358" t="s">
        <v>331</v>
      </c>
      <c r="K125" s="360" t="s">
        <v>856</v>
      </c>
      <c r="L125" s="358">
        <v>2400</v>
      </c>
      <c r="M125" s="358">
        <v>96</v>
      </c>
      <c r="N125" s="355">
        <v>46500000</v>
      </c>
      <c r="O125" s="356">
        <v>46126</v>
      </c>
    </row>
    <row r="126" spans="1:15" ht="25.5" thickBot="1">
      <c r="A126" s="354" t="s">
        <v>1352</v>
      </c>
      <c r="B126" s="358">
        <v>102329</v>
      </c>
      <c r="C126" s="356">
        <v>46129</v>
      </c>
      <c r="D126" s="357">
        <v>0.44930555555555557</v>
      </c>
      <c r="E126" s="358" t="s">
        <v>1118</v>
      </c>
      <c r="F126" s="358" t="s">
        <v>1355</v>
      </c>
      <c r="G126" s="356">
        <v>46129</v>
      </c>
      <c r="H126" s="357">
        <v>0.49513888888888891</v>
      </c>
      <c r="I126" s="359" t="s">
        <v>860</v>
      </c>
      <c r="J126" s="358" t="s">
        <v>98</v>
      </c>
      <c r="K126" s="360" t="s">
        <v>756</v>
      </c>
      <c r="L126" s="358">
        <v>28</v>
      </c>
      <c r="M126" s="358">
        <v>1</v>
      </c>
      <c r="N126" s="355">
        <v>-42150000</v>
      </c>
      <c r="O126" s="356">
        <v>46130</v>
      </c>
    </row>
    <row r="127" spans="1:15" ht="23.5" thickBot="1">
      <c r="A127" s="354" t="s">
        <v>1352</v>
      </c>
      <c r="B127" s="358">
        <v>102331</v>
      </c>
      <c r="C127" s="356">
        <v>46129</v>
      </c>
      <c r="D127" s="357">
        <v>0.45069444444444445</v>
      </c>
      <c r="E127" s="358" t="s">
        <v>1122</v>
      </c>
      <c r="F127" s="358" t="s">
        <v>1356</v>
      </c>
      <c r="G127" s="356">
        <v>46129</v>
      </c>
      <c r="H127" s="357">
        <v>0.5</v>
      </c>
      <c r="I127" s="359" t="s">
        <v>1123</v>
      </c>
      <c r="J127" s="358" t="s">
        <v>98</v>
      </c>
      <c r="K127" s="360" t="s">
        <v>756</v>
      </c>
      <c r="L127" s="358">
        <v>30</v>
      </c>
      <c r="M127" s="358">
        <v>1</v>
      </c>
      <c r="N127" s="355">
        <v>4350000</v>
      </c>
      <c r="O127" s="356">
        <v>46130</v>
      </c>
    </row>
    <row r="128" spans="1:15" ht="25.5" thickBot="1">
      <c r="A128" s="354" t="s">
        <v>1352</v>
      </c>
      <c r="B128" s="358" t="s">
        <v>1195</v>
      </c>
      <c r="C128" s="356">
        <v>46135</v>
      </c>
      <c r="D128" s="357">
        <v>0.62083333333333335</v>
      </c>
      <c r="E128" s="358" t="s">
        <v>1196</v>
      </c>
      <c r="F128" s="358" t="s">
        <v>1357</v>
      </c>
      <c r="G128" s="356">
        <v>46135</v>
      </c>
      <c r="H128" s="357">
        <v>0.71388888888888891</v>
      </c>
      <c r="I128" s="359" t="s">
        <v>4</v>
      </c>
      <c r="J128" s="358" t="s">
        <v>132</v>
      </c>
      <c r="K128" s="360" t="s">
        <v>756</v>
      </c>
      <c r="L128" s="358">
        <v>13</v>
      </c>
      <c r="M128" s="358">
        <v>1</v>
      </c>
      <c r="N128" s="355">
        <v>2015000</v>
      </c>
      <c r="O128" s="356">
        <v>46139</v>
      </c>
    </row>
    <row r="129" spans="1:15" ht="23.5" thickBot="1">
      <c r="A129" s="354" t="s">
        <v>1352</v>
      </c>
      <c r="B129" s="358">
        <v>4500088572</v>
      </c>
      <c r="C129" s="356">
        <v>46139</v>
      </c>
      <c r="D129" s="357">
        <v>0.96666666666666667</v>
      </c>
      <c r="E129" s="358" t="s">
        <v>1226</v>
      </c>
      <c r="F129" s="358" t="s">
        <v>1358</v>
      </c>
      <c r="G129" s="356">
        <v>46140</v>
      </c>
      <c r="H129" s="357">
        <v>0.35347222222222224</v>
      </c>
      <c r="I129" s="359" t="s">
        <v>709</v>
      </c>
      <c r="J129" s="358" t="s">
        <v>40</v>
      </c>
      <c r="K129" s="360" t="s">
        <v>756</v>
      </c>
      <c r="L129" s="358">
        <v>200</v>
      </c>
      <c r="M129" s="358">
        <v>8</v>
      </c>
      <c r="N129" s="355">
        <v>27100000</v>
      </c>
      <c r="O129" s="356">
        <v>45776</v>
      </c>
    </row>
    <row r="130" spans="1:15" ht="23.5" thickBot="1">
      <c r="A130" s="354" t="s">
        <v>1352</v>
      </c>
      <c r="B130" s="358">
        <v>4500088122</v>
      </c>
      <c r="C130" s="356">
        <v>46121</v>
      </c>
      <c r="D130" s="357">
        <v>0.73750000000000004</v>
      </c>
      <c r="E130" s="358" t="s">
        <v>1017</v>
      </c>
      <c r="F130" s="358" t="s">
        <v>1359</v>
      </c>
      <c r="G130" s="356">
        <v>46122</v>
      </c>
      <c r="H130" s="357">
        <v>0.4236111111111111</v>
      </c>
      <c r="I130" s="359" t="s">
        <v>709</v>
      </c>
      <c r="J130" s="358" t="s">
        <v>40</v>
      </c>
      <c r="K130" s="360" t="s">
        <v>856</v>
      </c>
      <c r="L130" s="358">
        <v>2000</v>
      </c>
      <c r="M130" s="358">
        <v>80</v>
      </c>
      <c r="N130" s="355">
        <v>48125000</v>
      </c>
      <c r="O130" s="356">
        <v>46126</v>
      </c>
    </row>
    <row r="131" spans="1:15" ht="23.5" thickBot="1">
      <c r="A131" s="209" t="s">
        <v>676</v>
      </c>
      <c r="B131" s="65">
        <v>50619</v>
      </c>
      <c r="C131" s="63">
        <v>46146</v>
      </c>
      <c r="D131" s="64">
        <v>0.58888888888888891</v>
      </c>
      <c r="E131" s="65" t="s">
        <v>1360</v>
      </c>
      <c r="F131" s="62"/>
      <c r="G131" s="63">
        <v>46147</v>
      </c>
      <c r="H131" s="64">
        <v>0.39513888888888887</v>
      </c>
      <c r="I131" s="62" t="s">
        <v>724</v>
      </c>
      <c r="J131" s="65" t="s">
        <v>752</v>
      </c>
      <c r="K131" s="69" t="s">
        <v>186</v>
      </c>
      <c r="L131" s="65">
        <v>15</v>
      </c>
      <c r="M131" s="65">
        <v>1</v>
      </c>
      <c r="N131" s="210">
        <v>1650000</v>
      </c>
      <c r="O131" s="63">
        <v>46150</v>
      </c>
    </row>
    <row r="132" spans="1:15" ht="23.5" thickBot="1">
      <c r="A132" s="209" t="s">
        <v>676</v>
      </c>
      <c r="B132" s="65">
        <v>50620</v>
      </c>
      <c r="C132" s="63">
        <v>46146</v>
      </c>
      <c r="D132" s="64">
        <v>0.58888888888888891</v>
      </c>
      <c r="E132" s="65" t="s">
        <v>1361</v>
      </c>
      <c r="F132" s="62"/>
      <c r="G132" s="63">
        <v>46147</v>
      </c>
      <c r="H132" s="64">
        <v>0.39513888888888887</v>
      </c>
      <c r="I132" s="62" t="s">
        <v>724</v>
      </c>
      <c r="J132" s="65" t="s">
        <v>1362</v>
      </c>
      <c r="K132" s="69" t="s">
        <v>726</v>
      </c>
      <c r="L132" s="65">
        <v>60</v>
      </c>
      <c r="M132" s="65">
        <v>3</v>
      </c>
      <c r="N132" s="210">
        <v>2400000</v>
      </c>
      <c r="O132" s="63">
        <v>46150</v>
      </c>
    </row>
    <row r="133" spans="1:15" ht="23.5" thickBot="1">
      <c r="A133" s="209" t="s">
        <v>676</v>
      </c>
      <c r="B133" s="65">
        <v>50621</v>
      </c>
      <c r="C133" s="63">
        <v>46146</v>
      </c>
      <c r="D133" s="64">
        <v>0.58888888888888891</v>
      </c>
      <c r="E133" s="65" t="s">
        <v>1363</v>
      </c>
      <c r="F133" s="62"/>
      <c r="G133" s="63">
        <v>46147</v>
      </c>
      <c r="H133" s="64">
        <v>0.39513888888888887</v>
      </c>
      <c r="I133" s="62" t="s">
        <v>724</v>
      </c>
      <c r="J133" s="65" t="s">
        <v>1362</v>
      </c>
      <c r="K133" s="69" t="s">
        <v>726</v>
      </c>
      <c r="L133" s="65">
        <v>40</v>
      </c>
      <c r="M133" s="65">
        <v>2</v>
      </c>
      <c r="N133" s="210">
        <v>1600000</v>
      </c>
      <c r="O133" s="63">
        <v>46150</v>
      </c>
    </row>
    <row r="134" spans="1:15" ht="23.5" thickBot="1">
      <c r="A134" s="144"/>
      <c r="B134" s="36" t="s">
        <v>1364</v>
      </c>
      <c r="C134" s="37">
        <v>46146</v>
      </c>
      <c r="D134" s="38">
        <v>0.68958333333333333</v>
      </c>
      <c r="E134" s="36" t="s">
        <v>1365</v>
      </c>
      <c r="F134" s="40"/>
      <c r="G134" s="37">
        <v>46147</v>
      </c>
      <c r="H134" s="38">
        <v>0.40833333333333333</v>
      </c>
      <c r="I134" s="40" t="s">
        <v>1366</v>
      </c>
      <c r="J134" s="36" t="s">
        <v>45</v>
      </c>
      <c r="K134" s="39" t="s">
        <v>719</v>
      </c>
      <c r="L134" s="36">
        <v>100</v>
      </c>
      <c r="M134" s="36">
        <v>4</v>
      </c>
      <c r="N134" s="145">
        <v>3500000</v>
      </c>
      <c r="O134" s="37">
        <v>46153</v>
      </c>
    </row>
    <row r="135" spans="1:15" ht="23.5" thickBot="1">
      <c r="A135" s="144"/>
      <c r="B135" s="36" t="s">
        <v>1364</v>
      </c>
      <c r="C135" s="37">
        <v>46146</v>
      </c>
      <c r="D135" s="38">
        <v>0.68958333333333333</v>
      </c>
      <c r="E135" s="36" t="s">
        <v>1365</v>
      </c>
      <c r="F135" s="40"/>
      <c r="G135" s="37">
        <v>46147</v>
      </c>
      <c r="H135" s="38">
        <v>0.40833333333333333</v>
      </c>
      <c r="I135" s="40" t="s">
        <v>1366</v>
      </c>
      <c r="J135" s="36" t="s">
        <v>45</v>
      </c>
      <c r="K135" s="39" t="s">
        <v>721</v>
      </c>
      <c r="L135" s="36">
        <v>25</v>
      </c>
      <c r="M135" s="36">
        <v>1</v>
      </c>
      <c r="N135" s="145">
        <v>481250</v>
      </c>
      <c r="O135" s="37">
        <v>46153</v>
      </c>
    </row>
    <row r="136" spans="1:15" ht="13.5" thickBot="1">
      <c r="A136" s="144"/>
      <c r="B136" s="36">
        <v>1415021</v>
      </c>
      <c r="C136" s="37">
        <v>46146</v>
      </c>
      <c r="D136" s="38">
        <v>0.67847222222222225</v>
      </c>
      <c r="E136" s="36" t="s">
        <v>1367</v>
      </c>
      <c r="F136" s="40"/>
      <c r="G136" s="37">
        <v>46147</v>
      </c>
      <c r="H136" s="38">
        <v>0.40972222222222221</v>
      </c>
      <c r="I136" s="40" t="s">
        <v>699</v>
      </c>
      <c r="J136" s="36" t="s">
        <v>37</v>
      </c>
      <c r="K136" s="39" t="s">
        <v>627</v>
      </c>
      <c r="L136" s="36">
        <v>350</v>
      </c>
      <c r="M136" s="36">
        <v>14</v>
      </c>
      <c r="N136" s="145">
        <v>12075000</v>
      </c>
      <c r="O136" s="37">
        <v>46148</v>
      </c>
    </row>
    <row r="137" spans="1:15" ht="23.5" thickBot="1">
      <c r="A137" s="144"/>
      <c r="B137" s="36">
        <v>4500088745</v>
      </c>
      <c r="C137" s="37">
        <v>46146</v>
      </c>
      <c r="D137" s="38">
        <v>0.41180555555555554</v>
      </c>
      <c r="E137" s="36" t="s">
        <v>1368</v>
      </c>
      <c r="F137" s="40"/>
      <c r="G137" s="37">
        <v>46147</v>
      </c>
      <c r="H137" s="38">
        <v>0.48958333333333331</v>
      </c>
      <c r="I137" s="40" t="s">
        <v>709</v>
      </c>
      <c r="J137" s="36" t="s">
        <v>40</v>
      </c>
      <c r="K137" s="39" t="s">
        <v>68</v>
      </c>
      <c r="L137" s="36">
        <v>1200</v>
      </c>
      <c r="M137" s="36">
        <v>48</v>
      </c>
      <c r="N137" s="145">
        <v>57480000</v>
      </c>
      <c r="O137" s="37">
        <v>46149</v>
      </c>
    </row>
    <row r="138" spans="1:15" ht="23.5" thickBot="1">
      <c r="A138" s="144"/>
      <c r="B138" s="36">
        <v>4500088745</v>
      </c>
      <c r="C138" s="37">
        <v>46146</v>
      </c>
      <c r="D138" s="38">
        <v>0.41180555555555554</v>
      </c>
      <c r="E138" s="36" t="s">
        <v>1368</v>
      </c>
      <c r="F138" s="40"/>
      <c r="G138" s="37">
        <v>46147</v>
      </c>
      <c r="H138" s="38">
        <v>0.48958333333333331</v>
      </c>
      <c r="I138" s="40" t="s">
        <v>709</v>
      </c>
      <c r="J138" s="36" t="s">
        <v>40</v>
      </c>
      <c r="K138" s="39" t="s">
        <v>717</v>
      </c>
      <c r="L138" s="36">
        <v>100</v>
      </c>
      <c r="M138" s="36">
        <v>4</v>
      </c>
      <c r="N138" s="145">
        <v>18020000</v>
      </c>
      <c r="O138" s="37">
        <v>46149</v>
      </c>
    </row>
    <row r="139" spans="1:15" ht="13.5" thickBot="1">
      <c r="A139" s="144"/>
      <c r="B139" s="36">
        <v>4500088745</v>
      </c>
      <c r="C139" s="37">
        <v>46146</v>
      </c>
      <c r="D139" s="38">
        <v>0.41180555555555554</v>
      </c>
      <c r="E139" s="36" t="s">
        <v>1368</v>
      </c>
      <c r="F139" s="40"/>
      <c r="G139" s="37">
        <v>46147</v>
      </c>
      <c r="H139" s="38">
        <v>0.48958333333333331</v>
      </c>
      <c r="I139" s="40" t="s">
        <v>709</v>
      </c>
      <c r="J139" s="36" t="s">
        <v>40</v>
      </c>
      <c r="K139" s="39" t="s">
        <v>755</v>
      </c>
      <c r="L139" s="36">
        <v>400</v>
      </c>
      <c r="M139" s="36">
        <v>16</v>
      </c>
      <c r="N139" s="145">
        <v>7870000</v>
      </c>
      <c r="O139" s="37">
        <v>46149</v>
      </c>
    </row>
    <row r="140" spans="1:15" ht="23.5" thickBot="1">
      <c r="A140" s="144"/>
      <c r="B140" s="36">
        <v>4500088745</v>
      </c>
      <c r="C140" s="37">
        <v>46146</v>
      </c>
      <c r="D140" s="38">
        <v>0.41180555555555554</v>
      </c>
      <c r="E140" s="36" t="s">
        <v>1369</v>
      </c>
      <c r="F140" s="40"/>
      <c r="G140" s="37">
        <v>46147</v>
      </c>
      <c r="H140" s="38">
        <v>0.48958333333333331</v>
      </c>
      <c r="I140" s="40" t="s">
        <v>709</v>
      </c>
      <c r="J140" s="36" t="s">
        <v>40</v>
      </c>
      <c r="K140" s="39" t="s">
        <v>722</v>
      </c>
      <c r="L140" s="36">
        <v>90</v>
      </c>
      <c r="M140" s="36">
        <v>4</v>
      </c>
      <c r="N140" s="36">
        <v>0</v>
      </c>
      <c r="O140" s="37">
        <v>46149</v>
      </c>
    </row>
    <row r="141" spans="1:15" ht="23.5" thickBot="1">
      <c r="A141" s="144"/>
      <c r="B141" s="36">
        <v>1415476</v>
      </c>
      <c r="C141" s="37">
        <v>46147</v>
      </c>
      <c r="D141" s="38">
        <v>0.47152777777777777</v>
      </c>
      <c r="E141" s="36" t="s">
        <v>1370</v>
      </c>
      <c r="F141" s="40"/>
      <c r="G141" s="37">
        <v>46147</v>
      </c>
      <c r="H141" s="38">
        <v>0.50416666666666665</v>
      </c>
      <c r="I141" s="40" t="s">
        <v>794</v>
      </c>
      <c r="J141" s="36" t="s">
        <v>98</v>
      </c>
      <c r="K141" s="39" t="s">
        <v>717</v>
      </c>
      <c r="L141" s="36">
        <v>75</v>
      </c>
      <c r="M141" s="36">
        <v>3</v>
      </c>
      <c r="N141" s="145">
        <v>13125000</v>
      </c>
      <c r="O141" s="37">
        <v>46150</v>
      </c>
    </row>
    <row r="142" spans="1:15" ht="25.5" thickBot="1">
      <c r="A142" s="144"/>
      <c r="B142" s="36">
        <v>1415675</v>
      </c>
      <c r="C142" s="37">
        <v>46147</v>
      </c>
      <c r="D142" s="38">
        <v>0.57430555555555551</v>
      </c>
      <c r="E142" s="36" t="s">
        <v>1371</v>
      </c>
      <c r="F142" s="40"/>
      <c r="G142" s="37">
        <v>46147</v>
      </c>
      <c r="H142" s="38">
        <v>0.56666666666666665</v>
      </c>
      <c r="I142" s="40" t="s">
        <v>889</v>
      </c>
      <c r="J142" s="36" t="s">
        <v>299</v>
      </c>
      <c r="K142" s="39" t="s">
        <v>1372</v>
      </c>
      <c r="L142" s="36">
        <v>120</v>
      </c>
      <c r="M142" s="36">
        <v>5</v>
      </c>
      <c r="N142" s="145">
        <v>4266000</v>
      </c>
      <c r="O142" s="37">
        <v>46149</v>
      </c>
    </row>
    <row r="143" spans="1:15" ht="25.5" thickBot="1">
      <c r="A143" s="144"/>
      <c r="B143" s="36">
        <v>1415675</v>
      </c>
      <c r="C143" s="37">
        <v>46147</v>
      </c>
      <c r="D143" s="38">
        <v>0.57430555555555551</v>
      </c>
      <c r="E143" s="36" t="s">
        <v>1371</v>
      </c>
      <c r="F143" s="40"/>
      <c r="G143" s="37">
        <v>46147</v>
      </c>
      <c r="H143" s="38">
        <v>0.56666666666666665</v>
      </c>
      <c r="I143" s="40" t="s">
        <v>889</v>
      </c>
      <c r="J143" s="36" t="s">
        <v>299</v>
      </c>
      <c r="K143" s="39" t="s">
        <v>1344</v>
      </c>
      <c r="L143" s="36">
        <v>10</v>
      </c>
      <c r="M143" s="36">
        <v>0</v>
      </c>
      <c r="N143" s="145">
        <v>2100000</v>
      </c>
      <c r="O143" s="37">
        <v>46149</v>
      </c>
    </row>
    <row r="144" spans="1:15" ht="25.5" thickBot="1">
      <c r="A144" s="144"/>
      <c r="B144" s="36">
        <v>1415675</v>
      </c>
      <c r="C144" s="37">
        <v>46147</v>
      </c>
      <c r="D144" s="38">
        <v>0.57430555555555551</v>
      </c>
      <c r="E144" s="36" t="s">
        <v>1373</v>
      </c>
      <c r="F144" s="40"/>
      <c r="G144" s="37">
        <v>46147</v>
      </c>
      <c r="H144" s="38">
        <v>0.56666666666666665</v>
      </c>
      <c r="I144" s="40" t="s">
        <v>889</v>
      </c>
      <c r="J144" s="36" t="s">
        <v>299</v>
      </c>
      <c r="K144" s="39" t="s">
        <v>722</v>
      </c>
      <c r="L144" s="36">
        <v>0.75</v>
      </c>
      <c r="M144" s="36">
        <v>0</v>
      </c>
      <c r="N144" s="36">
        <v>0</v>
      </c>
      <c r="O144" s="37">
        <v>46149</v>
      </c>
    </row>
    <row r="145" spans="1:15" ht="23.5" thickBot="1">
      <c r="A145" s="144"/>
      <c r="B145" s="36">
        <v>4500088777</v>
      </c>
      <c r="C145" s="37">
        <v>46147</v>
      </c>
      <c r="D145" s="38">
        <v>0.6479166666666667</v>
      </c>
      <c r="E145" s="36" t="s">
        <v>1374</v>
      </c>
      <c r="F145" s="40"/>
      <c r="G145" s="37">
        <v>46147</v>
      </c>
      <c r="H145" s="38">
        <v>0.66527777777777775</v>
      </c>
      <c r="I145" s="40" t="s">
        <v>709</v>
      </c>
      <c r="J145" s="36" t="s">
        <v>331</v>
      </c>
      <c r="K145" s="39" t="s">
        <v>68</v>
      </c>
      <c r="L145" s="36">
        <v>400</v>
      </c>
      <c r="M145" s="36">
        <v>16</v>
      </c>
      <c r="N145" s="145">
        <v>19160000</v>
      </c>
      <c r="O145" s="37">
        <v>46148</v>
      </c>
    </row>
    <row r="146" spans="1:15" ht="23.5" thickBot="1">
      <c r="A146" s="144"/>
      <c r="B146" s="36">
        <v>4500088777</v>
      </c>
      <c r="C146" s="37">
        <v>46147</v>
      </c>
      <c r="D146" s="38">
        <v>0.6479166666666667</v>
      </c>
      <c r="E146" s="36" t="s">
        <v>1375</v>
      </c>
      <c r="F146" s="40"/>
      <c r="G146" s="37">
        <v>46147</v>
      </c>
      <c r="H146" s="38">
        <v>0.66527777777777775</v>
      </c>
      <c r="I146" s="40" t="s">
        <v>709</v>
      </c>
      <c r="J146" s="36" t="s">
        <v>331</v>
      </c>
      <c r="K146" s="39" t="s">
        <v>1294</v>
      </c>
      <c r="L146" s="36">
        <v>30</v>
      </c>
      <c r="M146" s="36">
        <v>1</v>
      </c>
      <c r="N146" s="36">
        <v>0</v>
      </c>
      <c r="O146" s="37">
        <v>46148</v>
      </c>
    </row>
    <row r="147" spans="1:15" ht="25.5" thickBot="1">
      <c r="A147" s="144"/>
      <c r="B147" s="36" t="s">
        <v>1376</v>
      </c>
      <c r="C147" s="37">
        <v>46147</v>
      </c>
      <c r="D147" s="38">
        <v>0.66249999999999998</v>
      </c>
      <c r="E147" s="36" t="s">
        <v>1377</v>
      </c>
      <c r="F147" s="40"/>
      <c r="G147" s="37">
        <v>46148</v>
      </c>
      <c r="H147" s="38">
        <v>0.33124999999999999</v>
      </c>
      <c r="I147" s="40" t="s">
        <v>110</v>
      </c>
      <c r="J147" s="36" t="s">
        <v>111</v>
      </c>
      <c r="K147" s="39" t="s">
        <v>71</v>
      </c>
      <c r="L147" s="36">
        <v>50</v>
      </c>
      <c r="M147" s="36">
        <v>2</v>
      </c>
      <c r="N147" s="145">
        <v>5125000</v>
      </c>
      <c r="O147" s="37">
        <v>46149</v>
      </c>
    </row>
    <row r="148" spans="1:15" ht="38" thickBot="1">
      <c r="A148" s="209" t="s">
        <v>676</v>
      </c>
      <c r="B148" s="62"/>
      <c r="C148" s="63">
        <v>46147</v>
      </c>
      <c r="D148" s="62"/>
      <c r="E148" s="65" t="s">
        <v>1378</v>
      </c>
      <c r="F148" s="62"/>
      <c r="G148" s="63">
        <v>46148</v>
      </c>
      <c r="H148" s="64">
        <v>0.3888888888888889</v>
      </c>
      <c r="I148" s="62" t="s">
        <v>10</v>
      </c>
      <c r="J148" s="65" t="s">
        <v>106</v>
      </c>
      <c r="K148" s="69" t="s">
        <v>71</v>
      </c>
      <c r="L148" s="65">
        <v>100</v>
      </c>
      <c r="M148" s="65">
        <v>4</v>
      </c>
      <c r="N148" s="210">
        <v>10250000</v>
      </c>
      <c r="O148" s="63">
        <v>46149</v>
      </c>
    </row>
    <row r="149" spans="1:15" ht="38" thickBot="1">
      <c r="A149" s="209" t="s">
        <v>676</v>
      </c>
      <c r="B149" s="62"/>
      <c r="C149" s="63">
        <v>46147</v>
      </c>
      <c r="D149" s="62"/>
      <c r="E149" s="65" t="s">
        <v>1378</v>
      </c>
      <c r="F149" s="62"/>
      <c r="G149" s="63">
        <v>46148</v>
      </c>
      <c r="H149" s="64">
        <v>0.3888888888888889</v>
      </c>
      <c r="I149" s="62" t="s">
        <v>10</v>
      </c>
      <c r="J149" s="65" t="s">
        <v>106</v>
      </c>
      <c r="K149" s="69" t="s">
        <v>930</v>
      </c>
      <c r="L149" s="65">
        <v>100</v>
      </c>
      <c r="M149" s="65">
        <v>4</v>
      </c>
      <c r="N149" s="210">
        <v>15030000</v>
      </c>
      <c r="O149" s="63">
        <v>46149</v>
      </c>
    </row>
    <row r="150" spans="1:15" ht="38" thickBot="1">
      <c r="A150" s="209" t="s">
        <v>676</v>
      </c>
      <c r="B150" s="62"/>
      <c r="C150" s="63">
        <v>46147</v>
      </c>
      <c r="D150" s="62"/>
      <c r="E150" s="65" t="s">
        <v>1378</v>
      </c>
      <c r="F150" s="62"/>
      <c r="G150" s="63">
        <v>46148</v>
      </c>
      <c r="H150" s="64">
        <v>0.3888888888888889</v>
      </c>
      <c r="I150" s="62" t="s">
        <v>10</v>
      </c>
      <c r="J150" s="65" t="s">
        <v>106</v>
      </c>
      <c r="K150" s="69" t="s">
        <v>92</v>
      </c>
      <c r="L150" s="65">
        <v>50</v>
      </c>
      <c r="M150" s="65">
        <v>2</v>
      </c>
      <c r="N150" s="210">
        <v>2825000</v>
      </c>
      <c r="O150" s="63">
        <v>46149</v>
      </c>
    </row>
    <row r="151" spans="1:15" ht="38" thickBot="1">
      <c r="A151" s="209" t="s">
        <v>676</v>
      </c>
      <c r="B151" s="62"/>
      <c r="C151" s="63">
        <v>46147</v>
      </c>
      <c r="D151" s="62"/>
      <c r="E151" s="65" t="s">
        <v>1378</v>
      </c>
      <c r="F151" s="62"/>
      <c r="G151" s="63">
        <v>46148</v>
      </c>
      <c r="H151" s="64">
        <v>0.3888888888888889</v>
      </c>
      <c r="I151" s="62" t="s">
        <v>10</v>
      </c>
      <c r="J151" s="65" t="s">
        <v>106</v>
      </c>
      <c r="K151" s="69" t="s">
        <v>68</v>
      </c>
      <c r="L151" s="65">
        <v>200</v>
      </c>
      <c r="M151" s="65">
        <v>8</v>
      </c>
      <c r="N151" s="210">
        <v>10600000</v>
      </c>
      <c r="O151" s="63">
        <v>46149</v>
      </c>
    </row>
    <row r="152" spans="1:15" ht="38" thickBot="1">
      <c r="A152" s="209" t="s">
        <v>676</v>
      </c>
      <c r="B152" s="62"/>
      <c r="C152" s="63">
        <v>46147</v>
      </c>
      <c r="D152" s="62"/>
      <c r="E152" s="65" t="s">
        <v>1378</v>
      </c>
      <c r="F152" s="62"/>
      <c r="G152" s="63">
        <v>46148</v>
      </c>
      <c r="H152" s="64">
        <v>0.3888888888888889</v>
      </c>
      <c r="I152" s="62" t="s">
        <v>10</v>
      </c>
      <c r="J152" s="65" t="s">
        <v>106</v>
      </c>
      <c r="K152" s="69" t="s">
        <v>717</v>
      </c>
      <c r="L152" s="65">
        <v>100</v>
      </c>
      <c r="M152" s="65">
        <v>4</v>
      </c>
      <c r="N152" s="210">
        <v>19000000</v>
      </c>
      <c r="O152" s="63">
        <v>46149</v>
      </c>
    </row>
    <row r="153" spans="1:15" ht="38" thickBot="1">
      <c r="A153" s="209" t="s">
        <v>676</v>
      </c>
      <c r="B153" s="62"/>
      <c r="C153" s="63">
        <v>46147</v>
      </c>
      <c r="D153" s="62"/>
      <c r="E153" s="65" t="s">
        <v>1379</v>
      </c>
      <c r="F153" s="62"/>
      <c r="G153" s="63">
        <v>46148</v>
      </c>
      <c r="H153" s="64">
        <v>0.42916666666666664</v>
      </c>
      <c r="I153" s="62" t="s">
        <v>10</v>
      </c>
      <c r="J153" s="65" t="s">
        <v>106</v>
      </c>
      <c r="K153" s="69" t="s">
        <v>722</v>
      </c>
      <c r="L153" s="65">
        <v>15</v>
      </c>
      <c r="M153" s="65">
        <v>1</v>
      </c>
      <c r="N153" s="65">
        <v>0</v>
      </c>
      <c r="O153" s="63">
        <v>46149</v>
      </c>
    </row>
    <row r="154" spans="1:15" ht="23.5" thickBot="1">
      <c r="A154" s="144"/>
      <c r="B154" s="36" t="s">
        <v>1380</v>
      </c>
      <c r="C154" s="37">
        <v>46147</v>
      </c>
      <c r="D154" s="38">
        <v>0.59375</v>
      </c>
      <c r="E154" s="36" t="s">
        <v>1381</v>
      </c>
      <c r="F154" s="40"/>
      <c r="G154" s="37">
        <v>46148</v>
      </c>
      <c r="H154" s="38">
        <v>0.42638888888888887</v>
      </c>
      <c r="I154" s="40" t="s">
        <v>23</v>
      </c>
      <c r="J154" s="36" t="s">
        <v>32</v>
      </c>
      <c r="K154" s="39" t="s">
        <v>69</v>
      </c>
      <c r="L154" s="36">
        <v>25</v>
      </c>
      <c r="M154" s="36">
        <v>1</v>
      </c>
      <c r="N154" s="145">
        <v>1520000</v>
      </c>
      <c r="O154" s="37">
        <v>46149</v>
      </c>
    </row>
    <row r="155" spans="1:15" ht="23.5" thickBot="1">
      <c r="A155" s="144"/>
      <c r="B155" s="36" t="s">
        <v>1380</v>
      </c>
      <c r="C155" s="37">
        <v>46147</v>
      </c>
      <c r="D155" s="38">
        <v>0.59375</v>
      </c>
      <c r="E155" s="36" t="s">
        <v>1381</v>
      </c>
      <c r="F155" s="40"/>
      <c r="G155" s="37">
        <v>46148</v>
      </c>
      <c r="H155" s="38">
        <v>0.42638888888888887</v>
      </c>
      <c r="I155" s="40" t="s">
        <v>23</v>
      </c>
      <c r="J155" s="36" t="s">
        <v>32</v>
      </c>
      <c r="K155" s="39" t="s">
        <v>67</v>
      </c>
      <c r="L155" s="36">
        <v>125</v>
      </c>
      <c r="M155" s="36">
        <v>5</v>
      </c>
      <c r="N155" s="145">
        <v>3187000</v>
      </c>
      <c r="O155" s="37">
        <v>46149</v>
      </c>
    </row>
    <row r="156" spans="1:15" ht="23.5" thickBot="1">
      <c r="A156" s="144"/>
      <c r="B156" s="36" t="s">
        <v>1380</v>
      </c>
      <c r="C156" s="37">
        <v>46147</v>
      </c>
      <c r="D156" s="38">
        <v>0.59375</v>
      </c>
      <c r="E156" s="36" t="s">
        <v>1381</v>
      </c>
      <c r="F156" s="40"/>
      <c r="G156" s="37">
        <v>46148</v>
      </c>
      <c r="H156" s="38">
        <v>0.42638888888888887</v>
      </c>
      <c r="I156" s="40" t="s">
        <v>23</v>
      </c>
      <c r="J156" s="36" t="s">
        <v>32</v>
      </c>
      <c r="K156" s="39" t="s">
        <v>109</v>
      </c>
      <c r="L156" s="36">
        <v>100</v>
      </c>
      <c r="M156" s="36">
        <v>4</v>
      </c>
      <c r="N156" s="145">
        <v>6580000</v>
      </c>
      <c r="O156" s="37">
        <v>46149</v>
      </c>
    </row>
    <row r="157" spans="1:15" ht="23.5" thickBot="1">
      <c r="A157" s="144"/>
      <c r="B157" s="36" t="s">
        <v>1380</v>
      </c>
      <c r="C157" s="37">
        <v>46147</v>
      </c>
      <c r="D157" s="38">
        <v>0.59375</v>
      </c>
      <c r="E157" s="36" t="s">
        <v>1381</v>
      </c>
      <c r="F157" s="40"/>
      <c r="G157" s="37">
        <v>46148</v>
      </c>
      <c r="H157" s="38">
        <v>0.42638888888888887</v>
      </c>
      <c r="I157" s="40" t="s">
        <v>23</v>
      </c>
      <c r="J157" s="36" t="s">
        <v>32</v>
      </c>
      <c r="K157" s="39" t="s">
        <v>712</v>
      </c>
      <c r="L157" s="36">
        <v>50</v>
      </c>
      <c r="M157" s="36">
        <v>2</v>
      </c>
      <c r="N157" s="145">
        <v>3450000</v>
      </c>
      <c r="O157" s="37">
        <v>46149</v>
      </c>
    </row>
    <row r="158" spans="1:15" ht="23.5" thickBot="1">
      <c r="A158" s="144"/>
      <c r="B158" s="162" t="s">
        <v>1382</v>
      </c>
      <c r="C158" s="37">
        <v>46147</v>
      </c>
      <c r="D158" s="38">
        <v>0.66111111111111109</v>
      </c>
      <c r="E158" s="36" t="s">
        <v>1383</v>
      </c>
      <c r="F158" s="40"/>
      <c r="G158" s="37">
        <v>46148</v>
      </c>
      <c r="H158" s="38">
        <v>0.43472222222222223</v>
      </c>
      <c r="I158" s="40" t="s">
        <v>337</v>
      </c>
      <c r="J158" s="36" t="s">
        <v>745</v>
      </c>
      <c r="K158" s="39" t="s">
        <v>721</v>
      </c>
      <c r="L158" s="36">
        <v>250</v>
      </c>
      <c r="M158" s="36">
        <v>10</v>
      </c>
      <c r="N158" s="145">
        <v>4000000</v>
      </c>
      <c r="O158" s="37">
        <v>46150</v>
      </c>
    </row>
    <row r="159" spans="1:15" ht="13.5" thickBot="1">
      <c r="A159" s="144"/>
      <c r="B159" s="36">
        <v>1415847</v>
      </c>
      <c r="C159" s="37">
        <v>46147</v>
      </c>
      <c r="D159" s="38">
        <v>0.69166666666666665</v>
      </c>
      <c r="E159" s="36" t="s">
        <v>1384</v>
      </c>
      <c r="F159" s="40"/>
      <c r="G159" s="37">
        <v>46148</v>
      </c>
      <c r="H159" s="38">
        <v>0.43819444444444444</v>
      </c>
      <c r="I159" s="40" t="s">
        <v>794</v>
      </c>
      <c r="J159" s="36" t="s">
        <v>97</v>
      </c>
      <c r="K159" s="39" t="s">
        <v>846</v>
      </c>
      <c r="L159" s="36">
        <v>100</v>
      </c>
      <c r="M159" s="36">
        <v>4</v>
      </c>
      <c r="N159" s="145">
        <v>14700000</v>
      </c>
      <c r="O159" s="37">
        <v>46149</v>
      </c>
    </row>
    <row r="160" spans="1:15" ht="23.5" thickBot="1">
      <c r="A160" s="144"/>
      <c r="B160" s="36">
        <v>1415847</v>
      </c>
      <c r="C160" s="37">
        <v>46147</v>
      </c>
      <c r="D160" s="38">
        <v>0.69166666666666665</v>
      </c>
      <c r="E160" s="36" t="s">
        <v>1384</v>
      </c>
      <c r="F160" s="40"/>
      <c r="G160" s="37">
        <v>46148</v>
      </c>
      <c r="H160" s="38">
        <v>0.43819444444444444</v>
      </c>
      <c r="I160" s="40" t="s">
        <v>794</v>
      </c>
      <c r="J160" s="36" t="s">
        <v>97</v>
      </c>
      <c r="K160" s="39" t="s">
        <v>182</v>
      </c>
      <c r="L160" s="36">
        <v>50</v>
      </c>
      <c r="M160" s="36">
        <v>2</v>
      </c>
      <c r="N160" s="145">
        <v>2000000</v>
      </c>
      <c r="O160" s="37">
        <v>46149</v>
      </c>
    </row>
    <row r="161" spans="1:15" ht="23.5" thickBot="1">
      <c r="A161" s="144"/>
      <c r="B161" s="36">
        <v>1415847</v>
      </c>
      <c r="C161" s="37">
        <v>46147</v>
      </c>
      <c r="D161" s="38">
        <v>0.69166666666666665</v>
      </c>
      <c r="E161" s="36" t="s">
        <v>1384</v>
      </c>
      <c r="F161" s="40"/>
      <c r="G161" s="37">
        <v>46148</v>
      </c>
      <c r="H161" s="38">
        <v>0.43819444444444444</v>
      </c>
      <c r="I161" s="40" t="s">
        <v>794</v>
      </c>
      <c r="J161" s="36" t="s">
        <v>97</v>
      </c>
      <c r="K161" s="39" t="s">
        <v>712</v>
      </c>
      <c r="L161" s="36">
        <v>50</v>
      </c>
      <c r="M161" s="36">
        <v>2</v>
      </c>
      <c r="N161" s="145">
        <v>2593000</v>
      </c>
      <c r="O161" s="37">
        <v>46149</v>
      </c>
    </row>
    <row r="162" spans="1:15" ht="23.5" thickBot="1">
      <c r="A162" s="144"/>
      <c r="B162" s="36">
        <v>1415847</v>
      </c>
      <c r="C162" s="37">
        <v>46147</v>
      </c>
      <c r="D162" s="38">
        <v>0.69166666666666665</v>
      </c>
      <c r="E162" s="36" t="s">
        <v>1384</v>
      </c>
      <c r="F162" s="40"/>
      <c r="G162" s="37">
        <v>46148</v>
      </c>
      <c r="H162" s="38">
        <v>0.43819444444444444</v>
      </c>
      <c r="I162" s="40" t="s">
        <v>794</v>
      </c>
      <c r="J162" s="36" t="s">
        <v>97</v>
      </c>
      <c r="K162" s="39" t="s">
        <v>67</v>
      </c>
      <c r="L162" s="36">
        <v>100</v>
      </c>
      <c r="M162" s="36">
        <v>4</v>
      </c>
      <c r="N162" s="145">
        <v>2475000</v>
      </c>
      <c r="O162" s="37">
        <v>46149</v>
      </c>
    </row>
    <row r="163" spans="1:15" ht="13.5" thickBot="1">
      <c r="A163" s="144"/>
      <c r="B163" s="36">
        <v>1415847</v>
      </c>
      <c r="C163" s="37">
        <v>46147</v>
      </c>
      <c r="D163" s="38">
        <v>0.69166666666666665</v>
      </c>
      <c r="E163" s="36" t="s">
        <v>1384</v>
      </c>
      <c r="F163" s="40"/>
      <c r="G163" s="37">
        <v>46148</v>
      </c>
      <c r="H163" s="38">
        <v>0.43819444444444444</v>
      </c>
      <c r="I163" s="40" t="s">
        <v>794</v>
      </c>
      <c r="J163" s="36" t="s">
        <v>97</v>
      </c>
      <c r="K163" s="39" t="s">
        <v>719</v>
      </c>
      <c r="L163" s="36">
        <v>100</v>
      </c>
      <c r="M163" s="36">
        <v>4</v>
      </c>
      <c r="N163" s="145">
        <v>3000000</v>
      </c>
      <c r="O163" s="37">
        <v>46149</v>
      </c>
    </row>
    <row r="164" spans="1:15" ht="23.5" thickBot="1">
      <c r="A164" s="144"/>
      <c r="B164" s="36">
        <v>67352</v>
      </c>
      <c r="C164" s="37">
        <v>46147</v>
      </c>
      <c r="D164" s="38">
        <v>0.56527777777777777</v>
      </c>
      <c r="E164" s="36" t="s">
        <v>1385</v>
      </c>
      <c r="F164" s="40"/>
      <c r="G164" s="37">
        <v>46148</v>
      </c>
      <c r="H164" s="38">
        <v>0.44097222222222221</v>
      </c>
      <c r="I164" s="40" t="s">
        <v>13</v>
      </c>
      <c r="J164" s="36" t="s">
        <v>35</v>
      </c>
      <c r="K164" s="39" t="s">
        <v>69</v>
      </c>
      <c r="L164" s="36">
        <v>50</v>
      </c>
      <c r="M164" s="36">
        <v>2</v>
      </c>
      <c r="N164" s="145">
        <v>3040000</v>
      </c>
      <c r="O164" s="37">
        <v>46211</v>
      </c>
    </row>
    <row r="165" spans="1:15" ht="25.5" thickBot="1">
      <c r="A165" s="144"/>
      <c r="B165" s="36">
        <v>1416093</v>
      </c>
      <c r="C165" s="37">
        <v>46147</v>
      </c>
      <c r="D165" s="38">
        <v>0.84513888888888888</v>
      </c>
      <c r="E165" s="36" t="s">
        <v>1386</v>
      </c>
      <c r="F165" s="40"/>
      <c r="G165" s="37">
        <v>46148</v>
      </c>
      <c r="H165" s="38">
        <v>0.44236111111111109</v>
      </c>
      <c r="I165" s="40" t="s">
        <v>889</v>
      </c>
      <c r="J165" s="36" t="s">
        <v>35</v>
      </c>
      <c r="K165" s="39" t="s">
        <v>68</v>
      </c>
      <c r="L165" s="36">
        <v>100</v>
      </c>
      <c r="M165" s="36">
        <v>4</v>
      </c>
      <c r="N165" s="145">
        <v>5250000</v>
      </c>
      <c r="O165" s="37">
        <v>46148</v>
      </c>
    </row>
    <row r="166" spans="1:15" ht="25.5" thickBot="1">
      <c r="A166" s="144"/>
      <c r="B166" s="36">
        <v>1416093</v>
      </c>
      <c r="C166" s="37">
        <v>46147</v>
      </c>
      <c r="D166" s="38">
        <v>0.84513888888888888</v>
      </c>
      <c r="E166" s="36" t="s">
        <v>1387</v>
      </c>
      <c r="F166" s="40"/>
      <c r="G166" s="37">
        <v>46148</v>
      </c>
      <c r="H166" s="38">
        <v>0.44236111111111109</v>
      </c>
      <c r="I166" s="40" t="s">
        <v>889</v>
      </c>
      <c r="J166" s="36" t="s">
        <v>35</v>
      </c>
      <c r="K166" s="39" t="s">
        <v>68</v>
      </c>
      <c r="L166" s="36">
        <v>100</v>
      </c>
      <c r="M166" s="36">
        <v>4</v>
      </c>
      <c r="N166" s="145">
        <v>5250000</v>
      </c>
      <c r="O166" s="37">
        <v>46148</v>
      </c>
    </row>
    <row r="167" spans="1:15" ht="13.5" thickBot="1">
      <c r="A167" s="144"/>
      <c r="B167" s="36">
        <v>4504062377</v>
      </c>
      <c r="C167" s="37">
        <v>46148</v>
      </c>
      <c r="D167" s="38">
        <v>0.3527777777777778</v>
      </c>
      <c r="E167" s="36" t="s">
        <v>1388</v>
      </c>
      <c r="F167" s="40"/>
      <c r="G167" s="37">
        <v>46148</v>
      </c>
      <c r="H167" s="38">
        <v>0.44791666666666669</v>
      </c>
      <c r="I167" s="40" t="s">
        <v>1231</v>
      </c>
      <c r="J167" s="36" t="s">
        <v>98</v>
      </c>
      <c r="K167" s="39" t="s">
        <v>150</v>
      </c>
      <c r="L167" s="36">
        <v>6000</v>
      </c>
      <c r="M167" s="36">
        <v>240</v>
      </c>
      <c r="N167" s="145">
        <v>106500000</v>
      </c>
      <c r="O167" s="37">
        <v>46155</v>
      </c>
    </row>
    <row r="168" spans="1:15" ht="13.5" thickBot="1">
      <c r="A168" s="144"/>
      <c r="B168" s="36">
        <v>4504062377</v>
      </c>
      <c r="C168" s="37">
        <v>46148</v>
      </c>
      <c r="D168" s="38">
        <v>0.3527777777777778</v>
      </c>
      <c r="E168" s="36" t="s">
        <v>1389</v>
      </c>
      <c r="F168" s="40"/>
      <c r="G168" s="37">
        <v>46148</v>
      </c>
      <c r="H168" s="38">
        <v>0.44791666666666669</v>
      </c>
      <c r="I168" s="40" t="s">
        <v>1231</v>
      </c>
      <c r="J168" s="36" t="s">
        <v>98</v>
      </c>
      <c r="K168" s="39" t="s">
        <v>150</v>
      </c>
      <c r="L168" s="36">
        <v>6000</v>
      </c>
      <c r="M168" s="36">
        <v>240</v>
      </c>
      <c r="N168" s="145">
        <v>106500000</v>
      </c>
      <c r="O168" s="37">
        <v>46163</v>
      </c>
    </row>
    <row r="169" spans="1:15" ht="13.5" thickBot="1">
      <c r="A169" s="144"/>
      <c r="B169" s="36">
        <v>4504062377</v>
      </c>
      <c r="C169" s="37">
        <v>46148</v>
      </c>
      <c r="D169" s="38">
        <v>0.3527777777777778</v>
      </c>
      <c r="E169" s="36" t="s">
        <v>1390</v>
      </c>
      <c r="F169" s="40"/>
      <c r="G169" s="37">
        <v>46148</v>
      </c>
      <c r="H169" s="38">
        <v>0.44791666666666669</v>
      </c>
      <c r="I169" s="40" t="s">
        <v>1231</v>
      </c>
      <c r="J169" s="36" t="s">
        <v>98</v>
      </c>
      <c r="K169" s="39" t="s">
        <v>150</v>
      </c>
      <c r="L169" s="36">
        <v>6000</v>
      </c>
      <c r="M169" s="36">
        <v>240</v>
      </c>
      <c r="N169" s="145">
        <v>106500000</v>
      </c>
      <c r="O169" s="37">
        <v>46169</v>
      </c>
    </row>
    <row r="170" spans="1:15" ht="13.5" thickBot="1">
      <c r="A170" s="209" t="s">
        <v>676</v>
      </c>
      <c r="B170" s="65">
        <v>4504061849</v>
      </c>
      <c r="C170" s="63">
        <v>46148</v>
      </c>
      <c r="D170" s="64">
        <v>0.3527777777777778</v>
      </c>
      <c r="E170" s="65" t="s">
        <v>1391</v>
      </c>
      <c r="F170" s="62"/>
      <c r="G170" s="63">
        <v>46148</v>
      </c>
      <c r="H170" s="64">
        <v>0.4513888888888889</v>
      </c>
      <c r="I170" s="62" t="s">
        <v>130</v>
      </c>
      <c r="J170" s="65" t="s">
        <v>98</v>
      </c>
      <c r="K170" s="69" t="s">
        <v>150</v>
      </c>
      <c r="L170" s="65">
        <v>1500</v>
      </c>
      <c r="M170" s="65">
        <v>60</v>
      </c>
      <c r="N170" s="210">
        <v>26625000</v>
      </c>
      <c r="O170" s="63">
        <v>46150</v>
      </c>
    </row>
    <row r="171" spans="1:15" ht="23.5" thickBot="1">
      <c r="A171" s="144"/>
      <c r="B171" s="40"/>
      <c r="C171" s="37">
        <v>46148</v>
      </c>
      <c r="D171" s="38">
        <v>0.40625</v>
      </c>
      <c r="E171" s="36" t="s">
        <v>1392</v>
      </c>
      <c r="F171" s="40"/>
      <c r="G171" s="37">
        <v>46148</v>
      </c>
      <c r="H171" s="38">
        <v>0.46527777777777779</v>
      </c>
      <c r="I171" s="40" t="s">
        <v>15</v>
      </c>
      <c r="J171" s="36" t="s">
        <v>35</v>
      </c>
      <c r="K171" s="39" t="s">
        <v>186</v>
      </c>
      <c r="L171" s="36">
        <v>4</v>
      </c>
      <c r="M171" s="36">
        <v>0</v>
      </c>
      <c r="N171" s="145">
        <v>420000</v>
      </c>
      <c r="O171" s="37">
        <v>46148</v>
      </c>
    </row>
    <row r="172" spans="1:15" ht="23.5" thickBot="1">
      <c r="A172" s="144"/>
      <c r="B172" s="36">
        <v>4500210895</v>
      </c>
      <c r="C172" s="37">
        <v>46148</v>
      </c>
      <c r="D172" s="38">
        <v>0.47152777777777777</v>
      </c>
      <c r="E172" s="36" t="s">
        <v>1393</v>
      </c>
      <c r="F172" s="40"/>
      <c r="G172" s="37">
        <v>46148</v>
      </c>
      <c r="H172" s="38">
        <v>0.48333333333333334</v>
      </c>
      <c r="I172" s="40" t="s">
        <v>137</v>
      </c>
      <c r="J172" s="36" t="s">
        <v>1394</v>
      </c>
      <c r="K172" s="39" t="s">
        <v>165</v>
      </c>
      <c r="L172" s="36">
        <v>250</v>
      </c>
      <c r="M172" s="36">
        <v>10</v>
      </c>
      <c r="N172" s="145">
        <v>35000000</v>
      </c>
      <c r="O172" s="37">
        <v>46150</v>
      </c>
    </row>
    <row r="173" spans="1:15" ht="23.5" thickBot="1">
      <c r="A173" s="144"/>
      <c r="B173" s="36">
        <v>4500378712</v>
      </c>
      <c r="C173" s="37">
        <v>46148</v>
      </c>
      <c r="D173" s="38">
        <v>0.39513888888888887</v>
      </c>
      <c r="E173" s="36" t="s">
        <v>1395</v>
      </c>
      <c r="F173" s="40"/>
      <c r="G173" s="37">
        <v>46148</v>
      </c>
      <c r="H173" s="38">
        <v>0.48472222222222222</v>
      </c>
      <c r="I173" s="40" t="s">
        <v>22</v>
      </c>
      <c r="J173" s="36" t="s">
        <v>98</v>
      </c>
      <c r="K173" s="39" t="s">
        <v>72</v>
      </c>
      <c r="L173" s="36">
        <v>2400</v>
      </c>
      <c r="M173" s="36">
        <v>96</v>
      </c>
      <c r="N173" s="145">
        <v>46800000</v>
      </c>
      <c r="O173" s="37">
        <v>46164</v>
      </c>
    </row>
    <row r="174" spans="1:15" ht="23.5" thickBot="1">
      <c r="A174" s="144"/>
      <c r="B174" s="36">
        <v>4500378712</v>
      </c>
      <c r="C174" s="37">
        <v>46148</v>
      </c>
      <c r="D174" s="38">
        <v>0.39513888888888887</v>
      </c>
      <c r="E174" s="36" t="s">
        <v>1396</v>
      </c>
      <c r="F174" s="40"/>
      <c r="G174" s="37">
        <v>46148</v>
      </c>
      <c r="H174" s="38">
        <v>0.48472222222222222</v>
      </c>
      <c r="I174" s="40" t="s">
        <v>22</v>
      </c>
      <c r="J174" s="36" t="s">
        <v>98</v>
      </c>
      <c r="K174" s="39" t="s">
        <v>72</v>
      </c>
      <c r="L174" s="36">
        <v>1450</v>
      </c>
      <c r="M174" s="36">
        <v>58</v>
      </c>
      <c r="N174" s="145">
        <v>28275000</v>
      </c>
      <c r="O174" s="37">
        <v>46171</v>
      </c>
    </row>
    <row r="175" spans="1:15" ht="23.5" thickBot="1">
      <c r="A175" s="144"/>
      <c r="B175" s="36" t="s">
        <v>1397</v>
      </c>
      <c r="C175" s="37">
        <v>46147</v>
      </c>
      <c r="D175" s="38">
        <v>0.56527777777777777</v>
      </c>
      <c r="E175" s="36" t="s">
        <v>1398</v>
      </c>
      <c r="F175" s="40"/>
      <c r="G175" s="37">
        <v>46148</v>
      </c>
      <c r="H175" s="38">
        <v>0.44097222222222221</v>
      </c>
      <c r="I175" s="40" t="s">
        <v>13</v>
      </c>
      <c r="J175" s="36" t="s">
        <v>35</v>
      </c>
      <c r="K175" s="39" t="s">
        <v>150</v>
      </c>
      <c r="L175" s="36">
        <v>50</v>
      </c>
      <c r="M175" s="36">
        <v>2</v>
      </c>
      <c r="N175" s="145">
        <v>1000000</v>
      </c>
      <c r="O175" s="37">
        <v>46211</v>
      </c>
    </row>
    <row r="176" spans="1:15" ht="46.5" thickBot="1">
      <c r="A176" s="144"/>
      <c r="B176" s="36" t="s">
        <v>1399</v>
      </c>
      <c r="C176" s="37">
        <v>46148</v>
      </c>
      <c r="D176" s="38">
        <v>0.3298611111111111</v>
      </c>
      <c r="E176" s="36" t="s">
        <v>1400</v>
      </c>
      <c r="F176" s="40"/>
      <c r="G176" s="37">
        <v>46210</v>
      </c>
      <c r="H176" s="38">
        <v>0.35208333333333336</v>
      </c>
      <c r="I176" s="40" t="s">
        <v>352</v>
      </c>
      <c r="J176" s="36" t="s">
        <v>124</v>
      </c>
      <c r="K176" s="39" t="s">
        <v>313</v>
      </c>
      <c r="L176" s="36">
        <v>10</v>
      </c>
      <c r="M176" s="36">
        <v>0</v>
      </c>
      <c r="N176" s="145">
        <v>550000</v>
      </c>
      <c r="O176" s="37">
        <v>46149</v>
      </c>
    </row>
    <row r="177" spans="1:15" ht="46.5" thickBot="1">
      <c r="A177" s="144"/>
      <c r="B177" s="36" t="s">
        <v>1401</v>
      </c>
      <c r="C177" s="37">
        <v>46148</v>
      </c>
      <c r="D177" s="38">
        <v>0.3298611111111111</v>
      </c>
      <c r="E177" s="36" t="s">
        <v>1402</v>
      </c>
      <c r="F177" s="40"/>
      <c r="G177" s="37">
        <v>46210</v>
      </c>
      <c r="H177" s="38">
        <v>0.35208333333333336</v>
      </c>
      <c r="I177" s="40" t="s">
        <v>352</v>
      </c>
      <c r="J177" s="36" t="s">
        <v>124</v>
      </c>
      <c r="K177" s="39" t="s">
        <v>313</v>
      </c>
      <c r="L177" s="36">
        <v>10</v>
      </c>
      <c r="M177" s="36">
        <v>0</v>
      </c>
      <c r="N177" s="145">
        <v>550000</v>
      </c>
      <c r="O177" s="37">
        <v>46149</v>
      </c>
    </row>
    <row r="178" spans="1:15" ht="23.5" thickBot="1">
      <c r="A178" s="144"/>
      <c r="B178" s="36" t="s">
        <v>1403</v>
      </c>
      <c r="C178" s="37">
        <v>46133</v>
      </c>
      <c r="D178" s="38">
        <v>0.64583333333333337</v>
      </c>
      <c r="E178" s="36" t="s">
        <v>1404</v>
      </c>
      <c r="F178" s="40"/>
      <c r="G178" s="37">
        <v>46210</v>
      </c>
      <c r="H178" s="38">
        <v>0.35972222222222222</v>
      </c>
      <c r="I178" s="40" t="s">
        <v>108</v>
      </c>
      <c r="J178" s="36" t="s">
        <v>98</v>
      </c>
      <c r="K178" s="39" t="s">
        <v>67</v>
      </c>
      <c r="L178" s="36">
        <v>450</v>
      </c>
      <c r="M178" s="36">
        <v>18</v>
      </c>
      <c r="N178" s="145">
        <v>13150000</v>
      </c>
      <c r="O178" s="37">
        <v>46150</v>
      </c>
    </row>
    <row r="179" spans="1:15" ht="23.5" thickBot="1">
      <c r="A179" s="144"/>
      <c r="B179" s="36" t="s">
        <v>1403</v>
      </c>
      <c r="C179" s="37">
        <v>46133</v>
      </c>
      <c r="D179" s="38">
        <v>0.64583333333333337</v>
      </c>
      <c r="E179" s="36" t="s">
        <v>1405</v>
      </c>
      <c r="F179" s="40"/>
      <c r="G179" s="37">
        <v>46210</v>
      </c>
      <c r="H179" s="38">
        <v>0.35972222222222222</v>
      </c>
      <c r="I179" s="40" t="s">
        <v>108</v>
      </c>
      <c r="J179" s="36" t="s">
        <v>98</v>
      </c>
      <c r="K179" s="39" t="s">
        <v>67</v>
      </c>
      <c r="L179" s="36">
        <v>50</v>
      </c>
      <c r="M179" s="36">
        <v>2</v>
      </c>
      <c r="N179" s="145">
        <v>900000</v>
      </c>
      <c r="O179" s="37">
        <v>46150</v>
      </c>
    </row>
    <row r="180" spans="1:15" ht="23.5" thickBot="1">
      <c r="A180" s="144"/>
      <c r="B180" s="36">
        <v>1417040</v>
      </c>
      <c r="C180" s="37">
        <v>46148</v>
      </c>
      <c r="D180" s="38">
        <v>0.77222222222222225</v>
      </c>
      <c r="E180" s="36" t="s">
        <v>1406</v>
      </c>
      <c r="F180" s="40"/>
      <c r="G180" s="37">
        <v>46210</v>
      </c>
      <c r="H180" s="38">
        <v>0.49166666666666664</v>
      </c>
      <c r="I180" s="40" t="s">
        <v>699</v>
      </c>
      <c r="J180" s="36" t="s">
        <v>41</v>
      </c>
      <c r="K180" s="39" t="s">
        <v>69</v>
      </c>
      <c r="L180" s="36">
        <v>50</v>
      </c>
      <c r="M180" s="36">
        <v>2</v>
      </c>
      <c r="N180" s="145">
        <v>2705000</v>
      </c>
      <c r="O180" s="37">
        <v>46163</v>
      </c>
    </row>
    <row r="181" spans="1:15" ht="13.5" thickBot="1">
      <c r="A181" s="144"/>
      <c r="B181" s="36">
        <v>23989</v>
      </c>
      <c r="C181" s="37">
        <v>46210</v>
      </c>
      <c r="D181" s="38">
        <v>0.45624999999999999</v>
      </c>
      <c r="E181" s="36" t="s">
        <v>1407</v>
      </c>
      <c r="F181" s="40"/>
      <c r="G181" s="37">
        <v>46210</v>
      </c>
      <c r="H181" s="38">
        <v>0.49305555555555558</v>
      </c>
      <c r="I181" s="40" t="s">
        <v>802</v>
      </c>
      <c r="J181" s="36" t="s">
        <v>1408</v>
      </c>
      <c r="K181" s="39" t="s">
        <v>150</v>
      </c>
      <c r="L181" s="36">
        <v>500</v>
      </c>
      <c r="M181" s="36">
        <v>20</v>
      </c>
      <c r="N181" s="145">
        <v>10000000</v>
      </c>
      <c r="O181" s="37">
        <v>46150</v>
      </c>
    </row>
    <row r="182" spans="1:15" ht="46.5" thickBot="1">
      <c r="A182" s="144"/>
      <c r="B182" s="36" t="s">
        <v>766</v>
      </c>
      <c r="C182" s="37">
        <v>46210</v>
      </c>
      <c r="D182" s="38">
        <v>0.40486111111111112</v>
      </c>
      <c r="E182" s="36" t="s">
        <v>1409</v>
      </c>
      <c r="F182" s="40"/>
      <c r="G182" s="37">
        <v>46210</v>
      </c>
      <c r="H182" s="38">
        <v>0.50486111111111109</v>
      </c>
      <c r="I182" s="40" t="s">
        <v>709</v>
      </c>
      <c r="J182" s="36" t="s">
        <v>40</v>
      </c>
      <c r="K182" s="39" t="s">
        <v>712</v>
      </c>
      <c r="L182" s="36">
        <v>500</v>
      </c>
      <c r="M182" s="36">
        <v>20</v>
      </c>
      <c r="N182" s="145">
        <v>25930000</v>
      </c>
      <c r="O182" s="37">
        <v>46149</v>
      </c>
    </row>
    <row r="183" spans="1:15" ht="46.5" thickBot="1">
      <c r="A183" s="144"/>
      <c r="B183" s="36" t="s">
        <v>766</v>
      </c>
      <c r="C183" s="37">
        <v>46210</v>
      </c>
      <c r="D183" s="38">
        <v>0.40486111111111112</v>
      </c>
      <c r="E183" s="36" t="s">
        <v>1409</v>
      </c>
      <c r="F183" s="40"/>
      <c r="G183" s="37">
        <v>46210</v>
      </c>
      <c r="H183" s="38">
        <v>0.50486111111111109</v>
      </c>
      <c r="I183" s="40" t="s">
        <v>709</v>
      </c>
      <c r="J183" s="36" t="s">
        <v>40</v>
      </c>
      <c r="K183" s="39" t="s">
        <v>67</v>
      </c>
      <c r="L183" s="36">
        <v>4000</v>
      </c>
      <c r="M183" s="36">
        <v>160</v>
      </c>
      <c r="N183" s="145">
        <v>99000000</v>
      </c>
      <c r="O183" s="37">
        <v>46149</v>
      </c>
    </row>
    <row r="184" spans="1:15" ht="46.5" thickBot="1">
      <c r="A184" s="144"/>
      <c r="B184" s="36" t="s">
        <v>766</v>
      </c>
      <c r="C184" s="37">
        <v>46210</v>
      </c>
      <c r="D184" s="38">
        <v>0.40486111111111112</v>
      </c>
      <c r="E184" s="36" t="s">
        <v>1409</v>
      </c>
      <c r="F184" s="40"/>
      <c r="G184" s="37">
        <v>46210</v>
      </c>
      <c r="H184" s="38">
        <v>0.50486111111111109</v>
      </c>
      <c r="I184" s="40" t="s">
        <v>709</v>
      </c>
      <c r="J184" s="36" t="s">
        <v>40</v>
      </c>
      <c r="K184" s="39" t="s">
        <v>1410</v>
      </c>
      <c r="L184" s="36">
        <v>2000</v>
      </c>
      <c r="M184" s="36">
        <v>80</v>
      </c>
      <c r="N184" s="145">
        <v>38500000</v>
      </c>
      <c r="O184" s="37">
        <v>46149</v>
      </c>
    </row>
    <row r="185" spans="1:15" ht="46.5" thickBot="1">
      <c r="A185" s="144"/>
      <c r="B185" s="36" t="s">
        <v>766</v>
      </c>
      <c r="C185" s="37">
        <v>46210</v>
      </c>
      <c r="D185" s="38">
        <v>0.40486111111111112</v>
      </c>
      <c r="E185" s="36" t="s">
        <v>1409</v>
      </c>
      <c r="F185" s="40"/>
      <c r="G185" s="37">
        <v>46210</v>
      </c>
      <c r="H185" s="38">
        <v>0.50486111111111109</v>
      </c>
      <c r="I185" s="40" t="s">
        <v>709</v>
      </c>
      <c r="J185" s="36" t="s">
        <v>40</v>
      </c>
      <c r="K185" s="39" t="s">
        <v>858</v>
      </c>
      <c r="L185" s="36">
        <v>200</v>
      </c>
      <c r="M185" s="36">
        <v>8</v>
      </c>
      <c r="N185" s="145">
        <v>6040000</v>
      </c>
      <c r="O185" s="37">
        <v>46149</v>
      </c>
    </row>
    <row r="186" spans="1:15" ht="46.5" thickBot="1">
      <c r="A186" s="144"/>
      <c r="B186" s="36" t="s">
        <v>766</v>
      </c>
      <c r="C186" s="37">
        <v>46210</v>
      </c>
      <c r="D186" s="38">
        <v>0.40486111111111112</v>
      </c>
      <c r="E186" s="36" t="s">
        <v>1409</v>
      </c>
      <c r="F186" s="40"/>
      <c r="G186" s="37">
        <v>46210</v>
      </c>
      <c r="H186" s="38">
        <v>0.50486111111111109</v>
      </c>
      <c r="I186" s="40" t="s">
        <v>709</v>
      </c>
      <c r="J186" s="36" t="s">
        <v>40</v>
      </c>
      <c r="K186" s="39" t="s">
        <v>92</v>
      </c>
      <c r="L186" s="36">
        <v>2000</v>
      </c>
      <c r="M186" s="36">
        <v>80</v>
      </c>
      <c r="N186" s="145">
        <v>103800000</v>
      </c>
      <c r="O186" s="37">
        <v>46149</v>
      </c>
    </row>
    <row r="187" spans="1:15" ht="46.5" thickBot="1">
      <c r="A187" s="144"/>
      <c r="B187" s="36" t="s">
        <v>766</v>
      </c>
      <c r="C187" s="37">
        <v>46210</v>
      </c>
      <c r="D187" s="38">
        <v>0.40486111111111112</v>
      </c>
      <c r="E187" s="36" t="s">
        <v>1411</v>
      </c>
      <c r="F187" s="40"/>
      <c r="G187" s="37">
        <v>46210</v>
      </c>
      <c r="H187" s="38">
        <v>0.50486111111111109</v>
      </c>
      <c r="I187" s="40" t="s">
        <v>709</v>
      </c>
      <c r="J187" s="36" t="s">
        <v>40</v>
      </c>
      <c r="K187" s="39" t="s">
        <v>627</v>
      </c>
      <c r="L187" s="36">
        <v>5000</v>
      </c>
      <c r="M187" s="36">
        <v>200</v>
      </c>
      <c r="N187" s="145">
        <v>172500000</v>
      </c>
      <c r="O187" s="37">
        <v>46149</v>
      </c>
    </row>
    <row r="188" spans="1:15" ht="46.5" thickBot="1">
      <c r="A188" s="144"/>
      <c r="B188" s="36" t="s">
        <v>766</v>
      </c>
      <c r="C188" s="37">
        <v>46210</v>
      </c>
      <c r="D188" s="38">
        <v>0.40486111111111112</v>
      </c>
      <c r="E188" s="36" t="s">
        <v>1412</v>
      </c>
      <c r="F188" s="40"/>
      <c r="G188" s="37">
        <v>46210</v>
      </c>
      <c r="H188" s="38">
        <v>0.50486111111111109</v>
      </c>
      <c r="I188" s="40" t="s">
        <v>1336</v>
      </c>
      <c r="J188" s="36" t="s">
        <v>40</v>
      </c>
      <c r="K188" s="39" t="s">
        <v>71</v>
      </c>
      <c r="L188" s="36">
        <v>2000</v>
      </c>
      <c r="M188" s="36">
        <v>80</v>
      </c>
      <c r="N188" s="145">
        <v>145734000</v>
      </c>
      <c r="O188" s="37">
        <v>46149</v>
      </c>
    </row>
    <row r="189" spans="1:15" ht="23.5" thickBot="1">
      <c r="A189" s="144"/>
      <c r="B189" s="40"/>
      <c r="C189" s="37">
        <v>46148</v>
      </c>
      <c r="D189" s="38">
        <v>0.65555555555555556</v>
      </c>
      <c r="E189" s="36" t="s">
        <v>1413</v>
      </c>
      <c r="F189" s="40"/>
      <c r="G189" s="37">
        <v>46210</v>
      </c>
      <c r="H189" s="38">
        <v>0.51041666666666663</v>
      </c>
      <c r="I189" s="40" t="s">
        <v>718</v>
      </c>
      <c r="J189" s="36" t="s">
        <v>322</v>
      </c>
      <c r="K189" s="39" t="s">
        <v>92</v>
      </c>
      <c r="L189" s="36">
        <v>100</v>
      </c>
      <c r="M189" s="36">
        <v>4</v>
      </c>
      <c r="N189" s="145">
        <v>6000000</v>
      </c>
      <c r="O189" s="37">
        <v>46154</v>
      </c>
    </row>
    <row r="190" spans="1:15" ht="13.5" thickBot="1">
      <c r="A190" s="144"/>
      <c r="B190" s="40"/>
      <c r="C190" s="37">
        <v>46148</v>
      </c>
      <c r="D190" s="38">
        <v>0.65555555555555556</v>
      </c>
      <c r="E190" s="36" t="s">
        <v>1413</v>
      </c>
      <c r="F190" s="40"/>
      <c r="G190" s="37">
        <v>46210</v>
      </c>
      <c r="H190" s="38">
        <v>0.51041666666666663</v>
      </c>
      <c r="I190" s="40" t="s">
        <v>718</v>
      </c>
      <c r="J190" s="36" t="s">
        <v>322</v>
      </c>
      <c r="K190" s="39" t="s">
        <v>150</v>
      </c>
      <c r="L190" s="36">
        <v>200</v>
      </c>
      <c r="M190" s="36">
        <v>8</v>
      </c>
      <c r="N190" s="145">
        <v>5850000</v>
      </c>
      <c r="O190" s="37">
        <v>46154</v>
      </c>
    </row>
    <row r="191" spans="1:15" ht="23.5" thickBot="1">
      <c r="A191" s="144"/>
      <c r="B191" s="40"/>
      <c r="C191" s="37">
        <v>46148</v>
      </c>
      <c r="D191" s="38">
        <v>0.65555555555555556</v>
      </c>
      <c r="E191" s="36" t="s">
        <v>1413</v>
      </c>
      <c r="F191" s="40"/>
      <c r="G191" s="37">
        <v>46210</v>
      </c>
      <c r="H191" s="38">
        <v>0.51041666666666663</v>
      </c>
      <c r="I191" s="40" t="s">
        <v>718</v>
      </c>
      <c r="J191" s="36" t="s">
        <v>322</v>
      </c>
      <c r="K191" s="39" t="s">
        <v>712</v>
      </c>
      <c r="L191" s="36">
        <v>200</v>
      </c>
      <c r="M191" s="36">
        <v>8</v>
      </c>
      <c r="N191" s="145">
        <v>13600000</v>
      </c>
      <c r="O191" s="37">
        <v>46154</v>
      </c>
    </row>
    <row r="192" spans="1:15" ht="23.5" thickBot="1">
      <c r="A192" s="144"/>
      <c r="B192" s="40"/>
      <c r="C192" s="37">
        <v>46148</v>
      </c>
      <c r="D192" s="38">
        <v>0.65555555555555556</v>
      </c>
      <c r="E192" s="36" t="s">
        <v>1413</v>
      </c>
      <c r="F192" s="40"/>
      <c r="G192" s="37">
        <v>46210</v>
      </c>
      <c r="H192" s="38">
        <v>0.51041666666666663</v>
      </c>
      <c r="I192" s="40" t="s">
        <v>718</v>
      </c>
      <c r="J192" s="36" t="s">
        <v>322</v>
      </c>
      <c r="K192" s="39" t="s">
        <v>721</v>
      </c>
      <c r="L192" s="36">
        <v>300</v>
      </c>
      <c r="M192" s="36">
        <v>12</v>
      </c>
      <c r="N192" s="145">
        <v>4800000</v>
      </c>
      <c r="O192" s="37">
        <v>46154</v>
      </c>
    </row>
    <row r="193" spans="1:15" ht="23.5" thickBot="1">
      <c r="A193" s="144"/>
      <c r="B193" s="40"/>
      <c r="C193" s="37">
        <v>46148</v>
      </c>
      <c r="D193" s="38">
        <v>0.65555555555555556</v>
      </c>
      <c r="E193" s="36" t="s">
        <v>1414</v>
      </c>
      <c r="F193" s="40"/>
      <c r="G193" s="37">
        <v>46210</v>
      </c>
      <c r="H193" s="38">
        <v>0.51041666666666663</v>
      </c>
      <c r="I193" s="40" t="s">
        <v>718</v>
      </c>
      <c r="J193" s="36" t="s">
        <v>322</v>
      </c>
      <c r="K193" s="39" t="s">
        <v>721</v>
      </c>
      <c r="L193" s="36">
        <v>300</v>
      </c>
      <c r="M193" s="36">
        <v>12</v>
      </c>
      <c r="N193" s="145">
        <v>4800000</v>
      </c>
      <c r="O193" s="37">
        <v>46168</v>
      </c>
    </row>
    <row r="194" spans="1:15" ht="23.5" thickBot="1">
      <c r="A194" s="144"/>
      <c r="B194" s="40"/>
      <c r="C194" s="37">
        <v>46148</v>
      </c>
      <c r="D194" s="38">
        <v>0.65555555555555556</v>
      </c>
      <c r="E194" s="36" t="s">
        <v>1415</v>
      </c>
      <c r="F194" s="40"/>
      <c r="G194" s="37">
        <v>46210</v>
      </c>
      <c r="H194" s="38">
        <v>0.51041666666666663</v>
      </c>
      <c r="I194" s="40" t="s">
        <v>718</v>
      </c>
      <c r="J194" s="36" t="s">
        <v>322</v>
      </c>
      <c r="K194" s="39" t="s">
        <v>717</v>
      </c>
      <c r="L194" s="36">
        <v>100</v>
      </c>
      <c r="M194" s="36">
        <v>4</v>
      </c>
      <c r="N194" s="145">
        <v>21000000</v>
      </c>
      <c r="O194" s="37">
        <v>46168</v>
      </c>
    </row>
    <row r="195" spans="1:15" ht="23.5" thickBot="1">
      <c r="A195" s="144"/>
      <c r="B195" s="40"/>
      <c r="C195" s="37">
        <v>46148</v>
      </c>
      <c r="D195" s="38">
        <v>0.65555555555555556</v>
      </c>
      <c r="E195" s="36" t="s">
        <v>1415</v>
      </c>
      <c r="F195" s="40"/>
      <c r="G195" s="37">
        <v>46210</v>
      </c>
      <c r="H195" s="38">
        <v>0.51041666666666663</v>
      </c>
      <c r="I195" s="40" t="s">
        <v>718</v>
      </c>
      <c r="J195" s="36" t="s">
        <v>322</v>
      </c>
      <c r="K195" s="39" t="s">
        <v>67</v>
      </c>
      <c r="L195" s="36">
        <v>500</v>
      </c>
      <c r="M195" s="36">
        <v>20</v>
      </c>
      <c r="N195" s="145">
        <v>13150000</v>
      </c>
      <c r="O195" s="37">
        <v>46168</v>
      </c>
    </row>
    <row r="196" spans="1:15" ht="13.5" thickBot="1">
      <c r="A196" s="144"/>
      <c r="B196" s="40"/>
      <c r="C196" s="37">
        <v>46148</v>
      </c>
      <c r="D196" s="38">
        <v>0.65555555555555556</v>
      </c>
      <c r="E196" s="36" t="s">
        <v>1415</v>
      </c>
      <c r="F196" s="40"/>
      <c r="G196" s="37">
        <v>46210</v>
      </c>
      <c r="H196" s="38">
        <v>0.51041666666666663</v>
      </c>
      <c r="I196" s="40" t="s">
        <v>718</v>
      </c>
      <c r="J196" s="36" t="s">
        <v>322</v>
      </c>
      <c r="K196" s="39" t="s">
        <v>150</v>
      </c>
      <c r="L196" s="36">
        <v>200</v>
      </c>
      <c r="M196" s="36">
        <v>8</v>
      </c>
      <c r="N196" s="145">
        <v>5850000</v>
      </c>
      <c r="O196" s="37">
        <v>46168</v>
      </c>
    </row>
    <row r="197" spans="1:15" ht="23.5" thickBot="1">
      <c r="A197" s="144"/>
      <c r="B197" s="40"/>
      <c r="C197" s="37">
        <v>46148</v>
      </c>
      <c r="D197" s="38">
        <v>0.65555555555555556</v>
      </c>
      <c r="E197" s="36" t="s">
        <v>1415</v>
      </c>
      <c r="F197" s="40"/>
      <c r="G197" s="37">
        <v>46210</v>
      </c>
      <c r="H197" s="38">
        <v>0.51041666666666663</v>
      </c>
      <c r="I197" s="40" t="s">
        <v>718</v>
      </c>
      <c r="J197" s="36" t="s">
        <v>322</v>
      </c>
      <c r="K197" s="39" t="s">
        <v>712</v>
      </c>
      <c r="L197" s="36">
        <v>200</v>
      </c>
      <c r="M197" s="36">
        <v>8</v>
      </c>
      <c r="N197" s="145">
        <v>13600000</v>
      </c>
      <c r="O197" s="37">
        <v>46168</v>
      </c>
    </row>
    <row r="198" spans="1:15" ht="23.5" thickBot="1">
      <c r="A198" s="144"/>
      <c r="B198" s="40"/>
      <c r="C198" s="37">
        <v>46148</v>
      </c>
      <c r="D198" s="38">
        <v>0.65555555555555556</v>
      </c>
      <c r="E198" s="36" t="s">
        <v>1415</v>
      </c>
      <c r="F198" s="40"/>
      <c r="G198" s="37">
        <v>46210</v>
      </c>
      <c r="H198" s="38">
        <v>0.51041666666666663</v>
      </c>
      <c r="I198" s="40" t="s">
        <v>718</v>
      </c>
      <c r="J198" s="36" t="s">
        <v>322</v>
      </c>
      <c r="K198" s="39" t="s">
        <v>721</v>
      </c>
      <c r="L198" s="36">
        <v>300</v>
      </c>
      <c r="M198" s="36">
        <v>12</v>
      </c>
      <c r="N198" s="145">
        <v>4800000</v>
      </c>
      <c r="O198" s="37">
        <v>46168</v>
      </c>
    </row>
    <row r="199" spans="1:15" ht="23.5" thickBot="1">
      <c r="A199" s="144"/>
      <c r="B199" s="36">
        <v>5504612323</v>
      </c>
      <c r="C199" s="37">
        <v>46210</v>
      </c>
      <c r="D199" s="38">
        <v>0.60416666666666663</v>
      </c>
      <c r="E199" s="36" t="s">
        <v>1416</v>
      </c>
      <c r="F199" s="40"/>
      <c r="G199" s="37">
        <v>46210</v>
      </c>
      <c r="H199" s="38">
        <v>0.63124999999999998</v>
      </c>
      <c r="I199" s="40" t="s">
        <v>17</v>
      </c>
      <c r="J199" s="36" t="s">
        <v>35</v>
      </c>
      <c r="K199" s="39" t="s">
        <v>713</v>
      </c>
      <c r="L199" s="36">
        <v>100</v>
      </c>
      <c r="M199" s="36">
        <v>4</v>
      </c>
      <c r="N199" s="145">
        <v>5500000</v>
      </c>
      <c r="O199" s="37">
        <v>46149</v>
      </c>
    </row>
    <row r="200" spans="1:15" ht="13.5" thickBot="1">
      <c r="A200" s="144"/>
      <c r="B200" s="40"/>
      <c r="C200" s="37">
        <v>46210</v>
      </c>
      <c r="D200" s="38">
        <v>0.55555555555555558</v>
      </c>
      <c r="E200" s="36" t="s">
        <v>1417</v>
      </c>
      <c r="F200" s="40"/>
      <c r="G200" s="37">
        <v>46210</v>
      </c>
      <c r="H200" s="38">
        <v>0.66666666666666663</v>
      </c>
      <c r="I200" s="40" t="s">
        <v>18</v>
      </c>
      <c r="J200" s="36" t="s">
        <v>407</v>
      </c>
      <c r="K200" s="39" t="s">
        <v>846</v>
      </c>
      <c r="L200" s="36">
        <v>100</v>
      </c>
      <c r="M200" s="36">
        <v>4</v>
      </c>
      <c r="N200" s="145">
        <v>16800000</v>
      </c>
      <c r="O200" s="37">
        <v>46151</v>
      </c>
    </row>
    <row r="201" spans="1:15" ht="23.5" thickBot="1">
      <c r="A201" s="144"/>
      <c r="B201" s="40"/>
      <c r="C201" s="37">
        <v>46210</v>
      </c>
      <c r="D201" s="38">
        <v>0.55555555555555558</v>
      </c>
      <c r="E201" s="36" t="s">
        <v>1417</v>
      </c>
      <c r="F201" s="40"/>
      <c r="G201" s="37">
        <v>46210</v>
      </c>
      <c r="H201" s="38">
        <v>0.66666666666666663</v>
      </c>
      <c r="I201" s="40" t="s">
        <v>18</v>
      </c>
      <c r="J201" s="36" t="s">
        <v>407</v>
      </c>
      <c r="K201" s="39" t="s">
        <v>717</v>
      </c>
      <c r="L201" s="36">
        <v>50</v>
      </c>
      <c r="M201" s="36">
        <v>2</v>
      </c>
      <c r="N201" s="145">
        <v>9500000</v>
      </c>
      <c r="O201" s="37">
        <v>46151</v>
      </c>
    </row>
    <row r="202" spans="1:15" ht="13.5" thickBot="1">
      <c r="A202" s="144"/>
      <c r="B202" s="40"/>
      <c r="C202" s="37">
        <v>46210</v>
      </c>
      <c r="D202" s="38">
        <v>0.55555555555555558</v>
      </c>
      <c r="E202" s="36" t="s">
        <v>1417</v>
      </c>
      <c r="F202" s="40"/>
      <c r="G202" s="37">
        <v>46210</v>
      </c>
      <c r="H202" s="38">
        <v>0.66666666666666663</v>
      </c>
      <c r="I202" s="40" t="s">
        <v>18</v>
      </c>
      <c r="J202" s="36" t="s">
        <v>407</v>
      </c>
      <c r="K202" s="39" t="s">
        <v>756</v>
      </c>
      <c r="L202" s="36">
        <v>50</v>
      </c>
      <c r="M202" s="36">
        <v>2</v>
      </c>
      <c r="N202" s="145">
        <v>7250000</v>
      </c>
      <c r="O202" s="37">
        <v>46151</v>
      </c>
    </row>
    <row r="203" spans="1:15" ht="23.5" thickBot="1">
      <c r="A203" s="144"/>
      <c r="B203" s="40"/>
      <c r="C203" s="37">
        <v>46210</v>
      </c>
      <c r="D203" s="38">
        <v>0.55555555555555558</v>
      </c>
      <c r="E203" s="36" t="s">
        <v>1417</v>
      </c>
      <c r="F203" s="40"/>
      <c r="G203" s="37">
        <v>46210</v>
      </c>
      <c r="H203" s="38">
        <v>0.66666666666666663</v>
      </c>
      <c r="I203" s="40" t="s">
        <v>18</v>
      </c>
      <c r="J203" s="36" t="s">
        <v>407</v>
      </c>
      <c r="K203" s="39" t="s">
        <v>721</v>
      </c>
      <c r="L203" s="36">
        <v>50</v>
      </c>
      <c r="M203" s="36">
        <v>2</v>
      </c>
      <c r="N203" s="145">
        <v>790000</v>
      </c>
      <c r="O203" s="37">
        <v>46151</v>
      </c>
    </row>
    <row r="204" spans="1:15" ht="23.5" thickBot="1">
      <c r="A204" s="209" t="s">
        <v>676</v>
      </c>
      <c r="B204" s="62"/>
      <c r="C204" s="63">
        <v>46210</v>
      </c>
      <c r="D204" s="64">
        <v>0.67638888888888893</v>
      </c>
      <c r="E204" s="65" t="s">
        <v>1418</v>
      </c>
      <c r="F204" s="62"/>
      <c r="G204" s="63">
        <v>46210</v>
      </c>
      <c r="H204" s="64">
        <v>0.19027777777777777</v>
      </c>
      <c r="I204" s="62" t="s">
        <v>15</v>
      </c>
      <c r="J204" s="65" t="s">
        <v>35</v>
      </c>
      <c r="K204" s="69" t="s">
        <v>186</v>
      </c>
      <c r="L204" s="65">
        <v>3</v>
      </c>
      <c r="M204" s="65">
        <v>0</v>
      </c>
      <c r="N204" s="210">
        <v>315000</v>
      </c>
      <c r="O204" s="63">
        <v>46149</v>
      </c>
    </row>
    <row r="205" spans="1:15" ht="13.5" thickBot="1">
      <c r="A205" s="209" t="s">
        <v>676</v>
      </c>
      <c r="B205" s="62"/>
      <c r="C205" s="63">
        <v>46150</v>
      </c>
      <c r="D205" s="64">
        <v>0.61111111111111116</v>
      </c>
      <c r="E205" s="65" t="s">
        <v>1419</v>
      </c>
      <c r="F205" s="62"/>
      <c r="G205" s="63">
        <v>46150</v>
      </c>
      <c r="H205" s="64">
        <v>0.30972222222222223</v>
      </c>
      <c r="I205" s="62" t="s">
        <v>430</v>
      </c>
      <c r="J205" s="65" t="s">
        <v>322</v>
      </c>
      <c r="K205" s="69" t="s">
        <v>1165</v>
      </c>
      <c r="L205" s="65">
        <v>20</v>
      </c>
      <c r="M205" s="65">
        <v>1</v>
      </c>
      <c r="N205" s="210">
        <v>1440000</v>
      </c>
      <c r="O205" s="63">
        <v>46150</v>
      </c>
    </row>
    <row r="206" spans="1:15" ht="25.5" thickBot="1">
      <c r="A206" s="144"/>
      <c r="B206" s="40"/>
      <c r="C206" s="37">
        <v>46150</v>
      </c>
      <c r="D206" s="38">
        <v>0.40833333333333333</v>
      </c>
      <c r="E206" s="36" t="s">
        <v>1420</v>
      </c>
      <c r="F206" s="40"/>
      <c r="G206" s="37">
        <v>46150</v>
      </c>
      <c r="H206" s="38">
        <v>0.43055555555555558</v>
      </c>
      <c r="I206" s="40" t="s">
        <v>809</v>
      </c>
      <c r="J206" s="36" t="s">
        <v>762</v>
      </c>
      <c r="K206" s="39" t="s">
        <v>712</v>
      </c>
      <c r="L206" s="36">
        <v>25</v>
      </c>
      <c r="M206" s="36">
        <v>1</v>
      </c>
      <c r="N206" s="145">
        <v>5250000</v>
      </c>
      <c r="O206" s="37">
        <v>46150</v>
      </c>
    </row>
    <row r="207" spans="1:15" ht="23.5" thickBot="1">
      <c r="A207" s="209" t="s">
        <v>676</v>
      </c>
      <c r="B207" s="62"/>
      <c r="C207" s="63">
        <v>46150</v>
      </c>
      <c r="D207" s="64">
        <v>0.37569444444444444</v>
      </c>
      <c r="E207" s="65" t="s">
        <v>1421</v>
      </c>
      <c r="F207" s="62"/>
      <c r="G207" s="63">
        <v>46150</v>
      </c>
      <c r="H207" s="64">
        <v>0.43402777777777779</v>
      </c>
      <c r="I207" s="62" t="s">
        <v>15</v>
      </c>
      <c r="J207" s="65" t="s">
        <v>35</v>
      </c>
      <c r="K207" s="69" t="s">
        <v>1422</v>
      </c>
      <c r="L207" s="65">
        <v>15</v>
      </c>
      <c r="M207" s="65">
        <v>1</v>
      </c>
      <c r="N207" s="210">
        <v>930000</v>
      </c>
      <c r="O207" s="63">
        <v>46150</v>
      </c>
    </row>
    <row r="208" spans="1:15" ht="23.5" thickBot="1">
      <c r="A208" s="209" t="s">
        <v>676</v>
      </c>
      <c r="B208" s="62"/>
      <c r="C208" s="63">
        <v>46150</v>
      </c>
      <c r="D208" s="64">
        <v>0.37569444444444444</v>
      </c>
      <c r="E208" s="65" t="s">
        <v>1421</v>
      </c>
      <c r="F208" s="62"/>
      <c r="G208" s="63">
        <v>46150</v>
      </c>
      <c r="H208" s="64">
        <v>0.43402777777777779</v>
      </c>
      <c r="I208" s="62" t="s">
        <v>15</v>
      </c>
      <c r="J208" s="65" t="s">
        <v>35</v>
      </c>
      <c r="K208" s="69" t="s">
        <v>1165</v>
      </c>
      <c r="L208" s="65">
        <v>5</v>
      </c>
      <c r="M208" s="65">
        <v>0</v>
      </c>
      <c r="N208" s="210">
        <v>360000</v>
      </c>
      <c r="O208" s="63">
        <v>46150</v>
      </c>
    </row>
    <row r="209" spans="1:15" ht="23.5" thickBot="1">
      <c r="A209" s="144"/>
      <c r="B209" s="36">
        <v>1417954</v>
      </c>
      <c r="C209" s="37">
        <v>46210</v>
      </c>
      <c r="D209" s="38">
        <v>0.73124999999999996</v>
      </c>
      <c r="E209" s="36" t="s">
        <v>1423</v>
      </c>
      <c r="F209" s="40"/>
      <c r="G209" s="37">
        <v>46150</v>
      </c>
      <c r="H209" s="38">
        <v>0.43680555555555556</v>
      </c>
      <c r="I209" s="40" t="s">
        <v>794</v>
      </c>
      <c r="J209" s="36" t="s">
        <v>97</v>
      </c>
      <c r="K209" s="39" t="s">
        <v>712</v>
      </c>
      <c r="L209" s="36">
        <v>50</v>
      </c>
      <c r="M209" s="36">
        <v>2</v>
      </c>
      <c r="N209" s="145">
        <v>2593000</v>
      </c>
      <c r="O209" s="37">
        <v>46153</v>
      </c>
    </row>
    <row r="210" spans="1:15" ht="23.5" thickBot="1">
      <c r="A210" s="144"/>
      <c r="B210" s="36">
        <v>1417956</v>
      </c>
      <c r="C210" s="37">
        <v>46210</v>
      </c>
      <c r="D210" s="38">
        <v>0.73124999999999996</v>
      </c>
      <c r="E210" s="36" t="s">
        <v>1424</v>
      </c>
      <c r="F210" s="40"/>
      <c r="G210" s="37">
        <v>46150</v>
      </c>
      <c r="H210" s="38">
        <v>0.43680555555555556</v>
      </c>
      <c r="I210" s="40" t="s">
        <v>794</v>
      </c>
      <c r="J210" s="36" t="s">
        <v>97</v>
      </c>
      <c r="K210" s="39" t="s">
        <v>712</v>
      </c>
      <c r="L210" s="36">
        <v>100</v>
      </c>
      <c r="M210" s="36">
        <v>4</v>
      </c>
      <c r="N210" s="145">
        <v>5186000</v>
      </c>
      <c r="O210" s="37">
        <v>46153</v>
      </c>
    </row>
    <row r="211" spans="1:15" ht="23.5" thickBot="1">
      <c r="A211" s="144"/>
      <c r="B211" s="40"/>
      <c r="C211" s="37">
        <v>46150</v>
      </c>
      <c r="D211" s="38">
        <v>0.42777777777777776</v>
      </c>
      <c r="E211" s="36" t="s">
        <v>1425</v>
      </c>
      <c r="F211" s="40"/>
      <c r="G211" s="37">
        <v>46150</v>
      </c>
      <c r="H211" s="38">
        <v>0.4548611111111111</v>
      </c>
      <c r="I211" s="40" t="s">
        <v>430</v>
      </c>
      <c r="J211" s="36" t="s">
        <v>322</v>
      </c>
      <c r="K211" s="39" t="s">
        <v>186</v>
      </c>
      <c r="L211" s="36">
        <v>40</v>
      </c>
      <c r="M211" s="36">
        <v>2</v>
      </c>
      <c r="N211" s="145">
        <v>4080000</v>
      </c>
      <c r="O211" s="37">
        <v>46150</v>
      </c>
    </row>
    <row r="212" spans="1:15" ht="23.5" thickBot="1">
      <c r="A212" s="144"/>
      <c r="B212" s="40"/>
      <c r="C212" s="37">
        <v>46150</v>
      </c>
      <c r="D212" s="38">
        <v>0.42777777777777776</v>
      </c>
      <c r="E212" s="36" t="s">
        <v>1425</v>
      </c>
      <c r="F212" s="40"/>
      <c r="G212" s="37">
        <v>46150</v>
      </c>
      <c r="H212" s="38">
        <v>0.4548611111111111</v>
      </c>
      <c r="I212" s="40" t="s">
        <v>430</v>
      </c>
      <c r="J212" s="36" t="s">
        <v>322</v>
      </c>
      <c r="K212" s="39" t="s">
        <v>163</v>
      </c>
      <c r="L212" s="36">
        <v>22.5</v>
      </c>
      <c r="M212" s="36">
        <v>1</v>
      </c>
      <c r="N212" s="145">
        <v>11677500</v>
      </c>
      <c r="O212" s="37">
        <v>46150</v>
      </c>
    </row>
    <row r="213" spans="1:15" ht="23.5" thickBot="1">
      <c r="A213" s="144"/>
      <c r="B213" s="40"/>
      <c r="C213" s="37">
        <v>46150</v>
      </c>
      <c r="D213" s="38">
        <v>0.42777777777777776</v>
      </c>
      <c r="E213" s="36" t="s">
        <v>1425</v>
      </c>
      <c r="F213" s="40"/>
      <c r="G213" s="37">
        <v>46150</v>
      </c>
      <c r="H213" s="38">
        <v>0.4548611111111111</v>
      </c>
      <c r="I213" s="40" t="s">
        <v>430</v>
      </c>
      <c r="J213" s="36" t="s">
        <v>322</v>
      </c>
      <c r="K213" s="39" t="s">
        <v>1344</v>
      </c>
      <c r="L213" s="36">
        <v>23</v>
      </c>
      <c r="M213" s="36">
        <v>1</v>
      </c>
      <c r="N213" s="145">
        <v>5175000</v>
      </c>
      <c r="O213" s="37">
        <v>46150</v>
      </c>
    </row>
    <row r="214" spans="1:15" ht="23.5" thickBot="1">
      <c r="A214" s="144"/>
      <c r="B214" s="40"/>
      <c r="C214" s="37">
        <v>46150</v>
      </c>
      <c r="D214" s="38">
        <v>0.42777777777777776</v>
      </c>
      <c r="E214" s="36" t="s">
        <v>1425</v>
      </c>
      <c r="F214" s="40"/>
      <c r="G214" s="37">
        <v>46150</v>
      </c>
      <c r="H214" s="38">
        <v>0.4548611111111111</v>
      </c>
      <c r="I214" s="40" t="s">
        <v>430</v>
      </c>
      <c r="J214" s="36" t="s">
        <v>322</v>
      </c>
      <c r="K214" s="39" t="s">
        <v>726</v>
      </c>
      <c r="L214" s="36">
        <v>40</v>
      </c>
      <c r="M214" s="36">
        <v>2</v>
      </c>
      <c r="N214" s="145">
        <v>1600000</v>
      </c>
      <c r="O214" s="37">
        <v>46150</v>
      </c>
    </row>
    <row r="215" spans="1:15" ht="23.5" thickBot="1">
      <c r="A215" s="144"/>
      <c r="B215" s="40"/>
      <c r="C215" s="37">
        <v>46150</v>
      </c>
      <c r="D215" s="38">
        <v>0.42777777777777776</v>
      </c>
      <c r="E215" s="36" t="s">
        <v>1426</v>
      </c>
      <c r="F215" s="40"/>
      <c r="G215" s="37">
        <v>46150</v>
      </c>
      <c r="H215" s="38">
        <v>0.4548611111111111</v>
      </c>
      <c r="I215" s="40" t="s">
        <v>430</v>
      </c>
      <c r="J215" s="36" t="s">
        <v>322</v>
      </c>
      <c r="K215" s="39" t="s">
        <v>1344</v>
      </c>
      <c r="L215" s="36">
        <v>7</v>
      </c>
      <c r="M215" s="36">
        <v>0</v>
      </c>
      <c r="N215" s="145">
        <v>1575000</v>
      </c>
      <c r="O215" s="37">
        <v>46153</v>
      </c>
    </row>
    <row r="216" spans="1:15" ht="23.5" thickBot="1">
      <c r="A216" s="144"/>
      <c r="B216" s="40"/>
      <c r="C216" s="37">
        <v>46150</v>
      </c>
      <c r="D216" s="38">
        <v>0.42777777777777776</v>
      </c>
      <c r="E216" s="36" t="s">
        <v>1427</v>
      </c>
      <c r="F216" s="40"/>
      <c r="G216" s="37">
        <v>46150</v>
      </c>
      <c r="H216" s="38">
        <v>0.4548611111111111</v>
      </c>
      <c r="I216" s="40" t="s">
        <v>430</v>
      </c>
      <c r="J216" s="36" t="s">
        <v>322</v>
      </c>
      <c r="K216" s="39" t="s">
        <v>722</v>
      </c>
      <c r="L216" s="36">
        <v>17.25</v>
      </c>
      <c r="M216" s="36">
        <v>1</v>
      </c>
      <c r="N216" s="36">
        <v>0</v>
      </c>
      <c r="O216" s="37">
        <v>46150</v>
      </c>
    </row>
    <row r="217" spans="1:15" ht="23.5" thickBot="1">
      <c r="A217" s="144"/>
      <c r="B217" s="40"/>
      <c r="C217" s="37">
        <v>46150</v>
      </c>
      <c r="D217" s="38">
        <v>0.42777777777777776</v>
      </c>
      <c r="E217" s="36" t="s">
        <v>1428</v>
      </c>
      <c r="F217" s="40"/>
      <c r="G217" s="37">
        <v>46150</v>
      </c>
      <c r="H217" s="38">
        <v>0.4548611111111111</v>
      </c>
      <c r="I217" s="40" t="s">
        <v>430</v>
      </c>
      <c r="J217" s="36" t="s">
        <v>322</v>
      </c>
      <c r="K217" s="39" t="s">
        <v>722</v>
      </c>
      <c r="L217" s="36">
        <v>5.25</v>
      </c>
      <c r="M217" s="36">
        <v>0</v>
      </c>
      <c r="N217" s="36">
        <v>0</v>
      </c>
      <c r="O217" s="37">
        <v>46153</v>
      </c>
    </row>
    <row r="218" spans="1:15" ht="23.5" thickBot="1">
      <c r="A218" s="144"/>
      <c r="B218" s="36" t="s">
        <v>1429</v>
      </c>
      <c r="C218" s="37">
        <v>46210</v>
      </c>
      <c r="D218" s="38">
        <v>0.68402777777777779</v>
      </c>
      <c r="E218" s="36" t="s">
        <v>1430</v>
      </c>
      <c r="F218" s="40"/>
      <c r="G218" s="37">
        <v>46150</v>
      </c>
      <c r="H218" s="38">
        <v>0.48472222222222222</v>
      </c>
      <c r="I218" s="40" t="s">
        <v>893</v>
      </c>
      <c r="J218" s="36" t="s">
        <v>322</v>
      </c>
      <c r="K218" s="39" t="s">
        <v>68</v>
      </c>
      <c r="L218" s="36">
        <v>450</v>
      </c>
      <c r="M218" s="36">
        <v>18</v>
      </c>
      <c r="N218" s="145">
        <v>25290000</v>
      </c>
      <c r="O218" s="37">
        <v>46155</v>
      </c>
    </row>
    <row r="219" spans="1:15" ht="23.5" thickBot="1">
      <c r="A219" s="144"/>
      <c r="B219" s="36" t="s">
        <v>1429</v>
      </c>
      <c r="C219" s="37">
        <v>46210</v>
      </c>
      <c r="D219" s="38">
        <v>0.68402777777777779</v>
      </c>
      <c r="E219" s="36" t="s">
        <v>1430</v>
      </c>
      <c r="F219" s="40"/>
      <c r="G219" s="37">
        <v>46150</v>
      </c>
      <c r="H219" s="38">
        <v>0.48472222222222222</v>
      </c>
      <c r="I219" s="40" t="s">
        <v>893</v>
      </c>
      <c r="J219" s="36" t="s">
        <v>322</v>
      </c>
      <c r="K219" s="39" t="s">
        <v>717</v>
      </c>
      <c r="L219" s="36">
        <v>125</v>
      </c>
      <c r="M219" s="36">
        <v>5</v>
      </c>
      <c r="N219" s="145">
        <v>25000000</v>
      </c>
      <c r="O219" s="37">
        <v>46155</v>
      </c>
    </row>
    <row r="220" spans="1:15" ht="23.5" thickBot="1">
      <c r="A220" s="144"/>
      <c r="B220" s="36" t="s">
        <v>1429</v>
      </c>
      <c r="C220" s="37">
        <v>46210</v>
      </c>
      <c r="D220" s="38">
        <v>0.68402777777777779</v>
      </c>
      <c r="E220" s="36" t="s">
        <v>1431</v>
      </c>
      <c r="F220" s="40"/>
      <c r="G220" s="37">
        <v>46150</v>
      </c>
      <c r="H220" s="38">
        <v>0.48472222222222222</v>
      </c>
      <c r="I220" s="40" t="s">
        <v>893</v>
      </c>
      <c r="J220" s="36" t="s">
        <v>322</v>
      </c>
      <c r="K220" s="39" t="s">
        <v>722</v>
      </c>
      <c r="L220" s="36" t="s">
        <v>1432</v>
      </c>
      <c r="M220" s="36">
        <v>0</v>
      </c>
      <c r="N220" s="36">
        <v>0</v>
      </c>
      <c r="O220" s="37">
        <v>46155</v>
      </c>
    </row>
    <row r="221" spans="1:15" ht="23.5" thickBot="1">
      <c r="A221" s="144"/>
      <c r="B221" s="36" t="s">
        <v>1433</v>
      </c>
      <c r="C221" s="37">
        <v>46150</v>
      </c>
      <c r="D221" s="38">
        <v>0.58402777777777781</v>
      </c>
      <c r="E221" s="36" t="s">
        <v>1434</v>
      </c>
      <c r="F221" s="40"/>
      <c r="G221" s="37">
        <v>46150</v>
      </c>
      <c r="H221" s="38">
        <v>0.60277777777777775</v>
      </c>
      <c r="I221" s="40" t="s">
        <v>125</v>
      </c>
      <c r="J221" s="36" t="s">
        <v>103</v>
      </c>
      <c r="K221" s="39" t="s">
        <v>67</v>
      </c>
      <c r="L221" s="36">
        <v>2500</v>
      </c>
      <c r="M221" s="36">
        <v>100</v>
      </c>
      <c r="N221" s="145">
        <v>65750000</v>
      </c>
      <c r="O221" s="37">
        <v>46154</v>
      </c>
    </row>
    <row r="222" spans="1:15" ht="23.5" thickBot="1">
      <c r="A222" s="144"/>
      <c r="B222" s="36" t="s">
        <v>1433</v>
      </c>
      <c r="C222" s="37">
        <v>46150</v>
      </c>
      <c r="D222" s="38">
        <v>0.58402777777777781</v>
      </c>
      <c r="E222" s="36" t="s">
        <v>1434</v>
      </c>
      <c r="F222" s="40"/>
      <c r="G222" s="37">
        <v>46150</v>
      </c>
      <c r="H222" s="38">
        <v>0.60277777777777775</v>
      </c>
      <c r="I222" s="40" t="s">
        <v>125</v>
      </c>
      <c r="J222" s="36" t="s">
        <v>103</v>
      </c>
      <c r="K222" s="39" t="s">
        <v>150</v>
      </c>
      <c r="L222" s="36">
        <v>500</v>
      </c>
      <c r="M222" s="36">
        <v>20</v>
      </c>
      <c r="N222" s="145">
        <v>9750000</v>
      </c>
      <c r="O222" s="37">
        <v>46154</v>
      </c>
    </row>
    <row r="223" spans="1:15" ht="25.5" thickBot="1">
      <c r="A223" s="144"/>
      <c r="B223" s="36">
        <v>1418689</v>
      </c>
      <c r="C223" s="37">
        <v>46150</v>
      </c>
      <c r="D223" s="38">
        <v>0.59583333333333333</v>
      </c>
      <c r="E223" s="36" t="s">
        <v>1435</v>
      </c>
      <c r="F223" s="40"/>
      <c r="G223" s="37">
        <v>46150</v>
      </c>
      <c r="H223" s="38">
        <v>0.60763888888888884</v>
      </c>
      <c r="I223" s="40" t="s">
        <v>889</v>
      </c>
      <c r="J223" s="36" t="s">
        <v>287</v>
      </c>
      <c r="K223" s="39" t="s">
        <v>163</v>
      </c>
      <c r="L223" s="36">
        <v>25</v>
      </c>
      <c r="M223" s="36">
        <v>1</v>
      </c>
      <c r="N223" s="145">
        <v>10681250</v>
      </c>
      <c r="O223" s="37">
        <v>46153</v>
      </c>
    </row>
    <row r="224" spans="1:15" ht="25.5" thickBot="1">
      <c r="A224" s="144"/>
      <c r="B224" s="36">
        <v>1418689</v>
      </c>
      <c r="C224" s="37">
        <v>46150</v>
      </c>
      <c r="D224" s="38">
        <v>0.59583333333333333</v>
      </c>
      <c r="E224" s="36" t="s">
        <v>1435</v>
      </c>
      <c r="F224" s="40"/>
      <c r="G224" s="37">
        <v>46150</v>
      </c>
      <c r="H224" s="38">
        <v>0.60763888888888884</v>
      </c>
      <c r="I224" s="40" t="s">
        <v>889</v>
      </c>
      <c r="J224" s="36" t="s">
        <v>287</v>
      </c>
      <c r="K224" s="39" t="s">
        <v>186</v>
      </c>
      <c r="L224" s="36">
        <v>40</v>
      </c>
      <c r="M224" s="36">
        <v>2</v>
      </c>
      <c r="N224" s="145">
        <v>3800000</v>
      </c>
      <c r="O224" s="37">
        <v>46153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50"/>
  <sheetViews>
    <sheetView topLeftCell="A125" workbookViewId="0">
      <selection activeCell="A5" sqref="A5:A149"/>
    </sheetView>
  </sheetViews>
  <sheetFormatPr baseColWidth="10" defaultRowHeight="13"/>
  <cols>
    <col min="1" max="1" width="17" bestFit="1" customWidth="1"/>
    <col min="2" max="2" width="21.5" bestFit="1" customWidth="1"/>
    <col min="3" max="122" width="6" bestFit="1" customWidth="1"/>
    <col min="123" max="125" width="12.3984375" bestFit="1" customWidth="1"/>
    <col min="126" max="126" width="9.59765625" bestFit="1" customWidth="1"/>
    <col min="127" max="127" width="11.09765625" bestFit="1" customWidth="1"/>
    <col min="128" max="128" width="16.8984375" bestFit="1" customWidth="1"/>
    <col min="129" max="130" width="14.59765625" bestFit="1" customWidth="1"/>
    <col min="131" max="132" width="9" bestFit="1" customWidth="1"/>
    <col min="133" max="133" width="10.3984375" bestFit="1" customWidth="1"/>
    <col min="134" max="135" width="10.69921875" bestFit="1" customWidth="1"/>
    <col min="136" max="136" width="12.296875" bestFit="1" customWidth="1"/>
    <col min="137" max="137" width="7.296875" bestFit="1" customWidth="1"/>
    <col min="138" max="138" width="15.296875" bestFit="1" customWidth="1"/>
    <col min="139" max="140" width="10.09765625" bestFit="1" customWidth="1"/>
    <col min="141" max="142" width="11.8984375" bestFit="1" customWidth="1"/>
    <col min="143" max="143" width="9.59765625" bestFit="1" customWidth="1"/>
    <col min="144" max="144" width="9.69921875" bestFit="1" customWidth="1"/>
    <col min="145" max="145" width="9.59765625" bestFit="1" customWidth="1"/>
    <col min="146" max="146" width="11.09765625" bestFit="1" customWidth="1"/>
  </cols>
  <sheetData>
    <row r="3" spans="1:2">
      <c r="A3" s="72" t="s">
        <v>0</v>
      </c>
      <c r="B3" t="s">
        <v>329</v>
      </c>
    </row>
    <row r="4" spans="1:2">
      <c r="A4" s="35" t="s">
        <v>255</v>
      </c>
      <c r="B4" s="361"/>
    </row>
    <row r="5" spans="1:2">
      <c r="A5" s="35" t="s">
        <v>768</v>
      </c>
      <c r="B5" s="361"/>
    </row>
    <row r="6" spans="1:2">
      <c r="A6" s="35" t="s">
        <v>817</v>
      </c>
      <c r="B6" s="361"/>
    </row>
    <row r="7" spans="1:2">
      <c r="A7" s="35" t="s">
        <v>839</v>
      </c>
      <c r="B7" s="361"/>
    </row>
    <row r="8" spans="1:2">
      <c r="A8" s="35" t="s">
        <v>847</v>
      </c>
      <c r="B8" s="361"/>
    </row>
    <row r="9" spans="1:2">
      <c r="A9" s="35" t="s">
        <v>867</v>
      </c>
      <c r="B9" s="361"/>
    </row>
    <row r="10" spans="1:2">
      <c r="A10" s="35" t="s">
        <v>1000</v>
      </c>
      <c r="B10" s="361"/>
    </row>
    <row r="11" spans="1:2">
      <c r="A11" s="35" t="s">
        <v>1017</v>
      </c>
      <c r="B11" s="361">
        <v>1</v>
      </c>
    </row>
    <row r="12" spans="1:2">
      <c r="A12" s="35" t="s">
        <v>1035</v>
      </c>
      <c r="B12" s="361">
        <v>1</v>
      </c>
    </row>
    <row r="13" spans="1:2">
      <c r="A13" s="35" t="s">
        <v>1118</v>
      </c>
      <c r="B13" s="361">
        <v>1</v>
      </c>
    </row>
    <row r="14" spans="1:2">
      <c r="A14" s="35" t="s">
        <v>1122</v>
      </c>
      <c r="B14" s="361">
        <v>1</v>
      </c>
    </row>
    <row r="15" spans="1:2">
      <c r="A15" s="35" t="s">
        <v>1169</v>
      </c>
      <c r="B15" s="361"/>
    </row>
    <row r="16" spans="1:2">
      <c r="A16" s="35" t="s">
        <v>1170</v>
      </c>
      <c r="B16" s="361"/>
    </row>
    <row r="17" spans="1:2">
      <c r="A17" s="35" t="s">
        <v>1173</v>
      </c>
      <c r="B17" s="361"/>
    </row>
    <row r="18" spans="1:2">
      <c r="A18" s="35" t="s">
        <v>1196</v>
      </c>
      <c r="B18" s="361">
        <v>1</v>
      </c>
    </row>
    <row r="19" spans="1:2">
      <c r="A19" s="35" t="s">
        <v>1226</v>
      </c>
      <c r="B19" s="361">
        <v>1</v>
      </c>
    </row>
    <row r="20" spans="1:2">
      <c r="A20" s="35" t="s">
        <v>1233</v>
      </c>
      <c r="B20" s="361"/>
    </row>
    <row r="21" spans="1:2">
      <c r="A21" s="35" t="s">
        <v>1237</v>
      </c>
      <c r="B21" s="361"/>
    </row>
    <row r="22" spans="1:2">
      <c r="A22" s="35" t="s">
        <v>1240</v>
      </c>
      <c r="B22" s="361"/>
    </row>
    <row r="23" spans="1:2">
      <c r="A23" s="35" t="s">
        <v>1241</v>
      </c>
      <c r="B23" s="361"/>
    </row>
    <row r="24" spans="1:2">
      <c r="A24" s="35" t="s">
        <v>1243</v>
      </c>
      <c r="B24" s="361"/>
    </row>
    <row r="25" spans="1:2">
      <c r="A25" s="35" t="s">
        <v>1245</v>
      </c>
      <c r="B25" s="361"/>
    </row>
    <row r="26" spans="1:2">
      <c r="A26" s="35" t="s">
        <v>1247</v>
      </c>
      <c r="B26" s="361"/>
    </row>
    <row r="27" spans="1:2">
      <c r="A27" s="35" t="s">
        <v>1249</v>
      </c>
      <c r="B27" s="361"/>
    </row>
    <row r="28" spans="1:2">
      <c r="A28" s="35" t="s">
        <v>1250</v>
      </c>
      <c r="B28" s="361"/>
    </row>
    <row r="29" spans="1:2">
      <c r="A29" s="35" t="s">
        <v>1253</v>
      </c>
      <c r="B29" s="361"/>
    </row>
    <row r="30" spans="1:2">
      <c r="A30" s="35" t="s">
        <v>1255</v>
      </c>
      <c r="B30" s="361"/>
    </row>
    <row r="31" spans="1:2">
      <c r="A31" s="35" t="s">
        <v>1257</v>
      </c>
      <c r="B31" s="361"/>
    </row>
    <row r="32" spans="1:2">
      <c r="A32" s="35" t="s">
        <v>1258</v>
      </c>
      <c r="B32" s="361"/>
    </row>
    <row r="33" spans="1:2">
      <c r="A33" s="35" t="s">
        <v>1259</v>
      </c>
      <c r="B33" s="361"/>
    </row>
    <row r="34" spans="1:2">
      <c r="A34" s="35" t="s">
        <v>1260</v>
      </c>
      <c r="B34" s="361"/>
    </row>
    <row r="35" spans="1:2">
      <c r="A35" s="35" t="s">
        <v>1261</v>
      </c>
      <c r="B35" s="361"/>
    </row>
    <row r="36" spans="1:2">
      <c r="A36" s="35" t="s">
        <v>1262</v>
      </c>
      <c r="B36" s="361">
        <v>1</v>
      </c>
    </row>
    <row r="37" spans="1:2">
      <c r="A37" s="35" t="s">
        <v>1265</v>
      </c>
      <c r="B37" s="361"/>
    </row>
    <row r="38" spans="1:2">
      <c r="A38" s="35" t="s">
        <v>1267</v>
      </c>
      <c r="B38" s="361"/>
    </row>
    <row r="39" spans="1:2">
      <c r="A39" s="35" t="s">
        <v>1268</v>
      </c>
      <c r="B39" s="361"/>
    </row>
    <row r="40" spans="1:2">
      <c r="A40" s="35" t="s">
        <v>1270</v>
      </c>
      <c r="B40" s="361">
        <v>1</v>
      </c>
    </row>
    <row r="41" spans="1:2">
      <c r="A41" s="35" t="s">
        <v>1273</v>
      </c>
      <c r="B41" s="361"/>
    </row>
    <row r="42" spans="1:2">
      <c r="A42" s="35" t="s">
        <v>1274</v>
      </c>
      <c r="B42" s="361"/>
    </row>
    <row r="43" spans="1:2">
      <c r="A43" s="35" t="s">
        <v>1275</v>
      </c>
      <c r="B43" s="361"/>
    </row>
    <row r="44" spans="1:2">
      <c r="A44" s="35" t="s">
        <v>1276</v>
      </c>
      <c r="B44" s="361"/>
    </row>
    <row r="45" spans="1:2">
      <c r="A45" s="35" t="s">
        <v>1278</v>
      </c>
      <c r="B45" s="361"/>
    </row>
    <row r="46" spans="1:2">
      <c r="A46" s="35" t="s">
        <v>1279</v>
      </c>
      <c r="B46" s="361"/>
    </row>
    <row r="47" spans="1:2">
      <c r="A47" s="35" t="s">
        <v>1280</v>
      </c>
      <c r="B47" s="361"/>
    </row>
    <row r="48" spans="1:2">
      <c r="A48" s="35" t="s">
        <v>1282</v>
      </c>
      <c r="B48" s="361"/>
    </row>
    <row r="49" spans="1:2">
      <c r="A49" s="35">
        <v>16615</v>
      </c>
      <c r="B49" s="361"/>
    </row>
    <row r="50" spans="1:2">
      <c r="A50" s="35" t="s">
        <v>1284</v>
      </c>
      <c r="B50" s="361"/>
    </row>
    <row r="51" spans="1:2">
      <c r="A51" s="35" t="s">
        <v>1288</v>
      </c>
      <c r="B51" s="361"/>
    </row>
    <row r="52" spans="1:2">
      <c r="A52" s="35" t="s">
        <v>1289</v>
      </c>
      <c r="B52" s="361"/>
    </row>
    <row r="53" spans="1:2">
      <c r="A53" s="35" t="s">
        <v>1290</v>
      </c>
      <c r="B53" s="361"/>
    </row>
    <row r="54" spans="1:2">
      <c r="A54" s="35" t="s">
        <v>1291</v>
      </c>
      <c r="B54" s="361"/>
    </row>
    <row r="55" spans="1:2">
      <c r="A55" s="35" t="s">
        <v>1292</v>
      </c>
      <c r="B55" s="361"/>
    </row>
    <row r="56" spans="1:2">
      <c r="A56" s="35" t="s">
        <v>1293</v>
      </c>
      <c r="B56" s="361"/>
    </row>
    <row r="57" spans="1:2">
      <c r="A57" s="35" t="s">
        <v>1295</v>
      </c>
      <c r="B57" s="361"/>
    </row>
    <row r="58" spans="1:2">
      <c r="A58" s="35" t="s">
        <v>1296</v>
      </c>
      <c r="B58" s="361"/>
    </row>
    <row r="59" spans="1:2">
      <c r="A59" s="35" t="s">
        <v>1297</v>
      </c>
      <c r="B59" s="361">
        <v>1</v>
      </c>
    </row>
    <row r="60" spans="1:2">
      <c r="A60" s="35" t="s">
        <v>1299</v>
      </c>
      <c r="B60" s="361"/>
    </row>
    <row r="61" spans="1:2">
      <c r="A61" s="35" t="s">
        <v>1300</v>
      </c>
      <c r="B61" s="361"/>
    </row>
    <row r="62" spans="1:2">
      <c r="A62" s="35" t="s">
        <v>1301</v>
      </c>
      <c r="B62" s="361"/>
    </row>
    <row r="63" spans="1:2">
      <c r="A63" s="35" t="s">
        <v>1302</v>
      </c>
      <c r="B63" s="361"/>
    </row>
    <row r="64" spans="1:2">
      <c r="A64" s="35" t="s">
        <v>1304</v>
      </c>
      <c r="B64" s="361"/>
    </row>
    <row r="65" spans="1:2">
      <c r="A65" s="35" t="s">
        <v>1305</v>
      </c>
      <c r="B65" s="361"/>
    </row>
    <row r="66" spans="1:2">
      <c r="A66" s="35" t="s">
        <v>1307</v>
      </c>
      <c r="B66" s="361"/>
    </row>
    <row r="67" spans="1:2">
      <c r="A67" s="35" t="s">
        <v>1308</v>
      </c>
      <c r="B67" s="361"/>
    </row>
    <row r="68" spans="1:2">
      <c r="A68" s="35" t="s">
        <v>1309</v>
      </c>
      <c r="B68" s="361"/>
    </row>
    <row r="69" spans="1:2">
      <c r="A69" s="35" t="s">
        <v>1310</v>
      </c>
      <c r="B69" s="361"/>
    </row>
    <row r="70" spans="1:2">
      <c r="A70" s="35" t="s">
        <v>1311</v>
      </c>
      <c r="B70" s="361"/>
    </row>
    <row r="71" spans="1:2">
      <c r="A71" s="35" t="s">
        <v>1313</v>
      </c>
      <c r="B71" s="361"/>
    </row>
    <row r="72" spans="1:2">
      <c r="A72" s="35" t="s">
        <v>1315</v>
      </c>
      <c r="B72" s="361"/>
    </row>
    <row r="73" spans="1:2">
      <c r="A73" s="35" t="s">
        <v>1317</v>
      </c>
      <c r="B73" s="361"/>
    </row>
    <row r="74" spans="1:2">
      <c r="A74" s="35" t="s">
        <v>1320</v>
      </c>
      <c r="B74" s="361"/>
    </row>
    <row r="75" spans="1:2">
      <c r="A75" s="35" t="s">
        <v>1322</v>
      </c>
      <c r="B75" s="361"/>
    </row>
    <row r="76" spans="1:2">
      <c r="A76" s="35" t="s">
        <v>1324</v>
      </c>
      <c r="B76" s="361"/>
    </row>
    <row r="77" spans="1:2">
      <c r="A77" s="35" t="s">
        <v>1325</v>
      </c>
      <c r="B77" s="361"/>
    </row>
    <row r="78" spans="1:2">
      <c r="A78" s="35" t="s">
        <v>1326</v>
      </c>
      <c r="B78" s="361"/>
    </row>
    <row r="79" spans="1:2">
      <c r="A79" s="35" t="s">
        <v>1328</v>
      </c>
      <c r="B79" s="361"/>
    </row>
    <row r="80" spans="1:2">
      <c r="A80" s="35" t="s">
        <v>1330</v>
      </c>
      <c r="B80" s="361"/>
    </row>
    <row r="81" spans="1:2">
      <c r="A81" s="35" t="s">
        <v>1331</v>
      </c>
      <c r="B81" s="361"/>
    </row>
    <row r="82" spans="1:2">
      <c r="A82" s="35" t="s">
        <v>1333</v>
      </c>
      <c r="B82" s="361"/>
    </row>
    <row r="83" spans="1:2">
      <c r="A83" s="35" t="s">
        <v>1334</v>
      </c>
      <c r="B83" s="361">
        <v>1</v>
      </c>
    </row>
    <row r="84" spans="1:2">
      <c r="A84" s="35" t="s">
        <v>1337</v>
      </c>
      <c r="B84" s="361"/>
    </row>
    <row r="85" spans="1:2">
      <c r="A85" s="35" t="s">
        <v>1338</v>
      </c>
      <c r="B85" s="361"/>
    </row>
    <row r="86" spans="1:2">
      <c r="A86" s="35" t="s">
        <v>1341</v>
      </c>
      <c r="B86" s="361"/>
    </row>
    <row r="87" spans="1:2">
      <c r="A87" s="35" t="s">
        <v>1345</v>
      </c>
      <c r="B87" s="361"/>
    </row>
    <row r="88" spans="1:2">
      <c r="A88" s="35" t="s">
        <v>1346</v>
      </c>
      <c r="B88" s="361"/>
    </row>
    <row r="89" spans="1:2">
      <c r="A89" s="35" t="s">
        <v>1347</v>
      </c>
      <c r="B89" s="361"/>
    </row>
    <row r="90" spans="1:2">
      <c r="A90" s="35" t="s">
        <v>1349</v>
      </c>
      <c r="B90" s="361"/>
    </row>
    <row r="91" spans="1:2">
      <c r="A91" s="35" t="s">
        <v>1351</v>
      </c>
      <c r="B91" s="361"/>
    </row>
    <row r="92" spans="1:2">
      <c r="A92" s="35" t="s">
        <v>1360</v>
      </c>
      <c r="B92" s="361"/>
    </row>
    <row r="93" spans="1:2">
      <c r="A93" s="35" t="s">
        <v>1361</v>
      </c>
      <c r="B93" s="361"/>
    </row>
    <row r="94" spans="1:2">
      <c r="A94" s="35" t="s">
        <v>1363</v>
      </c>
      <c r="B94" s="361"/>
    </row>
    <row r="95" spans="1:2">
      <c r="A95" s="35" t="s">
        <v>1365</v>
      </c>
      <c r="B95" s="361"/>
    </row>
    <row r="96" spans="1:2">
      <c r="A96" s="35" t="s">
        <v>1367</v>
      </c>
      <c r="B96" s="361"/>
    </row>
    <row r="97" spans="1:2">
      <c r="A97" s="35" t="s">
        <v>1368</v>
      </c>
      <c r="B97" s="361"/>
    </row>
    <row r="98" spans="1:2">
      <c r="A98" s="35" t="s">
        <v>1369</v>
      </c>
      <c r="B98" s="361"/>
    </row>
    <row r="99" spans="1:2">
      <c r="A99" s="35" t="s">
        <v>1370</v>
      </c>
      <c r="B99" s="361"/>
    </row>
    <row r="100" spans="1:2">
      <c r="A100" s="35" t="s">
        <v>1371</v>
      </c>
      <c r="B100" s="361"/>
    </row>
    <row r="101" spans="1:2">
      <c r="A101" s="35" t="s">
        <v>1373</v>
      </c>
      <c r="B101" s="361"/>
    </row>
    <row r="102" spans="1:2">
      <c r="A102" s="35" t="s">
        <v>1374</v>
      </c>
      <c r="B102" s="361"/>
    </row>
    <row r="103" spans="1:2">
      <c r="A103" s="35" t="s">
        <v>1375</v>
      </c>
      <c r="B103" s="361"/>
    </row>
    <row r="104" spans="1:2">
      <c r="A104" s="35" t="s">
        <v>1377</v>
      </c>
      <c r="B104" s="361"/>
    </row>
    <row r="105" spans="1:2">
      <c r="A105" s="35" t="s">
        <v>1378</v>
      </c>
      <c r="B105" s="361"/>
    </row>
    <row r="106" spans="1:2">
      <c r="A106" s="35" t="s">
        <v>1379</v>
      </c>
      <c r="B106" s="361"/>
    </row>
    <row r="107" spans="1:2">
      <c r="A107" s="35" t="s">
        <v>1381</v>
      </c>
      <c r="B107" s="361"/>
    </row>
    <row r="108" spans="1:2">
      <c r="A108" s="35" t="s">
        <v>1383</v>
      </c>
      <c r="B108" s="361"/>
    </row>
    <row r="109" spans="1:2">
      <c r="A109" s="35" t="s">
        <v>1384</v>
      </c>
      <c r="B109" s="361"/>
    </row>
    <row r="110" spans="1:2">
      <c r="A110" s="35" t="s">
        <v>1385</v>
      </c>
      <c r="B110" s="361"/>
    </row>
    <row r="111" spans="1:2">
      <c r="A111" s="35" t="s">
        <v>1386</v>
      </c>
      <c r="B111" s="361"/>
    </row>
    <row r="112" spans="1:2">
      <c r="A112" s="35" t="s">
        <v>1387</v>
      </c>
      <c r="B112" s="361"/>
    </row>
    <row r="113" spans="1:2">
      <c r="A113" s="35" t="s">
        <v>1388</v>
      </c>
      <c r="B113" s="361"/>
    </row>
    <row r="114" spans="1:2">
      <c r="A114" s="35" t="s">
        <v>1389</v>
      </c>
      <c r="B114" s="361"/>
    </row>
    <row r="115" spans="1:2">
      <c r="A115" s="35" t="s">
        <v>1390</v>
      </c>
      <c r="B115" s="361"/>
    </row>
    <row r="116" spans="1:2">
      <c r="A116" s="35" t="s">
        <v>1391</v>
      </c>
      <c r="B116" s="361"/>
    </row>
    <row r="117" spans="1:2">
      <c r="A117" s="35" t="s">
        <v>1392</v>
      </c>
      <c r="B117" s="361"/>
    </row>
    <row r="118" spans="1:2">
      <c r="A118" s="35" t="s">
        <v>1393</v>
      </c>
      <c r="B118" s="361"/>
    </row>
    <row r="119" spans="1:2">
      <c r="A119" s="35" t="s">
        <v>1395</v>
      </c>
      <c r="B119" s="361"/>
    </row>
    <row r="120" spans="1:2">
      <c r="A120" s="35" t="s">
        <v>1396</v>
      </c>
      <c r="B120" s="361"/>
    </row>
    <row r="121" spans="1:2">
      <c r="A121" s="35" t="s">
        <v>1398</v>
      </c>
      <c r="B121" s="361"/>
    </row>
    <row r="122" spans="1:2">
      <c r="A122" s="35" t="s">
        <v>1400</v>
      </c>
      <c r="B122" s="361"/>
    </row>
    <row r="123" spans="1:2">
      <c r="A123" s="35" t="s">
        <v>1402</v>
      </c>
      <c r="B123" s="361"/>
    </row>
    <row r="124" spans="1:2">
      <c r="A124" s="35" t="s">
        <v>1404</v>
      </c>
      <c r="B124" s="361"/>
    </row>
    <row r="125" spans="1:2">
      <c r="A125" s="35" t="s">
        <v>1405</v>
      </c>
      <c r="B125" s="361"/>
    </row>
    <row r="126" spans="1:2">
      <c r="A126" s="35" t="s">
        <v>1406</v>
      </c>
      <c r="B126" s="361"/>
    </row>
    <row r="127" spans="1:2">
      <c r="A127" s="35" t="s">
        <v>1407</v>
      </c>
      <c r="B127" s="361"/>
    </row>
    <row r="128" spans="1:2">
      <c r="A128" s="35" t="s">
        <v>1409</v>
      </c>
      <c r="B128" s="361"/>
    </row>
    <row r="129" spans="1:2">
      <c r="A129" s="35" t="s">
        <v>1411</v>
      </c>
      <c r="B129" s="361"/>
    </row>
    <row r="130" spans="1:2">
      <c r="A130" s="35" t="s">
        <v>1412</v>
      </c>
      <c r="B130" s="361"/>
    </row>
    <row r="131" spans="1:2">
      <c r="A131" s="35" t="s">
        <v>1413</v>
      </c>
      <c r="B131" s="361"/>
    </row>
    <row r="132" spans="1:2">
      <c r="A132" s="35" t="s">
        <v>1414</v>
      </c>
      <c r="B132" s="361"/>
    </row>
    <row r="133" spans="1:2">
      <c r="A133" s="35" t="s">
        <v>1415</v>
      </c>
      <c r="B133" s="361"/>
    </row>
    <row r="134" spans="1:2">
      <c r="A134" s="35" t="s">
        <v>1416</v>
      </c>
      <c r="B134" s="361"/>
    </row>
    <row r="135" spans="1:2">
      <c r="A135" s="35" t="s">
        <v>1417</v>
      </c>
      <c r="B135" s="361"/>
    </row>
    <row r="136" spans="1:2">
      <c r="A136" s="35" t="s">
        <v>1418</v>
      </c>
      <c r="B136" s="361"/>
    </row>
    <row r="137" spans="1:2">
      <c r="A137" s="35" t="s">
        <v>1419</v>
      </c>
      <c r="B137" s="361"/>
    </row>
    <row r="138" spans="1:2">
      <c r="A138" s="35" t="s">
        <v>1420</v>
      </c>
      <c r="B138" s="361"/>
    </row>
    <row r="139" spans="1:2">
      <c r="A139" s="35" t="s">
        <v>1421</v>
      </c>
      <c r="B139" s="361"/>
    </row>
    <row r="140" spans="1:2">
      <c r="A140" s="35" t="s">
        <v>1423</v>
      </c>
      <c r="B140" s="361"/>
    </row>
    <row r="141" spans="1:2">
      <c r="A141" s="35" t="s">
        <v>1424</v>
      </c>
      <c r="B141" s="361"/>
    </row>
    <row r="142" spans="1:2">
      <c r="A142" s="35" t="s">
        <v>1425</v>
      </c>
      <c r="B142" s="361"/>
    </row>
    <row r="143" spans="1:2">
      <c r="A143" s="35" t="s">
        <v>1426</v>
      </c>
      <c r="B143" s="361"/>
    </row>
    <row r="144" spans="1:2">
      <c r="A144" s="35" t="s">
        <v>1427</v>
      </c>
      <c r="B144" s="361"/>
    </row>
    <row r="145" spans="1:2">
      <c r="A145" s="35" t="s">
        <v>1428</v>
      </c>
      <c r="B145" s="361"/>
    </row>
    <row r="146" spans="1:2">
      <c r="A146" s="35" t="s">
        <v>1430</v>
      </c>
      <c r="B146" s="361"/>
    </row>
    <row r="147" spans="1:2">
      <c r="A147" s="35" t="s">
        <v>1431</v>
      </c>
      <c r="B147" s="361"/>
    </row>
    <row r="148" spans="1:2">
      <c r="A148" s="35" t="s">
        <v>1434</v>
      </c>
      <c r="B148" s="361"/>
    </row>
    <row r="149" spans="1:2">
      <c r="A149" s="35" t="s">
        <v>1435</v>
      </c>
      <c r="B149" s="361"/>
    </row>
    <row r="150" spans="1:2">
      <c r="A150" s="35" t="s">
        <v>24</v>
      </c>
      <c r="B150" s="361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16ACA-BD9F-4084-B4A2-8F4583ABE878}">
  <dimension ref="A1:E2098"/>
  <sheetViews>
    <sheetView topLeftCell="A60" zoomScale="85" zoomScaleNormal="85" workbookViewId="0">
      <selection activeCell="F74" sqref="F74"/>
    </sheetView>
  </sheetViews>
  <sheetFormatPr baseColWidth="10" defaultRowHeight="13"/>
  <cols>
    <col min="1" max="1" width="58.8984375" bestFit="1" customWidth="1"/>
    <col min="2" max="2" width="20.69921875" style="138" bestFit="1" customWidth="1"/>
    <col min="3" max="4" width="17.69921875" bestFit="1" customWidth="1"/>
    <col min="5" max="5" width="15.09765625" hidden="1" customWidth="1"/>
    <col min="6" max="8" width="13.59765625" bestFit="1" customWidth="1"/>
    <col min="9" max="10" width="11.59765625" bestFit="1" customWidth="1"/>
    <col min="11" max="12" width="12.59765625" bestFit="1" customWidth="1"/>
    <col min="13" max="13" width="6.796875" bestFit="1" customWidth="1"/>
    <col min="14" max="14" width="11.59765625" bestFit="1" customWidth="1"/>
    <col min="15" max="16" width="13.59765625" bestFit="1" customWidth="1"/>
    <col min="17" max="22" width="11.59765625" bestFit="1" customWidth="1"/>
    <col min="23" max="23" width="12.59765625" bestFit="1" customWidth="1"/>
    <col min="24" max="24" width="11.59765625" bestFit="1" customWidth="1"/>
    <col min="25" max="25" width="12.59765625" bestFit="1" customWidth="1"/>
    <col min="26" max="26" width="11.59765625" bestFit="1" customWidth="1"/>
    <col min="27" max="28" width="12.59765625" bestFit="1" customWidth="1"/>
    <col min="29" max="30" width="11.59765625" bestFit="1" customWidth="1"/>
    <col min="31" max="33" width="12.59765625" bestFit="1" customWidth="1"/>
    <col min="34" max="34" width="11.59765625" bestFit="1" customWidth="1"/>
    <col min="35" max="35" width="13.59765625" bestFit="1" customWidth="1"/>
    <col min="36" max="36" width="12.59765625" bestFit="1" customWidth="1"/>
    <col min="37" max="41" width="11.59765625" bestFit="1" customWidth="1"/>
    <col min="42" max="43" width="13.59765625" bestFit="1" customWidth="1"/>
    <col min="44" max="44" width="12.59765625" bestFit="1" customWidth="1"/>
    <col min="45" max="46" width="11.59765625" bestFit="1" customWidth="1"/>
    <col min="47" max="47" width="6.796875" bestFit="1" customWidth="1"/>
    <col min="48" max="48" width="12.59765625" bestFit="1" customWidth="1"/>
    <col min="49" max="49" width="11.59765625" bestFit="1" customWidth="1"/>
    <col min="50" max="53" width="12.59765625" bestFit="1" customWidth="1"/>
    <col min="54" max="55" width="11.59765625" bestFit="1" customWidth="1"/>
    <col min="56" max="56" width="13.59765625" bestFit="1" customWidth="1"/>
    <col min="57" max="57" width="12.59765625" bestFit="1" customWidth="1"/>
    <col min="58" max="59" width="11.59765625" bestFit="1" customWidth="1"/>
    <col min="60" max="63" width="12.59765625" bestFit="1" customWidth="1"/>
    <col min="64" max="64" width="11.59765625" bestFit="1" customWidth="1"/>
    <col min="65" max="65" width="10.09765625" bestFit="1" customWidth="1"/>
    <col min="66" max="67" width="11.59765625" bestFit="1" customWidth="1"/>
    <col min="68" max="68" width="12.59765625" bestFit="1" customWidth="1"/>
    <col min="69" max="69" width="11.59765625" bestFit="1" customWidth="1"/>
    <col min="70" max="70" width="12.59765625" bestFit="1" customWidth="1"/>
    <col min="71" max="72" width="11.59765625" bestFit="1" customWidth="1"/>
    <col min="73" max="73" width="12.59765625" bestFit="1" customWidth="1"/>
    <col min="74" max="76" width="11.59765625" bestFit="1" customWidth="1"/>
    <col min="77" max="77" width="12.59765625" bestFit="1" customWidth="1"/>
    <col min="78" max="78" width="6.796875" bestFit="1" customWidth="1"/>
    <col min="79" max="79" width="11.59765625" bestFit="1" customWidth="1"/>
    <col min="80" max="80" width="10.09765625" bestFit="1" customWidth="1"/>
    <col min="81" max="82" width="12.59765625" bestFit="1" customWidth="1"/>
    <col min="83" max="84" width="11.59765625" bestFit="1" customWidth="1"/>
    <col min="85" max="86" width="12.59765625" bestFit="1" customWidth="1"/>
    <col min="87" max="87" width="6.796875" bestFit="1" customWidth="1"/>
    <col min="88" max="88" width="11.59765625" bestFit="1" customWidth="1"/>
    <col min="89" max="90" width="12.59765625" bestFit="1" customWidth="1"/>
    <col min="91" max="91" width="13.59765625" bestFit="1" customWidth="1"/>
    <col min="92" max="92" width="12.59765625" bestFit="1" customWidth="1"/>
    <col min="93" max="93" width="13.59765625" bestFit="1" customWidth="1"/>
    <col min="94" max="96" width="12.59765625" bestFit="1" customWidth="1"/>
    <col min="97" max="97" width="13.59765625" bestFit="1" customWidth="1"/>
    <col min="98" max="98" width="10.09765625" bestFit="1" customWidth="1"/>
    <col min="99" max="100" width="11.59765625" bestFit="1" customWidth="1"/>
    <col min="101" max="101" width="12.59765625" bestFit="1" customWidth="1"/>
    <col min="102" max="102" width="11.59765625" bestFit="1" customWidth="1"/>
    <col min="103" max="103" width="12.59765625" bestFit="1" customWidth="1"/>
    <col min="104" max="105" width="11.59765625" bestFit="1" customWidth="1"/>
    <col min="106" max="106" width="12.59765625" bestFit="1" customWidth="1"/>
    <col min="107" max="108" width="11.59765625" bestFit="1" customWidth="1"/>
    <col min="109" max="109" width="12.59765625" bestFit="1" customWidth="1"/>
    <col min="110" max="110" width="11.59765625" bestFit="1" customWidth="1"/>
    <col min="111" max="111" width="12.59765625" bestFit="1" customWidth="1"/>
    <col min="112" max="112" width="10.09765625" bestFit="1" customWidth="1"/>
    <col min="113" max="113" width="12.59765625" bestFit="1" customWidth="1"/>
    <col min="114" max="114" width="13.59765625" bestFit="1" customWidth="1"/>
    <col min="115" max="118" width="12.59765625" bestFit="1" customWidth="1"/>
    <col min="119" max="119" width="13.59765625" bestFit="1" customWidth="1"/>
    <col min="120" max="122" width="12.59765625" bestFit="1" customWidth="1"/>
    <col min="123" max="126" width="11.59765625" bestFit="1" customWidth="1"/>
    <col min="127" max="127" width="12.59765625" bestFit="1" customWidth="1"/>
    <col min="128" max="128" width="11.59765625" bestFit="1" customWidth="1"/>
    <col min="129" max="129" width="10.09765625" bestFit="1" customWidth="1"/>
    <col min="130" max="130" width="11.59765625" bestFit="1" customWidth="1"/>
    <col min="131" max="131" width="13.59765625" bestFit="1" customWidth="1"/>
    <col min="132" max="132" width="12.59765625" bestFit="1" customWidth="1"/>
    <col min="133" max="133" width="6.796875" bestFit="1" customWidth="1"/>
    <col min="134" max="136" width="12.59765625" bestFit="1" customWidth="1"/>
    <col min="137" max="137" width="11.59765625" bestFit="1" customWidth="1"/>
    <col min="138" max="138" width="10.09765625" bestFit="1" customWidth="1"/>
    <col min="139" max="139" width="11.59765625" bestFit="1" customWidth="1"/>
    <col min="140" max="140" width="12.59765625" bestFit="1" customWidth="1"/>
    <col min="141" max="143" width="11.59765625" bestFit="1" customWidth="1"/>
    <col min="144" max="144" width="12.59765625" bestFit="1" customWidth="1"/>
    <col min="145" max="145" width="11.59765625" bestFit="1" customWidth="1"/>
    <col min="146" max="147" width="12.59765625" bestFit="1" customWidth="1"/>
    <col min="148" max="149" width="11.59765625" bestFit="1" customWidth="1"/>
    <col min="150" max="152" width="12.59765625" bestFit="1" customWidth="1"/>
    <col min="153" max="153" width="11.59765625" bestFit="1" customWidth="1"/>
    <col min="154" max="154" width="9.09765625" bestFit="1" customWidth="1"/>
    <col min="155" max="156" width="11.59765625" bestFit="1" customWidth="1"/>
    <col min="157" max="159" width="12.59765625" bestFit="1" customWidth="1"/>
    <col min="160" max="160" width="11.59765625" bestFit="1" customWidth="1"/>
    <col min="161" max="161" width="12.59765625" bestFit="1" customWidth="1"/>
    <col min="162" max="162" width="10.09765625" bestFit="1" customWidth="1"/>
    <col min="163" max="165" width="12.59765625" bestFit="1" customWidth="1"/>
    <col min="166" max="166" width="6.796875" bestFit="1" customWidth="1"/>
    <col min="167" max="167" width="13.59765625" bestFit="1" customWidth="1"/>
    <col min="168" max="168" width="10.09765625" bestFit="1" customWidth="1"/>
    <col min="169" max="169" width="11.59765625" bestFit="1" customWidth="1"/>
    <col min="170" max="172" width="12.59765625" bestFit="1" customWidth="1"/>
    <col min="173" max="175" width="11.59765625" bestFit="1" customWidth="1"/>
    <col min="176" max="176" width="13.59765625" bestFit="1" customWidth="1"/>
    <col min="177" max="179" width="11.59765625" bestFit="1" customWidth="1"/>
    <col min="180" max="180" width="13.59765625" bestFit="1" customWidth="1"/>
    <col min="181" max="182" width="11.59765625" bestFit="1" customWidth="1"/>
    <col min="183" max="184" width="12.59765625" bestFit="1" customWidth="1"/>
    <col min="185" max="186" width="11.59765625" bestFit="1" customWidth="1"/>
    <col min="187" max="188" width="12.59765625" bestFit="1" customWidth="1"/>
    <col min="189" max="189" width="11.59765625" bestFit="1" customWidth="1"/>
    <col min="190" max="192" width="12.59765625" bestFit="1" customWidth="1"/>
    <col min="193" max="193" width="11.59765625" bestFit="1" customWidth="1"/>
    <col min="194" max="194" width="12.59765625" bestFit="1" customWidth="1"/>
    <col min="195" max="199" width="11.59765625" bestFit="1" customWidth="1"/>
    <col min="200" max="200" width="13.59765625" bestFit="1" customWidth="1"/>
    <col min="201" max="202" width="12.59765625" bestFit="1" customWidth="1"/>
    <col min="203" max="203" width="13.59765625" bestFit="1" customWidth="1"/>
    <col min="204" max="204" width="12.59765625" bestFit="1" customWidth="1"/>
    <col min="205" max="206" width="11.59765625" bestFit="1" customWidth="1"/>
    <col min="207" max="207" width="13.59765625" bestFit="1" customWidth="1"/>
    <col min="208" max="210" width="12.59765625" bestFit="1" customWidth="1"/>
    <col min="211" max="211" width="10.09765625" bestFit="1" customWidth="1"/>
    <col min="212" max="214" width="11.59765625" bestFit="1" customWidth="1"/>
    <col min="215" max="215" width="12.59765625" bestFit="1" customWidth="1"/>
    <col min="216" max="216" width="11.59765625" bestFit="1" customWidth="1"/>
    <col min="217" max="218" width="12.59765625" bestFit="1" customWidth="1"/>
    <col min="219" max="220" width="11.59765625" bestFit="1" customWidth="1"/>
    <col min="221" max="221" width="12.59765625" bestFit="1" customWidth="1"/>
    <col min="222" max="222" width="11.59765625" bestFit="1" customWidth="1"/>
    <col min="223" max="223" width="12.59765625" bestFit="1" customWidth="1"/>
    <col min="224" max="224" width="11.59765625" bestFit="1" customWidth="1"/>
    <col min="225" max="226" width="12.59765625" bestFit="1" customWidth="1"/>
    <col min="227" max="227" width="6.796875" bestFit="1" customWidth="1"/>
    <col min="228" max="228" width="10.09765625" bestFit="1" customWidth="1"/>
    <col min="229" max="230" width="11.59765625" bestFit="1" customWidth="1"/>
    <col min="231" max="231" width="12.59765625" bestFit="1" customWidth="1"/>
    <col min="232" max="232" width="11.59765625" bestFit="1" customWidth="1"/>
    <col min="233" max="233" width="12.59765625" bestFit="1" customWidth="1"/>
    <col min="234" max="234" width="11.59765625" bestFit="1" customWidth="1"/>
    <col min="235" max="235" width="6.796875" bestFit="1" customWidth="1"/>
    <col min="236" max="236" width="12.59765625" bestFit="1" customWidth="1"/>
    <col min="237" max="239" width="11.59765625" bestFit="1" customWidth="1"/>
    <col min="240" max="240" width="13.59765625" bestFit="1" customWidth="1"/>
    <col min="241" max="241" width="11.59765625" bestFit="1" customWidth="1"/>
    <col min="242" max="242" width="10.09765625" bestFit="1" customWidth="1"/>
    <col min="243" max="244" width="11.59765625" bestFit="1" customWidth="1"/>
    <col min="245" max="245" width="6.796875" bestFit="1" customWidth="1"/>
    <col min="246" max="246" width="9.09765625" bestFit="1" customWidth="1"/>
    <col min="247" max="247" width="11.59765625" bestFit="1" customWidth="1"/>
    <col min="248" max="248" width="12.59765625" bestFit="1" customWidth="1"/>
    <col min="249" max="251" width="11.59765625" bestFit="1" customWidth="1"/>
    <col min="252" max="252" width="12.59765625" bestFit="1" customWidth="1"/>
    <col min="253" max="253" width="13.59765625" bestFit="1" customWidth="1"/>
    <col min="254" max="254" width="12.59765625" bestFit="1" customWidth="1"/>
    <col min="255" max="255" width="10.09765625" bestFit="1" customWidth="1"/>
    <col min="256" max="256" width="12.59765625" bestFit="1" customWidth="1"/>
    <col min="257" max="257" width="11.59765625" bestFit="1" customWidth="1"/>
    <col min="258" max="258" width="12.59765625" bestFit="1" customWidth="1"/>
    <col min="259" max="260" width="11.59765625" bestFit="1" customWidth="1"/>
    <col min="261" max="262" width="13.59765625" bestFit="1" customWidth="1"/>
    <col min="263" max="263" width="11.59765625" bestFit="1" customWidth="1"/>
    <col min="264" max="265" width="12.59765625" bestFit="1" customWidth="1"/>
    <col min="266" max="267" width="13.59765625" bestFit="1" customWidth="1"/>
    <col min="268" max="268" width="10.09765625" bestFit="1" customWidth="1"/>
    <col min="269" max="271" width="12.59765625" bestFit="1" customWidth="1"/>
    <col min="272" max="273" width="11.59765625" bestFit="1" customWidth="1"/>
    <col min="274" max="274" width="10.09765625" bestFit="1" customWidth="1"/>
    <col min="275" max="275" width="12.59765625" bestFit="1" customWidth="1"/>
    <col min="276" max="276" width="11.59765625" bestFit="1" customWidth="1"/>
    <col min="277" max="277" width="6.796875" bestFit="1" customWidth="1"/>
    <col min="278" max="278" width="11.59765625" bestFit="1" customWidth="1"/>
    <col min="279" max="281" width="12.59765625" bestFit="1" customWidth="1"/>
    <col min="282" max="282" width="10.09765625" bestFit="1" customWidth="1"/>
    <col min="283" max="285" width="11.59765625" bestFit="1" customWidth="1"/>
    <col min="286" max="286" width="13.59765625" bestFit="1" customWidth="1"/>
    <col min="287" max="287" width="11.59765625" bestFit="1" customWidth="1"/>
    <col min="288" max="288" width="13.59765625" bestFit="1" customWidth="1"/>
    <col min="289" max="290" width="12.59765625" bestFit="1" customWidth="1"/>
    <col min="291" max="291" width="10.09765625" bestFit="1" customWidth="1"/>
    <col min="292" max="294" width="12.59765625" bestFit="1" customWidth="1"/>
    <col min="295" max="298" width="11.59765625" bestFit="1" customWidth="1"/>
    <col min="299" max="299" width="12.59765625" bestFit="1" customWidth="1"/>
    <col min="300" max="300" width="13.59765625" bestFit="1" customWidth="1"/>
    <col min="301" max="301" width="11.59765625" bestFit="1" customWidth="1"/>
    <col min="302" max="302" width="12.59765625" bestFit="1" customWidth="1"/>
    <col min="303" max="303" width="10.09765625" bestFit="1" customWidth="1"/>
    <col min="304" max="304" width="13.59765625" bestFit="1" customWidth="1"/>
    <col min="305" max="306" width="12.59765625" bestFit="1" customWidth="1"/>
    <col min="307" max="307" width="13.59765625" bestFit="1" customWidth="1"/>
    <col min="308" max="309" width="12.59765625" bestFit="1" customWidth="1"/>
    <col min="310" max="310" width="11.59765625" bestFit="1" customWidth="1"/>
    <col min="311" max="311" width="16.19921875" bestFit="1" customWidth="1"/>
    <col min="312" max="317" width="12.59765625" bestFit="1" customWidth="1"/>
    <col min="318" max="319" width="11.59765625" bestFit="1" customWidth="1"/>
    <col min="320" max="321" width="12.59765625" bestFit="1" customWidth="1"/>
    <col min="322" max="322" width="10.296875" bestFit="1" customWidth="1"/>
    <col min="323" max="323" width="11.59765625" bestFit="1" customWidth="1"/>
    <col min="324" max="329" width="12.59765625" bestFit="1" customWidth="1"/>
    <col min="330" max="330" width="10.296875" bestFit="1" customWidth="1"/>
    <col min="331" max="331" width="11.59765625" bestFit="1" customWidth="1"/>
    <col min="332" max="333" width="13.59765625" bestFit="1" customWidth="1"/>
    <col min="334" max="334" width="10.296875" bestFit="1" customWidth="1"/>
    <col min="335" max="337" width="11.59765625" bestFit="1" customWidth="1"/>
    <col min="338" max="343" width="12.59765625" bestFit="1" customWidth="1"/>
    <col min="344" max="349" width="11.59765625" bestFit="1" customWidth="1"/>
    <col min="350" max="351" width="13.59765625" bestFit="1" customWidth="1"/>
    <col min="352" max="357" width="11.59765625" bestFit="1" customWidth="1"/>
    <col min="358" max="359" width="13.59765625" bestFit="1" customWidth="1"/>
    <col min="360" max="363" width="11.59765625" bestFit="1" customWidth="1"/>
    <col min="364" max="367" width="12.59765625" bestFit="1" customWidth="1"/>
    <col min="368" max="371" width="11.59765625" bestFit="1" customWidth="1"/>
    <col min="372" max="375" width="12.59765625" bestFit="1" customWidth="1"/>
    <col min="376" max="377" width="11.59765625" bestFit="1" customWidth="1"/>
    <col min="378" max="383" width="12.59765625" bestFit="1" customWidth="1"/>
    <col min="384" max="385" width="11.59765625" bestFit="1" customWidth="1"/>
    <col min="386" max="387" width="12.59765625" bestFit="1" customWidth="1"/>
    <col min="388" max="397" width="11.59765625" bestFit="1" customWidth="1"/>
    <col min="398" max="399" width="13.59765625" bestFit="1" customWidth="1"/>
    <col min="400" max="403" width="12.59765625" bestFit="1" customWidth="1"/>
    <col min="404" max="405" width="13.59765625" bestFit="1" customWidth="1"/>
    <col min="406" max="407" width="12.59765625" bestFit="1" customWidth="1"/>
    <col min="408" max="411" width="11.59765625" bestFit="1" customWidth="1"/>
    <col min="412" max="413" width="13.59765625" bestFit="1" customWidth="1"/>
    <col min="414" max="419" width="12.59765625" bestFit="1" customWidth="1"/>
    <col min="420" max="420" width="10.296875" bestFit="1" customWidth="1"/>
    <col min="421" max="427" width="11.59765625" bestFit="1" customWidth="1"/>
    <col min="428" max="429" width="12.59765625" bestFit="1" customWidth="1"/>
    <col min="430" max="431" width="11.59765625" bestFit="1" customWidth="1"/>
    <col min="432" max="435" width="12.59765625" bestFit="1" customWidth="1"/>
    <col min="436" max="439" width="11.59765625" bestFit="1" customWidth="1"/>
    <col min="440" max="441" width="12.59765625" bestFit="1" customWidth="1"/>
    <col min="442" max="443" width="11.59765625" bestFit="1" customWidth="1"/>
    <col min="444" max="445" width="12.59765625" bestFit="1" customWidth="1"/>
    <col min="446" max="447" width="11.59765625" bestFit="1" customWidth="1"/>
    <col min="448" max="451" width="12.59765625" bestFit="1" customWidth="1"/>
    <col min="452" max="452" width="10.296875" bestFit="1" customWidth="1"/>
    <col min="453" max="453" width="11.59765625" bestFit="1" customWidth="1"/>
    <col min="454" max="454" width="10.296875" bestFit="1" customWidth="1"/>
    <col min="455" max="459" width="11.59765625" bestFit="1" customWidth="1"/>
    <col min="460" max="461" width="12.59765625" bestFit="1" customWidth="1"/>
    <col min="462" max="463" width="11.59765625" bestFit="1" customWidth="1"/>
    <col min="464" max="465" width="12.59765625" bestFit="1" customWidth="1"/>
    <col min="466" max="467" width="11.59765625" bestFit="1" customWidth="1"/>
    <col min="468" max="468" width="10.296875" bestFit="1" customWidth="1"/>
    <col min="469" max="469" width="11.59765625" bestFit="1" customWidth="1"/>
    <col min="470" max="471" width="12.59765625" bestFit="1" customWidth="1"/>
    <col min="472" max="477" width="11.59765625" bestFit="1" customWidth="1"/>
    <col min="478" max="479" width="13.59765625" bestFit="1" customWidth="1"/>
    <col min="480" max="481" width="11.59765625" bestFit="1" customWidth="1"/>
    <col min="482" max="482" width="10.296875" bestFit="1" customWidth="1"/>
    <col min="483" max="487" width="11.59765625" bestFit="1" customWidth="1"/>
    <col min="488" max="488" width="10.296875" bestFit="1" customWidth="1"/>
    <col min="489" max="489" width="11.59765625" bestFit="1" customWidth="1"/>
    <col min="490" max="490" width="10.296875" bestFit="1" customWidth="1"/>
    <col min="491" max="493" width="11.59765625" bestFit="1" customWidth="1"/>
    <col min="494" max="495" width="12.59765625" bestFit="1" customWidth="1"/>
    <col min="496" max="501" width="11.59765625" bestFit="1" customWidth="1"/>
    <col min="502" max="503" width="12.59765625" bestFit="1" customWidth="1"/>
    <col min="504" max="505" width="13.59765625" bestFit="1" customWidth="1"/>
    <col min="506" max="507" width="12.59765625" bestFit="1" customWidth="1"/>
    <col min="508" max="508" width="10.296875" bestFit="1" customWidth="1"/>
    <col min="509" max="509" width="11.59765625" bestFit="1" customWidth="1"/>
    <col min="510" max="511" width="12.59765625" bestFit="1" customWidth="1"/>
    <col min="512" max="513" width="11.59765625" bestFit="1" customWidth="1"/>
    <col min="514" max="515" width="12.59765625" bestFit="1" customWidth="1"/>
    <col min="516" max="519" width="11.59765625" bestFit="1" customWidth="1"/>
    <col min="520" max="523" width="13.59765625" bestFit="1" customWidth="1"/>
    <col min="524" max="525" width="11.59765625" bestFit="1" customWidth="1"/>
    <col min="526" max="529" width="12.59765625" bestFit="1" customWidth="1"/>
    <col min="530" max="533" width="13.59765625" bestFit="1" customWidth="1"/>
    <col min="534" max="534" width="10.296875" bestFit="1" customWidth="1"/>
    <col min="535" max="535" width="11.59765625" bestFit="1" customWidth="1"/>
    <col min="536" max="541" width="12.59765625" bestFit="1" customWidth="1"/>
    <col min="542" max="545" width="11.59765625" bestFit="1" customWidth="1"/>
    <col min="546" max="546" width="10.296875" bestFit="1" customWidth="1"/>
    <col min="547" max="547" width="11.59765625" bestFit="1" customWidth="1"/>
    <col min="548" max="549" width="12.59765625" bestFit="1" customWidth="1"/>
    <col min="550" max="551" width="11.59765625" bestFit="1" customWidth="1"/>
    <col min="552" max="552" width="10.296875" bestFit="1" customWidth="1"/>
    <col min="553" max="555" width="11.59765625" bestFit="1" customWidth="1"/>
    <col min="556" max="561" width="12.59765625" bestFit="1" customWidth="1"/>
    <col min="562" max="562" width="10.296875" bestFit="1" customWidth="1"/>
    <col min="563" max="569" width="11.59765625" bestFit="1" customWidth="1"/>
    <col min="570" max="571" width="13.59765625" bestFit="1" customWidth="1"/>
    <col min="572" max="573" width="11.59765625" bestFit="1" customWidth="1"/>
    <col min="574" max="575" width="13.59765625" bestFit="1" customWidth="1"/>
    <col min="576" max="579" width="12.59765625" bestFit="1" customWidth="1"/>
    <col min="580" max="580" width="10.296875" bestFit="1" customWidth="1"/>
    <col min="581" max="581" width="11.59765625" bestFit="1" customWidth="1"/>
    <col min="582" max="587" width="12.59765625" bestFit="1" customWidth="1"/>
    <col min="588" max="595" width="11.59765625" bestFit="1" customWidth="1"/>
    <col min="596" max="597" width="12.59765625" bestFit="1" customWidth="1"/>
    <col min="598" max="599" width="13.59765625" bestFit="1" customWidth="1"/>
    <col min="600" max="601" width="11.59765625" bestFit="1" customWidth="1"/>
    <col min="602" max="603" width="12.59765625" bestFit="1" customWidth="1"/>
    <col min="604" max="604" width="10.296875" bestFit="1" customWidth="1"/>
    <col min="605" max="605" width="11.59765625" bestFit="1" customWidth="1"/>
    <col min="606" max="607" width="13.59765625" bestFit="1" customWidth="1"/>
    <col min="608" max="611" width="12.59765625" bestFit="1" customWidth="1"/>
    <col min="612" max="613" width="13.59765625" bestFit="1" customWidth="1"/>
    <col min="614" max="617" width="12.59765625" bestFit="1" customWidth="1"/>
    <col min="618" max="619" width="11.59765625" bestFit="1" customWidth="1"/>
    <col min="620" max="620" width="16.19921875" bestFit="1" customWidth="1"/>
  </cols>
  <sheetData>
    <row r="1" spans="1:3">
      <c r="B1"/>
    </row>
    <row r="3" spans="1:3">
      <c r="A3" s="72" t="s">
        <v>0</v>
      </c>
      <c r="B3" t="s">
        <v>730</v>
      </c>
      <c r="C3" t="s">
        <v>701</v>
      </c>
    </row>
    <row r="4" spans="1:3">
      <c r="A4" s="35" t="s">
        <v>729</v>
      </c>
      <c r="B4" s="118">
        <v>10</v>
      </c>
      <c r="C4" s="118">
        <v>5200000</v>
      </c>
    </row>
    <row r="5" spans="1:3">
      <c r="A5" s="116" t="s">
        <v>279</v>
      </c>
      <c r="B5" s="118">
        <v>10</v>
      </c>
      <c r="C5" s="118">
        <v>5200000</v>
      </c>
    </row>
    <row r="6" spans="1:3">
      <c r="A6" s="117" t="s">
        <v>957</v>
      </c>
      <c r="B6" s="118">
        <v>6</v>
      </c>
      <c r="C6" s="118">
        <v>3120000</v>
      </c>
    </row>
    <row r="7" spans="1:3">
      <c r="A7" s="117" t="s">
        <v>1087</v>
      </c>
      <c r="B7" s="118">
        <v>4</v>
      </c>
      <c r="C7" s="118">
        <v>2080000</v>
      </c>
    </row>
    <row r="8" spans="1:3">
      <c r="A8" s="35" t="s">
        <v>65</v>
      </c>
      <c r="B8" s="118">
        <v>503.1</v>
      </c>
      <c r="C8" s="118">
        <v>1297000</v>
      </c>
    </row>
    <row r="9" spans="1:3">
      <c r="A9" s="116" t="s">
        <v>347</v>
      </c>
      <c r="B9" s="118">
        <v>500</v>
      </c>
      <c r="C9" s="118"/>
    </row>
    <row r="10" spans="1:3">
      <c r="A10" s="117" t="s">
        <v>255</v>
      </c>
      <c r="B10" s="118">
        <v>500</v>
      </c>
      <c r="C10" s="118"/>
    </row>
    <row r="11" spans="1:3">
      <c r="A11" s="116" t="s">
        <v>889</v>
      </c>
      <c r="B11" s="118">
        <v>0.6</v>
      </c>
      <c r="C11" s="118">
        <v>0</v>
      </c>
    </row>
    <row r="12" spans="1:3">
      <c r="A12" s="117" t="s">
        <v>947</v>
      </c>
      <c r="B12" s="118">
        <v>0.6</v>
      </c>
      <c r="C12" s="118">
        <v>0</v>
      </c>
    </row>
    <row r="13" spans="1:3">
      <c r="A13" s="116" t="s">
        <v>326</v>
      </c>
      <c r="B13" s="118">
        <v>2.5</v>
      </c>
      <c r="C13" s="118">
        <v>1297000</v>
      </c>
    </row>
    <row r="14" spans="1:3">
      <c r="A14" s="117" t="s">
        <v>1140</v>
      </c>
      <c r="B14" s="118">
        <v>2.5</v>
      </c>
      <c r="C14" s="118">
        <v>1297000</v>
      </c>
    </row>
    <row r="15" spans="1:3">
      <c r="A15" s="35" t="s">
        <v>676</v>
      </c>
      <c r="B15" s="118">
        <v>12710.75</v>
      </c>
      <c r="C15" s="118">
        <v>482441500</v>
      </c>
    </row>
    <row r="16" spans="1:3">
      <c r="A16" s="116" t="s">
        <v>3</v>
      </c>
      <c r="B16" s="118">
        <v>300</v>
      </c>
      <c r="C16" s="118">
        <v>20860000</v>
      </c>
    </row>
    <row r="17" spans="1:3">
      <c r="A17" s="117" t="s">
        <v>890</v>
      </c>
      <c r="B17" s="118">
        <v>300</v>
      </c>
      <c r="C17" s="118">
        <v>20860000</v>
      </c>
    </row>
    <row r="18" spans="1:3">
      <c r="A18" s="116" t="s">
        <v>130</v>
      </c>
      <c r="B18" s="118">
        <v>1300</v>
      </c>
      <c r="C18" s="118">
        <v>23075000</v>
      </c>
    </row>
    <row r="19" spans="1:3">
      <c r="A19" s="117" t="s">
        <v>944</v>
      </c>
      <c r="B19" s="118">
        <v>1300</v>
      </c>
      <c r="C19" s="118">
        <v>23075000</v>
      </c>
    </row>
    <row r="20" spans="1:3">
      <c r="A20" s="116" t="s">
        <v>347</v>
      </c>
      <c r="B20" s="118">
        <v>1300</v>
      </c>
      <c r="C20" s="118">
        <v>61050000</v>
      </c>
    </row>
    <row r="21" spans="1:3">
      <c r="A21" s="117" t="s">
        <v>926</v>
      </c>
      <c r="B21" s="118">
        <v>1300</v>
      </c>
      <c r="C21" s="118">
        <v>61050000</v>
      </c>
    </row>
    <row r="22" spans="1:3">
      <c r="A22" s="116" t="s">
        <v>724</v>
      </c>
      <c r="B22" s="118">
        <v>160</v>
      </c>
      <c r="C22" s="118">
        <v>10600000</v>
      </c>
    </row>
    <row r="23" spans="1:3">
      <c r="A23" s="117" t="s">
        <v>768</v>
      </c>
      <c r="B23" s="118">
        <v>60</v>
      </c>
      <c r="C23" s="118">
        <v>6600000</v>
      </c>
    </row>
    <row r="24" spans="1:3">
      <c r="A24" s="117" t="s">
        <v>847</v>
      </c>
      <c r="B24" s="118">
        <v>60</v>
      </c>
      <c r="C24" s="118">
        <v>2400000</v>
      </c>
    </row>
    <row r="25" spans="1:3">
      <c r="A25" s="117" t="s">
        <v>867</v>
      </c>
      <c r="B25" s="118">
        <v>40</v>
      </c>
      <c r="C25" s="118">
        <v>1600000</v>
      </c>
    </row>
    <row r="26" spans="1:3">
      <c r="A26" s="116" t="s">
        <v>727</v>
      </c>
      <c r="B26" s="118">
        <v>85</v>
      </c>
      <c r="C26" s="118">
        <v>2612500</v>
      </c>
    </row>
    <row r="27" spans="1:3">
      <c r="A27" s="117" t="s">
        <v>769</v>
      </c>
      <c r="B27" s="118">
        <v>10</v>
      </c>
      <c r="C27" s="118">
        <v>700000</v>
      </c>
    </row>
    <row r="28" spans="1:3">
      <c r="A28" s="117" t="s">
        <v>771</v>
      </c>
      <c r="B28" s="118">
        <v>75</v>
      </c>
      <c r="C28" s="118">
        <v>1912500</v>
      </c>
    </row>
    <row r="29" spans="1:3">
      <c r="A29" s="116" t="s">
        <v>311</v>
      </c>
      <c r="B29" s="118">
        <v>800</v>
      </c>
      <c r="C29" s="118">
        <v>34769000</v>
      </c>
    </row>
    <row r="30" spans="1:3">
      <c r="A30" s="117" t="s">
        <v>1135</v>
      </c>
      <c r="B30" s="118">
        <v>800</v>
      </c>
      <c r="C30" s="118">
        <v>34769000</v>
      </c>
    </row>
    <row r="31" spans="1:3">
      <c r="A31" s="116" t="s">
        <v>324</v>
      </c>
      <c r="B31" s="118">
        <v>300</v>
      </c>
      <c r="C31" s="118">
        <v>7550000</v>
      </c>
    </row>
    <row r="32" spans="1:3">
      <c r="A32" s="117" t="s">
        <v>961</v>
      </c>
      <c r="B32" s="118">
        <v>300</v>
      </c>
      <c r="C32" s="118">
        <v>7550000</v>
      </c>
    </row>
    <row r="33" spans="1:3">
      <c r="A33" s="116" t="s">
        <v>187</v>
      </c>
      <c r="B33" s="118">
        <v>2105</v>
      </c>
      <c r="C33" s="118">
        <v>84570000</v>
      </c>
    </row>
    <row r="34" spans="1:3">
      <c r="A34" s="117" t="s">
        <v>811</v>
      </c>
      <c r="B34" s="118">
        <v>800</v>
      </c>
      <c r="C34" s="118">
        <v>32000000</v>
      </c>
    </row>
    <row r="35" spans="1:3">
      <c r="A35" s="117" t="s">
        <v>813</v>
      </c>
      <c r="B35" s="118">
        <v>200</v>
      </c>
      <c r="C35" s="118">
        <v>8000000</v>
      </c>
    </row>
    <row r="36" spans="1:3">
      <c r="A36" s="117" t="s">
        <v>814</v>
      </c>
      <c r="B36" s="118">
        <v>100</v>
      </c>
      <c r="C36" s="118">
        <v>9720000</v>
      </c>
    </row>
    <row r="37" spans="1:3">
      <c r="A37" s="117" t="s">
        <v>818</v>
      </c>
      <c r="B37" s="118">
        <v>750</v>
      </c>
      <c r="C37" s="118">
        <v>11850000</v>
      </c>
    </row>
    <row r="38" spans="1:3">
      <c r="A38" s="117" t="s">
        <v>837</v>
      </c>
      <c r="B38" s="118">
        <v>255</v>
      </c>
      <c r="C38" s="118">
        <v>23000000</v>
      </c>
    </row>
    <row r="39" spans="1:3">
      <c r="A39" s="116" t="s">
        <v>335</v>
      </c>
      <c r="B39" s="118">
        <v>300</v>
      </c>
      <c r="C39" s="118">
        <v>27900000</v>
      </c>
    </row>
    <row r="40" spans="1:3">
      <c r="A40" s="117" t="s">
        <v>804</v>
      </c>
      <c r="B40" s="118">
        <v>200</v>
      </c>
      <c r="C40" s="118">
        <v>3900000</v>
      </c>
    </row>
    <row r="41" spans="1:3">
      <c r="A41" s="117" t="s">
        <v>806</v>
      </c>
      <c r="B41" s="118">
        <v>100</v>
      </c>
      <c r="C41" s="118">
        <v>24000000</v>
      </c>
    </row>
    <row r="42" spans="1:3">
      <c r="A42" s="116" t="s">
        <v>720</v>
      </c>
      <c r="B42" s="118">
        <v>150</v>
      </c>
      <c r="C42" s="118">
        <v>2750000</v>
      </c>
    </row>
    <row r="43" spans="1:3">
      <c r="A43" s="117" t="s">
        <v>1200</v>
      </c>
      <c r="B43" s="118">
        <v>150</v>
      </c>
      <c r="C43" s="118">
        <v>2750000</v>
      </c>
    </row>
    <row r="44" spans="1:3">
      <c r="A44" s="116" t="s">
        <v>725</v>
      </c>
      <c r="B44" s="118">
        <v>270</v>
      </c>
      <c r="C44" s="118">
        <v>12825000</v>
      </c>
    </row>
    <row r="45" spans="1:3">
      <c r="A45" s="117" t="s">
        <v>1069</v>
      </c>
      <c r="B45" s="118">
        <v>270</v>
      </c>
      <c r="C45" s="118">
        <v>12825000</v>
      </c>
    </row>
    <row r="46" spans="1:3">
      <c r="A46" s="116" t="s">
        <v>767</v>
      </c>
      <c r="B46" s="118">
        <v>94.5</v>
      </c>
      <c r="C46" s="118">
        <v>26825000</v>
      </c>
    </row>
    <row r="47" spans="1:3">
      <c r="A47" s="117" t="s">
        <v>877</v>
      </c>
      <c r="B47" s="118">
        <v>90</v>
      </c>
      <c r="C47" s="118">
        <v>26825000</v>
      </c>
    </row>
    <row r="48" spans="1:3">
      <c r="A48" s="117" t="s">
        <v>882</v>
      </c>
      <c r="B48" s="118">
        <v>4.5</v>
      </c>
      <c r="C48" s="118">
        <v>0</v>
      </c>
    </row>
    <row r="49" spans="1:3">
      <c r="A49" s="116" t="s">
        <v>135</v>
      </c>
      <c r="B49" s="118">
        <v>150</v>
      </c>
      <c r="C49" s="118">
        <v>26925000</v>
      </c>
    </row>
    <row r="50" spans="1:3">
      <c r="A50" s="117" t="s">
        <v>931</v>
      </c>
      <c r="B50" s="118">
        <v>150</v>
      </c>
      <c r="C50" s="118">
        <v>26925000</v>
      </c>
    </row>
    <row r="51" spans="1:3">
      <c r="A51" s="116" t="s">
        <v>789</v>
      </c>
      <c r="B51" s="118">
        <v>4500</v>
      </c>
      <c r="C51" s="118">
        <v>97950000</v>
      </c>
    </row>
    <row r="52" spans="1:3">
      <c r="A52" s="117" t="s">
        <v>1093</v>
      </c>
      <c r="B52" s="118">
        <v>700</v>
      </c>
      <c r="C52" s="118">
        <v>18410000</v>
      </c>
    </row>
    <row r="53" spans="1:3">
      <c r="A53" s="117" t="s">
        <v>1186</v>
      </c>
      <c r="B53" s="118">
        <v>1000</v>
      </c>
      <c r="C53" s="118">
        <v>19500000</v>
      </c>
    </row>
    <row r="54" spans="1:3">
      <c r="A54" s="117" t="s">
        <v>1202</v>
      </c>
      <c r="B54" s="118">
        <v>2800</v>
      </c>
      <c r="C54" s="118">
        <v>60040000</v>
      </c>
    </row>
    <row r="55" spans="1:3">
      <c r="A55" s="116" t="s">
        <v>845</v>
      </c>
      <c r="B55" s="118">
        <v>696.25</v>
      </c>
      <c r="C55" s="118">
        <v>37380000</v>
      </c>
    </row>
    <row r="56" spans="1:3">
      <c r="A56" s="117" t="s">
        <v>758</v>
      </c>
      <c r="B56" s="118">
        <v>10</v>
      </c>
      <c r="C56" s="118">
        <v>972000</v>
      </c>
    </row>
    <row r="57" spans="1:3">
      <c r="A57" s="117" t="s">
        <v>843</v>
      </c>
      <c r="B57" s="118">
        <v>10</v>
      </c>
      <c r="C57" s="118">
        <v>1680000</v>
      </c>
    </row>
    <row r="58" spans="1:3">
      <c r="A58" s="117" t="s">
        <v>933</v>
      </c>
      <c r="B58" s="118">
        <v>47.5</v>
      </c>
      <c r="C58" s="118">
        <v>5461000</v>
      </c>
    </row>
    <row r="59" spans="1:3">
      <c r="A59" s="117" t="s">
        <v>1007</v>
      </c>
      <c r="B59" s="118">
        <v>625</v>
      </c>
      <c r="C59" s="118">
        <v>29267000</v>
      </c>
    </row>
    <row r="60" spans="1:3">
      <c r="A60" s="117" t="s">
        <v>1008</v>
      </c>
      <c r="B60" s="118">
        <v>3.75</v>
      </c>
      <c r="C60" s="118">
        <v>0</v>
      </c>
    </row>
    <row r="61" spans="1:3">
      <c r="A61" s="116" t="s">
        <v>13</v>
      </c>
      <c r="B61" s="118">
        <v>200</v>
      </c>
      <c r="C61" s="118">
        <v>4800000</v>
      </c>
    </row>
    <row r="62" spans="1:3">
      <c r="A62" s="117" t="s">
        <v>1125</v>
      </c>
      <c r="B62" s="118">
        <v>200</v>
      </c>
      <c r="C62" s="118">
        <v>4800000</v>
      </c>
    </row>
    <row r="63" spans="1:3">
      <c r="A63" s="265" t="s">
        <v>73</v>
      </c>
      <c r="B63" s="266">
        <v>1064</v>
      </c>
      <c r="C63" s="266">
        <v>121426600</v>
      </c>
    </row>
    <row r="64" spans="1:3">
      <c r="A64" s="267" t="s">
        <v>709</v>
      </c>
      <c r="B64" s="266">
        <v>408</v>
      </c>
      <c r="C64" s="266">
        <v>63464000</v>
      </c>
    </row>
    <row r="65" spans="1:4">
      <c r="A65" s="268" t="s">
        <v>765</v>
      </c>
      <c r="B65" s="266">
        <v>90</v>
      </c>
      <c r="C65" s="266">
        <v>0</v>
      </c>
    </row>
    <row r="66" spans="1:4">
      <c r="A66" s="268" t="s">
        <v>974</v>
      </c>
      <c r="B66" s="266">
        <v>150</v>
      </c>
      <c r="C66" s="266">
        <v>40700000</v>
      </c>
    </row>
    <row r="67" spans="1:4">
      <c r="A67" s="268" t="s">
        <v>1110</v>
      </c>
      <c r="B67" s="266">
        <v>168</v>
      </c>
      <c r="C67" s="266">
        <v>22764000</v>
      </c>
    </row>
    <row r="68" spans="1:4">
      <c r="A68" s="267" t="s">
        <v>311</v>
      </c>
      <c r="B68" s="266">
        <v>75</v>
      </c>
      <c r="C68" s="266">
        <v>10120000</v>
      </c>
    </row>
    <row r="69" spans="1:4">
      <c r="A69" s="268" t="s">
        <v>919</v>
      </c>
      <c r="B69" s="266">
        <v>25</v>
      </c>
      <c r="C69" s="266">
        <v>2625000</v>
      </c>
    </row>
    <row r="70" spans="1:4">
      <c r="A70" s="268" t="s">
        <v>923</v>
      </c>
      <c r="B70" s="266">
        <v>50</v>
      </c>
      <c r="C70" s="266">
        <v>7495000</v>
      </c>
    </row>
    <row r="71" spans="1:4">
      <c r="A71" s="267" t="s">
        <v>100</v>
      </c>
      <c r="B71" s="266">
        <v>100</v>
      </c>
      <c r="C71" s="266">
        <v>3500000</v>
      </c>
    </row>
    <row r="72" spans="1:4">
      <c r="A72" s="268" t="s">
        <v>849</v>
      </c>
      <c r="B72" s="266">
        <v>100</v>
      </c>
      <c r="C72" s="266">
        <v>3500000</v>
      </c>
    </row>
    <row r="73" spans="1:4">
      <c r="A73" s="267" t="s">
        <v>746</v>
      </c>
      <c r="B73" s="266">
        <v>30</v>
      </c>
      <c r="C73" s="266">
        <v>4350000</v>
      </c>
    </row>
    <row r="74" spans="1:4" s="152" customFormat="1">
      <c r="A74" s="268" t="s">
        <v>1120</v>
      </c>
      <c r="B74" s="266">
        <v>30</v>
      </c>
      <c r="C74" s="266">
        <v>4350000</v>
      </c>
      <c r="D74"/>
    </row>
    <row r="75" spans="1:4">
      <c r="A75" s="267" t="s">
        <v>17</v>
      </c>
      <c r="B75" s="266">
        <v>238</v>
      </c>
      <c r="C75" s="266">
        <v>11319000</v>
      </c>
    </row>
    <row r="76" spans="1:4">
      <c r="A76" s="268" t="s">
        <v>759</v>
      </c>
      <c r="B76" s="266">
        <v>16</v>
      </c>
      <c r="C76" s="266">
        <v>744000</v>
      </c>
    </row>
    <row r="77" spans="1:4">
      <c r="A77" s="268" t="s">
        <v>764</v>
      </c>
      <c r="B77" s="266">
        <v>150</v>
      </c>
      <c r="C77" s="266">
        <v>6975000</v>
      </c>
    </row>
    <row r="78" spans="1:4">
      <c r="A78" s="268" t="s">
        <v>989</v>
      </c>
      <c r="B78" s="266">
        <v>72</v>
      </c>
      <c r="C78" s="266">
        <v>3600000</v>
      </c>
    </row>
    <row r="79" spans="1:4">
      <c r="A79" s="267" t="s">
        <v>4</v>
      </c>
      <c r="B79" s="266">
        <v>40</v>
      </c>
      <c r="C79" s="266">
        <v>6200000</v>
      </c>
    </row>
    <row r="80" spans="1:4">
      <c r="A80" s="268" t="s">
        <v>903</v>
      </c>
      <c r="B80" s="266">
        <v>10</v>
      </c>
      <c r="C80" s="266">
        <v>1550000</v>
      </c>
    </row>
    <row r="81" spans="1:3">
      <c r="A81" s="268" t="s">
        <v>1029</v>
      </c>
      <c r="B81" s="266">
        <v>30</v>
      </c>
      <c r="C81" s="266">
        <v>4650000</v>
      </c>
    </row>
    <row r="82" spans="1:3">
      <c r="A82" s="267" t="s">
        <v>860</v>
      </c>
      <c r="B82" s="266">
        <v>113</v>
      </c>
      <c r="C82" s="266">
        <v>13373600</v>
      </c>
    </row>
    <row r="83" spans="1:3">
      <c r="A83" s="268" t="s">
        <v>859</v>
      </c>
      <c r="B83" s="266">
        <v>83</v>
      </c>
      <c r="C83" s="266">
        <v>9023600</v>
      </c>
    </row>
    <row r="84" spans="1:3">
      <c r="A84" s="268" t="s">
        <v>1118</v>
      </c>
      <c r="B84" s="266">
        <v>30</v>
      </c>
      <c r="C84" s="266">
        <v>4350000</v>
      </c>
    </row>
    <row r="85" spans="1:3">
      <c r="A85" s="267" t="s">
        <v>166</v>
      </c>
      <c r="B85" s="266">
        <v>10</v>
      </c>
      <c r="C85" s="266">
        <v>1550000</v>
      </c>
    </row>
    <row r="86" spans="1:3">
      <c r="A86" s="268" t="s">
        <v>913</v>
      </c>
      <c r="B86" s="266">
        <v>10</v>
      </c>
      <c r="C86" s="266">
        <v>1550000</v>
      </c>
    </row>
    <row r="87" spans="1:3">
      <c r="A87" s="267" t="s">
        <v>23</v>
      </c>
      <c r="B87" s="266">
        <v>20</v>
      </c>
      <c r="C87" s="266">
        <v>3200000</v>
      </c>
    </row>
    <row r="88" spans="1:3">
      <c r="A88" s="268" t="s">
        <v>937</v>
      </c>
      <c r="B88" s="266">
        <v>20</v>
      </c>
      <c r="C88" s="266">
        <v>3200000</v>
      </c>
    </row>
    <row r="89" spans="1:3">
      <c r="A89" s="267" t="s">
        <v>1123</v>
      </c>
      <c r="B89" s="266">
        <v>30</v>
      </c>
      <c r="C89" s="266">
        <v>4350000</v>
      </c>
    </row>
    <row r="90" spans="1:3">
      <c r="A90" s="268" t="s">
        <v>1122</v>
      </c>
      <c r="B90" s="266">
        <v>30</v>
      </c>
      <c r="C90" s="266">
        <v>4350000</v>
      </c>
    </row>
    <row r="91" spans="1:3">
      <c r="A91" s="35" t="s">
        <v>714</v>
      </c>
      <c r="B91" s="118">
        <v>21547</v>
      </c>
      <c r="C91" s="118">
        <v>453123500</v>
      </c>
    </row>
    <row r="92" spans="1:3">
      <c r="A92" s="116" t="s">
        <v>275</v>
      </c>
      <c r="B92" s="118">
        <v>147</v>
      </c>
      <c r="C92" s="118">
        <v>14994000</v>
      </c>
    </row>
    <row r="93" spans="1:3">
      <c r="A93" s="117" t="s">
        <v>908</v>
      </c>
      <c r="B93" s="118">
        <v>147</v>
      </c>
      <c r="C93" s="118">
        <v>14994000</v>
      </c>
    </row>
    <row r="94" spans="1:3" hidden="1">
      <c r="A94" s="116" t="s">
        <v>123</v>
      </c>
      <c r="B94" s="118">
        <v>800</v>
      </c>
      <c r="C94" s="118">
        <v>12800000</v>
      </c>
    </row>
    <row r="95" spans="1:3" hidden="1">
      <c r="A95" s="117" t="s">
        <v>783</v>
      </c>
      <c r="B95" s="118">
        <v>800</v>
      </c>
      <c r="C95" s="118">
        <v>12800000</v>
      </c>
    </row>
    <row r="96" spans="1:3" hidden="1">
      <c r="A96" s="116" t="s">
        <v>9</v>
      </c>
      <c r="B96" s="118">
        <v>3000</v>
      </c>
      <c r="C96" s="118">
        <v>61500000</v>
      </c>
    </row>
    <row r="97" spans="1:3" hidden="1">
      <c r="A97" s="117" t="s">
        <v>821</v>
      </c>
      <c r="B97" s="118">
        <v>3000</v>
      </c>
      <c r="C97" s="118">
        <v>61500000</v>
      </c>
    </row>
    <row r="98" spans="1:3" hidden="1">
      <c r="A98" s="116" t="s">
        <v>17</v>
      </c>
      <c r="B98" s="118">
        <v>14000</v>
      </c>
      <c r="C98" s="118">
        <v>263800000</v>
      </c>
    </row>
    <row r="99" spans="1:3" hidden="1">
      <c r="A99" s="117" t="s">
        <v>826</v>
      </c>
      <c r="B99" s="118">
        <v>8000</v>
      </c>
      <c r="C99" s="118">
        <v>146800000</v>
      </c>
    </row>
    <row r="100" spans="1:3" hidden="1">
      <c r="A100" s="117" t="s">
        <v>1003</v>
      </c>
      <c r="B100" s="118">
        <v>6000</v>
      </c>
      <c r="C100" s="118">
        <v>117000000</v>
      </c>
    </row>
    <row r="101" spans="1:3" hidden="1">
      <c r="A101" s="116" t="s">
        <v>725</v>
      </c>
      <c r="B101" s="118">
        <v>750</v>
      </c>
      <c r="C101" s="118">
        <v>22375000</v>
      </c>
    </row>
    <row r="102" spans="1:3" hidden="1">
      <c r="A102" s="117" t="s">
        <v>835</v>
      </c>
      <c r="B102" s="118">
        <v>500</v>
      </c>
      <c r="C102" s="118">
        <v>16000000</v>
      </c>
    </row>
    <row r="103" spans="1:3" hidden="1">
      <c r="A103" s="117" t="s">
        <v>1069</v>
      </c>
      <c r="B103" s="118">
        <v>250</v>
      </c>
      <c r="C103" s="118">
        <v>6375000</v>
      </c>
    </row>
    <row r="104" spans="1:3" hidden="1">
      <c r="A104" s="116" t="s">
        <v>789</v>
      </c>
      <c r="B104" s="118">
        <v>2700</v>
      </c>
      <c r="C104" s="118">
        <v>60250000</v>
      </c>
    </row>
    <row r="105" spans="1:3" hidden="1">
      <c r="A105" s="117" t="s">
        <v>841</v>
      </c>
      <c r="B105" s="118">
        <v>2700</v>
      </c>
      <c r="C105" s="118">
        <v>60250000</v>
      </c>
    </row>
    <row r="106" spans="1:3" hidden="1">
      <c r="A106" s="116" t="s">
        <v>794</v>
      </c>
      <c r="B106" s="118">
        <v>150</v>
      </c>
      <c r="C106" s="118">
        <v>17404500</v>
      </c>
    </row>
    <row r="107" spans="1:3" hidden="1">
      <c r="A107" s="117" t="s">
        <v>792</v>
      </c>
      <c r="B107" s="118">
        <v>75</v>
      </c>
      <c r="C107" s="118">
        <v>3889500</v>
      </c>
    </row>
    <row r="108" spans="1:3" hidden="1">
      <c r="A108" s="117" t="s">
        <v>1065</v>
      </c>
      <c r="B108" s="118">
        <v>75</v>
      </c>
      <c r="C108" s="118">
        <v>13515000</v>
      </c>
    </row>
    <row r="109" spans="1:3" hidden="1">
      <c r="A109" s="35" t="s">
        <v>255</v>
      </c>
      <c r="B109" s="118">
        <v>563842.20250000013</v>
      </c>
      <c r="C109" s="118">
        <v>9844179800</v>
      </c>
    </row>
    <row r="110" spans="1:3" hidden="1">
      <c r="A110" s="116" t="s">
        <v>3</v>
      </c>
      <c r="B110" s="118">
        <v>750</v>
      </c>
      <c r="C110" s="118">
        <v>13920000</v>
      </c>
    </row>
    <row r="111" spans="1:3" hidden="1">
      <c r="A111" s="117" t="s">
        <v>1045</v>
      </c>
      <c r="B111" s="118">
        <v>700</v>
      </c>
      <c r="C111" s="118">
        <v>11060000</v>
      </c>
    </row>
    <row r="112" spans="1:3" hidden="1">
      <c r="A112" s="117" t="s">
        <v>1061</v>
      </c>
      <c r="B112" s="118">
        <v>50</v>
      </c>
      <c r="C112" s="118">
        <v>2860000</v>
      </c>
    </row>
    <row r="113" spans="1:3" hidden="1">
      <c r="A113" s="116" t="s">
        <v>279</v>
      </c>
      <c r="B113" s="118">
        <v>368.75</v>
      </c>
      <c r="C113" s="118">
        <v>21312500</v>
      </c>
    </row>
    <row r="114" spans="1:3" hidden="1">
      <c r="A114" s="117" t="s">
        <v>824</v>
      </c>
      <c r="B114" s="118">
        <v>3</v>
      </c>
      <c r="C114" s="118">
        <v>1560000</v>
      </c>
    </row>
    <row r="115" spans="1:3" hidden="1">
      <c r="A115" s="117" t="s">
        <v>916</v>
      </c>
      <c r="B115" s="118">
        <v>20</v>
      </c>
      <c r="C115" s="118">
        <v>810000</v>
      </c>
    </row>
    <row r="116" spans="1:3" hidden="1">
      <c r="A116" s="117" t="s">
        <v>995</v>
      </c>
      <c r="B116" s="118">
        <v>100</v>
      </c>
      <c r="C116" s="118">
        <v>4050000</v>
      </c>
    </row>
    <row r="117" spans="1:3" hidden="1">
      <c r="A117" s="117" t="s">
        <v>1010</v>
      </c>
      <c r="B117" s="118">
        <v>10</v>
      </c>
      <c r="C117" s="118">
        <v>580000</v>
      </c>
    </row>
    <row r="118" spans="1:3" hidden="1">
      <c r="A118" s="117" t="s">
        <v>1012</v>
      </c>
      <c r="B118" s="118">
        <v>0.75</v>
      </c>
      <c r="C118" s="118">
        <v>0</v>
      </c>
    </row>
    <row r="119" spans="1:3" hidden="1">
      <c r="A119" s="117" t="s">
        <v>1013</v>
      </c>
      <c r="B119" s="118">
        <v>225</v>
      </c>
      <c r="C119" s="118">
        <v>9112500</v>
      </c>
    </row>
    <row r="120" spans="1:3" hidden="1">
      <c r="A120" s="117" t="s">
        <v>1020</v>
      </c>
      <c r="B120" s="118">
        <v>4</v>
      </c>
      <c r="C120" s="118">
        <v>2080000</v>
      </c>
    </row>
    <row r="121" spans="1:3" hidden="1">
      <c r="A121" s="117" t="s">
        <v>1027</v>
      </c>
      <c r="B121" s="118">
        <v>6</v>
      </c>
      <c r="C121" s="118">
        <v>3120000</v>
      </c>
    </row>
    <row r="122" spans="1:3" hidden="1">
      <c r="A122" s="116" t="s">
        <v>275</v>
      </c>
      <c r="B122" s="118">
        <v>3265.35</v>
      </c>
      <c r="C122" s="118">
        <v>100715000</v>
      </c>
    </row>
    <row r="123" spans="1:3" hidden="1">
      <c r="A123" s="117" t="s">
        <v>796</v>
      </c>
      <c r="B123" s="118">
        <v>2000</v>
      </c>
      <c r="C123" s="118">
        <v>51000000</v>
      </c>
    </row>
    <row r="124" spans="1:3" hidden="1">
      <c r="A124" s="117" t="s">
        <v>797</v>
      </c>
      <c r="B124" s="118">
        <v>1000</v>
      </c>
      <c r="C124" s="118">
        <v>25500000</v>
      </c>
    </row>
    <row r="125" spans="1:3" hidden="1">
      <c r="A125" s="117" t="s">
        <v>907</v>
      </c>
      <c r="B125" s="118">
        <v>203</v>
      </c>
      <c r="C125" s="118">
        <v>20634000</v>
      </c>
    </row>
    <row r="126" spans="1:3" hidden="1">
      <c r="A126" s="117" t="s">
        <v>1169</v>
      </c>
      <c r="B126" s="118">
        <v>58</v>
      </c>
      <c r="C126" s="118">
        <v>3581000</v>
      </c>
    </row>
    <row r="127" spans="1:3" hidden="1">
      <c r="A127" s="117" t="s">
        <v>1170</v>
      </c>
      <c r="B127" s="118">
        <v>4.3499999999999996</v>
      </c>
      <c r="C127" s="118">
        <v>0</v>
      </c>
    </row>
    <row r="128" spans="1:3" hidden="1">
      <c r="A128" s="116" t="s">
        <v>5</v>
      </c>
      <c r="B128" s="118">
        <v>2000</v>
      </c>
      <c r="C128" s="118">
        <v>52600000</v>
      </c>
    </row>
    <row r="129" spans="1:3" hidden="1">
      <c r="A129" s="117" t="s">
        <v>808</v>
      </c>
      <c r="B129" s="118">
        <v>1000</v>
      </c>
      <c r="C129" s="118">
        <v>26300000</v>
      </c>
    </row>
    <row r="130" spans="1:3" hidden="1">
      <c r="A130" s="117" t="s">
        <v>1023</v>
      </c>
      <c r="B130" s="118">
        <v>1000</v>
      </c>
      <c r="C130" s="118">
        <v>26300000</v>
      </c>
    </row>
    <row r="131" spans="1:3" hidden="1">
      <c r="A131" s="116" t="s">
        <v>125</v>
      </c>
      <c r="B131" s="118">
        <v>8500</v>
      </c>
      <c r="C131" s="118">
        <v>206290000</v>
      </c>
    </row>
    <row r="132" spans="1:3" hidden="1">
      <c r="A132" s="117" t="s">
        <v>791</v>
      </c>
      <c r="B132" s="118">
        <v>1000</v>
      </c>
      <c r="C132" s="118">
        <v>19500000</v>
      </c>
    </row>
    <row r="133" spans="1:3" hidden="1">
      <c r="A133" s="117" t="s">
        <v>983</v>
      </c>
      <c r="B133" s="118">
        <v>2500</v>
      </c>
      <c r="C133" s="118">
        <v>62350000</v>
      </c>
    </row>
    <row r="134" spans="1:3" hidden="1">
      <c r="A134" s="117" t="s">
        <v>1062</v>
      </c>
      <c r="B134" s="118">
        <v>1200</v>
      </c>
      <c r="C134" s="118">
        <v>23400000</v>
      </c>
    </row>
    <row r="135" spans="1:3" hidden="1">
      <c r="A135" s="117" t="s">
        <v>1080</v>
      </c>
      <c r="B135" s="118">
        <v>200</v>
      </c>
      <c r="C135" s="118">
        <v>8040000</v>
      </c>
    </row>
    <row r="136" spans="1:3" hidden="1">
      <c r="A136" s="117" t="s">
        <v>1082</v>
      </c>
      <c r="B136" s="118">
        <v>1300</v>
      </c>
      <c r="C136" s="118">
        <v>33950000</v>
      </c>
    </row>
    <row r="137" spans="1:3" hidden="1">
      <c r="A137" s="117" t="s">
        <v>1181</v>
      </c>
      <c r="B137" s="118">
        <v>2300</v>
      </c>
      <c r="C137" s="118">
        <v>59050000</v>
      </c>
    </row>
    <row r="138" spans="1:3" hidden="1">
      <c r="A138" s="116" t="s">
        <v>15</v>
      </c>
      <c r="B138" s="118">
        <v>24.9</v>
      </c>
      <c r="C138" s="118">
        <v>5076500</v>
      </c>
    </row>
    <row r="139" spans="1:3" hidden="1">
      <c r="A139" s="117" t="s">
        <v>830</v>
      </c>
      <c r="B139" s="118">
        <v>2</v>
      </c>
      <c r="C139" s="118">
        <v>500000</v>
      </c>
    </row>
    <row r="140" spans="1:3" hidden="1">
      <c r="A140" s="117" t="s">
        <v>886</v>
      </c>
      <c r="B140" s="118">
        <v>3</v>
      </c>
      <c r="C140" s="118">
        <v>750000</v>
      </c>
    </row>
    <row r="141" spans="1:3" hidden="1">
      <c r="A141" s="117" t="s">
        <v>1002</v>
      </c>
      <c r="B141" s="118">
        <v>2</v>
      </c>
      <c r="C141" s="118">
        <v>500000</v>
      </c>
    </row>
    <row r="142" spans="1:3" hidden="1">
      <c r="A142" s="117" t="s">
        <v>1036</v>
      </c>
      <c r="B142" s="118">
        <v>11</v>
      </c>
      <c r="C142" s="118">
        <v>1870000</v>
      </c>
    </row>
    <row r="143" spans="1:3" hidden="1">
      <c r="A143" s="117" t="s">
        <v>1037</v>
      </c>
      <c r="B143" s="118">
        <v>0.82499999999999996</v>
      </c>
      <c r="C143" s="118">
        <v>0</v>
      </c>
    </row>
    <row r="144" spans="1:3" hidden="1">
      <c r="A144" s="117" t="s">
        <v>1115</v>
      </c>
      <c r="B144" s="118">
        <v>6</v>
      </c>
      <c r="C144" s="118">
        <v>1456500</v>
      </c>
    </row>
    <row r="145" spans="1:3" hidden="1">
      <c r="A145" s="117" t="s">
        <v>1116</v>
      </c>
      <c r="B145" s="118">
        <v>7.4999999999999997E-2</v>
      </c>
      <c r="C145" s="118">
        <v>0</v>
      </c>
    </row>
    <row r="146" spans="1:3" hidden="1">
      <c r="A146" s="116" t="s">
        <v>110</v>
      </c>
      <c r="B146" s="118">
        <v>300</v>
      </c>
      <c r="C146" s="118">
        <v>44500000</v>
      </c>
    </row>
    <row r="147" spans="1:3" hidden="1">
      <c r="A147" s="117" t="s">
        <v>894</v>
      </c>
      <c r="B147" s="118">
        <v>300</v>
      </c>
      <c r="C147" s="118">
        <v>44500000</v>
      </c>
    </row>
    <row r="148" spans="1:3" hidden="1">
      <c r="A148" s="116" t="s">
        <v>102</v>
      </c>
      <c r="B148" s="118">
        <v>1120</v>
      </c>
      <c r="C148" s="118">
        <v>42920000</v>
      </c>
    </row>
    <row r="149" spans="1:3" hidden="1">
      <c r="A149" s="117" t="s">
        <v>778</v>
      </c>
      <c r="B149" s="118">
        <v>550</v>
      </c>
      <c r="C149" s="118">
        <v>19435000</v>
      </c>
    </row>
    <row r="150" spans="1:3" hidden="1">
      <c r="A150" s="117" t="s">
        <v>779</v>
      </c>
      <c r="B150" s="118">
        <v>20</v>
      </c>
      <c r="C150" s="118">
        <v>10380000</v>
      </c>
    </row>
    <row r="151" spans="1:3" hidden="1">
      <c r="A151" s="117" t="s">
        <v>1109</v>
      </c>
      <c r="B151" s="118">
        <v>550</v>
      </c>
      <c r="C151" s="118">
        <v>13105000</v>
      </c>
    </row>
    <row r="152" spans="1:3" hidden="1">
      <c r="A152" s="116" t="s">
        <v>151</v>
      </c>
      <c r="B152" s="118">
        <v>100</v>
      </c>
      <c r="C152" s="118">
        <v>24000000</v>
      </c>
    </row>
    <row r="153" spans="1:3" hidden="1">
      <c r="A153" s="117" t="s">
        <v>1182</v>
      </c>
      <c r="B153" s="118">
        <v>100</v>
      </c>
      <c r="C153" s="118">
        <v>24000000</v>
      </c>
    </row>
    <row r="154" spans="1:3" hidden="1">
      <c r="A154" s="116" t="s">
        <v>709</v>
      </c>
      <c r="B154" s="118">
        <v>145545.99</v>
      </c>
      <c r="C154" s="118">
        <v>3711712250</v>
      </c>
    </row>
    <row r="155" spans="1:3" hidden="1">
      <c r="A155" s="117" t="s">
        <v>255</v>
      </c>
      <c r="B155" s="118">
        <v>52000</v>
      </c>
      <c r="C155" s="118">
        <v>644904000</v>
      </c>
    </row>
    <row r="156" spans="1:3" hidden="1">
      <c r="A156" s="117" t="s">
        <v>772</v>
      </c>
      <c r="B156" s="118">
        <v>26000</v>
      </c>
      <c r="C156" s="118">
        <v>416000000</v>
      </c>
    </row>
    <row r="157" spans="1:3" hidden="1">
      <c r="A157" s="117" t="s">
        <v>854</v>
      </c>
      <c r="B157" s="118">
        <v>3250</v>
      </c>
      <c r="C157" s="118">
        <v>89070000</v>
      </c>
    </row>
    <row r="158" spans="1:3" hidden="1">
      <c r="A158" s="117" t="s">
        <v>896</v>
      </c>
      <c r="B158" s="118">
        <v>3890</v>
      </c>
      <c r="C158" s="118">
        <v>341030000</v>
      </c>
    </row>
    <row r="159" spans="1:3" hidden="1">
      <c r="A159" s="117" t="s">
        <v>897</v>
      </c>
      <c r="B159" s="118">
        <v>60</v>
      </c>
      <c r="C159" s="118">
        <v>0</v>
      </c>
    </row>
    <row r="160" spans="1:3" hidden="1">
      <c r="A160" s="117" t="s">
        <v>898</v>
      </c>
      <c r="B160" s="118">
        <v>5000</v>
      </c>
      <c r="C160" s="118">
        <v>123750000</v>
      </c>
    </row>
    <row r="161" spans="1:3" hidden="1">
      <c r="A161" s="117" t="s">
        <v>959</v>
      </c>
      <c r="B161" s="118">
        <v>6600</v>
      </c>
      <c r="C161" s="118">
        <v>207716000</v>
      </c>
    </row>
    <row r="162" spans="1:3" hidden="1">
      <c r="A162" s="117" t="s">
        <v>974</v>
      </c>
      <c r="B162" s="118">
        <v>600</v>
      </c>
      <c r="C162" s="118">
        <v>20210000</v>
      </c>
    </row>
    <row r="163" spans="1:3" hidden="1">
      <c r="A163" s="117" t="s">
        <v>977</v>
      </c>
      <c r="B163" s="118">
        <v>2000</v>
      </c>
      <c r="C163" s="118">
        <v>49500000</v>
      </c>
    </row>
    <row r="164" spans="1:3" hidden="1">
      <c r="A164" s="117" t="s">
        <v>996</v>
      </c>
      <c r="B164" s="118">
        <v>8900</v>
      </c>
      <c r="C164" s="118">
        <v>299220000</v>
      </c>
    </row>
    <row r="165" spans="1:3" hidden="1">
      <c r="A165" s="117" t="s">
        <v>1017</v>
      </c>
      <c r="B165" s="118">
        <v>3300</v>
      </c>
      <c r="C165" s="118">
        <v>252055000</v>
      </c>
    </row>
    <row r="166" spans="1:3" hidden="1">
      <c r="A166" s="117" t="s">
        <v>1018</v>
      </c>
      <c r="B166" s="118">
        <v>2000</v>
      </c>
      <c r="C166" s="118">
        <v>49500000</v>
      </c>
    </row>
    <row r="167" spans="1:3" hidden="1">
      <c r="A167" s="117" t="s">
        <v>1035</v>
      </c>
      <c r="B167" s="118">
        <v>6750</v>
      </c>
      <c r="C167" s="118">
        <v>236795000</v>
      </c>
    </row>
    <row r="168" spans="1:3" hidden="1">
      <c r="A168" s="117" t="s">
        <v>1075</v>
      </c>
      <c r="B168" s="118">
        <v>870</v>
      </c>
      <c r="C168" s="118">
        <v>121400000</v>
      </c>
    </row>
    <row r="169" spans="1:3" hidden="1">
      <c r="A169" s="117" t="s">
        <v>1076</v>
      </c>
      <c r="B169" s="118">
        <v>18.989999999999998</v>
      </c>
      <c r="C169" s="118">
        <v>2487000</v>
      </c>
    </row>
    <row r="170" spans="1:3" hidden="1">
      <c r="A170" s="117" t="s">
        <v>1077</v>
      </c>
      <c r="B170" s="118">
        <v>50</v>
      </c>
      <c r="C170" s="118">
        <v>2600000</v>
      </c>
    </row>
    <row r="171" spans="1:3" hidden="1">
      <c r="A171" s="117" t="s">
        <v>1110</v>
      </c>
      <c r="B171" s="118">
        <v>1100</v>
      </c>
      <c r="C171" s="118">
        <v>38452500</v>
      </c>
    </row>
    <row r="172" spans="1:3" hidden="1">
      <c r="A172" s="117" t="s">
        <v>1112</v>
      </c>
      <c r="B172" s="118">
        <v>8700</v>
      </c>
      <c r="C172" s="118">
        <v>269870000</v>
      </c>
    </row>
    <row r="173" spans="1:3" hidden="1">
      <c r="A173" s="117" t="s">
        <v>1166</v>
      </c>
      <c r="B173" s="118">
        <v>3750</v>
      </c>
      <c r="C173" s="118">
        <v>122660000</v>
      </c>
    </row>
    <row r="174" spans="1:3" hidden="1">
      <c r="A174" s="117" t="s">
        <v>1167</v>
      </c>
      <c r="B174" s="118">
        <v>150</v>
      </c>
      <c r="C174" s="118">
        <v>5175000</v>
      </c>
    </row>
    <row r="175" spans="1:3" hidden="1">
      <c r="A175" s="117" t="s">
        <v>1198</v>
      </c>
      <c r="B175" s="118">
        <v>2257</v>
      </c>
      <c r="C175" s="118">
        <v>181477750</v>
      </c>
    </row>
    <row r="176" spans="1:3" hidden="1">
      <c r="A176" s="117" t="s">
        <v>1203</v>
      </c>
      <c r="B176" s="118">
        <v>8300</v>
      </c>
      <c r="C176" s="118">
        <v>237840000</v>
      </c>
    </row>
    <row r="177" spans="1:3" hidden="1">
      <c r="A177" s="116" t="s">
        <v>22</v>
      </c>
      <c r="B177" s="118">
        <v>9950</v>
      </c>
      <c r="C177" s="118">
        <v>224025000</v>
      </c>
    </row>
    <row r="178" spans="1:3" hidden="1">
      <c r="A178" s="117" t="s">
        <v>780</v>
      </c>
      <c r="B178" s="118">
        <v>1150</v>
      </c>
      <c r="C178" s="118">
        <v>33085000</v>
      </c>
    </row>
    <row r="179" spans="1:3" hidden="1">
      <c r="A179" s="117" t="s">
        <v>800</v>
      </c>
      <c r="B179" s="118">
        <v>7000</v>
      </c>
      <c r="C179" s="118">
        <v>136500000</v>
      </c>
    </row>
    <row r="180" spans="1:3" hidden="1">
      <c r="A180" s="117" t="s">
        <v>998</v>
      </c>
      <c r="B180" s="118">
        <v>1800</v>
      </c>
      <c r="C180" s="118">
        <v>54440000</v>
      </c>
    </row>
    <row r="181" spans="1:3" hidden="1">
      <c r="A181" s="116" t="s">
        <v>123</v>
      </c>
      <c r="B181" s="118">
        <v>450</v>
      </c>
      <c r="C181" s="118">
        <v>3200000</v>
      </c>
    </row>
    <row r="182" spans="1:3" hidden="1">
      <c r="A182" s="117" t="s">
        <v>782</v>
      </c>
      <c r="B182" s="118">
        <v>200</v>
      </c>
      <c r="C182" s="118">
        <v>3200000</v>
      </c>
    </row>
    <row r="183" spans="1:3" hidden="1">
      <c r="A183" s="117" t="s">
        <v>1074</v>
      </c>
      <c r="B183" s="118">
        <v>250</v>
      </c>
      <c r="C183" s="118"/>
    </row>
    <row r="184" spans="1:3" hidden="1">
      <c r="A184" s="116" t="s">
        <v>89</v>
      </c>
      <c r="B184" s="118">
        <v>3375</v>
      </c>
      <c r="C184" s="118">
        <v>233083750</v>
      </c>
    </row>
    <row r="185" spans="1:3" hidden="1">
      <c r="A185" s="117" t="s">
        <v>775</v>
      </c>
      <c r="B185" s="118">
        <v>1375</v>
      </c>
      <c r="C185" s="118">
        <v>106843750</v>
      </c>
    </row>
    <row r="186" spans="1:3" hidden="1">
      <c r="A186" s="117" t="s">
        <v>776</v>
      </c>
      <c r="B186" s="118">
        <v>2000</v>
      </c>
      <c r="C186" s="118">
        <v>126240000</v>
      </c>
    </row>
    <row r="187" spans="1:3" hidden="1">
      <c r="A187" s="116" t="s">
        <v>10</v>
      </c>
      <c r="B187" s="118">
        <v>630.5</v>
      </c>
      <c r="C187" s="118">
        <v>22004750</v>
      </c>
    </row>
    <row r="188" spans="1:3" hidden="1">
      <c r="A188" s="117" t="s">
        <v>810</v>
      </c>
      <c r="B188" s="118">
        <v>15.5</v>
      </c>
      <c r="C188" s="118">
        <v>1204750</v>
      </c>
    </row>
    <row r="189" spans="1:3" hidden="1">
      <c r="A189" s="117" t="s">
        <v>865</v>
      </c>
      <c r="B189" s="118">
        <v>400</v>
      </c>
      <c r="C189" s="118">
        <v>12950000</v>
      </c>
    </row>
    <row r="190" spans="1:3" hidden="1">
      <c r="A190" s="117" t="s">
        <v>866</v>
      </c>
      <c r="B190" s="118">
        <v>7.5</v>
      </c>
      <c r="C190" s="118">
        <v>0</v>
      </c>
    </row>
    <row r="191" spans="1:3" hidden="1">
      <c r="A191" s="117" t="s">
        <v>1157</v>
      </c>
      <c r="B191" s="118">
        <v>200</v>
      </c>
      <c r="C191" s="118">
        <v>7850000</v>
      </c>
    </row>
    <row r="192" spans="1:3" hidden="1">
      <c r="A192" s="117" t="s">
        <v>1158</v>
      </c>
      <c r="B192" s="118">
        <v>7.5</v>
      </c>
      <c r="C192" s="118">
        <v>0</v>
      </c>
    </row>
    <row r="193" spans="1:3" hidden="1">
      <c r="A193" s="116" t="s">
        <v>350</v>
      </c>
      <c r="B193" s="118">
        <v>15000</v>
      </c>
      <c r="C193" s="118">
        <v>0</v>
      </c>
    </row>
    <row r="194" spans="1:3" hidden="1">
      <c r="A194" s="117" t="s">
        <v>751</v>
      </c>
      <c r="B194" s="118">
        <v>10000</v>
      </c>
      <c r="C194" s="118">
        <v>0</v>
      </c>
    </row>
    <row r="195" spans="1:3" hidden="1">
      <c r="A195" s="117" t="s">
        <v>786</v>
      </c>
      <c r="B195" s="118">
        <v>5000</v>
      </c>
      <c r="C195" s="118">
        <v>0</v>
      </c>
    </row>
    <row r="196" spans="1:3" hidden="1">
      <c r="A196" s="116" t="s">
        <v>347</v>
      </c>
      <c r="B196" s="118">
        <v>200</v>
      </c>
      <c r="C196" s="118">
        <v>47400000</v>
      </c>
    </row>
    <row r="197" spans="1:3" hidden="1">
      <c r="A197" s="117" t="s">
        <v>990</v>
      </c>
      <c r="B197" s="118">
        <v>200</v>
      </c>
      <c r="C197" s="118">
        <v>47400000</v>
      </c>
    </row>
    <row r="198" spans="1:3" hidden="1">
      <c r="A198" s="116" t="s">
        <v>339</v>
      </c>
      <c r="B198" s="118">
        <v>35000</v>
      </c>
      <c r="C198" s="118">
        <v>2204047900</v>
      </c>
    </row>
    <row r="199" spans="1:3" hidden="1">
      <c r="A199" s="117" t="s">
        <v>960</v>
      </c>
      <c r="B199" s="118">
        <v>4000</v>
      </c>
      <c r="C199" s="118">
        <v>341502000</v>
      </c>
    </row>
    <row r="200" spans="1:3" hidden="1">
      <c r="A200" s="117" t="s">
        <v>965</v>
      </c>
      <c r="B200" s="118">
        <v>600</v>
      </c>
      <c r="C200" s="118">
        <v>48733600</v>
      </c>
    </row>
    <row r="201" spans="1:3" hidden="1">
      <c r="A201" s="117" t="s">
        <v>966</v>
      </c>
      <c r="B201" s="118">
        <v>3500</v>
      </c>
      <c r="C201" s="118">
        <v>280051500</v>
      </c>
    </row>
    <row r="202" spans="1:3" hidden="1">
      <c r="A202" s="117" t="s">
        <v>997</v>
      </c>
      <c r="B202" s="118">
        <v>4000</v>
      </c>
      <c r="C202" s="118">
        <v>341502000</v>
      </c>
    </row>
    <row r="203" spans="1:3" hidden="1">
      <c r="A203" s="117" t="s">
        <v>1056</v>
      </c>
      <c r="B203" s="118">
        <v>2500</v>
      </c>
      <c r="C203" s="118">
        <v>207184000</v>
      </c>
    </row>
    <row r="204" spans="1:3" hidden="1">
      <c r="A204" s="117" t="s">
        <v>1113</v>
      </c>
      <c r="B204" s="118">
        <v>12000</v>
      </c>
      <c r="C204" s="118">
        <v>268635000</v>
      </c>
    </row>
    <row r="205" spans="1:3" hidden="1">
      <c r="A205" s="117" t="s">
        <v>1124</v>
      </c>
      <c r="B205" s="118">
        <v>3000</v>
      </c>
      <c r="C205" s="118">
        <v>218601000</v>
      </c>
    </row>
    <row r="206" spans="1:3" hidden="1">
      <c r="A206" s="117" t="s">
        <v>1178</v>
      </c>
      <c r="B206" s="118">
        <v>400</v>
      </c>
      <c r="C206" s="118">
        <v>29146800</v>
      </c>
    </row>
    <row r="207" spans="1:3" hidden="1">
      <c r="A207" s="117" t="s">
        <v>1204</v>
      </c>
      <c r="B207" s="118">
        <v>5000</v>
      </c>
      <c r="C207" s="118">
        <v>468692000</v>
      </c>
    </row>
    <row r="208" spans="1:3" hidden="1">
      <c r="A208" s="116" t="s">
        <v>116</v>
      </c>
      <c r="B208" s="118">
        <v>5</v>
      </c>
      <c r="C208" s="118">
        <v>5950000</v>
      </c>
    </row>
    <row r="209" spans="1:3" hidden="1">
      <c r="A209" s="117" t="s">
        <v>1038</v>
      </c>
      <c r="B209" s="118">
        <v>5</v>
      </c>
      <c r="C209" s="118">
        <v>5950000</v>
      </c>
    </row>
    <row r="210" spans="1:3" hidden="1">
      <c r="A210" s="116" t="s">
        <v>753</v>
      </c>
      <c r="B210" s="118">
        <v>2500</v>
      </c>
      <c r="C210" s="118">
        <v>0</v>
      </c>
    </row>
    <row r="211" spans="1:3" hidden="1">
      <c r="A211" s="117" t="s">
        <v>787</v>
      </c>
      <c r="B211" s="118">
        <v>2500</v>
      </c>
      <c r="C211" s="118">
        <v>0</v>
      </c>
    </row>
    <row r="212" spans="1:3" hidden="1">
      <c r="A212" s="116" t="s">
        <v>728</v>
      </c>
      <c r="B212" s="118">
        <v>305</v>
      </c>
      <c r="C212" s="118">
        <v>35175000</v>
      </c>
    </row>
    <row r="213" spans="1:3" hidden="1">
      <c r="A213" s="117" t="s">
        <v>1063</v>
      </c>
      <c r="B213" s="118">
        <v>305</v>
      </c>
      <c r="C213" s="118">
        <v>35175000</v>
      </c>
    </row>
    <row r="214" spans="1:3" hidden="1">
      <c r="A214" s="116" t="s">
        <v>9</v>
      </c>
      <c r="B214" s="118">
        <v>5150</v>
      </c>
      <c r="C214" s="118">
        <v>127100000</v>
      </c>
    </row>
    <row r="215" spans="1:3" hidden="1">
      <c r="A215" s="117" t="s">
        <v>1079</v>
      </c>
      <c r="B215" s="118">
        <v>5150</v>
      </c>
      <c r="C215" s="118">
        <v>127100000</v>
      </c>
    </row>
    <row r="216" spans="1:3" hidden="1">
      <c r="A216" s="116" t="s">
        <v>727</v>
      </c>
      <c r="B216" s="118">
        <v>149.27500000000001</v>
      </c>
      <c r="C216" s="118">
        <v>11047500</v>
      </c>
    </row>
    <row r="217" spans="1:3" hidden="1">
      <c r="A217" s="117" t="s">
        <v>1073</v>
      </c>
      <c r="B217" s="118">
        <v>50</v>
      </c>
      <c r="C217" s="118">
        <v>3500000</v>
      </c>
    </row>
    <row r="218" spans="1:3" hidden="1">
      <c r="A218" s="117" t="s">
        <v>1099</v>
      </c>
      <c r="B218" s="118">
        <v>7</v>
      </c>
      <c r="C218" s="118">
        <v>1645000</v>
      </c>
    </row>
    <row r="219" spans="1:3" hidden="1">
      <c r="A219" s="117" t="s">
        <v>1100</v>
      </c>
      <c r="B219" s="118">
        <v>0.125</v>
      </c>
      <c r="C219" s="118">
        <v>1645000</v>
      </c>
    </row>
    <row r="220" spans="1:3" hidden="1">
      <c r="A220" s="117" t="s">
        <v>1126</v>
      </c>
      <c r="B220" s="118">
        <v>10</v>
      </c>
      <c r="C220" s="118">
        <v>700000</v>
      </c>
    </row>
    <row r="221" spans="1:3" hidden="1">
      <c r="A221" s="117" t="s">
        <v>1177</v>
      </c>
      <c r="B221" s="118">
        <v>75</v>
      </c>
      <c r="C221" s="118">
        <v>1912500</v>
      </c>
    </row>
    <row r="222" spans="1:3" hidden="1">
      <c r="A222" s="117" t="s">
        <v>1179</v>
      </c>
      <c r="B222" s="118">
        <v>7</v>
      </c>
      <c r="C222" s="118">
        <v>1645000</v>
      </c>
    </row>
    <row r="223" spans="1:3" hidden="1">
      <c r="A223" s="117" t="s">
        <v>1180</v>
      </c>
      <c r="B223" s="118">
        <v>0.15</v>
      </c>
      <c r="C223" s="118">
        <v>0</v>
      </c>
    </row>
    <row r="224" spans="1:3" hidden="1">
      <c r="A224" s="116" t="s">
        <v>311</v>
      </c>
      <c r="B224" s="118">
        <v>1099.5</v>
      </c>
      <c r="C224" s="118">
        <v>56037000</v>
      </c>
    </row>
    <row r="225" spans="1:3" hidden="1">
      <c r="A225" s="117" t="s">
        <v>955</v>
      </c>
      <c r="B225" s="118">
        <v>1000</v>
      </c>
      <c r="C225" s="118">
        <v>50858000</v>
      </c>
    </row>
    <row r="226" spans="1:3" hidden="1">
      <c r="A226" s="117" t="s">
        <v>1047</v>
      </c>
      <c r="B226" s="118">
        <v>95</v>
      </c>
      <c r="C226" s="118">
        <v>5179000</v>
      </c>
    </row>
    <row r="227" spans="1:3" hidden="1">
      <c r="A227" s="117" t="s">
        <v>1050</v>
      </c>
      <c r="B227" s="118">
        <v>4.5</v>
      </c>
      <c r="C227" s="118">
        <v>0</v>
      </c>
    </row>
    <row r="228" spans="1:3" hidden="1">
      <c r="A228" s="116" t="s">
        <v>129</v>
      </c>
      <c r="B228" s="118">
        <v>57.25</v>
      </c>
      <c r="C228" s="118">
        <v>2717625</v>
      </c>
    </row>
    <row r="229" spans="1:3" hidden="1">
      <c r="A229" s="117" t="s">
        <v>1145</v>
      </c>
      <c r="B229" s="118">
        <v>55</v>
      </c>
      <c r="C229" s="118">
        <v>2717625</v>
      </c>
    </row>
    <row r="230" spans="1:3" hidden="1">
      <c r="A230" s="117" t="s">
        <v>1146</v>
      </c>
      <c r="B230" s="118">
        <v>2.25</v>
      </c>
      <c r="C230" s="118">
        <v>0</v>
      </c>
    </row>
    <row r="231" spans="1:3" hidden="1">
      <c r="A231" s="116" t="s">
        <v>337</v>
      </c>
      <c r="B231" s="118">
        <v>300</v>
      </c>
      <c r="C231" s="118">
        <v>10350000</v>
      </c>
    </row>
    <row r="232" spans="1:3" hidden="1">
      <c r="A232" s="117" t="s">
        <v>935</v>
      </c>
      <c r="B232" s="118">
        <v>150</v>
      </c>
      <c r="C232" s="118">
        <v>2400000</v>
      </c>
    </row>
    <row r="233" spans="1:3" hidden="1">
      <c r="A233" s="117" t="s">
        <v>1168</v>
      </c>
      <c r="B233" s="118">
        <v>150</v>
      </c>
      <c r="C233" s="118">
        <v>7950000</v>
      </c>
    </row>
    <row r="234" spans="1:3" hidden="1">
      <c r="A234" s="116" t="s">
        <v>100</v>
      </c>
      <c r="B234" s="118">
        <v>125</v>
      </c>
      <c r="C234" s="118">
        <v>3981250</v>
      </c>
    </row>
    <row r="235" spans="1:3" hidden="1">
      <c r="A235" s="117" t="s">
        <v>849</v>
      </c>
      <c r="B235" s="118">
        <v>125</v>
      </c>
      <c r="C235" s="118">
        <v>3981250</v>
      </c>
    </row>
    <row r="236" spans="1:3" hidden="1">
      <c r="A236" s="116" t="s">
        <v>711</v>
      </c>
      <c r="B236" s="118">
        <v>1300</v>
      </c>
      <c r="C236" s="118">
        <v>113000000</v>
      </c>
    </row>
    <row r="237" spans="1:3" hidden="1">
      <c r="A237" s="117" t="s">
        <v>864</v>
      </c>
      <c r="B237" s="118">
        <v>500</v>
      </c>
      <c r="C237" s="118">
        <v>51250000</v>
      </c>
    </row>
    <row r="238" spans="1:3" hidden="1">
      <c r="A238" s="117" t="s">
        <v>1000</v>
      </c>
      <c r="B238" s="118">
        <v>500</v>
      </c>
      <c r="C238" s="118">
        <v>51250000</v>
      </c>
    </row>
    <row r="239" spans="1:3" hidden="1">
      <c r="A239" s="117" t="s">
        <v>1001</v>
      </c>
      <c r="B239" s="118">
        <v>300</v>
      </c>
      <c r="C239" s="118">
        <v>10500000</v>
      </c>
    </row>
    <row r="240" spans="1:3" hidden="1">
      <c r="A240" s="116" t="s">
        <v>746</v>
      </c>
      <c r="B240" s="118">
        <v>50</v>
      </c>
      <c r="C240" s="118">
        <v>11011000</v>
      </c>
    </row>
    <row r="241" spans="1:3" hidden="1">
      <c r="A241" s="117" t="s">
        <v>1120</v>
      </c>
      <c r="B241" s="118">
        <v>50</v>
      </c>
      <c r="C241" s="118">
        <v>11011000</v>
      </c>
    </row>
    <row r="242" spans="1:3" hidden="1">
      <c r="A242" s="116" t="s">
        <v>334</v>
      </c>
      <c r="B242" s="118">
        <v>21300</v>
      </c>
      <c r="C242" s="118">
        <v>395825000</v>
      </c>
    </row>
    <row r="243" spans="1:3" hidden="1">
      <c r="A243" s="117" t="s">
        <v>942</v>
      </c>
      <c r="B243" s="118">
        <v>1300</v>
      </c>
      <c r="C243" s="118">
        <v>23075000</v>
      </c>
    </row>
    <row r="244" spans="1:3" hidden="1">
      <c r="A244" s="117" t="s">
        <v>971</v>
      </c>
      <c r="B244" s="118">
        <v>7000</v>
      </c>
      <c r="C244" s="118">
        <v>124250000</v>
      </c>
    </row>
    <row r="245" spans="1:3" hidden="1">
      <c r="A245" s="117" t="s">
        <v>972</v>
      </c>
      <c r="B245" s="118">
        <v>7000</v>
      </c>
      <c r="C245" s="118">
        <v>124250000</v>
      </c>
    </row>
    <row r="246" spans="1:3" hidden="1">
      <c r="A246" s="117" t="s">
        <v>973</v>
      </c>
      <c r="B246" s="118">
        <v>6000</v>
      </c>
      <c r="C246" s="118">
        <v>124250000</v>
      </c>
    </row>
    <row r="247" spans="1:3" hidden="1">
      <c r="A247" s="116" t="s">
        <v>17</v>
      </c>
      <c r="B247" s="118">
        <v>4328</v>
      </c>
      <c r="C247" s="118">
        <v>89600000</v>
      </c>
    </row>
    <row r="248" spans="1:3" hidden="1">
      <c r="A248" s="117" t="s">
        <v>988</v>
      </c>
      <c r="B248" s="118">
        <v>28</v>
      </c>
      <c r="C248" s="118">
        <v>1400000</v>
      </c>
    </row>
    <row r="249" spans="1:3" hidden="1">
      <c r="A249" s="117" t="s">
        <v>1081</v>
      </c>
      <c r="B249" s="118">
        <v>200</v>
      </c>
      <c r="C249" s="118">
        <v>9300000</v>
      </c>
    </row>
    <row r="250" spans="1:3" hidden="1">
      <c r="A250" s="117" t="s">
        <v>1133</v>
      </c>
      <c r="B250" s="118">
        <v>100</v>
      </c>
      <c r="C250" s="118">
        <v>5500000</v>
      </c>
    </row>
    <row r="251" spans="1:3" hidden="1">
      <c r="A251" s="117" t="s">
        <v>1153</v>
      </c>
      <c r="B251" s="118">
        <v>4000</v>
      </c>
      <c r="C251" s="118">
        <v>73400000</v>
      </c>
    </row>
    <row r="252" spans="1:3" hidden="1">
      <c r="A252" s="116" t="s">
        <v>119</v>
      </c>
      <c r="B252" s="118">
        <v>809.5</v>
      </c>
      <c r="C252" s="118">
        <v>89638000</v>
      </c>
    </row>
    <row r="253" spans="1:3" hidden="1">
      <c r="A253" s="117" t="s">
        <v>1209</v>
      </c>
      <c r="B253" s="118">
        <v>809.5</v>
      </c>
      <c r="C253" s="118">
        <v>89638000</v>
      </c>
    </row>
    <row r="254" spans="1:3" hidden="1">
      <c r="A254" s="116" t="s">
        <v>175</v>
      </c>
      <c r="B254" s="118">
        <v>1275</v>
      </c>
      <c r="C254" s="118">
        <v>30375000</v>
      </c>
    </row>
    <row r="255" spans="1:3" hidden="1">
      <c r="A255" s="117" t="s">
        <v>1040</v>
      </c>
      <c r="B255" s="118">
        <v>1275</v>
      </c>
      <c r="C255" s="118">
        <v>30375000</v>
      </c>
    </row>
    <row r="256" spans="1:3" hidden="1">
      <c r="A256" s="116" t="s">
        <v>718</v>
      </c>
      <c r="B256" s="118">
        <v>5177.5</v>
      </c>
      <c r="C256" s="118">
        <v>204205000</v>
      </c>
    </row>
    <row r="257" spans="1:3" hidden="1">
      <c r="A257" s="117" t="s">
        <v>941</v>
      </c>
      <c r="B257" s="118">
        <v>25</v>
      </c>
      <c r="C257" s="118">
        <v>1500000</v>
      </c>
    </row>
    <row r="258" spans="1:3" hidden="1">
      <c r="A258" s="117" t="s">
        <v>984</v>
      </c>
      <c r="B258" s="118">
        <v>2850</v>
      </c>
      <c r="C258" s="118">
        <v>148410000</v>
      </c>
    </row>
    <row r="259" spans="1:3" hidden="1">
      <c r="A259" s="117" t="s">
        <v>985</v>
      </c>
      <c r="B259" s="118">
        <v>37.5</v>
      </c>
      <c r="C259" s="118">
        <v>0</v>
      </c>
    </row>
    <row r="260" spans="1:3" hidden="1">
      <c r="A260" s="117" t="s">
        <v>986</v>
      </c>
      <c r="B260" s="118">
        <v>700</v>
      </c>
      <c r="C260" s="118">
        <v>18410000</v>
      </c>
    </row>
    <row r="261" spans="1:3" hidden="1">
      <c r="A261" s="117" t="s">
        <v>987</v>
      </c>
      <c r="B261" s="118">
        <v>1550</v>
      </c>
      <c r="C261" s="118">
        <v>33235000</v>
      </c>
    </row>
    <row r="262" spans="1:3" hidden="1">
      <c r="A262" s="117" t="s">
        <v>1150</v>
      </c>
      <c r="B262" s="118">
        <v>15</v>
      </c>
      <c r="C262" s="118">
        <v>2650000</v>
      </c>
    </row>
    <row r="263" spans="1:3" hidden="1">
      <c r="A263" s="116" t="s">
        <v>108</v>
      </c>
      <c r="B263" s="118">
        <v>400</v>
      </c>
      <c r="C263" s="118">
        <v>10520000</v>
      </c>
    </row>
    <row r="264" spans="1:3" hidden="1">
      <c r="A264" s="117" t="s">
        <v>790</v>
      </c>
      <c r="B264" s="118">
        <v>400</v>
      </c>
      <c r="C264" s="118">
        <v>10520000</v>
      </c>
    </row>
    <row r="265" spans="1:3" hidden="1">
      <c r="A265" s="116" t="s">
        <v>104</v>
      </c>
      <c r="B265" s="118">
        <v>229</v>
      </c>
      <c r="C265" s="118">
        <v>61830000</v>
      </c>
    </row>
    <row r="266" spans="1:3" hidden="1">
      <c r="A266" s="117" t="s">
        <v>760</v>
      </c>
      <c r="B266" s="118">
        <v>11</v>
      </c>
      <c r="C266" s="118">
        <v>2970000</v>
      </c>
    </row>
    <row r="267" spans="1:3" hidden="1">
      <c r="A267" s="117" t="s">
        <v>970</v>
      </c>
      <c r="B267" s="118">
        <v>20</v>
      </c>
      <c r="C267" s="118">
        <v>5400000</v>
      </c>
    </row>
    <row r="268" spans="1:3" hidden="1">
      <c r="A268" s="117" t="s">
        <v>994</v>
      </c>
      <c r="B268" s="118">
        <v>13</v>
      </c>
      <c r="C268" s="118">
        <v>3510000</v>
      </c>
    </row>
    <row r="269" spans="1:3" hidden="1">
      <c r="A269" s="117" t="s">
        <v>1147</v>
      </c>
      <c r="B269" s="118">
        <v>15</v>
      </c>
      <c r="C269" s="118">
        <v>4050000</v>
      </c>
    </row>
    <row r="270" spans="1:3" hidden="1">
      <c r="A270" s="117" t="s">
        <v>1148</v>
      </c>
      <c r="B270" s="118">
        <v>24</v>
      </c>
      <c r="C270" s="118">
        <v>6480000</v>
      </c>
    </row>
    <row r="271" spans="1:3" hidden="1">
      <c r="A271" s="117" t="s">
        <v>1149</v>
      </c>
      <c r="B271" s="118">
        <v>23</v>
      </c>
      <c r="C271" s="118">
        <v>6210000</v>
      </c>
    </row>
    <row r="272" spans="1:3" hidden="1">
      <c r="A272" s="117" t="s">
        <v>1171</v>
      </c>
      <c r="B272" s="118">
        <v>28</v>
      </c>
      <c r="C272" s="118">
        <v>7560000</v>
      </c>
    </row>
    <row r="273" spans="1:3" hidden="1">
      <c r="A273" s="117" t="s">
        <v>1172</v>
      </c>
      <c r="B273" s="118">
        <v>95</v>
      </c>
      <c r="C273" s="118">
        <v>25650000</v>
      </c>
    </row>
    <row r="274" spans="1:3" hidden="1">
      <c r="A274" s="116" t="s">
        <v>139</v>
      </c>
      <c r="B274" s="118">
        <v>1.5</v>
      </c>
      <c r="C274" s="118">
        <v>780000</v>
      </c>
    </row>
    <row r="275" spans="1:3" hidden="1">
      <c r="A275" s="117" t="s">
        <v>1068</v>
      </c>
      <c r="B275" s="118">
        <v>1.5</v>
      </c>
      <c r="C275" s="118">
        <v>780000</v>
      </c>
    </row>
    <row r="276" spans="1:3" hidden="1">
      <c r="A276" s="116" t="s">
        <v>344</v>
      </c>
      <c r="B276" s="118">
        <v>53</v>
      </c>
      <c r="C276" s="118">
        <v>2549000</v>
      </c>
    </row>
    <row r="277" spans="1:3" hidden="1">
      <c r="A277" s="117" t="s">
        <v>1101</v>
      </c>
      <c r="B277" s="118">
        <v>40</v>
      </c>
      <c r="C277" s="118">
        <v>1600000</v>
      </c>
    </row>
    <row r="278" spans="1:3" hidden="1">
      <c r="A278" s="117" t="s">
        <v>1164</v>
      </c>
      <c r="B278" s="118">
        <v>13</v>
      </c>
      <c r="C278" s="118">
        <v>949000</v>
      </c>
    </row>
    <row r="279" spans="1:3" hidden="1">
      <c r="A279" s="116" t="s">
        <v>328</v>
      </c>
      <c r="B279" s="118">
        <v>160</v>
      </c>
      <c r="C279" s="118">
        <v>13780000</v>
      </c>
    </row>
    <row r="280" spans="1:3" hidden="1">
      <c r="A280" s="117" t="s">
        <v>1114</v>
      </c>
      <c r="B280" s="118">
        <v>10</v>
      </c>
      <c r="C280" s="118">
        <v>5200000</v>
      </c>
    </row>
    <row r="281" spans="1:3" hidden="1">
      <c r="A281" s="117" t="s">
        <v>1160</v>
      </c>
      <c r="B281" s="118">
        <v>150</v>
      </c>
      <c r="C281" s="118">
        <v>8580000</v>
      </c>
    </row>
    <row r="282" spans="1:3" hidden="1">
      <c r="A282" s="116" t="s">
        <v>4</v>
      </c>
      <c r="B282" s="118">
        <v>25.5</v>
      </c>
      <c r="C282" s="118">
        <v>11115000</v>
      </c>
    </row>
    <row r="283" spans="1:3" hidden="1">
      <c r="A283" s="117" t="s">
        <v>902</v>
      </c>
      <c r="B283" s="118">
        <v>5</v>
      </c>
      <c r="C283" s="118">
        <v>2600000</v>
      </c>
    </row>
    <row r="284" spans="1:3" hidden="1">
      <c r="A284" s="117" t="s">
        <v>1026</v>
      </c>
      <c r="B284" s="118">
        <v>5</v>
      </c>
      <c r="C284" s="118">
        <v>5200000</v>
      </c>
    </row>
    <row r="285" spans="1:3" hidden="1">
      <c r="A285" s="117" t="s">
        <v>1196</v>
      </c>
      <c r="B285" s="118">
        <v>15.5</v>
      </c>
      <c r="C285" s="118">
        <v>3315000</v>
      </c>
    </row>
    <row r="286" spans="1:3" hidden="1">
      <c r="A286" s="116" t="s">
        <v>761</v>
      </c>
      <c r="B286" s="118">
        <v>4</v>
      </c>
      <c r="C286" s="118">
        <v>2080000</v>
      </c>
    </row>
    <row r="287" spans="1:3" hidden="1">
      <c r="A287" s="117" t="s">
        <v>1132</v>
      </c>
      <c r="B287" s="118">
        <v>4</v>
      </c>
      <c r="C287" s="118">
        <v>2080000</v>
      </c>
    </row>
    <row r="288" spans="1:3" hidden="1">
      <c r="A288" s="116" t="s">
        <v>540</v>
      </c>
      <c r="B288" s="118">
        <v>38.700000000000003</v>
      </c>
      <c r="C288" s="118">
        <v>3790000</v>
      </c>
    </row>
    <row r="289" spans="1:3" hidden="1">
      <c r="A289" s="117" t="s">
        <v>992</v>
      </c>
      <c r="B289" s="118">
        <v>10</v>
      </c>
      <c r="C289" s="118">
        <v>610000</v>
      </c>
    </row>
    <row r="290" spans="1:3" hidden="1">
      <c r="A290" s="117" t="s">
        <v>993</v>
      </c>
      <c r="B290" s="118">
        <v>0.75</v>
      </c>
      <c r="C290" s="118">
        <v>610000</v>
      </c>
    </row>
    <row r="291" spans="1:3" hidden="1">
      <c r="A291" s="117" t="s">
        <v>1205</v>
      </c>
      <c r="B291" s="118">
        <v>26</v>
      </c>
      <c r="C291" s="118">
        <v>2570000</v>
      </c>
    </row>
    <row r="292" spans="1:3" hidden="1">
      <c r="A292" s="117" t="s">
        <v>1206</v>
      </c>
      <c r="B292" s="118">
        <v>1.95</v>
      </c>
      <c r="C292" s="118">
        <v>0</v>
      </c>
    </row>
    <row r="293" spans="1:3" hidden="1">
      <c r="A293" s="116" t="s">
        <v>767</v>
      </c>
      <c r="B293" s="118">
        <v>35</v>
      </c>
      <c r="C293" s="118">
        <v>7525000</v>
      </c>
    </row>
    <row r="294" spans="1:3" hidden="1">
      <c r="A294" s="117" t="s">
        <v>1024</v>
      </c>
      <c r="B294" s="118">
        <v>20</v>
      </c>
      <c r="C294" s="118">
        <v>4300000</v>
      </c>
    </row>
    <row r="295" spans="1:3" hidden="1">
      <c r="A295" s="117" t="s">
        <v>1106</v>
      </c>
      <c r="B295" s="118">
        <v>15</v>
      </c>
      <c r="C295" s="118">
        <v>3225000</v>
      </c>
    </row>
    <row r="296" spans="1:3" hidden="1">
      <c r="A296" s="116" t="s">
        <v>135</v>
      </c>
      <c r="B296" s="118">
        <v>1500</v>
      </c>
      <c r="C296" s="118">
        <v>269250000</v>
      </c>
    </row>
    <row r="297" spans="1:3" hidden="1">
      <c r="A297" s="117" t="s">
        <v>834</v>
      </c>
      <c r="B297" s="118">
        <v>500</v>
      </c>
      <c r="C297" s="118">
        <v>89750000</v>
      </c>
    </row>
    <row r="298" spans="1:3" hidden="1">
      <c r="A298" s="117" t="s">
        <v>1139</v>
      </c>
      <c r="B298" s="118">
        <v>1000</v>
      </c>
      <c r="C298" s="118">
        <v>179500000</v>
      </c>
    </row>
    <row r="299" spans="1:3" hidden="1">
      <c r="A299" s="116" t="s">
        <v>789</v>
      </c>
      <c r="B299" s="118">
        <v>274700</v>
      </c>
      <c r="C299" s="118">
        <v>544885000</v>
      </c>
    </row>
    <row r="300" spans="1:3" hidden="1">
      <c r="A300" s="117" t="s">
        <v>788</v>
      </c>
      <c r="B300" s="118">
        <v>270000</v>
      </c>
      <c r="C300" s="118">
        <v>426600000</v>
      </c>
    </row>
    <row r="301" spans="1:3" hidden="1">
      <c r="A301" s="117" t="s">
        <v>829</v>
      </c>
      <c r="B301" s="118">
        <v>1000</v>
      </c>
      <c r="C301" s="118">
        <v>19500000</v>
      </c>
    </row>
    <row r="302" spans="1:3" hidden="1">
      <c r="A302" s="117" t="s">
        <v>852</v>
      </c>
      <c r="B302" s="118">
        <v>50</v>
      </c>
      <c r="C302" s="118">
        <v>810000</v>
      </c>
    </row>
    <row r="303" spans="1:3" hidden="1">
      <c r="A303" s="117" t="s">
        <v>895</v>
      </c>
      <c r="B303" s="118">
        <v>1700</v>
      </c>
      <c r="C303" s="118">
        <v>51810000</v>
      </c>
    </row>
    <row r="304" spans="1:3" hidden="1">
      <c r="A304" s="117" t="s">
        <v>940</v>
      </c>
      <c r="B304" s="118">
        <v>600</v>
      </c>
      <c r="C304" s="118">
        <v>18620000</v>
      </c>
    </row>
    <row r="305" spans="1:3" hidden="1">
      <c r="A305" s="117" t="s">
        <v>1031</v>
      </c>
      <c r="B305" s="118">
        <v>250</v>
      </c>
      <c r="C305" s="118">
        <v>10125000</v>
      </c>
    </row>
    <row r="306" spans="1:3" hidden="1">
      <c r="A306" s="117" t="s">
        <v>1091</v>
      </c>
      <c r="B306" s="118">
        <v>1000</v>
      </c>
      <c r="C306" s="118">
        <v>15800000</v>
      </c>
    </row>
    <row r="307" spans="1:3" hidden="1">
      <c r="A307" s="117" t="s">
        <v>1138</v>
      </c>
      <c r="B307" s="118">
        <v>50</v>
      </c>
      <c r="C307" s="118">
        <v>810000</v>
      </c>
    </row>
    <row r="308" spans="1:3" hidden="1">
      <c r="A308" s="117" t="s">
        <v>1191</v>
      </c>
      <c r="B308" s="118">
        <v>50</v>
      </c>
      <c r="C308" s="118">
        <v>810000</v>
      </c>
    </row>
    <row r="309" spans="1:3" hidden="1">
      <c r="A309" s="116" t="s">
        <v>794</v>
      </c>
      <c r="B309" s="118">
        <v>1400</v>
      </c>
      <c r="C309" s="118">
        <v>90141000</v>
      </c>
    </row>
    <row r="310" spans="1:3" hidden="1">
      <c r="A310" s="117" t="s">
        <v>799</v>
      </c>
      <c r="B310" s="118">
        <v>75</v>
      </c>
      <c r="C310" s="118">
        <v>2587000</v>
      </c>
    </row>
    <row r="311" spans="1:3" hidden="1">
      <c r="A311" s="117" t="s">
        <v>823</v>
      </c>
      <c r="B311" s="118">
        <v>125</v>
      </c>
      <c r="C311" s="118">
        <v>6482500</v>
      </c>
    </row>
    <row r="312" spans="1:3" hidden="1">
      <c r="A312" s="117" t="s">
        <v>874</v>
      </c>
      <c r="B312" s="118">
        <v>400</v>
      </c>
      <c r="C312" s="118">
        <v>22650000</v>
      </c>
    </row>
    <row r="313" spans="1:3" hidden="1">
      <c r="A313" s="117" t="s">
        <v>900</v>
      </c>
      <c r="B313" s="118">
        <v>150</v>
      </c>
      <c r="C313" s="118">
        <v>7779000</v>
      </c>
    </row>
    <row r="314" spans="1:3" hidden="1">
      <c r="A314" s="117" t="s">
        <v>931</v>
      </c>
      <c r="B314" s="118">
        <v>75</v>
      </c>
      <c r="C314" s="118">
        <v>13515000</v>
      </c>
    </row>
    <row r="315" spans="1:3" hidden="1">
      <c r="A315" s="117" t="s">
        <v>1032</v>
      </c>
      <c r="B315" s="118">
        <v>150</v>
      </c>
      <c r="C315" s="118">
        <v>7950000</v>
      </c>
    </row>
    <row r="316" spans="1:3" hidden="1">
      <c r="A316" s="117" t="s">
        <v>1064</v>
      </c>
      <c r="B316" s="118">
        <v>200</v>
      </c>
      <c r="C316" s="118">
        <v>9186000</v>
      </c>
    </row>
    <row r="317" spans="1:3" hidden="1">
      <c r="A317" s="117" t="s">
        <v>1078</v>
      </c>
      <c r="B317" s="118">
        <v>75</v>
      </c>
      <c r="C317" s="118">
        <v>13515000</v>
      </c>
    </row>
    <row r="318" spans="1:3" hidden="1">
      <c r="A318" s="117" t="s">
        <v>1144</v>
      </c>
      <c r="B318" s="118">
        <v>75</v>
      </c>
      <c r="C318" s="118">
        <v>3889500</v>
      </c>
    </row>
    <row r="319" spans="1:3" hidden="1">
      <c r="A319" s="117" t="s">
        <v>1199</v>
      </c>
      <c r="B319" s="118">
        <v>75</v>
      </c>
      <c r="C319" s="118">
        <v>2587000</v>
      </c>
    </row>
    <row r="320" spans="1:3" hidden="1">
      <c r="A320" s="116" t="s">
        <v>6</v>
      </c>
      <c r="B320" s="118">
        <v>13</v>
      </c>
      <c r="C320" s="118">
        <v>6760000</v>
      </c>
    </row>
    <row r="321" spans="1:3" hidden="1">
      <c r="A321" s="117" t="s">
        <v>798</v>
      </c>
      <c r="B321" s="118">
        <v>13</v>
      </c>
      <c r="C321" s="118">
        <v>6760000</v>
      </c>
    </row>
    <row r="322" spans="1:3" hidden="1">
      <c r="A322" s="116" t="s">
        <v>802</v>
      </c>
      <c r="B322" s="118">
        <v>500</v>
      </c>
      <c r="C322" s="118">
        <v>10000000</v>
      </c>
    </row>
    <row r="323" spans="1:3" hidden="1">
      <c r="A323" s="117" t="s">
        <v>801</v>
      </c>
      <c r="B323" s="118">
        <v>500</v>
      </c>
      <c r="C323" s="118">
        <v>10000000</v>
      </c>
    </row>
    <row r="324" spans="1:3" hidden="1">
      <c r="A324" s="116" t="s">
        <v>809</v>
      </c>
      <c r="B324" s="118">
        <v>124</v>
      </c>
      <c r="C324" s="118">
        <v>10395000</v>
      </c>
    </row>
    <row r="325" spans="1:3" hidden="1">
      <c r="A325" s="117" t="s">
        <v>763</v>
      </c>
      <c r="B325" s="118">
        <v>15</v>
      </c>
      <c r="C325" s="118">
        <v>1575000</v>
      </c>
    </row>
    <row r="326" spans="1:3" hidden="1">
      <c r="A326" s="117" t="s">
        <v>875</v>
      </c>
      <c r="B326" s="118">
        <v>34</v>
      </c>
      <c r="C326" s="118">
        <v>3570000</v>
      </c>
    </row>
    <row r="327" spans="1:3" hidden="1">
      <c r="A327" s="117" t="s">
        <v>1009</v>
      </c>
      <c r="B327" s="118">
        <v>75</v>
      </c>
      <c r="C327" s="118">
        <v>5250000</v>
      </c>
    </row>
    <row r="328" spans="1:3" hidden="1">
      <c r="A328" s="116" t="s">
        <v>699</v>
      </c>
      <c r="B328" s="118">
        <v>1225</v>
      </c>
      <c r="C328" s="118">
        <v>67437500</v>
      </c>
    </row>
    <row r="329" spans="1:3" hidden="1">
      <c r="A329" s="117" t="s">
        <v>825</v>
      </c>
      <c r="B329" s="118">
        <v>50</v>
      </c>
      <c r="C329" s="118">
        <v>9010000</v>
      </c>
    </row>
    <row r="330" spans="1:3" hidden="1">
      <c r="A330" s="117" t="s">
        <v>831</v>
      </c>
      <c r="B330" s="118">
        <v>75</v>
      </c>
      <c r="C330" s="118">
        <v>2587000</v>
      </c>
    </row>
    <row r="331" spans="1:3" hidden="1">
      <c r="A331" s="117" t="s">
        <v>899</v>
      </c>
      <c r="B331" s="118">
        <v>100</v>
      </c>
      <c r="C331" s="118">
        <v>3890000</v>
      </c>
    </row>
    <row r="332" spans="1:3" hidden="1">
      <c r="A332" s="117" t="s">
        <v>964</v>
      </c>
      <c r="B332" s="118">
        <v>100</v>
      </c>
      <c r="C332" s="118">
        <v>3450000</v>
      </c>
    </row>
    <row r="333" spans="1:3" hidden="1">
      <c r="A333" s="117" t="s">
        <v>1016</v>
      </c>
      <c r="B333" s="118">
        <v>100</v>
      </c>
      <c r="C333" s="118">
        <v>5410000</v>
      </c>
    </row>
    <row r="334" spans="1:3" hidden="1">
      <c r="A334" s="117" t="s">
        <v>1019</v>
      </c>
      <c r="B334" s="118">
        <v>100</v>
      </c>
      <c r="C334" s="118">
        <v>3450000</v>
      </c>
    </row>
    <row r="335" spans="1:3" hidden="1">
      <c r="A335" s="117" t="s">
        <v>1039</v>
      </c>
      <c r="B335" s="118">
        <v>100</v>
      </c>
      <c r="C335" s="118">
        <v>11603000</v>
      </c>
    </row>
    <row r="336" spans="1:3" hidden="1">
      <c r="A336" s="117" t="s">
        <v>1055</v>
      </c>
      <c r="B336" s="118">
        <v>125</v>
      </c>
      <c r="C336" s="118">
        <v>11927500</v>
      </c>
    </row>
    <row r="337" spans="1:3" hidden="1">
      <c r="A337" s="117" t="s">
        <v>1117</v>
      </c>
      <c r="B337" s="118">
        <v>175</v>
      </c>
      <c r="C337" s="118">
        <v>7782500</v>
      </c>
    </row>
    <row r="338" spans="1:3" hidden="1">
      <c r="A338" s="117" t="s">
        <v>1143</v>
      </c>
      <c r="B338" s="118">
        <v>75</v>
      </c>
      <c r="C338" s="118">
        <v>1629750</v>
      </c>
    </row>
    <row r="339" spans="1:3" hidden="1">
      <c r="A339" s="117" t="s">
        <v>1152</v>
      </c>
      <c r="B339" s="118">
        <v>75</v>
      </c>
      <c r="C339" s="118">
        <v>1629750</v>
      </c>
    </row>
    <row r="340" spans="1:3" hidden="1">
      <c r="A340" s="117" t="s">
        <v>1161</v>
      </c>
      <c r="B340" s="118">
        <v>50</v>
      </c>
      <c r="C340" s="118">
        <v>1237500</v>
      </c>
    </row>
    <row r="341" spans="1:3" hidden="1">
      <c r="A341" s="117" t="s">
        <v>1187</v>
      </c>
      <c r="B341" s="118">
        <v>50</v>
      </c>
      <c r="C341" s="118">
        <v>1237500</v>
      </c>
    </row>
    <row r="342" spans="1:3" hidden="1">
      <c r="A342" s="117" t="s">
        <v>1210</v>
      </c>
      <c r="B342" s="118">
        <v>50</v>
      </c>
      <c r="C342" s="118">
        <v>2593000</v>
      </c>
    </row>
    <row r="343" spans="1:3" hidden="1">
      <c r="A343" s="116" t="s">
        <v>349</v>
      </c>
      <c r="B343" s="118">
        <v>2500</v>
      </c>
      <c r="C343" s="118">
        <v>0</v>
      </c>
    </row>
    <row r="344" spans="1:3" hidden="1">
      <c r="A344" s="117" t="s">
        <v>832</v>
      </c>
      <c r="B344" s="118">
        <v>2300</v>
      </c>
      <c r="C344" s="118">
        <v>0</v>
      </c>
    </row>
    <row r="345" spans="1:3" hidden="1">
      <c r="A345" s="117" t="s">
        <v>833</v>
      </c>
      <c r="B345" s="118">
        <v>200</v>
      </c>
      <c r="C345" s="118">
        <v>0</v>
      </c>
    </row>
    <row r="346" spans="1:3" hidden="1">
      <c r="A346" s="116" t="s">
        <v>860</v>
      </c>
      <c r="B346" s="118">
        <v>322</v>
      </c>
      <c r="C346" s="118">
        <v>37622400</v>
      </c>
    </row>
    <row r="347" spans="1:3" hidden="1">
      <c r="A347" s="117" t="s">
        <v>859</v>
      </c>
      <c r="B347" s="118">
        <v>72</v>
      </c>
      <c r="C347" s="118">
        <v>12748400</v>
      </c>
    </row>
    <row r="348" spans="1:3" hidden="1">
      <c r="A348" s="117" t="s">
        <v>1118</v>
      </c>
      <c r="B348" s="118">
        <v>250</v>
      </c>
      <c r="C348" s="118">
        <v>24874000</v>
      </c>
    </row>
    <row r="349" spans="1:3" hidden="1">
      <c r="A349" s="116" t="s">
        <v>885</v>
      </c>
      <c r="B349" s="118">
        <v>11</v>
      </c>
      <c r="C349" s="118">
        <v>6490000</v>
      </c>
    </row>
    <row r="350" spans="1:3" hidden="1">
      <c r="A350" s="117" t="s">
        <v>884</v>
      </c>
      <c r="B350" s="118">
        <v>11</v>
      </c>
      <c r="C350" s="118">
        <v>6490000</v>
      </c>
    </row>
    <row r="351" spans="1:3" hidden="1">
      <c r="A351" s="116" t="s">
        <v>487</v>
      </c>
      <c r="B351" s="118">
        <v>100</v>
      </c>
      <c r="C351" s="118">
        <v>2500000</v>
      </c>
    </row>
    <row r="352" spans="1:3" hidden="1">
      <c r="A352" s="117" t="s">
        <v>887</v>
      </c>
      <c r="B352" s="118">
        <v>100</v>
      </c>
      <c r="C352" s="118">
        <v>2500000</v>
      </c>
    </row>
    <row r="353" spans="1:3" hidden="1">
      <c r="A353" s="116" t="s">
        <v>889</v>
      </c>
      <c r="B353" s="118">
        <v>782.5</v>
      </c>
      <c r="C353" s="118">
        <v>64289875</v>
      </c>
    </row>
    <row r="354" spans="1:3" hidden="1">
      <c r="A354" s="117" t="s">
        <v>888</v>
      </c>
      <c r="B354" s="118">
        <v>15</v>
      </c>
      <c r="C354" s="118">
        <v>6408750</v>
      </c>
    </row>
    <row r="355" spans="1:3" hidden="1">
      <c r="A355" s="117" t="s">
        <v>946</v>
      </c>
      <c r="B355" s="118">
        <v>36</v>
      </c>
      <c r="C355" s="118">
        <v>8287000</v>
      </c>
    </row>
    <row r="356" spans="1:3" hidden="1">
      <c r="A356" s="117" t="s">
        <v>969</v>
      </c>
      <c r="B356" s="118">
        <v>74</v>
      </c>
      <c r="C356" s="118">
        <v>8452000</v>
      </c>
    </row>
    <row r="357" spans="1:3" hidden="1">
      <c r="A357" s="117" t="s">
        <v>978</v>
      </c>
      <c r="B357" s="118">
        <v>100</v>
      </c>
      <c r="C357" s="118">
        <v>5250000</v>
      </c>
    </row>
    <row r="358" spans="1:3" hidden="1">
      <c r="A358" s="117" t="s">
        <v>979</v>
      </c>
      <c r="B358" s="118">
        <v>7.5</v>
      </c>
      <c r="C358" s="118">
        <v>0</v>
      </c>
    </row>
    <row r="359" spans="1:3" hidden="1">
      <c r="A359" s="117" t="s">
        <v>1041</v>
      </c>
      <c r="B359" s="118">
        <v>60</v>
      </c>
      <c r="C359" s="118">
        <v>3150000</v>
      </c>
    </row>
    <row r="360" spans="1:3" hidden="1">
      <c r="A360" s="117" t="s">
        <v>1042</v>
      </c>
      <c r="B360" s="118">
        <v>4.5</v>
      </c>
      <c r="C360" s="118">
        <v>0</v>
      </c>
    </row>
    <row r="361" spans="1:3" hidden="1">
      <c r="A361" s="117" t="s">
        <v>1192</v>
      </c>
      <c r="B361" s="118">
        <v>6.5</v>
      </c>
      <c r="C361" s="118">
        <v>2777125</v>
      </c>
    </row>
    <row r="362" spans="1:3" hidden="1">
      <c r="A362" s="117" t="s">
        <v>1193</v>
      </c>
      <c r="B362" s="118">
        <v>150</v>
      </c>
      <c r="C362" s="118">
        <v>7875000</v>
      </c>
    </row>
    <row r="363" spans="1:3" hidden="1">
      <c r="A363" s="117" t="s">
        <v>1194</v>
      </c>
      <c r="B363" s="118">
        <v>150</v>
      </c>
      <c r="C363" s="118">
        <v>7875000</v>
      </c>
    </row>
    <row r="364" spans="1:3" hidden="1">
      <c r="A364" s="117" t="s">
        <v>1197</v>
      </c>
      <c r="B364" s="118">
        <v>179</v>
      </c>
      <c r="C364" s="118">
        <v>14215000</v>
      </c>
    </row>
    <row r="365" spans="1:3" hidden="1">
      <c r="A365" s="116" t="s">
        <v>893</v>
      </c>
      <c r="B365" s="118">
        <v>2105</v>
      </c>
      <c r="C365" s="118">
        <v>87955000</v>
      </c>
    </row>
    <row r="366" spans="1:3" hidden="1">
      <c r="A366" s="117" t="s">
        <v>892</v>
      </c>
      <c r="B366" s="118">
        <v>450</v>
      </c>
      <c r="C366" s="118">
        <v>7425000</v>
      </c>
    </row>
    <row r="367" spans="1:3" hidden="1">
      <c r="A367" s="117" t="s">
        <v>1006</v>
      </c>
      <c r="B367" s="118">
        <v>1125</v>
      </c>
      <c r="C367" s="118">
        <v>51300000</v>
      </c>
    </row>
    <row r="368" spans="1:3" hidden="1">
      <c r="A368" s="117" t="s">
        <v>1108</v>
      </c>
      <c r="B368" s="118">
        <v>100</v>
      </c>
      <c r="C368" s="118">
        <v>6750000</v>
      </c>
    </row>
    <row r="369" spans="1:3" hidden="1">
      <c r="A369" s="117" t="s">
        <v>1189</v>
      </c>
      <c r="B369" s="118">
        <v>400</v>
      </c>
      <c r="C369" s="118">
        <v>22480000</v>
      </c>
    </row>
    <row r="370" spans="1:3" hidden="1">
      <c r="A370" s="117" t="s">
        <v>1190</v>
      </c>
      <c r="B370" s="118">
        <v>30</v>
      </c>
      <c r="C370" s="118">
        <v>0</v>
      </c>
    </row>
    <row r="371" spans="1:3" hidden="1">
      <c r="A371" s="116" t="s">
        <v>13</v>
      </c>
      <c r="B371" s="118">
        <v>725</v>
      </c>
      <c r="C371" s="118">
        <v>12635000</v>
      </c>
    </row>
    <row r="372" spans="1:3" hidden="1">
      <c r="A372" s="117" t="s">
        <v>905</v>
      </c>
      <c r="B372" s="118">
        <v>700</v>
      </c>
      <c r="C372" s="118">
        <v>12110000</v>
      </c>
    </row>
    <row r="373" spans="1:3" hidden="1">
      <c r="A373" s="117" t="s">
        <v>906</v>
      </c>
      <c r="B373" s="118">
        <v>25</v>
      </c>
      <c r="C373" s="118">
        <v>525000</v>
      </c>
    </row>
    <row r="374" spans="1:3" hidden="1">
      <c r="A374" s="116" t="s">
        <v>912</v>
      </c>
      <c r="B374" s="118">
        <v>6</v>
      </c>
      <c r="C374" s="118">
        <v>690000</v>
      </c>
    </row>
    <row r="375" spans="1:3" hidden="1">
      <c r="A375" s="117" t="s">
        <v>911</v>
      </c>
      <c r="B375" s="118">
        <v>6</v>
      </c>
      <c r="C375" s="118">
        <v>690000</v>
      </c>
    </row>
    <row r="376" spans="1:3" hidden="1">
      <c r="A376" s="116" t="s">
        <v>166</v>
      </c>
      <c r="B376" s="118">
        <v>51</v>
      </c>
      <c r="C376" s="118">
        <v>10282000</v>
      </c>
    </row>
    <row r="377" spans="1:3" hidden="1">
      <c r="A377" s="117" t="s">
        <v>913</v>
      </c>
      <c r="B377" s="118">
        <v>48</v>
      </c>
      <c r="C377" s="118">
        <v>10282000</v>
      </c>
    </row>
    <row r="378" spans="1:3" hidden="1">
      <c r="A378" s="117" t="s">
        <v>915</v>
      </c>
      <c r="B378" s="118">
        <v>3</v>
      </c>
      <c r="C378" s="118">
        <v>0</v>
      </c>
    </row>
    <row r="379" spans="1:3" hidden="1">
      <c r="A379" s="116" t="s">
        <v>325</v>
      </c>
      <c r="B379" s="118">
        <v>190</v>
      </c>
      <c r="C379" s="118">
        <v>50090000</v>
      </c>
    </row>
    <row r="380" spans="1:3" hidden="1">
      <c r="A380" s="117" t="s">
        <v>917</v>
      </c>
      <c r="B380" s="118">
        <v>90</v>
      </c>
      <c r="C380" s="118">
        <v>32570000</v>
      </c>
    </row>
    <row r="381" spans="1:3" hidden="1">
      <c r="A381" s="117" t="s">
        <v>980</v>
      </c>
      <c r="B381" s="118">
        <v>40</v>
      </c>
      <c r="C381" s="118">
        <v>6720000</v>
      </c>
    </row>
    <row r="382" spans="1:3" hidden="1">
      <c r="A382" s="117" t="s">
        <v>1155</v>
      </c>
      <c r="B382" s="118">
        <v>60</v>
      </c>
      <c r="C382" s="118">
        <v>10800000</v>
      </c>
    </row>
    <row r="383" spans="1:3" hidden="1">
      <c r="A383" s="116" t="s">
        <v>682</v>
      </c>
      <c r="B383" s="118">
        <v>35.5</v>
      </c>
      <c r="C383" s="118">
        <v>18424500</v>
      </c>
    </row>
    <row r="384" spans="1:3" hidden="1">
      <c r="A384" s="117" t="s">
        <v>925</v>
      </c>
      <c r="B384" s="118">
        <v>25</v>
      </c>
      <c r="C384" s="118">
        <v>12975000</v>
      </c>
    </row>
    <row r="385" spans="1:3" hidden="1">
      <c r="A385" s="117" t="s">
        <v>1188</v>
      </c>
      <c r="B385" s="118">
        <v>10.5</v>
      </c>
      <c r="C385" s="118">
        <v>5449500</v>
      </c>
    </row>
    <row r="386" spans="1:3" hidden="1">
      <c r="A386" s="116" t="s">
        <v>21</v>
      </c>
      <c r="B386" s="118">
        <v>740</v>
      </c>
      <c r="C386" s="118">
        <v>36944500</v>
      </c>
    </row>
    <row r="387" spans="1:3" hidden="1">
      <c r="A387" s="117" t="s">
        <v>928</v>
      </c>
      <c r="B387" s="118">
        <v>240</v>
      </c>
      <c r="C387" s="118">
        <v>26362000</v>
      </c>
    </row>
    <row r="388" spans="1:3" hidden="1">
      <c r="A388" s="117" t="s">
        <v>929</v>
      </c>
      <c r="B388" s="118">
        <v>500</v>
      </c>
      <c r="C388" s="118">
        <v>10582500</v>
      </c>
    </row>
    <row r="389" spans="1:3" hidden="1">
      <c r="A389" s="116" t="s">
        <v>7</v>
      </c>
      <c r="B389" s="118">
        <v>200</v>
      </c>
      <c r="C389" s="118">
        <v>13020000</v>
      </c>
    </row>
    <row r="390" spans="1:3" hidden="1">
      <c r="A390" s="117" t="s">
        <v>934</v>
      </c>
      <c r="B390" s="118">
        <v>150</v>
      </c>
      <c r="C390" s="118">
        <v>9860000</v>
      </c>
    </row>
    <row r="391" spans="1:3" hidden="1">
      <c r="A391" s="117" t="s">
        <v>1159</v>
      </c>
      <c r="B391" s="118">
        <v>50</v>
      </c>
      <c r="C391" s="118">
        <v>3160000</v>
      </c>
    </row>
    <row r="392" spans="1:3" hidden="1">
      <c r="A392" s="116" t="s">
        <v>23</v>
      </c>
      <c r="B392" s="118">
        <v>1082.5</v>
      </c>
      <c r="C392" s="118">
        <v>36605000</v>
      </c>
    </row>
    <row r="393" spans="1:3" hidden="1">
      <c r="A393" s="117" t="s">
        <v>937</v>
      </c>
      <c r="B393" s="118">
        <v>150</v>
      </c>
      <c r="C393" s="118">
        <v>5090000</v>
      </c>
    </row>
    <row r="394" spans="1:3" hidden="1">
      <c r="A394" s="117" t="s">
        <v>1057</v>
      </c>
      <c r="B394" s="118">
        <v>550</v>
      </c>
      <c r="C394" s="118">
        <v>21690000</v>
      </c>
    </row>
    <row r="395" spans="1:3" hidden="1">
      <c r="A395" s="117" t="s">
        <v>1058</v>
      </c>
      <c r="B395" s="118">
        <v>7.5</v>
      </c>
      <c r="C395" s="118">
        <v>0</v>
      </c>
    </row>
    <row r="396" spans="1:3" hidden="1">
      <c r="A396" s="117" t="s">
        <v>1154</v>
      </c>
      <c r="B396" s="118">
        <v>325</v>
      </c>
      <c r="C396" s="118">
        <v>8975000</v>
      </c>
    </row>
    <row r="397" spans="1:3" hidden="1">
      <c r="A397" s="117" t="s">
        <v>1184</v>
      </c>
      <c r="B397" s="118">
        <v>50</v>
      </c>
      <c r="C397" s="118">
        <v>850000</v>
      </c>
    </row>
    <row r="398" spans="1:3" hidden="1">
      <c r="A398" s="116" t="s">
        <v>137</v>
      </c>
      <c r="B398" s="118">
        <v>750</v>
      </c>
      <c r="C398" s="118">
        <v>105000000</v>
      </c>
    </row>
    <row r="399" spans="1:3" hidden="1">
      <c r="A399" s="117" t="s">
        <v>939</v>
      </c>
      <c r="B399" s="118">
        <v>750</v>
      </c>
      <c r="C399" s="118">
        <v>105000000</v>
      </c>
    </row>
    <row r="400" spans="1:3" hidden="1">
      <c r="A400" s="116" t="s">
        <v>982</v>
      </c>
      <c r="B400" s="118">
        <v>150</v>
      </c>
      <c r="C400" s="118">
        <v>3150000</v>
      </c>
    </row>
    <row r="401" spans="1:3" hidden="1">
      <c r="A401" s="117" t="s">
        <v>981</v>
      </c>
      <c r="B401" s="118">
        <v>150</v>
      </c>
      <c r="C401" s="118">
        <v>3150000</v>
      </c>
    </row>
    <row r="402" spans="1:3" hidden="1">
      <c r="A402" s="116" t="s">
        <v>402</v>
      </c>
      <c r="B402" s="118">
        <v>475</v>
      </c>
      <c r="C402" s="118">
        <v>10985000</v>
      </c>
    </row>
    <row r="403" spans="1:3" hidden="1">
      <c r="A403" s="117" t="s">
        <v>1014</v>
      </c>
      <c r="B403" s="118">
        <v>250</v>
      </c>
      <c r="C403" s="118">
        <v>6235000</v>
      </c>
    </row>
    <row r="404" spans="1:3" hidden="1">
      <c r="A404" s="117" t="s">
        <v>1015</v>
      </c>
      <c r="B404" s="118">
        <v>25</v>
      </c>
      <c r="C404" s="118">
        <v>1550000</v>
      </c>
    </row>
    <row r="405" spans="1:3" hidden="1">
      <c r="A405" s="117" t="s">
        <v>1083</v>
      </c>
      <c r="B405" s="118">
        <v>200</v>
      </c>
      <c r="C405" s="118">
        <v>3200000</v>
      </c>
    </row>
    <row r="406" spans="1:3" hidden="1">
      <c r="A406" s="116" t="s">
        <v>1022</v>
      </c>
      <c r="B406" s="118">
        <v>7.5</v>
      </c>
      <c r="C406" s="118">
        <v>3975000</v>
      </c>
    </row>
    <row r="407" spans="1:3" hidden="1">
      <c r="A407" s="117" t="s">
        <v>1021</v>
      </c>
      <c r="B407" s="118">
        <v>7.5</v>
      </c>
      <c r="C407" s="118">
        <v>3975000</v>
      </c>
    </row>
    <row r="408" spans="1:3" hidden="1">
      <c r="A408" s="116" t="s">
        <v>140</v>
      </c>
      <c r="B408" s="118">
        <v>600</v>
      </c>
      <c r="C408" s="118">
        <v>20400000</v>
      </c>
    </row>
    <row r="409" spans="1:3" hidden="1">
      <c r="A409" s="117" t="s">
        <v>1028</v>
      </c>
      <c r="B409" s="118">
        <v>600</v>
      </c>
      <c r="C409" s="118">
        <v>20400000</v>
      </c>
    </row>
    <row r="410" spans="1:3" hidden="1">
      <c r="A410" s="116" t="s">
        <v>1034</v>
      </c>
      <c r="B410" s="118">
        <v>175</v>
      </c>
      <c r="C410" s="118">
        <v>2800000</v>
      </c>
    </row>
    <row r="411" spans="1:3" hidden="1">
      <c r="A411" s="117" t="s">
        <v>1033</v>
      </c>
      <c r="B411" s="118">
        <v>175</v>
      </c>
      <c r="C411" s="118">
        <v>2800000</v>
      </c>
    </row>
    <row r="412" spans="1:3" hidden="1">
      <c r="A412" s="116" t="s">
        <v>1044</v>
      </c>
      <c r="B412" s="118">
        <v>50</v>
      </c>
      <c r="C412" s="118">
        <v>2750000</v>
      </c>
    </row>
    <row r="413" spans="1:3" hidden="1">
      <c r="A413" s="117" t="s">
        <v>1043</v>
      </c>
      <c r="B413" s="118">
        <v>50</v>
      </c>
      <c r="C413" s="118">
        <v>2750000</v>
      </c>
    </row>
    <row r="414" spans="1:3" hidden="1">
      <c r="A414" s="116" t="s">
        <v>1060</v>
      </c>
      <c r="B414" s="118">
        <v>300</v>
      </c>
      <c r="C414" s="118">
        <v>4800000</v>
      </c>
    </row>
    <row r="415" spans="1:3" hidden="1">
      <c r="A415" s="117" t="s">
        <v>1059</v>
      </c>
      <c r="B415" s="118">
        <v>300</v>
      </c>
      <c r="C415" s="118">
        <v>4800000</v>
      </c>
    </row>
    <row r="416" spans="1:3" hidden="1">
      <c r="A416" s="116" t="s">
        <v>224</v>
      </c>
      <c r="B416" s="118">
        <v>200</v>
      </c>
      <c r="C416" s="118">
        <v>5260000</v>
      </c>
    </row>
    <row r="417" spans="1:3" hidden="1">
      <c r="A417" s="117" t="s">
        <v>1085</v>
      </c>
      <c r="B417" s="118">
        <v>25</v>
      </c>
      <c r="C417" s="118">
        <v>657500</v>
      </c>
    </row>
    <row r="418" spans="1:3" hidden="1">
      <c r="A418" s="117" t="s">
        <v>1183</v>
      </c>
      <c r="B418" s="118">
        <v>175</v>
      </c>
      <c r="C418" s="118">
        <v>4602500</v>
      </c>
    </row>
    <row r="419" spans="1:3" hidden="1">
      <c r="A419" s="116" t="s">
        <v>1095</v>
      </c>
      <c r="B419" s="118">
        <v>64.5</v>
      </c>
      <c r="C419" s="118">
        <v>3432000</v>
      </c>
    </row>
    <row r="420" spans="1:3" hidden="1">
      <c r="A420" s="117" t="s">
        <v>1094</v>
      </c>
      <c r="B420" s="118">
        <v>60</v>
      </c>
      <c r="C420" s="118">
        <v>3432000</v>
      </c>
    </row>
    <row r="421" spans="1:3" hidden="1">
      <c r="A421" s="117" t="s">
        <v>1096</v>
      </c>
      <c r="B421" s="118">
        <v>4.5</v>
      </c>
      <c r="C421" s="118">
        <v>0</v>
      </c>
    </row>
    <row r="422" spans="1:3" hidden="1">
      <c r="A422" s="116" t="s">
        <v>1098</v>
      </c>
      <c r="B422" s="118">
        <v>55.375</v>
      </c>
      <c r="C422" s="118">
        <v>2560000</v>
      </c>
    </row>
    <row r="423" spans="1:3" hidden="1">
      <c r="A423" s="117" t="s">
        <v>1097</v>
      </c>
      <c r="B423" s="118">
        <v>55.375</v>
      </c>
      <c r="C423" s="118">
        <v>2560000</v>
      </c>
    </row>
    <row r="424" spans="1:3" hidden="1">
      <c r="A424" s="116" t="s">
        <v>1103</v>
      </c>
      <c r="B424" s="118">
        <v>40</v>
      </c>
      <c r="C424" s="118">
        <v>1572000</v>
      </c>
    </row>
    <row r="425" spans="1:3" hidden="1">
      <c r="A425" s="117" t="s">
        <v>1102</v>
      </c>
      <c r="B425" s="118">
        <v>40</v>
      </c>
      <c r="C425" s="118">
        <v>1572000</v>
      </c>
    </row>
    <row r="426" spans="1:3" hidden="1">
      <c r="A426" s="116" t="s">
        <v>326</v>
      </c>
      <c r="B426" s="118">
        <v>2</v>
      </c>
      <c r="C426" s="118">
        <v>204000</v>
      </c>
    </row>
    <row r="427" spans="1:3" hidden="1">
      <c r="A427" s="117" t="s">
        <v>1107</v>
      </c>
      <c r="B427" s="118">
        <v>2</v>
      </c>
      <c r="C427" s="118">
        <v>204000</v>
      </c>
    </row>
    <row r="428" spans="1:3" hidden="1">
      <c r="A428" s="116" t="s">
        <v>1123</v>
      </c>
      <c r="B428" s="118">
        <v>50</v>
      </c>
      <c r="C428" s="118">
        <v>11011000</v>
      </c>
    </row>
    <row r="429" spans="1:3" hidden="1">
      <c r="A429" s="117" t="s">
        <v>1122</v>
      </c>
      <c r="B429" s="118">
        <v>50</v>
      </c>
      <c r="C429" s="118">
        <v>11011000</v>
      </c>
    </row>
    <row r="430" spans="1:3" hidden="1">
      <c r="A430" s="116" t="s">
        <v>1131</v>
      </c>
      <c r="B430" s="118">
        <v>45</v>
      </c>
      <c r="C430" s="118">
        <v>5070000</v>
      </c>
    </row>
    <row r="431" spans="1:3" hidden="1">
      <c r="A431" s="117" t="s">
        <v>1130</v>
      </c>
      <c r="B431" s="118">
        <v>45</v>
      </c>
      <c r="C431" s="118">
        <v>5070000</v>
      </c>
    </row>
    <row r="432" spans="1:3" hidden="1">
      <c r="A432" s="116" t="s">
        <v>105</v>
      </c>
      <c r="B432" s="118">
        <v>16.112500000000001</v>
      </c>
      <c r="C432" s="118">
        <v>1830000</v>
      </c>
    </row>
    <row r="433" spans="1:3" hidden="1">
      <c r="A433" s="117" t="s">
        <v>1136</v>
      </c>
      <c r="B433" s="118">
        <v>15</v>
      </c>
      <c r="C433" s="118">
        <v>915000</v>
      </c>
    </row>
    <row r="434" spans="1:3" hidden="1">
      <c r="A434" s="117" t="s">
        <v>1137</v>
      </c>
      <c r="B434" s="118">
        <v>1.1125</v>
      </c>
      <c r="C434" s="118">
        <v>915000</v>
      </c>
    </row>
    <row r="435" spans="1:3" hidden="1">
      <c r="A435" s="116" t="s">
        <v>1162</v>
      </c>
      <c r="B435" s="118">
        <v>28</v>
      </c>
      <c r="C435" s="118">
        <v>14560000</v>
      </c>
    </row>
    <row r="436" spans="1:3" hidden="1">
      <c r="A436" s="117" t="s">
        <v>1161</v>
      </c>
      <c r="B436" s="118">
        <v>28</v>
      </c>
      <c r="C436" s="118">
        <v>14560000</v>
      </c>
    </row>
    <row r="437" spans="1:3" hidden="1">
      <c r="A437" s="116" t="s">
        <v>75</v>
      </c>
      <c r="B437" s="118">
        <v>50</v>
      </c>
      <c r="C437" s="118">
        <v>10250000</v>
      </c>
    </row>
    <row r="438" spans="1:3" hidden="1">
      <c r="A438" s="117" t="s">
        <v>1163</v>
      </c>
      <c r="B438" s="118">
        <v>50</v>
      </c>
      <c r="C438" s="118">
        <v>10250000</v>
      </c>
    </row>
    <row r="439" spans="1:3" hidden="1">
      <c r="A439" s="116" t="s">
        <v>1174</v>
      </c>
      <c r="B439" s="118">
        <v>1000</v>
      </c>
      <c r="C439" s="118">
        <v>0</v>
      </c>
    </row>
    <row r="440" spans="1:3" hidden="1">
      <c r="A440" s="117" t="s">
        <v>1173</v>
      </c>
      <c r="B440" s="118">
        <v>1000</v>
      </c>
      <c r="C440" s="118">
        <v>0</v>
      </c>
    </row>
    <row r="441" spans="1:3" hidden="1">
      <c r="A441" s="116" t="s">
        <v>1208</v>
      </c>
      <c r="B441" s="118">
        <v>13</v>
      </c>
      <c r="C441" s="118">
        <v>1365000</v>
      </c>
    </row>
    <row r="442" spans="1:3" hidden="1">
      <c r="A442" s="117" t="s">
        <v>1207</v>
      </c>
      <c r="B442" s="118">
        <v>13</v>
      </c>
      <c r="C442" s="118">
        <v>1365000</v>
      </c>
    </row>
    <row r="443" spans="1:3" hidden="1">
      <c r="A443" s="35" t="s">
        <v>773</v>
      </c>
      <c r="B443" s="118">
        <v>400</v>
      </c>
      <c r="C443" s="118">
        <v>22200000</v>
      </c>
    </row>
    <row r="444" spans="1:3" hidden="1">
      <c r="A444" s="116" t="s">
        <v>17</v>
      </c>
      <c r="B444" s="118">
        <v>400</v>
      </c>
      <c r="C444" s="118">
        <v>22200000</v>
      </c>
    </row>
    <row r="445" spans="1:3" hidden="1">
      <c r="A445" s="117" t="s">
        <v>255</v>
      </c>
      <c r="B445" s="118">
        <v>400</v>
      </c>
      <c r="C445" s="118">
        <v>22200000</v>
      </c>
    </row>
    <row r="446" spans="1:3" hidden="1">
      <c r="A446" s="35" t="s">
        <v>816</v>
      </c>
      <c r="B446" s="118">
        <v>100</v>
      </c>
      <c r="C446" s="118">
        <v>14500000</v>
      </c>
    </row>
    <row r="447" spans="1:3" hidden="1">
      <c r="A447" s="116" t="s">
        <v>187</v>
      </c>
      <c r="B447" s="118">
        <v>100</v>
      </c>
      <c r="C447" s="118">
        <v>14500000</v>
      </c>
    </row>
    <row r="448" spans="1:3" hidden="1">
      <c r="A448" s="117" t="s">
        <v>817</v>
      </c>
      <c r="B448" s="118">
        <v>50</v>
      </c>
      <c r="C448" s="118">
        <v>7250000</v>
      </c>
    </row>
    <row r="449" spans="1:3" hidden="1">
      <c r="A449" s="117" t="s">
        <v>839</v>
      </c>
      <c r="B449" s="118">
        <v>50</v>
      </c>
      <c r="C449" s="118">
        <v>7250000</v>
      </c>
    </row>
    <row r="450" spans="1:3" hidden="1">
      <c r="A450" s="35" t="s">
        <v>853</v>
      </c>
      <c r="B450" s="118">
        <v>2500</v>
      </c>
      <c r="C450" s="118">
        <v>48125000</v>
      </c>
    </row>
    <row r="451" spans="1:3" hidden="1">
      <c r="A451" s="116" t="s">
        <v>709</v>
      </c>
      <c r="B451" s="118">
        <v>2500</v>
      </c>
      <c r="C451" s="118">
        <v>48125000</v>
      </c>
    </row>
    <row r="452" spans="1:3" hidden="1">
      <c r="A452" s="117" t="s">
        <v>854</v>
      </c>
      <c r="B452" s="118">
        <v>2500</v>
      </c>
      <c r="C452" s="118">
        <v>48125000</v>
      </c>
    </row>
    <row r="453" spans="1:3" hidden="1">
      <c r="A453" s="35" t="s">
        <v>869</v>
      </c>
      <c r="B453" s="118">
        <v>600</v>
      </c>
      <c r="C453" s="118">
        <v>65470000</v>
      </c>
    </row>
    <row r="454" spans="1:3" hidden="1">
      <c r="A454" s="116" t="s">
        <v>767</v>
      </c>
      <c r="B454" s="118">
        <v>50</v>
      </c>
      <c r="C454" s="118">
        <v>7220000</v>
      </c>
    </row>
    <row r="455" spans="1:3" hidden="1">
      <c r="A455" s="117" t="s">
        <v>877</v>
      </c>
      <c r="B455" s="118">
        <v>50</v>
      </c>
      <c r="C455" s="118">
        <v>7220000</v>
      </c>
    </row>
    <row r="456" spans="1:3" hidden="1">
      <c r="A456" s="116" t="s">
        <v>716</v>
      </c>
      <c r="B456" s="118">
        <v>550</v>
      </c>
      <c r="C456" s="118">
        <v>58250000</v>
      </c>
    </row>
    <row r="457" spans="1:3" hidden="1">
      <c r="A457" s="117" t="s">
        <v>870</v>
      </c>
      <c r="B457" s="118">
        <v>550</v>
      </c>
      <c r="C457" s="118">
        <v>58250000</v>
      </c>
    </row>
    <row r="458" spans="1:3" hidden="1">
      <c r="A458" s="35" t="s">
        <v>1051</v>
      </c>
      <c r="B458" s="118">
        <v>2.15</v>
      </c>
      <c r="C458" s="118">
        <v>500000</v>
      </c>
    </row>
    <row r="459" spans="1:3" hidden="1">
      <c r="A459" s="116" t="s">
        <v>1053</v>
      </c>
      <c r="B459" s="118">
        <v>2.15</v>
      </c>
      <c r="C459" s="118">
        <v>500000</v>
      </c>
    </row>
    <row r="460" spans="1:3" hidden="1">
      <c r="A460" s="117" t="s">
        <v>1052</v>
      </c>
      <c r="B460" s="118">
        <v>2</v>
      </c>
      <c r="C460" s="118">
        <v>500000</v>
      </c>
    </row>
    <row r="461" spans="1:3">
      <c r="A461" s="117" t="s">
        <v>1054</v>
      </c>
      <c r="B461" s="118">
        <v>0.15</v>
      </c>
      <c r="C461" s="118">
        <v>0</v>
      </c>
    </row>
    <row r="462" spans="1:3">
      <c r="A462" s="35" t="s">
        <v>1104</v>
      </c>
      <c r="B462" s="118">
        <v>75</v>
      </c>
      <c r="C462" s="118">
        <v>13515000</v>
      </c>
    </row>
    <row r="463" spans="1:3">
      <c r="A463" s="116" t="s">
        <v>794</v>
      </c>
      <c r="B463" s="118">
        <v>75</v>
      </c>
      <c r="C463" s="118">
        <v>13515000</v>
      </c>
    </row>
    <row r="464" spans="1:3">
      <c r="A464" s="117" t="s">
        <v>1105</v>
      </c>
      <c r="B464" s="118">
        <v>75</v>
      </c>
      <c r="C464" s="118">
        <v>13515000</v>
      </c>
    </row>
    <row r="465" spans="1:3">
      <c r="A465" s="35" t="s">
        <v>1127</v>
      </c>
      <c r="B465" s="118">
        <v>2000</v>
      </c>
      <c r="C465" s="118">
        <v>49500000</v>
      </c>
    </row>
    <row r="466" spans="1:3">
      <c r="A466" s="116" t="s">
        <v>709</v>
      </c>
      <c r="B466" s="118">
        <v>2000</v>
      </c>
      <c r="C466" s="118">
        <v>49500000</v>
      </c>
    </row>
    <row r="467" spans="1:3">
      <c r="A467" s="117" t="s">
        <v>1128</v>
      </c>
      <c r="B467" s="118">
        <v>2000</v>
      </c>
      <c r="C467" s="118">
        <v>49500000</v>
      </c>
    </row>
    <row r="468" spans="1:3">
      <c r="A468" s="35" t="s">
        <v>24</v>
      </c>
      <c r="B468" s="118">
        <v>605354.20250000001</v>
      </c>
      <c r="C468" s="118">
        <v>11121478400</v>
      </c>
    </row>
    <row r="469" spans="1:3">
      <c r="B469"/>
    </row>
    <row r="470" spans="1:3">
      <c r="B470"/>
    </row>
    <row r="471" spans="1:3">
      <c r="B471"/>
    </row>
    <row r="472" spans="1:3">
      <c r="B472"/>
    </row>
    <row r="473" spans="1:3">
      <c r="B473"/>
    </row>
    <row r="474" spans="1:3">
      <c r="B474"/>
    </row>
    <row r="475" spans="1:3">
      <c r="B475"/>
    </row>
    <row r="476" spans="1:3">
      <c r="B476"/>
    </row>
    <row r="477" spans="1:3">
      <c r="B477"/>
    </row>
    <row r="478" spans="1:3">
      <c r="B478"/>
    </row>
    <row r="479" spans="1:3">
      <c r="B479"/>
    </row>
    <row r="480" spans="1:3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  <row r="826" spans="2:2">
      <c r="B826"/>
    </row>
    <row r="827" spans="2:2">
      <c r="B827"/>
    </row>
    <row r="828" spans="2:2">
      <c r="B828"/>
    </row>
    <row r="829" spans="2:2">
      <c r="B829"/>
    </row>
    <row r="830" spans="2:2">
      <c r="B830"/>
    </row>
    <row r="831" spans="2:2">
      <c r="B831"/>
    </row>
    <row r="832" spans="2:2">
      <c r="B832"/>
    </row>
    <row r="833" spans="2:2">
      <c r="B833"/>
    </row>
    <row r="834" spans="2:2">
      <c r="B834"/>
    </row>
    <row r="835" spans="2:2">
      <c r="B835"/>
    </row>
    <row r="836" spans="2:2">
      <c r="B836"/>
    </row>
    <row r="837" spans="2:2">
      <c r="B837"/>
    </row>
    <row r="838" spans="2:2">
      <c r="B838"/>
    </row>
    <row r="839" spans="2:2">
      <c r="B839"/>
    </row>
    <row r="840" spans="2:2">
      <c r="B840"/>
    </row>
    <row r="841" spans="2:2">
      <c r="B841"/>
    </row>
    <row r="842" spans="2:2">
      <c r="B842"/>
    </row>
    <row r="843" spans="2:2">
      <c r="B843"/>
    </row>
    <row r="844" spans="2:2">
      <c r="B844"/>
    </row>
    <row r="845" spans="2:2">
      <c r="B845"/>
    </row>
    <row r="846" spans="2:2">
      <c r="B846"/>
    </row>
    <row r="847" spans="2:2">
      <c r="B847"/>
    </row>
    <row r="848" spans="2:2">
      <c r="B848"/>
    </row>
    <row r="849" spans="2:2">
      <c r="B849"/>
    </row>
    <row r="850" spans="2:2">
      <c r="B850"/>
    </row>
    <row r="851" spans="2:2">
      <c r="B851"/>
    </row>
    <row r="852" spans="2:2">
      <c r="B852"/>
    </row>
    <row r="853" spans="2:2">
      <c r="B853"/>
    </row>
    <row r="854" spans="2:2">
      <c r="B854"/>
    </row>
    <row r="855" spans="2:2">
      <c r="B855"/>
    </row>
    <row r="856" spans="2:2">
      <c r="B856"/>
    </row>
    <row r="857" spans="2:2">
      <c r="B857"/>
    </row>
    <row r="858" spans="2:2">
      <c r="B858"/>
    </row>
    <row r="859" spans="2:2">
      <c r="B859"/>
    </row>
    <row r="860" spans="2:2">
      <c r="B860"/>
    </row>
    <row r="861" spans="2:2">
      <c r="B861"/>
    </row>
    <row r="862" spans="2:2">
      <c r="B862"/>
    </row>
    <row r="863" spans="2:2">
      <c r="B863"/>
    </row>
    <row r="864" spans="2:2">
      <c r="B864"/>
    </row>
    <row r="865" spans="2:2">
      <c r="B865"/>
    </row>
    <row r="866" spans="2:2">
      <c r="B866"/>
    </row>
    <row r="867" spans="2:2">
      <c r="B867"/>
    </row>
    <row r="868" spans="2:2">
      <c r="B868"/>
    </row>
    <row r="869" spans="2:2">
      <c r="B869"/>
    </row>
    <row r="870" spans="2:2">
      <c r="B870"/>
    </row>
    <row r="871" spans="2:2">
      <c r="B871"/>
    </row>
    <row r="872" spans="2:2">
      <c r="B872"/>
    </row>
    <row r="873" spans="2:2">
      <c r="B873"/>
    </row>
    <row r="874" spans="2:2">
      <c r="B874"/>
    </row>
    <row r="875" spans="2:2">
      <c r="B875"/>
    </row>
    <row r="876" spans="2:2">
      <c r="B876"/>
    </row>
    <row r="877" spans="2:2">
      <c r="B877"/>
    </row>
    <row r="878" spans="2:2">
      <c r="B878"/>
    </row>
    <row r="879" spans="2:2">
      <c r="B879"/>
    </row>
    <row r="880" spans="2:2">
      <c r="B880"/>
    </row>
    <row r="881" spans="2:2">
      <c r="B881"/>
    </row>
    <row r="882" spans="2:2">
      <c r="B882"/>
    </row>
    <row r="883" spans="2:2">
      <c r="B883"/>
    </row>
    <row r="884" spans="2:2">
      <c r="B884"/>
    </row>
    <row r="885" spans="2:2">
      <c r="B885"/>
    </row>
    <row r="886" spans="2:2">
      <c r="B886"/>
    </row>
    <row r="887" spans="2:2">
      <c r="B887"/>
    </row>
    <row r="888" spans="2:2">
      <c r="B888"/>
    </row>
    <row r="889" spans="2:2">
      <c r="B889"/>
    </row>
    <row r="890" spans="2:2">
      <c r="B890"/>
    </row>
    <row r="891" spans="2:2">
      <c r="B891"/>
    </row>
    <row r="892" spans="2:2">
      <c r="B892"/>
    </row>
    <row r="893" spans="2:2">
      <c r="B893"/>
    </row>
    <row r="894" spans="2:2">
      <c r="B894"/>
    </row>
    <row r="895" spans="2:2">
      <c r="B895"/>
    </row>
    <row r="896" spans="2:2">
      <c r="B896"/>
    </row>
    <row r="897" spans="2:2">
      <c r="B897"/>
    </row>
    <row r="898" spans="2:2">
      <c r="B898"/>
    </row>
    <row r="899" spans="2:2">
      <c r="B899"/>
    </row>
    <row r="900" spans="2:2">
      <c r="B900"/>
    </row>
    <row r="901" spans="2:2">
      <c r="B901"/>
    </row>
    <row r="902" spans="2:2">
      <c r="B902"/>
    </row>
    <row r="903" spans="2:2">
      <c r="B903"/>
    </row>
    <row r="904" spans="2:2">
      <c r="B904"/>
    </row>
    <row r="905" spans="2:2">
      <c r="B905"/>
    </row>
    <row r="906" spans="2:2">
      <c r="B906"/>
    </row>
    <row r="907" spans="2:2">
      <c r="B907"/>
    </row>
    <row r="908" spans="2:2">
      <c r="B908"/>
    </row>
    <row r="909" spans="2:2">
      <c r="B909"/>
    </row>
    <row r="910" spans="2:2">
      <c r="B910"/>
    </row>
    <row r="911" spans="2:2">
      <c r="B911"/>
    </row>
    <row r="912" spans="2:2">
      <c r="B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2:2">
      <c r="B929"/>
    </row>
    <row r="930" spans="2:2">
      <c r="B930"/>
    </row>
    <row r="931" spans="2:2">
      <c r="B931"/>
    </row>
    <row r="932" spans="2:2">
      <c r="B932"/>
    </row>
    <row r="933" spans="2:2">
      <c r="B933"/>
    </row>
    <row r="934" spans="2:2">
      <c r="B934"/>
    </row>
    <row r="935" spans="2:2">
      <c r="B935"/>
    </row>
    <row r="936" spans="2:2">
      <c r="B936"/>
    </row>
    <row r="937" spans="2:2">
      <c r="B937"/>
    </row>
    <row r="938" spans="2:2">
      <c r="B938"/>
    </row>
    <row r="939" spans="2:2">
      <c r="B939"/>
    </row>
    <row r="940" spans="2:2">
      <c r="B940"/>
    </row>
    <row r="941" spans="2:2">
      <c r="B941"/>
    </row>
    <row r="942" spans="2:2">
      <c r="B942"/>
    </row>
    <row r="943" spans="2:2">
      <c r="B943"/>
    </row>
    <row r="944" spans="2:2">
      <c r="B944"/>
    </row>
    <row r="945" spans="2:2">
      <c r="B945"/>
    </row>
    <row r="946" spans="2:2">
      <c r="B946"/>
    </row>
    <row r="947" spans="2:2">
      <c r="B947"/>
    </row>
    <row r="948" spans="2:2">
      <c r="B948"/>
    </row>
    <row r="949" spans="2:2">
      <c r="B949"/>
    </row>
    <row r="950" spans="2:2">
      <c r="B950"/>
    </row>
    <row r="951" spans="2:2">
      <c r="B951"/>
    </row>
    <row r="952" spans="2:2">
      <c r="B952"/>
    </row>
    <row r="953" spans="2:2">
      <c r="B953"/>
    </row>
    <row r="954" spans="2:2">
      <c r="B954"/>
    </row>
    <row r="955" spans="2:2">
      <c r="B955"/>
    </row>
    <row r="956" spans="2:2">
      <c r="B956"/>
    </row>
    <row r="957" spans="2:2">
      <c r="B957"/>
    </row>
    <row r="958" spans="2:2">
      <c r="B958"/>
    </row>
    <row r="959" spans="2:2">
      <c r="B959"/>
    </row>
    <row r="960" spans="2:2">
      <c r="B960"/>
    </row>
    <row r="961" spans="2:2">
      <c r="B961"/>
    </row>
    <row r="962" spans="2:2">
      <c r="B962"/>
    </row>
    <row r="963" spans="2:2">
      <c r="B963"/>
    </row>
    <row r="964" spans="2:2">
      <c r="B964"/>
    </row>
    <row r="965" spans="2:2">
      <c r="B965"/>
    </row>
    <row r="966" spans="2:2">
      <c r="B966"/>
    </row>
    <row r="967" spans="2:2">
      <c r="B967"/>
    </row>
    <row r="968" spans="2:2">
      <c r="B968"/>
    </row>
    <row r="969" spans="2:2">
      <c r="B969"/>
    </row>
    <row r="970" spans="2:2">
      <c r="B970"/>
    </row>
    <row r="971" spans="2:2">
      <c r="B971"/>
    </row>
    <row r="972" spans="2:2">
      <c r="B972"/>
    </row>
    <row r="973" spans="2:2">
      <c r="B973"/>
    </row>
    <row r="974" spans="2:2">
      <c r="B974"/>
    </row>
    <row r="975" spans="2:2">
      <c r="B975"/>
    </row>
    <row r="976" spans="2:2">
      <c r="B976"/>
    </row>
    <row r="977" spans="2:2">
      <c r="B977"/>
    </row>
    <row r="978" spans="2:2">
      <c r="B978"/>
    </row>
    <row r="979" spans="2:2">
      <c r="B979"/>
    </row>
    <row r="980" spans="2:2">
      <c r="B980"/>
    </row>
    <row r="981" spans="2:2">
      <c r="B981"/>
    </row>
    <row r="982" spans="2:2">
      <c r="B982"/>
    </row>
    <row r="983" spans="2:2">
      <c r="B983"/>
    </row>
    <row r="984" spans="2:2">
      <c r="B984"/>
    </row>
    <row r="985" spans="2:2">
      <c r="B985"/>
    </row>
    <row r="986" spans="2:2">
      <c r="B986"/>
    </row>
    <row r="987" spans="2:2">
      <c r="B987"/>
    </row>
    <row r="988" spans="2:2">
      <c r="B988"/>
    </row>
    <row r="989" spans="2:2">
      <c r="B989"/>
    </row>
    <row r="990" spans="2:2">
      <c r="B990"/>
    </row>
    <row r="991" spans="2:2">
      <c r="B991"/>
    </row>
    <row r="992" spans="2:2">
      <c r="B992"/>
    </row>
    <row r="993" spans="2:2">
      <c r="B993"/>
    </row>
    <row r="994" spans="2:2">
      <c r="B994"/>
    </row>
    <row r="995" spans="2:2">
      <c r="B995"/>
    </row>
    <row r="996" spans="2:2">
      <c r="B996"/>
    </row>
    <row r="997" spans="2:2">
      <c r="B997"/>
    </row>
    <row r="998" spans="2:2">
      <c r="B998"/>
    </row>
    <row r="999" spans="2:2">
      <c r="B999"/>
    </row>
    <row r="1000" spans="2:2">
      <c r="B1000"/>
    </row>
    <row r="1001" spans="2:2">
      <c r="B1001"/>
    </row>
    <row r="1002" spans="2:2">
      <c r="B1002"/>
    </row>
    <row r="1003" spans="2:2">
      <c r="B1003"/>
    </row>
    <row r="1004" spans="2:2">
      <c r="B1004"/>
    </row>
    <row r="1005" spans="2:2">
      <c r="B1005"/>
    </row>
    <row r="1006" spans="2:2">
      <c r="B1006"/>
    </row>
    <row r="1007" spans="2:2">
      <c r="B1007"/>
    </row>
    <row r="1008" spans="2:2">
      <c r="B1008"/>
    </row>
    <row r="1009" spans="2:2">
      <c r="B1009"/>
    </row>
    <row r="1010" spans="2:2">
      <c r="B1010"/>
    </row>
    <row r="1011" spans="2:2">
      <c r="B1011"/>
    </row>
    <row r="1012" spans="2:2">
      <c r="B1012"/>
    </row>
    <row r="1013" spans="2:2">
      <c r="B1013"/>
    </row>
    <row r="1014" spans="2:2">
      <c r="B1014"/>
    </row>
    <row r="1015" spans="2:2">
      <c r="B1015"/>
    </row>
    <row r="1016" spans="2:2">
      <c r="B1016"/>
    </row>
    <row r="1017" spans="2:2">
      <c r="B1017"/>
    </row>
    <row r="1018" spans="2:2">
      <c r="B1018"/>
    </row>
    <row r="1019" spans="2:2">
      <c r="B1019"/>
    </row>
    <row r="1020" spans="2:2">
      <c r="B1020"/>
    </row>
    <row r="1021" spans="2:2">
      <c r="B1021"/>
    </row>
    <row r="1022" spans="2:2">
      <c r="B1022"/>
    </row>
    <row r="1023" spans="2:2">
      <c r="B1023"/>
    </row>
    <row r="1024" spans="2:2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  <row r="1235" spans="2:2">
      <c r="B1235"/>
    </row>
    <row r="1236" spans="2:2">
      <c r="B1236"/>
    </row>
    <row r="1237" spans="2:2">
      <c r="B1237"/>
    </row>
    <row r="1238" spans="2:2">
      <c r="B1238"/>
    </row>
    <row r="1239" spans="2:2">
      <c r="B1239"/>
    </row>
    <row r="1240" spans="2:2">
      <c r="B1240"/>
    </row>
    <row r="1241" spans="2:2">
      <c r="B1241"/>
    </row>
    <row r="1242" spans="2:2">
      <c r="B1242"/>
    </row>
    <row r="1243" spans="2:2">
      <c r="B1243"/>
    </row>
    <row r="1244" spans="2:2">
      <c r="B1244"/>
    </row>
    <row r="1245" spans="2:2">
      <c r="B1245"/>
    </row>
    <row r="1246" spans="2:2">
      <c r="B1246"/>
    </row>
    <row r="1247" spans="2:2">
      <c r="B1247"/>
    </row>
    <row r="1248" spans="2:2">
      <c r="B1248"/>
    </row>
    <row r="1249" spans="2:2">
      <c r="B1249"/>
    </row>
    <row r="1250" spans="2:2">
      <c r="B1250"/>
    </row>
    <row r="1251" spans="2:2">
      <c r="B1251"/>
    </row>
    <row r="1252" spans="2:2">
      <c r="B1252"/>
    </row>
    <row r="1253" spans="2:2">
      <c r="B1253"/>
    </row>
    <row r="1254" spans="2:2">
      <c r="B1254"/>
    </row>
    <row r="1255" spans="2:2">
      <c r="B1255"/>
    </row>
    <row r="1256" spans="2:2">
      <c r="B1256"/>
    </row>
    <row r="1257" spans="2:2">
      <c r="B1257"/>
    </row>
    <row r="1258" spans="2:2">
      <c r="B1258"/>
    </row>
    <row r="1259" spans="2:2">
      <c r="B1259"/>
    </row>
    <row r="1260" spans="2:2">
      <c r="B1260"/>
    </row>
    <row r="1261" spans="2:2">
      <c r="B1261"/>
    </row>
    <row r="1262" spans="2:2">
      <c r="B1262"/>
    </row>
    <row r="1263" spans="2:2">
      <c r="B1263"/>
    </row>
    <row r="1264" spans="2:2">
      <c r="B1264"/>
    </row>
    <row r="1265" spans="2:2">
      <c r="B1265"/>
    </row>
    <row r="1266" spans="2:2">
      <c r="B1266"/>
    </row>
    <row r="1267" spans="2:2">
      <c r="B1267"/>
    </row>
    <row r="1268" spans="2:2">
      <c r="B1268"/>
    </row>
    <row r="1269" spans="2:2">
      <c r="B1269"/>
    </row>
    <row r="1270" spans="2:2">
      <c r="B1270"/>
    </row>
    <row r="1271" spans="2:2">
      <c r="B1271"/>
    </row>
    <row r="1272" spans="2:2">
      <c r="B1272"/>
    </row>
    <row r="1273" spans="2:2">
      <c r="B1273"/>
    </row>
    <row r="1274" spans="2:2">
      <c r="B1274"/>
    </row>
    <row r="1275" spans="2:2">
      <c r="B1275"/>
    </row>
    <row r="1276" spans="2:2">
      <c r="B1276"/>
    </row>
    <row r="1277" spans="2:2">
      <c r="B1277"/>
    </row>
    <row r="1278" spans="2:2">
      <c r="B1278"/>
    </row>
    <row r="1279" spans="2:2">
      <c r="B1279"/>
    </row>
    <row r="1280" spans="2:2">
      <c r="B1280"/>
    </row>
    <row r="1281" spans="2:2">
      <c r="B1281"/>
    </row>
    <row r="1282" spans="2:2">
      <c r="B1282"/>
    </row>
    <row r="1283" spans="2:2">
      <c r="B1283"/>
    </row>
    <row r="1284" spans="2:2">
      <c r="B1284"/>
    </row>
    <row r="1285" spans="2:2">
      <c r="B1285"/>
    </row>
    <row r="1286" spans="2:2">
      <c r="B1286"/>
    </row>
    <row r="1287" spans="2:2">
      <c r="B1287"/>
    </row>
    <row r="1288" spans="2:2">
      <c r="B1288"/>
    </row>
    <row r="1289" spans="2:2">
      <c r="B1289"/>
    </row>
    <row r="1290" spans="2:2">
      <c r="B1290"/>
    </row>
    <row r="1291" spans="2:2">
      <c r="B1291"/>
    </row>
    <row r="1292" spans="2:2">
      <c r="B1292"/>
    </row>
    <row r="1293" spans="2:2">
      <c r="B1293"/>
    </row>
    <row r="1294" spans="2:2">
      <c r="B1294"/>
    </row>
    <row r="1295" spans="2:2">
      <c r="B1295"/>
    </row>
    <row r="1296" spans="2:2">
      <c r="B1296"/>
    </row>
    <row r="1297" spans="2:2">
      <c r="B1297"/>
    </row>
    <row r="1298" spans="2:2">
      <c r="B1298"/>
    </row>
    <row r="1299" spans="2:2">
      <c r="B1299"/>
    </row>
    <row r="1300" spans="2:2">
      <c r="B1300"/>
    </row>
    <row r="1301" spans="2:2">
      <c r="B1301"/>
    </row>
    <row r="1302" spans="2:2">
      <c r="B1302"/>
    </row>
    <row r="1303" spans="2:2">
      <c r="B1303"/>
    </row>
    <row r="1304" spans="2:2">
      <c r="B1304"/>
    </row>
    <row r="1305" spans="2:2">
      <c r="B1305"/>
    </row>
    <row r="1306" spans="2:2">
      <c r="B1306"/>
    </row>
    <row r="1307" spans="2:2">
      <c r="B1307"/>
    </row>
    <row r="1308" spans="2:2">
      <c r="B1308"/>
    </row>
    <row r="1309" spans="2:2">
      <c r="B1309"/>
    </row>
    <row r="1310" spans="2:2">
      <c r="B1310"/>
    </row>
    <row r="1311" spans="2:2">
      <c r="B1311"/>
    </row>
    <row r="1312" spans="2:2">
      <c r="B1312"/>
    </row>
    <row r="1313" spans="2:2">
      <c r="B1313"/>
    </row>
    <row r="1314" spans="2:2">
      <c r="B1314"/>
    </row>
    <row r="1315" spans="2:2">
      <c r="B1315"/>
    </row>
    <row r="1316" spans="2:2">
      <c r="B1316"/>
    </row>
    <row r="1317" spans="2:2">
      <c r="B1317"/>
    </row>
    <row r="1318" spans="2:2">
      <c r="B1318"/>
    </row>
    <row r="1319" spans="2:2">
      <c r="B1319"/>
    </row>
    <row r="1320" spans="2:2">
      <c r="B1320"/>
    </row>
    <row r="1321" spans="2:2">
      <c r="B1321"/>
    </row>
    <row r="1322" spans="2:2">
      <c r="B1322"/>
    </row>
    <row r="1323" spans="2:2">
      <c r="B1323"/>
    </row>
    <row r="1324" spans="2:2">
      <c r="B1324"/>
    </row>
    <row r="1325" spans="2:2">
      <c r="B1325"/>
    </row>
    <row r="1326" spans="2:2">
      <c r="B1326"/>
    </row>
    <row r="1327" spans="2:2">
      <c r="B1327"/>
    </row>
    <row r="1328" spans="2:2">
      <c r="B1328"/>
    </row>
    <row r="1329" spans="2:2">
      <c r="B1329"/>
    </row>
    <row r="1330" spans="2:2">
      <c r="B1330"/>
    </row>
    <row r="1331" spans="2:2">
      <c r="B1331"/>
    </row>
    <row r="1332" spans="2:2">
      <c r="B1332"/>
    </row>
    <row r="1333" spans="2:2">
      <c r="B1333"/>
    </row>
    <row r="1334" spans="2:2">
      <c r="B1334"/>
    </row>
    <row r="1335" spans="2:2">
      <c r="B1335"/>
    </row>
    <row r="1336" spans="2:2">
      <c r="B1336"/>
    </row>
    <row r="1337" spans="2:2">
      <c r="B1337"/>
    </row>
    <row r="1338" spans="2:2">
      <c r="B1338"/>
    </row>
    <row r="1339" spans="2:2">
      <c r="B1339"/>
    </row>
    <row r="1340" spans="2:2">
      <c r="B1340"/>
    </row>
    <row r="1341" spans="2:2">
      <c r="B1341"/>
    </row>
    <row r="1342" spans="2:2">
      <c r="B1342"/>
    </row>
    <row r="1343" spans="2:2">
      <c r="B1343"/>
    </row>
    <row r="1344" spans="2:2">
      <c r="B1344"/>
    </row>
    <row r="1345" spans="2:2">
      <c r="B1345"/>
    </row>
    <row r="1346" spans="2:2">
      <c r="B1346"/>
    </row>
    <row r="1347" spans="2:2">
      <c r="B1347"/>
    </row>
    <row r="1348" spans="2:2">
      <c r="B1348"/>
    </row>
    <row r="1349" spans="2:2">
      <c r="B1349"/>
    </row>
    <row r="1350" spans="2:2">
      <c r="B1350"/>
    </row>
    <row r="1351" spans="2:2">
      <c r="B1351"/>
    </row>
    <row r="1352" spans="2:2">
      <c r="B1352"/>
    </row>
    <row r="1353" spans="2:2">
      <c r="B1353"/>
    </row>
    <row r="1354" spans="2:2">
      <c r="B1354"/>
    </row>
    <row r="1355" spans="2:2">
      <c r="B1355"/>
    </row>
    <row r="1356" spans="2:2">
      <c r="B1356"/>
    </row>
    <row r="1357" spans="2:2">
      <c r="B1357"/>
    </row>
    <row r="1358" spans="2:2">
      <c r="B1358"/>
    </row>
    <row r="1359" spans="2:2">
      <c r="B1359"/>
    </row>
    <row r="1360" spans="2:2">
      <c r="B1360"/>
    </row>
    <row r="1361" spans="2:2">
      <c r="B1361" s="137"/>
    </row>
    <row r="1362" spans="2:2">
      <c r="B1362" s="137"/>
    </row>
    <row r="1363" spans="2:2">
      <c r="B1363" s="137"/>
    </row>
    <row r="1364" spans="2:2">
      <c r="B1364" s="137"/>
    </row>
    <row r="1365" spans="2:2">
      <c r="B1365" s="137"/>
    </row>
    <row r="1366" spans="2:2">
      <c r="B1366" s="137"/>
    </row>
    <row r="1367" spans="2:2">
      <c r="B1367" s="137"/>
    </row>
    <row r="1368" spans="2:2">
      <c r="B1368" s="137"/>
    </row>
    <row r="1369" spans="2:2">
      <c r="B1369" s="137"/>
    </row>
    <row r="1370" spans="2:2">
      <c r="B1370" s="137"/>
    </row>
    <row r="1371" spans="2:2">
      <c r="B1371" s="137"/>
    </row>
    <row r="1372" spans="2:2">
      <c r="B1372" s="137"/>
    </row>
    <row r="1373" spans="2:2">
      <c r="B1373" s="137"/>
    </row>
    <row r="1374" spans="2:2">
      <c r="B1374" s="137"/>
    </row>
    <row r="1375" spans="2:2">
      <c r="B1375" s="137"/>
    </row>
    <row r="1376" spans="2:2">
      <c r="B1376" s="137"/>
    </row>
    <row r="1377" spans="2:2">
      <c r="B1377" s="137"/>
    </row>
    <row r="1378" spans="2:2">
      <c r="B1378" s="137"/>
    </row>
    <row r="1379" spans="2:2">
      <c r="B1379" s="137"/>
    </row>
    <row r="1380" spans="2:2">
      <c r="B1380" s="137"/>
    </row>
    <row r="1381" spans="2:2">
      <c r="B1381" s="137"/>
    </row>
    <row r="1382" spans="2:2">
      <c r="B1382" s="137"/>
    </row>
    <row r="1383" spans="2:2">
      <c r="B1383" s="137"/>
    </row>
    <row r="1384" spans="2:2">
      <c r="B1384" s="137"/>
    </row>
    <row r="1385" spans="2:2">
      <c r="B1385" s="137"/>
    </row>
    <row r="1386" spans="2:2">
      <c r="B1386" s="137"/>
    </row>
    <row r="1387" spans="2:2">
      <c r="B1387" s="137"/>
    </row>
    <row r="1388" spans="2:2">
      <c r="B1388" s="137"/>
    </row>
    <row r="1389" spans="2:2">
      <c r="B1389" s="137"/>
    </row>
    <row r="1390" spans="2:2">
      <c r="B1390" s="137"/>
    </row>
    <row r="1391" spans="2:2">
      <c r="B1391" s="137"/>
    </row>
    <row r="1392" spans="2:2">
      <c r="B1392" s="137"/>
    </row>
    <row r="1393" spans="2:2">
      <c r="B1393" s="137"/>
    </row>
    <row r="1394" spans="2:2">
      <c r="B1394" s="137"/>
    </row>
    <row r="1395" spans="2:2">
      <c r="B1395" s="137"/>
    </row>
    <row r="1396" spans="2:2">
      <c r="B1396" s="137"/>
    </row>
    <row r="1397" spans="2:2">
      <c r="B1397" s="137"/>
    </row>
    <row r="1398" spans="2:2">
      <c r="B1398" s="137"/>
    </row>
    <row r="1399" spans="2:2">
      <c r="B1399" s="137"/>
    </row>
    <row r="1400" spans="2:2">
      <c r="B1400" s="137"/>
    </row>
    <row r="1401" spans="2:2">
      <c r="B1401" s="137"/>
    </row>
    <row r="1402" spans="2:2">
      <c r="B1402" s="137"/>
    </row>
    <row r="1403" spans="2:2">
      <c r="B1403" s="137"/>
    </row>
    <row r="1404" spans="2:2">
      <c r="B1404" s="137"/>
    </row>
    <row r="1405" spans="2:2">
      <c r="B1405" s="137"/>
    </row>
    <row r="1406" spans="2:2">
      <c r="B1406" s="137"/>
    </row>
    <row r="1407" spans="2:2">
      <c r="B1407" s="137"/>
    </row>
    <row r="1408" spans="2:2">
      <c r="B1408" s="137"/>
    </row>
    <row r="1409" spans="2:2">
      <c r="B1409" s="137"/>
    </row>
    <row r="1410" spans="2:2">
      <c r="B1410" s="137"/>
    </row>
    <row r="1411" spans="2:2">
      <c r="B1411" s="137"/>
    </row>
    <row r="1412" spans="2:2">
      <c r="B1412" s="137"/>
    </row>
    <row r="1413" spans="2:2">
      <c r="B1413" s="137"/>
    </row>
    <row r="1414" spans="2:2">
      <c r="B1414" s="137"/>
    </row>
    <row r="1415" spans="2:2">
      <c r="B1415" s="137"/>
    </row>
    <row r="1416" spans="2:2">
      <c r="B1416" s="137"/>
    </row>
    <row r="1417" spans="2:2">
      <c r="B1417" s="137"/>
    </row>
    <row r="1418" spans="2:2">
      <c r="B1418" s="137"/>
    </row>
    <row r="1419" spans="2:2">
      <c r="B1419" s="137"/>
    </row>
    <row r="1420" spans="2:2">
      <c r="B1420" s="137"/>
    </row>
    <row r="1421" spans="2:2">
      <c r="B1421" s="137"/>
    </row>
    <row r="1422" spans="2:2">
      <c r="B1422" s="137"/>
    </row>
    <row r="1423" spans="2:2">
      <c r="B1423" s="137"/>
    </row>
    <row r="1424" spans="2:2">
      <c r="B1424" s="137"/>
    </row>
    <row r="1425" spans="2:2">
      <c r="B1425" s="137"/>
    </row>
    <row r="1426" spans="2:2">
      <c r="B1426" s="137"/>
    </row>
    <row r="1427" spans="2:2">
      <c r="B1427" s="137"/>
    </row>
    <row r="1428" spans="2:2">
      <c r="B1428" s="137"/>
    </row>
    <row r="1429" spans="2:2">
      <c r="B1429" s="137"/>
    </row>
    <row r="1430" spans="2:2">
      <c r="B1430" s="137"/>
    </row>
    <row r="1431" spans="2:2">
      <c r="B1431" s="137"/>
    </row>
    <row r="1432" spans="2:2">
      <c r="B1432" s="137"/>
    </row>
    <row r="1433" spans="2:2">
      <c r="B1433" s="137"/>
    </row>
    <row r="1434" spans="2:2">
      <c r="B1434" s="137"/>
    </row>
    <row r="1435" spans="2:2">
      <c r="B1435" s="137"/>
    </row>
    <row r="1436" spans="2:2">
      <c r="B1436" s="137"/>
    </row>
    <row r="1437" spans="2:2">
      <c r="B1437" s="137"/>
    </row>
    <row r="1438" spans="2:2">
      <c r="B1438" s="137"/>
    </row>
    <row r="1439" spans="2:2">
      <c r="B1439" s="137"/>
    </row>
    <row r="1440" spans="2:2">
      <c r="B1440" s="137"/>
    </row>
    <row r="1441" spans="2:2">
      <c r="B1441" s="137"/>
    </row>
    <row r="1442" spans="2:2">
      <c r="B1442" s="137"/>
    </row>
    <row r="1443" spans="2:2">
      <c r="B1443" s="137"/>
    </row>
    <row r="1444" spans="2:2">
      <c r="B1444" s="137"/>
    </row>
    <row r="1445" spans="2:2">
      <c r="B1445" s="137"/>
    </row>
    <row r="1446" spans="2:2">
      <c r="B1446" s="137"/>
    </row>
    <row r="1447" spans="2:2">
      <c r="B1447" s="137"/>
    </row>
    <row r="1448" spans="2:2">
      <c r="B1448" s="137"/>
    </row>
    <row r="1449" spans="2:2">
      <c r="B1449" s="137"/>
    </row>
    <row r="1450" spans="2:2">
      <c r="B1450" s="137"/>
    </row>
    <row r="1451" spans="2:2">
      <c r="B1451" s="137"/>
    </row>
    <row r="1452" spans="2:2">
      <c r="B1452" s="137"/>
    </row>
    <row r="1453" spans="2:2">
      <c r="B1453" s="137"/>
    </row>
    <row r="1454" spans="2:2">
      <c r="B1454" s="137"/>
    </row>
    <row r="1455" spans="2:2">
      <c r="B1455" s="137"/>
    </row>
    <row r="1456" spans="2:2">
      <c r="B1456" s="137"/>
    </row>
    <row r="1457" spans="2:2">
      <c r="B1457" s="137"/>
    </row>
    <row r="1458" spans="2:2">
      <c r="B1458" s="137"/>
    </row>
    <row r="1459" spans="2:2">
      <c r="B1459" s="137"/>
    </row>
    <row r="1460" spans="2:2">
      <c r="B1460" s="137"/>
    </row>
    <row r="1461" spans="2:2">
      <c r="B1461" s="137"/>
    </row>
    <row r="1462" spans="2:2">
      <c r="B1462" s="137"/>
    </row>
    <row r="1463" spans="2:2">
      <c r="B1463" s="137"/>
    </row>
    <row r="1464" spans="2:2">
      <c r="B1464" s="137"/>
    </row>
    <row r="1465" spans="2:2">
      <c r="B1465" s="137"/>
    </row>
    <row r="1466" spans="2:2">
      <c r="B1466" s="137"/>
    </row>
    <row r="1467" spans="2:2">
      <c r="B1467" s="137"/>
    </row>
    <row r="1468" spans="2:2">
      <c r="B1468" s="137"/>
    </row>
    <row r="1469" spans="2:2">
      <c r="B1469" s="137"/>
    </row>
    <row r="1470" spans="2:2">
      <c r="B1470" s="137"/>
    </row>
    <row r="1471" spans="2:2">
      <c r="B1471" s="137"/>
    </row>
    <row r="1472" spans="2:2">
      <c r="B1472" s="137"/>
    </row>
    <row r="1473" spans="2:2">
      <c r="B1473" s="137"/>
    </row>
    <row r="1474" spans="2:2">
      <c r="B1474" s="137"/>
    </row>
    <row r="1475" spans="2:2">
      <c r="B1475" s="137"/>
    </row>
    <row r="1476" spans="2:2">
      <c r="B1476" s="137"/>
    </row>
    <row r="1477" spans="2:2">
      <c r="B1477" s="137"/>
    </row>
    <row r="1478" spans="2:2">
      <c r="B1478" s="137"/>
    </row>
    <row r="1479" spans="2:2">
      <c r="B1479" s="137"/>
    </row>
    <row r="1480" spans="2:2">
      <c r="B1480" s="137"/>
    </row>
    <row r="1481" spans="2:2">
      <c r="B1481" s="137"/>
    </row>
    <row r="1482" spans="2:2">
      <c r="B1482" s="137"/>
    </row>
    <row r="1483" spans="2:2">
      <c r="B1483" s="137"/>
    </row>
    <row r="1484" spans="2:2">
      <c r="B1484" s="137"/>
    </row>
    <row r="1485" spans="2:2">
      <c r="B1485" s="137"/>
    </row>
    <row r="1486" spans="2:2">
      <c r="B1486" s="137"/>
    </row>
    <row r="1487" spans="2:2">
      <c r="B1487" s="137"/>
    </row>
    <row r="1488" spans="2:2">
      <c r="B1488" s="137"/>
    </row>
    <row r="1489" spans="2:2">
      <c r="B1489" s="137"/>
    </row>
    <row r="1490" spans="2:2">
      <c r="B1490" s="137"/>
    </row>
    <row r="1491" spans="2:2">
      <c r="B1491" s="137"/>
    </row>
    <row r="1492" spans="2:2">
      <c r="B1492" s="137"/>
    </row>
    <row r="1493" spans="2:2">
      <c r="B1493" s="137"/>
    </row>
    <row r="1494" spans="2:2">
      <c r="B1494" s="137"/>
    </row>
    <row r="1495" spans="2:2">
      <c r="B1495" s="137"/>
    </row>
    <row r="1496" spans="2:2">
      <c r="B1496" s="137"/>
    </row>
    <row r="1497" spans="2:2">
      <c r="B1497" s="137"/>
    </row>
    <row r="1498" spans="2:2">
      <c r="B1498" s="137"/>
    </row>
    <row r="1499" spans="2:2">
      <c r="B1499" s="137"/>
    </row>
    <row r="1500" spans="2:2">
      <c r="B1500" s="137"/>
    </row>
    <row r="1501" spans="2:2">
      <c r="B1501" s="137"/>
    </row>
    <row r="1502" spans="2:2">
      <c r="B1502" s="137"/>
    </row>
    <row r="1503" spans="2:2">
      <c r="B1503" s="137"/>
    </row>
    <row r="1504" spans="2:2">
      <c r="B1504" s="137"/>
    </row>
    <row r="1505" spans="2:2">
      <c r="B1505" s="137"/>
    </row>
    <row r="1506" spans="2:2">
      <c r="B1506" s="137"/>
    </row>
    <row r="1507" spans="2:2">
      <c r="B1507" s="137"/>
    </row>
    <row r="1508" spans="2:2">
      <c r="B1508" s="137"/>
    </row>
    <row r="1509" spans="2:2">
      <c r="B1509" s="137"/>
    </row>
    <row r="1510" spans="2:2">
      <c r="B1510" s="137"/>
    </row>
    <row r="1511" spans="2:2">
      <c r="B1511" s="137"/>
    </row>
    <row r="1512" spans="2:2">
      <c r="B1512" s="137"/>
    </row>
    <row r="1513" spans="2:2">
      <c r="B1513" s="137"/>
    </row>
    <row r="1514" spans="2:2">
      <c r="B1514" s="137"/>
    </row>
    <row r="1515" spans="2:2">
      <c r="B1515" s="137"/>
    </row>
    <row r="1516" spans="2:2">
      <c r="B1516" s="137"/>
    </row>
    <row r="1517" spans="2:2">
      <c r="B1517" s="137"/>
    </row>
    <row r="1518" spans="2:2">
      <c r="B1518" s="137"/>
    </row>
    <row r="1519" spans="2:2">
      <c r="B1519" s="137"/>
    </row>
    <row r="1520" spans="2:2">
      <c r="B1520" s="137"/>
    </row>
    <row r="1521" spans="2:2">
      <c r="B1521" s="137"/>
    </row>
    <row r="1522" spans="2:2">
      <c r="B1522" s="137"/>
    </row>
    <row r="1523" spans="2:2">
      <c r="B1523" s="137"/>
    </row>
    <row r="1524" spans="2:2">
      <c r="B1524" s="137"/>
    </row>
    <row r="1525" spans="2:2">
      <c r="B1525" s="137"/>
    </row>
    <row r="1526" spans="2:2">
      <c r="B1526" s="137"/>
    </row>
    <row r="1527" spans="2:2">
      <c r="B1527" s="137"/>
    </row>
    <row r="1528" spans="2:2">
      <c r="B1528" s="137"/>
    </row>
    <row r="1529" spans="2:2">
      <c r="B1529" s="137"/>
    </row>
    <row r="1530" spans="2:2">
      <c r="B1530" s="137"/>
    </row>
    <row r="1531" spans="2:2">
      <c r="B1531" s="137"/>
    </row>
    <row r="1532" spans="2:2">
      <c r="B1532" s="137"/>
    </row>
    <row r="1533" spans="2:2">
      <c r="B1533" s="137"/>
    </row>
    <row r="1534" spans="2:2">
      <c r="B1534" s="137"/>
    </row>
    <row r="1535" spans="2:2">
      <c r="B1535" s="137"/>
    </row>
    <row r="1536" spans="2:2">
      <c r="B1536" s="137"/>
    </row>
    <row r="1537" spans="2:2">
      <c r="B1537" s="137"/>
    </row>
    <row r="1538" spans="2:2">
      <c r="B1538" s="137"/>
    </row>
    <row r="1539" spans="2:2">
      <c r="B1539" s="137"/>
    </row>
    <row r="1540" spans="2:2">
      <c r="B1540" s="137"/>
    </row>
    <row r="1541" spans="2:2">
      <c r="B1541" s="137"/>
    </row>
    <row r="1542" spans="2:2">
      <c r="B1542" s="137"/>
    </row>
    <row r="1543" spans="2:2">
      <c r="B1543" s="137"/>
    </row>
    <row r="1544" spans="2:2">
      <c r="B1544" s="137"/>
    </row>
    <row r="1545" spans="2:2">
      <c r="B1545" s="137"/>
    </row>
    <row r="1546" spans="2:2">
      <c r="B1546" s="137"/>
    </row>
    <row r="1547" spans="2:2">
      <c r="B1547" s="137"/>
    </row>
    <row r="1548" spans="2:2">
      <c r="B1548" s="137"/>
    </row>
    <row r="1549" spans="2:2">
      <c r="B1549" s="137"/>
    </row>
    <row r="1550" spans="2:2">
      <c r="B1550" s="137"/>
    </row>
    <row r="1551" spans="2:2">
      <c r="B1551" s="137"/>
    </row>
    <row r="1552" spans="2:2">
      <c r="B1552" s="137"/>
    </row>
    <row r="1553" spans="2:2">
      <c r="B1553" s="137"/>
    </row>
    <row r="1554" spans="2:2">
      <c r="B1554" s="137"/>
    </row>
    <row r="1555" spans="2:2">
      <c r="B1555" s="137"/>
    </row>
    <row r="1556" spans="2:2">
      <c r="B1556" s="137"/>
    </row>
    <row r="1557" spans="2:2">
      <c r="B1557" s="137"/>
    </row>
    <row r="1558" spans="2:2">
      <c r="B1558" s="137"/>
    </row>
    <row r="1559" spans="2:2">
      <c r="B1559" s="137"/>
    </row>
    <row r="1560" spans="2:2">
      <c r="B1560" s="137"/>
    </row>
    <row r="1561" spans="2:2">
      <c r="B1561" s="137"/>
    </row>
    <row r="1562" spans="2:2">
      <c r="B1562" s="137"/>
    </row>
    <row r="1563" spans="2:2">
      <c r="B1563" s="137"/>
    </row>
    <row r="1564" spans="2:2">
      <c r="B1564" s="137"/>
    </row>
    <row r="1565" spans="2:2">
      <c r="B1565" s="137"/>
    </row>
    <row r="1566" spans="2:2">
      <c r="B1566" s="137"/>
    </row>
    <row r="1567" spans="2:2">
      <c r="B1567" s="137"/>
    </row>
    <row r="1568" spans="2:2">
      <c r="B1568" s="137"/>
    </row>
    <row r="1569" spans="2:2">
      <c r="B1569" s="137"/>
    </row>
    <row r="1570" spans="2:2">
      <c r="B1570" s="137"/>
    </row>
    <row r="1571" spans="2:2">
      <c r="B1571" s="137"/>
    </row>
    <row r="1572" spans="2:2">
      <c r="B1572" s="137"/>
    </row>
    <row r="1573" spans="2:2">
      <c r="B1573" s="137"/>
    </row>
    <row r="1574" spans="2:2">
      <c r="B1574" s="137"/>
    </row>
    <row r="1575" spans="2:2">
      <c r="B1575" s="137"/>
    </row>
    <row r="1576" spans="2:2">
      <c r="B1576" s="137"/>
    </row>
    <row r="1577" spans="2:2">
      <c r="B1577" s="137"/>
    </row>
    <row r="1578" spans="2:2">
      <c r="B1578" s="137"/>
    </row>
    <row r="1579" spans="2:2">
      <c r="B1579" s="137"/>
    </row>
    <row r="1580" spans="2:2">
      <c r="B1580" s="137"/>
    </row>
    <row r="1581" spans="2:2">
      <c r="B1581" s="137"/>
    </row>
    <row r="1582" spans="2:2">
      <c r="B1582" s="137"/>
    </row>
    <row r="1583" spans="2:2">
      <c r="B1583" s="137"/>
    </row>
    <row r="1584" spans="2:2">
      <c r="B1584" s="137"/>
    </row>
    <row r="1585" spans="2:2">
      <c r="B1585" s="137"/>
    </row>
    <row r="1586" spans="2:2">
      <c r="B1586" s="137"/>
    </row>
    <row r="1587" spans="2:2">
      <c r="B1587" s="137"/>
    </row>
    <row r="1588" spans="2:2">
      <c r="B1588" s="137"/>
    </row>
    <row r="1589" spans="2:2">
      <c r="B1589" s="137"/>
    </row>
    <row r="1590" spans="2:2">
      <c r="B1590" s="137"/>
    </row>
    <row r="1591" spans="2:2">
      <c r="B1591" s="137"/>
    </row>
    <row r="1592" spans="2:2">
      <c r="B1592" s="137"/>
    </row>
    <row r="1593" spans="2:2">
      <c r="B1593" s="137"/>
    </row>
    <row r="1594" spans="2:2">
      <c r="B1594" s="137"/>
    </row>
    <row r="1595" spans="2:2">
      <c r="B1595" s="137"/>
    </row>
    <row r="1596" spans="2:2">
      <c r="B1596" s="137"/>
    </row>
    <row r="1597" spans="2:2">
      <c r="B1597" s="137"/>
    </row>
    <row r="1598" spans="2:2">
      <c r="B1598" s="137"/>
    </row>
    <row r="1599" spans="2:2">
      <c r="B1599" s="137"/>
    </row>
    <row r="1600" spans="2:2">
      <c r="B1600" s="137"/>
    </row>
    <row r="1601" spans="2:2">
      <c r="B1601" s="137"/>
    </row>
    <row r="1602" spans="2:2">
      <c r="B1602" s="137"/>
    </row>
    <row r="1603" spans="2:2">
      <c r="B1603" s="137"/>
    </row>
    <row r="1604" spans="2:2">
      <c r="B1604" s="137"/>
    </row>
    <row r="1605" spans="2:2">
      <c r="B1605" s="137"/>
    </row>
    <row r="1606" spans="2:2">
      <c r="B1606" s="137"/>
    </row>
    <row r="1607" spans="2:2">
      <c r="B1607" s="137"/>
    </row>
    <row r="1608" spans="2:2">
      <c r="B1608" s="137"/>
    </row>
    <row r="1609" spans="2:2">
      <c r="B1609" s="137"/>
    </row>
    <row r="1610" spans="2:2">
      <c r="B1610" s="137"/>
    </row>
    <row r="1611" spans="2:2">
      <c r="B1611" s="137"/>
    </row>
    <row r="1612" spans="2:2">
      <c r="B1612" s="137"/>
    </row>
    <row r="1613" spans="2:2">
      <c r="B1613" s="137"/>
    </row>
    <row r="1614" spans="2:2">
      <c r="B1614" s="137"/>
    </row>
    <row r="1615" spans="2:2">
      <c r="B1615" s="137"/>
    </row>
    <row r="1616" spans="2:2">
      <c r="B1616" s="137"/>
    </row>
    <row r="1617" spans="2:2">
      <c r="B1617" s="137"/>
    </row>
    <row r="1618" spans="2:2">
      <c r="B1618" s="137"/>
    </row>
    <row r="1619" spans="2:2">
      <c r="B1619" s="137"/>
    </row>
    <row r="1620" spans="2:2">
      <c r="B1620" s="137"/>
    </row>
    <row r="1621" spans="2:2">
      <c r="B1621" s="137"/>
    </row>
    <row r="1622" spans="2:2">
      <c r="B1622" s="137"/>
    </row>
    <row r="1623" spans="2:2">
      <c r="B1623" s="137"/>
    </row>
    <row r="1624" spans="2:2">
      <c r="B1624" s="137"/>
    </row>
    <row r="1625" spans="2:2">
      <c r="B1625" s="137"/>
    </row>
    <row r="1626" spans="2:2">
      <c r="B1626" s="137"/>
    </row>
    <row r="1627" spans="2:2">
      <c r="B1627" s="137"/>
    </row>
    <row r="1628" spans="2:2">
      <c r="B1628" s="137"/>
    </row>
    <row r="1629" spans="2:2">
      <c r="B1629" s="137"/>
    </row>
    <row r="1630" spans="2:2">
      <c r="B1630" s="137"/>
    </row>
    <row r="1631" spans="2:2">
      <c r="B1631" s="137"/>
    </row>
    <row r="1632" spans="2:2">
      <c r="B1632" s="137"/>
    </row>
    <row r="1633" spans="2:2">
      <c r="B1633" s="137"/>
    </row>
    <row r="1634" spans="2:2">
      <c r="B1634" s="137"/>
    </row>
    <row r="1635" spans="2:2">
      <c r="B1635" s="137"/>
    </row>
    <row r="1636" spans="2:2">
      <c r="B1636" s="137"/>
    </row>
    <row r="1637" spans="2:2">
      <c r="B1637" s="137"/>
    </row>
    <row r="1638" spans="2:2">
      <c r="B1638" s="137"/>
    </row>
    <row r="1639" spans="2:2">
      <c r="B1639" s="137"/>
    </row>
    <row r="1640" spans="2:2">
      <c r="B1640" s="137"/>
    </row>
    <row r="1641" spans="2:2">
      <c r="B1641" s="137"/>
    </row>
    <row r="1642" spans="2:2">
      <c r="B1642" s="137"/>
    </row>
    <row r="1643" spans="2:2">
      <c r="B1643" s="137"/>
    </row>
    <row r="1644" spans="2:2">
      <c r="B1644" s="137"/>
    </row>
    <row r="1645" spans="2:2">
      <c r="B1645" s="137"/>
    </row>
    <row r="1646" spans="2:2">
      <c r="B1646" s="137"/>
    </row>
    <row r="1647" spans="2:2">
      <c r="B1647" s="137"/>
    </row>
    <row r="1648" spans="2:2">
      <c r="B1648" s="137"/>
    </row>
    <row r="1649" spans="2:2">
      <c r="B1649" s="137"/>
    </row>
    <row r="1650" spans="2:2">
      <c r="B1650" s="137"/>
    </row>
    <row r="1651" spans="2:2">
      <c r="B1651" s="137"/>
    </row>
    <row r="1652" spans="2:2">
      <c r="B1652" s="137"/>
    </row>
    <row r="1653" spans="2:2">
      <c r="B1653" s="137"/>
    </row>
    <row r="1654" spans="2:2">
      <c r="B1654" s="137"/>
    </row>
    <row r="1655" spans="2:2">
      <c r="B1655" s="137"/>
    </row>
    <row r="1656" spans="2:2">
      <c r="B1656" s="137"/>
    </row>
    <row r="1657" spans="2:2">
      <c r="B1657" s="137"/>
    </row>
    <row r="1658" spans="2:2">
      <c r="B1658" s="137"/>
    </row>
    <row r="1659" spans="2:2">
      <c r="B1659" s="137"/>
    </row>
    <row r="1660" spans="2:2">
      <c r="B1660" s="137"/>
    </row>
    <row r="1661" spans="2:2">
      <c r="B1661" s="137"/>
    </row>
    <row r="1662" spans="2:2">
      <c r="B1662" s="137"/>
    </row>
    <row r="1663" spans="2:2">
      <c r="B1663" s="137"/>
    </row>
    <row r="1664" spans="2:2">
      <c r="B1664" s="137"/>
    </row>
    <row r="1665" spans="2:2">
      <c r="B1665" s="137"/>
    </row>
    <row r="1666" spans="2:2">
      <c r="B1666" s="137"/>
    </row>
    <row r="1667" spans="2:2">
      <c r="B1667" s="137"/>
    </row>
    <row r="1668" spans="2:2">
      <c r="B1668" s="137"/>
    </row>
    <row r="1669" spans="2:2">
      <c r="B1669" s="137"/>
    </row>
    <row r="1670" spans="2:2">
      <c r="B1670" s="137"/>
    </row>
    <row r="1671" spans="2:2">
      <c r="B1671" s="137"/>
    </row>
    <row r="1672" spans="2:2">
      <c r="B1672" s="137"/>
    </row>
    <row r="1673" spans="2:2">
      <c r="B1673" s="137"/>
    </row>
    <row r="1674" spans="2:2">
      <c r="B1674" s="137"/>
    </row>
    <row r="1675" spans="2:2">
      <c r="B1675" s="137"/>
    </row>
    <row r="1676" spans="2:2">
      <c r="B1676" s="137"/>
    </row>
    <row r="1677" spans="2:2">
      <c r="B1677" s="137"/>
    </row>
    <row r="1678" spans="2:2">
      <c r="B1678" s="137"/>
    </row>
    <row r="1679" spans="2:2">
      <c r="B1679" s="137"/>
    </row>
    <row r="1680" spans="2:2">
      <c r="B1680" s="137"/>
    </row>
    <row r="1681" spans="2:2">
      <c r="B1681" s="137"/>
    </row>
    <row r="1682" spans="2:2">
      <c r="B1682" s="137"/>
    </row>
    <row r="1683" spans="2:2">
      <c r="B1683" s="137"/>
    </row>
    <row r="1684" spans="2:2">
      <c r="B1684" s="137"/>
    </row>
    <row r="1685" spans="2:2">
      <c r="B1685" s="137"/>
    </row>
    <row r="1686" spans="2:2">
      <c r="B1686" s="137"/>
    </row>
    <row r="1687" spans="2:2">
      <c r="B1687" s="137"/>
    </row>
    <row r="1688" spans="2:2">
      <c r="B1688" s="137"/>
    </row>
    <row r="1689" spans="2:2">
      <c r="B1689" s="137"/>
    </row>
    <row r="1690" spans="2:2">
      <c r="B1690" s="137"/>
    </row>
    <row r="1691" spans="2:2">
      <c r="B1691" s="137"/>
    </row>
    <row r="1692" spans="2:2">
      <c r="B1692" s="137"/>
    </row>
    <row r="1693" spans="2:2">
      <c r="B1693" s="137"/>
    </row>
    <row r="1694" spans="2:2">
      <c r="B1694" s="137"/>
    </row>
    <row r="1695" spans="2:2">
      <c r="B1695" s="137"/>
    </row>
    <row r="1696" spans="2:2">
      <c r="B1696" s="137"/>
    </row>
    <row r="1697" spans="2:2">
      <c r="B1697" s="137"/>
    </row>
    <row r="1698" spans="2:2">
      <c r="B1698" s="137"/>
    </row>
    <row r="1699" spans="2:2">
      <c r="B1699" s="137"/>
    </row>
    <row r="1700" spans="2:2">
      <c r="B1700" s="137"/>
    </row>
    <row r="1701" spans="2:2">
      <c r="B1701" s="137"/>
    </row>
    <row r="1702" spans="2:2">
      <c r="B1702" s="137"/>
    </row>
    <row r="1703" spans="2:2">
      <c r="B1703" s="137"/>
    </row>
    <row r="1704" spans="2:2">
      <c r="B1704" s="137"/>
    </row>
    <row r="1705" spans="2:2">
      <c r="B1705" s="137"/>
    </row>
    <row r="1706" spans="2:2">
      <c r="B1706" s="137"/>
    </row>
    <row r="1707" spans="2:2">
      <c r="B1707" s="137"/>
    </row>
    <row r="1708" spans="2:2">
      <c r="B1708" s="137"/>
    </row>
    <row r="1709" spans="2:2">
      <c r="B1709" s="137"/>
    </row>
    <row r="1710" spans="2:2">
      <c r="B1710" s="137"/>
    </row>
    <row r="1711" spans="2:2">
      <c r="B1711" s="137"/>
    </row>
    <row r="1712" spans="2:2">
      <c r="B1712" s="137"/>
    </row>
    <row r="1713" spans="2:2">
      <c r="B1713" s="137"/>
    </row>
    <row r="1714" spans="2:2">
      <c r="B1714" s="137"/>
    </row>
    <row r="1715" spans="2:2">
      <c r="B1715" s="137"/>
    </row>
    <row r="1716" spans="2:2">
      <c r="B1716" s="137"/>
    </row>
    <row r="1717" spans="2:2">
      <c r="B1717" s="137"/>
    </row>
    <row r="1718" spans="2:2">
      <c r="B1718" s="137"/>
    </row>
    <row r="1719" spans="2:2">
      <c r="B1719" s="137"/>
    </row>
    <row r="1720" spans="2:2">
      <c r="B1720" s="137"/>
    </row>
    <row r="1721" spans="2:2">
      <c r="B1721" s="137"/>
    </row>
    <row r="1722" spans="2:2">
      <c r="B1722" s="137"/>
    </row>
    <row r="1723" spans="2:2">
      <c r="B1723" s="137"/>
    </row>
    <row r="1724" spans="2:2">
      <c r="B1724" s="137"/>
    </row>
    <row r="1725" spans="2:2">
      <c r="B1725" s="137"/>
    </row>
    <row r="1726" spans="2:2">
      <c r="B1726" s="137"/>
    </row>
    <row r="1727" spans="2:2">
      <c r="B1727" s="137"/>
    </row>
    <row r="1728" spans="2:2">
      <c r="B1728" s="137"/>
    </row>
    <row r="1729" spans="2:2">
      <c r="B1729" s="137"/>
    </row>
    <row r="1730" spans="2:2">
      <c r="B1730" s="137"/>
    </row>
    <row r="1731" spans="2:2">
      <c r="B1731" s="137"/>
    </row>
    <row r="1732" spans="2:2">
      <c r="B1732" s="137"/>
    </row>
    <row r="1733" spans="2:2">
      <c r="B1733" s="137"/>
    </row>
    <row r="1734" spans="2:2">
      <c r="B1734" s="137"/>
    </row>
    <row r="1735" spans="2:2">
      <c r="B1735" s="137"/>
    </row>
    <row r="1736" spans="2:2">
      <c r="B1736" s="137"/>
    </row>
    <row r="1737" spans="2:2">
      <c r="B1737" s="137"/>
    </row>
    <row r="1738" spans="2:2">
      <c r="B1738" s="137"/>
    </row>
    <row r="1739" spans="2:2">
      <c r="B1739" s="137"/>
    </row>
    <row r="1740" spans="2:2">
      <c r="B1740" s="137"/>
    </row>
    <row r="1741" spans="2:2">
      <c r="B1741" s="137"/>
    </row>
    <row r="1742" spans="2:2">
      <c r="B1742" s="137"/>
    </row>
    <row r="1743" spans="2:2">
      <c r="B1743" s="137"/>
    </row>
    <row r="1744" spans="2:2">
      <c r="B1744" s="137"/>
    </row>
    <row r="1745" spans="2:2">
      <c r="B1745" s="137"/>
    </row>
    <row r="1746" spans="2:2">
      <c r="B1746" s="137"/>
    </row>
    <row r="1747" spans="2:2">
      <c r="B1747" s="137"/>
    </row>
    <row r="1748" spans="2:2">
      <c r="B1748" s="137"/>
    </row>
    <row r="1749" spans="2:2">
      <c r="B1749" s="137"/>
    </row>
    <row r="1750" spans="2:2">
      <c r="B1750" s="137"/>
    </row>
    <row r="1751" spans="2:2">
      <c r="B1751" s="137"/>
    </row>
    <row r="1752" spans="2:2">
      <c r="B1752" s="137"/>
    </row>
    <row r="1753" spans="2:2">
      <c r="B1753" s="137"/>
    </row>
    <row r="1754" spans="2:2">
      <c r="B1754" s="137"/>
    </row>
    <row r="1755" spans="2:2">
      <c r="B1755" s="137"/>
    </row>
    <row r="1756" spans="2:2">
      <c r="B1756" s="137"/>
    </row>
    <row r="1757" spans="2:2">
      <c r="B1757" s="137"/>
    </row>
    <row r="1758" spans="2:2">
      <c r="B1758" s="137"/>
    </row>
    <row r="1759" spans="2:2">
      <c r="B1759" s="137"/>
    </row>
    <row r="1760" spans="2:2">
      <c r="B1760" s="137"/>
    </row>
    <row r="1761" spans="2:2">
      <c r="B1761" s="137"/>
    </row>
    <row r="1762" spans="2:2">
      <c r="B1762" s="137"/>
    </row>
    <row r="1763" spans="2:2">
      <c r="B1763" s="137"/>
    </row>
    <row r="1764" spans="2:2">
      <c r="B1764" s="137"/>
    </row>
    <row r="1765" spans="2:2">
      <c r="B1765" s="137"/>
    </row>
    <row r="1766" spans="2:2">
      <c r="B1766" s="137"/>
    </row>
    <row r="1767" spans="2:2">
      <c r="B1767" s="137"/>
    </row>
    <row r="1768" spans="2:2">
      <c r="B1768" s="137"/>
    </row>
    <row r="1769" spans="2:2">
      <c r="B1769" s="137"/>
    </row>
    <row r="1770" spans="2:2">
      <c r="B1770" s="137"/>
    </row>
    <row r="1771" spans="2:2">
      <c r="B1771" s="137"/>
    </row>
    <row r="1772" spans="2:2">
      <c r="B1772" s="137"/>
    </row>
    <row r="1773" spans="2:2">
      <c r="B1773" s="137"/>
    </row>
    <row r="1774" spans="2:2">
      <c r="B1774" s="137"/>
    </row>
    <row r="1775" spans="2:2">
      <c r="B1775" s="137"/>
    </row>
    <row r="1776" spans="2:2">
      <c r="B1776" s="137"/>
    </row>
    <row r="1777" spans="2:2">
      <c r="B1777" s="137"/>
    </row>
    <row r="1778" spans="2:2">
      <c r="B1778" s="137"/>
    </row>
    <row r="1779" spans="2:2">
      <c r="B1779" s="137"/>
    </row>
    <row r="1780" spans="2:2">
      <c r="B1780" s="137"/>
    </row>
    <row r="1781" spans="2:2">
      <c r="B1781" s="137"/>
    </row>
    <row r="1782" spans="2:2">
      <c r="B1782" s="137"/>
    </row>
    <row r="1783" spans="2:2">
      <c r="B1783" s="137"/>
    </row>
    <row r="1784" spans="2:2">
      <c r="B1784" s="137"/>
    </row>
    <row r="1785" spans="2:2">
      <c r="B1785" s="137"/>
    </row>
    <row r="1786" spans="2:2">
      <c r="B1786" s="137"/>
    </row>
    <row r="1787" spans="2:2">
      <c r="B1787" s="137"/>
    </row>
    <row r="1788" spans="2:2">
      <c r="B1788" s="137"/>
    </row>
    <row r="1789" spans="2:2">
      <c r="B1789" s="137"/>
    </row>
    <row r="1790" spans="2:2">
      <c r="B1790" s="137"/>
    </row>
    <row r="1791" spans="2:2">
      <c r="B1791" s="137"/>
    </row>
    <row r="1792" spans="2:2">
      <c r="B1792" s="137"/>
    </row>
    <row r="1793" spans="2:2">
      <c r="B1793" s="137"/>
    </row>
    <row r="1794" spans="2:2">
      <c r="B1794" s="137"/>
    </row>
    <row r="1795" spans="2:2">
      <c r="B1795" s="137"/>
    </row>
    <row r="1796" spans="2:2">
      <c r="B1796" s="137"/>
    </row>
    <row r="1797" spans="2:2">
      <c r="B1797" s="137"/>
    </row>
    <row r="1798" spans="2:2">
      <c r="B1798" s="137"/>
    </row>
    <row r="1799" spans="2:2">
      <c r="B1799" s="137"/>
    </row>
    <row r="1800" spans="2:2">
      <c r="B1800" s="137"/>
    </row>
    <row r="1801" spans="2:2">
      <c r="B1801" s="137"/>
    </row>
    <row r="1802" spans="2:2">
      <c r="B1802" s="137"/>
    </row>
    <row r="1803" spans="2:2">
      <c r="B1803" s="137"/>
    </row>
    <row r="1804" spans="2:2">
      <c r="B1804" s="137"/>
    </row>
    <row r="1805" spans="2:2">
      <c r="B1805" s="137"/>
    </row>
    <row r="1806" spans="2:2">
      <c r="B1806" s="137"/>
    </row>
    <row r="1807" spans="2:2">
      <c r="B1807" s="137"/>
    </row>
    <row r="1808" spans="2:2">
      <c r="B1808" s="137"/>
    </row>
    <row r="1809" spans="2:2">
      <c r="B1809" s="137"/>
    </row>
    <row r="1810" spans="2:2">
      <c r="B1810" s="137"/>
    </row>
    <row r="1811" spans="2:2">
      <c r="B1811" s="137"/>
    </row>
    <row r="1812" spans="2:2">
      <c r="B1812" s="137"/>
    </row>
    <row r="1813" spans="2:2">
      <c r="B1813" s="137"/>
    </row>
    <row r="1814" spans="2:2">
      <c r="B1814" s="137"/>
    </row>
    <row r="1815" spans="2:2">
      <c r="B1815" s="137"/>
    </row>
    <row r="1816" spans="2:2">
      <c r="B1816" s="137"/>
    </row>
    <row r="1817" spans="2:2">
      <c r="B1817" s="137"/>
    </row>
    <row r="1818" spans="2:2">
      <c r="B1818" s="137"/>
    </row>
    <row r="1819" spans="2:2">
      <c r="B1819" s="137"/>
    </row>
    <row r="1820" spans="2:2">
      <c r="B1820" s="137"/>
    </row>
    <row r="1821" spans="2:2">
      <c r="B1821" s="137"/>
    </row>
    <row r="1822" spans="2:2">
      <c r="B1822" s="137"/>
    </row>
    <row r="1823" spans="2:2">
      <c r="B1823" s="137"/>
    </row>
    <row r="1824" spans="2:2">
      <c r="B1824" s="137"/>
    </row>
    <row r="1825" spans="2:2">
      <c r="B1825" s="137"/>
    </row>
    <row r="1826" spans="2:2">
      <c r="B1826" s="137"/>
    </row>
    <row r="1827" spans="2:2">
      <c r="B1827" s="137"/>
    </row>
    <row r="1828" spans="2:2">
      <c r="B1828" s="137"/>
    </row>
    <row r="1829" spans="2:2">
      <c r="B1829" s="137"/>
    </row>
    <row r="1830" spans="2:2">
      <c r="B1830" s="137"/>
    </row>
    <row r="1831" spans="2:2">
      <c r="B1831" s="137"/>
    </row>
    <row r="1832" spans="2:2">
      <c r="B1832" s="137"/>
    </row>
    <row r="1833" spans="2:2">
      <c r="B1833" s="137"/>
    </row>
    <row r="1834" spans="2:2">
      <c r="B1834" s="137"/>
    </row>
    <row r="1835" spans="2:2">
      <c r="B1835" s="137"/>
    </row>
    <row r="1836" spans="2:2">
      <c r="B1836" s="137"/>
    </row>
    <row r="1837" spans="2:2">
      <c r="B1837" s="137"/>
    </row>
    <row r="1838" spans="2:2">
      <c r="B1838" s="137"/>
    </row>
    <row r="1839" spans="2:2">
      <c r="B1839" s="137"/>
    </row>
    <row r="1840" spans="2:2">
      <c r="B1840" s="137"/>
    </row>
    <row r="1841" spans="2:2">
      <c r="B1841" s="137"/>
    </row>
    <row r="1842" spans="2:2">
      <c r="B1842" s="137"/>
    </row>
    <row r="1843" spans="2:2">
      <c r="B1843" s="137"/>
    </row>
    <row r="1844" spans="2:2">
      <c r="B1844" s="137"/>
    </row>
    <row r="1845" spans="2:2">
      <c r="B1845" s="137"/>
    </row>
    <row r="1846" spans="2:2">
      <c r="B1846" s="137"/>
    </row>
    <row r="1847" spans="2:2">
      <c r="B1847" s="137"/>
    </row>
    <row r="1848" spans="2:2">
      <c r="B1848" s="137"/>
    </row>
    <row r="1849" spans="2:2">
      <c r="B1849" s="137"/>
    </row>
    <row r="1850" spans="2:2">
      <c r="B1850" s="137"/>
    </row>
    <row r="1851" spans="2:2">
      <c r="B1851" s="137"/>
    </row>
    <row r="1852" spans="2:2">
      <c r="B1852" s="137"/>
    </row>
    <row r="1853" spans="2:2">
      <c r="B1853" s="137"/>
    </row>
    <row r="1854" spans="2:2">
      <c r="B1854" s="137"/>
    </row>
    <row r="1855" spans="2:2">
      <c r="B1855" s="137"/>
    </row>
    <row r="1856" spans="2:2">
      <c r="B1856" s="137"/>
    </row>
    <row r="1857" spans="2:2">
      <c r="B1857" s="137"/>
    </row>
    <row r="1858" spans="2:2">
      <c r="B1858" s="137"/>
    </row>
    <row r="1859" spans="2:2">
      <c r="B1859" s="137"/>
    </row>
    <row r="1860" spans="2:2">
      <c r="B1860" s="137"/>
    </row>
    <row r="1861" spans="2:2">
      <c r="B1861" s="137"/>
    </row>
    <row r="1862" spans="2:2">
      <c r="B1862" s="137"/>
    </row>
    <row r="1863" spans="2:2">
      <c r="B1863" s="137"/>
    </row>
    <row r="1864" spans="2:2">
      <c r="B1864" s="137"/>
    </row>
    <row r="1865" spans="2:2">
      <c r="B1865" s="137"/>
    </row>
    <row r="1866" spans="2:2">
      <c r="B1866" s="137"/>
    </row>
    <row r="1867" spans="2:2">
      <c r="B1867" s="137"/>
    </row>
    <row r="1868" spans="2:2">
      <c r="B1868" s="137"/>
    </row>
    <row r="1869" spans="2:2">
      <c r="B1869" s="137"/>
    </row>
    <row r="1870" spans="2:2">
      <c r="B1870" s="137"/>
    </row>
    <row r="1871" spans="2:2">
      <c r="B1871" s="137"/>
    </row>
    <row r="1872" spans="2:2">
      <c r="B1872" s="137"/>
    </row>
    <row r="1873" spans="2:2">
      <c r="B1873" s="137"/>
    </row>
    <row r="1874" spans="2:2">
      <c r="B1874" s="137"/>
    </row>
    <row r="1875" spans="2:2">
      <c r="B1875" s="137"/>
    </row>
    <row r="1876" spans="2:2">
      <c r="B1876" s="137"/>
    </row>
    <row r="1877" spans="2:2">
      <c r="B1877" s="137"/>
    </row>
    <row r="1878" spans="2:2">
      <c r="B1878" s="137"/>
    </row>
    <row r="1879" spans="2:2">
      <c r="B1879" s="137"/>
    </row>
    <row r="1880" spans="2:2">
      <c r="B1880" s="137"/>
    </row>
    <row r="1881" spans="2:2">
      <c r="B1881" s="137"/>
    </row>
    <row r="1882" spans="2:2">
      <c r="B1882" s="137"/>
    </row>
    <row r="1883" spans="2:2">
      <c r="B1883" s="137"/>
    </row>
    <row r="1884" spans="2:2">
      <c r="B1884" s="137"/>
    </row>
    <row r="1885" spans="2:2">
      <c r="B1885" s="137"/>
    </row>
    <row r="1886" spans="2:2">
      <c r="B1886" s="137"/>
    </row>
    <row r="1887" spans="2:2">
      <c r="B1887" s="137"/>
    </row>
    <row r="1888" spans="2:2">
      <c r="B1888" s="137"/>
    </row>
    <row r="1889" spans="2:2">
      <c r="B1889" s="137"/>
    </row>
    <row r="1890" spans="2:2">
      <c r="B1890" s="137"/>
    </row>
    <row r="1891" spans="2:2">
      <c r="B1891" s="137"/>
    </row>
    <row r="1892" spans="2:2">
      <c r="B1892" s="137"/>
    </row>
    <row r="1893" spans="2:2">
      <c r="B1893" s="137"/>
    </row>
    <row r="1894" spans="2:2">
      <c r="B1894" s="137"/>
    </row>
    <row r="1895" spans="2:2">
      <c r="B1895" s="137"/>
    </row>
    <row r="1896" spans="2:2">
      <c r="B1896" s="137"/>
    </row>
    <row r="1897" spans="2:2">
      <c r="B1897" s="137"/>
    </row>
    <row r="1898" spans="2:2">
      <c r="B1898" s="137"/>
    </row>
    <row r="1899" spans="2:2">
      <c r="B1899" s="137"/>
    </row>
    <row r="1900" spans="2:2">
      <c r="B1900" s="137"/>
    </row>
    <row r="1901" spans="2:2">
      <c r="B1901" s="137"/>
    </row>
    <row r="1902" spans="2:2">
      <c r="B1902" s="137"/>
    </row>
    <row r="1903" spans="2:2">
      <c r="B1903" s="137"/>
    </row>
    <row r="1904" spans="2:2">
      <c r="B1904" s="137"/>
    </row>
    <row r="1905" spans="2:2">
      <c r="B1905" s="137"/>
    </row>
    <row r="1906" spans="2:2">
      <c r="B1906" s="137"/>
    </row>
    <row r="1907" spans="2:2">
      <c r="B1907" s="137"/>
    </row>
    <row r="1908" spans="2:2">
      <c r="B1908" s="137"/>
    </row>
    <row r="1909" spans="2:2">
      <c r="B1909" s="137"/>
    </row>
    <row r="1910" spans="2:2">
      <c r="B1910" s="137"/>
    </row>
    <row r="1911" spans="2:2">
      <c r="B1911" s="137"/>
    </row>
    <row r="1912" spans="2:2">
      <c r="B1912" s="137"/>
    </row>
    <row r="1913" spans="2:2">
      <c r="B1913" s="137"/>
    </row>
    <row r="1914" spans="2:2">
      <c r="B1914" s="137"/>
    </row>
    <row r="1915" spans="2:2">
      <c r="B1915" s="137"/>
    </row>
    <row r="1916" spans="2:2">
      <c r="B1916" s="137"/>
    </row>
    <row r="1917" spans="2:2">
      <c r="B1917" s="137"/>
    </row>
    <row r="1918" spans="2:2">
      <c r="B1918" s="137"/>
    </row>
    <row r="1919" spans="2:2">
      <c r="B1919" s="137"/>
    </row>
    <row r="1920" spans="2:2">
      <c r="B1920" s="137"/>
    </row>
    <row r="1921" spans="2:2">
      <c r="B1921" s="137"/>
    </row>
    <row r="1922" spans="2:2">
      <c r="B1922" s="137"/>
    </row>
    <row r="1923" spans="2:2">
      <c r="B1923" s="137"/>
    </row>
    <row r="1924" spans="2:2">
      <c r="B1924" s="137"/>
    </row>
    <row r="1925" spans="2:2">
      <c r="B1925" s="137"/>
    </row>
    <row r="1926" spans="2:2">
      <c r="B1926" s="137"/>
    </row>
    <row r="1927" spans="2:2">
      <c r="B1927" s="137"/>
    </row>
    <row r="1928" spans="2:2">
      <c r="B1928" s="137"/>
    </row>
    <row r="1929" spans="2:2">
      <c r="B1929" s="137"/>
    </row>
    <row r="1930" spans="2:2">
      <c r="B1930" s="137"/>
    </row>
    <row r="1931" spans="2:2">
      <c r="B1931" s="137"/>
    </row>
    <row r="1932" spans="2:2">
      <c r="B1932" s="137"/>
    </row>
    <row r="1933" spans="2:2">
      <c r="B1933" s="137"/>
    </row>
    <row r="1934" spans="2:2">
      <c r="B1934" s="137"/>
    </row>
    <row r="1935" spans="2:2">
      <c r="B1935" s="137"/>
    </row>
    <row r="1936" spans="2:2">
      <c r="B1936" s="137"/>
    </row>
    <row r="1937" spans="2:2">
      <c r="B1937" s="137"/>
    </row>
    <row r="1938" spans="2:2">
      <c r="B1938" s="137"/>
    </row>
    <row r="1939" spans="2:2">
      <c r="B1939" s="137"/>
    </row>
    <row r="1940" spans="2:2">
      <c r="B1940" s="137"/>
    </row>
    <row r="1941" spans="2:2">
      <c r="B1941" s="137"/>
    </row>
    <row r="1942" spans="2:2">
      <c r="B1942" s="137"/>
    </row>
    <row r="1943" spans="2:2">
      <c r="B1943" s="137"/>
    </row>
    <row r="1944" spans="2:2">
      <c r="B1944" s="137"/>
    </row>
    <row r="1945" spans="2:2">
      <c r="B1945" s="137"/>
    </row>
    <row r="1946" spans="2:2">
      <c r="B1946" s="137"/>
    </row>
    <row r="1947" spans="2:2">
      <c r="B1947" s="137"/>
    </row>
    <row r="1948" spans="2:2">
      <c r="B1948" s="137"/>
    </row>
    <row r="1949" spans="2:2">
      <c r="B1949" s="137"/>
    </row>
    <row r="1950" spans="2:2">
      <c r="B1950" s="137"/>
    </row>
    <row r="1951" spans="2:2">
      <c r="B1951" s="137"/>
    </row>
    <row r="1952" spans="2:2">
      <c r="B1952" s="137"/>
    </row>
    <row r="1953" spans="2:2">
      <c r="B1953" s="137"/>
    </row>
    <row r="1954" spans="2:2">
      <c r="B1954" s="137"/>
    </row>
    <row r="1955" spans="2:2">
      <c r="B1955" s="137"/>
    </row>
    <row r="1956" spans="2:2">
      <c r="B1956" s="137"/>
    </row>
    <row r="1957" spans="2:2">
      <c r="B1957" s="137"/>
    </row>
    <row r="1958" spans="2:2">
      <c r="B1958" s="137"/>
    </row>
    <row r="1959" spans="2:2">
      <c r="B1959" s="137"/>
    </row>
    <row r="1960" spans="2:2">
      <c r="B1960" s="137"/>
    </row>
    <row r="1961" spans="2:2">
      <c r="B1961" s="137"/>
    </row>
    <row r="1962" spans="2:2">
      <c r="B1962" s="137"/>
    </row>
    <row r="1963" spans="2:2">
      <c r="B1963" s="137"/>
    </row>
    <row r="1964" spans="2:2">
      <c r="B1964" s="137"/>
    </row>
    <row r="1965" spans="2:2">
      <c r="B1965" s="137"/>
    </row>
    <row r="1966" spans="2:2">
      <c r="B1966" s="137"/>
    </row>
    <row r="1967" spans="2:2">
      <c r="B1967" s="137"/>
    </row>
    <row r="1968" spans="2:2">
      <c r="B1968" s="137"/>
    </row>
    <row r="1969" spans="2:2">
      <c r="B1969" s="137"/>
    </row>
    <row r="1970" spans="2:2">
      <c r="B1970" s="137"/>
    </row>
    <row r="1971" spans="2:2">
      <c r="B1971" s="137"/>
    </row>
    <row r="1972" spans="2:2">
      <c r="B1972" s="137"/>
    </row>
    <row r="1973" spans="2:2">
      <c r="B1973" s="137"/>
    </row>
    <row r="1974" spans="2:2">
      <c r="B1974" s="137"/>
    </row>
    <row r="1975" spans="2:2">
      <c r="B1975" s="137"/>
    </row>
    <row r="1976" spans="2:2">
      <c r="B1976" s="137"/>
    </row>
    <row r="1977" spans="2:2">
      <c r="B1977" s="137"/>
    </row>
    <row r="1978" spans="2:2">
      <c r="B1978" s="137"/>
    </row>
    <row r="1979" spans="2:2">
      <c r="B1979" s="137"/>
    </row>
    <row r="1980" spans="2:2">
      <c r="B1980" s="137"/>
    </row>
    <row r="1981" spans="2:2">
      <c r="B1981" s="137"/>
    </row>
    <row r="1982" spans="2:2">
      <c r="B1982" s="137"/>
    </row>
    <row r="1983" spans="2:2">
      <c r="B1983" s="137"/>
    </row>
    <row r="1984" spans="2:2">
      <c r="B1984" s="137"/>
    </row>
    <row r="1985" spans="2:2">
      <c r="B1985" s="137"/>
    </row>
    <row r="1986" spans="2:2">
      <c r="B1986" s="137"/>
    </row>
    <row r="1987" spans="2:2">
      <c r="B1987" s="137"/>
    </row>
    <row r="1988" spans="2:2">
      <c r="B1988" s="137"/>
    </row>
    <row r="1989" spans="2:2">
      <c r="B1989" s="137"/>
    </row>
    <row r="1990" spans="2:2">
      <c r="B1990" s="137"/>
    </row>
    <row r="1991" spans="2:2">
      <c r="B1991" s="137"/>
    </row>
    <row r="1992" spans="2:2">
      <c r="B1992" s="137"/>
    </row>
    <row r="1993" spans="2:2">
      <c r="B1993" s="137"/>
    </row>
    <row r="1994" spans="2:2">
      <c r="B1994" s="137"/>
    </row>
    <row r="1995" spans="2:2">
      <c r="B1995" s="137"/>
    </row>
    <row r="1996" spans="2:2">
      <c r="B1996" s="137"/>
    </row>
    <row r="1997" spans="2:2">
      <c r="B1997" s="137"/>
    </row>
    <row r="1998" spans="2:2">
      <c r="B1998" s="137"/>
    </row>
    <row r="1999" spans="2:2">
      <c r="B1999" s="137"/>
    </row>
    <row r="2000" spans="2:2">
      <c r="B2000" s="137"/>
    </row>
    <row r="2001" spans="2:2">
      <c r="B2001" s="137"/>
    </row>
    <row r="2002" spans="2:2">
      <c r="B2002" s="137"/>
    </row>
    <row r="2003" spans="2:2">
      <c r="B2003" s="137"/>
    </row>
    <row r="2004" spans="2:2">
      <c r="B2004" s="137"/>
    </row>
    <row r="2005" spans="2:2">
      <c r="B2005" s="137"/>
    </row>
    <row r="2006" spans="2:2">
      <c r="B2006" s="137"/>
    </row>
    <row r="2007" spans="2:2">
      <c r="B2007" s="137"/>
    </row>
    <row r="2008" spans="2:2">
      <c r="B2008" s="137"/>
    </row>
    <row r="2009" spans="2:2">
      <c r="B2009" s="137"/>
    </row>
    <row r="2010" spans="2:2">
      <c r="B2010" s="137"/>
    </row>
    <row r="2011" spans="2:2">
      <c r="B2011" s="137"/>
    </row>
    <row r="2012" spans="2:2">
      <c r="B2012" s="137"/>
    </row>
    <row r="2013" spans="2:2">
      <c r="B2013" s="137"/>
    </row>
    <row r="2014" spans="2:2">
      <c r="B2014" s="137"/>
    </row>
    <row r="2015" spans="2:2">
      <c r="B2015" s="137"/>
    </row>
    <row r="2016" spans="2:2">
      <c r="B2016" s="137"/>
    </row>
    <row r="2017" spans="2:2">
      <c r="B2017" s="137"/>
    </row>
    <row r="2018" spans="2:2">
      <c r="B2018" s="137"/>
    </row>
    <row r="2019" spans="2:2">
      <c r="B2019" s="137"/>
    </row>
    <row r="2020" spans="2:2">
      <c r="B2020" s="137"/>
    </row>
    <row r="2021" spans="2:2">
      <c r="B2021" s="137"/>
    </row>
    <row r="2022" spans="2:2">
      <c r="B2022" s="137"/>
    </row>
    <row r="2023" spans="2:2">
      <c r="B2023" s="137"/>
    </row>
    <row r="2024" spans="2:2">
      <c r="B2024" s="137"/>
    </row>
    <row r="2025" spans="2:2">
      <c r="B2025" s="137"/>
    </row>
    <row r="2026" spans="2:2">
      <c r="B2026" s="137"/>
    </row>
    <row r="2027" spans="2:2">
      <c r="B2027" s="137"/>
    </row>
    <row r="2028" spans="2:2">
      <c r="B2028" s="137"/>
    </row>
    <row r="2029" spans="2:2">
      <c r="B2029" s="137"/>
    </row>
    <row r="2030" spans="2:2">
      <c r="B2030" s="137"/>
    </row>
    <row r="2031" spans="2:2">
      <c r="B2031" s="137"/>
    </row>
    <row r="2032" spans="2:2">
      <c r="B2032" s="137"/>
    </row>
    <row r="2033" spans="2:2">
      <c r="B2033" s="137"/>
    </row>
    <row r="2034" spans="2:2">
      <c r="B2034" s="137"/>
    </row>
    <row r="2035" spans="2:2">
      <c r="B2035" s="137"/>
    </row>
    <row r="2036" spans="2:2">
      <c r="B2036" s="137"/>
    </row>
    <row r="2037" spans="2:2">
      <c r="B2037" s="137"/>
    </row>
    <row r="2038" spans="2:2">
      <c r="B2038" s="137"/>
    </row>
    <row r="2039" spans="2:2">
      <c r="B2039" s="137"/>
    </row>
    <row r="2040" spans="2:2">
      <c r="B2040" s="137"/>
    </row>
    <row r="2041" spans="2:2">
      <c r="B2041" s="137"/>
    </row>
    <row r="2042" spans="2:2">
      <c r="B2042" s="137"/>
    </row>
    <row r="2043" spans="2:2">
      <c r="B2043" s="137"/>
    </row>
    <row r="2044" spans="2:2">
      <c r="B2044" s="137"/>
    </row>
    <row r="2045" spans="2:2">
      <c r="B2045" s="137"/>
    </row>
    <row r="2046" spans="2:2">
      <c r="B2046" s="137"/>
    </row>
    <row r="2047" spans="2:2">
      <c r="B2047" s="137"/>
    </row>
    <row r="2048" spans="2:2">
      <c r="B2048" s="137"/>
    </row>
    <row r="2049" spans="2:2">
      <c r="B2049" s="137"/>
    </row>
    <row r="2050" spans="2:2">
      <c r="B2050" s="137"/>
    </row>
    <row r="2051" spans="2:2">
      <c r="B2051" s="137"/>
    </row>
    <row r="2052" spans="2:2">
      <c r="B2052" s="137"/>
    </row>
    <row r="2053" spans="2:2">
      <c r="B2053" s="137"/>
    </row>
    <row r="2054" spans="2:2">
      <c r="B2054" s="137"/>
    </row>
    <row r="2055" spans="2:2">
      <c r="B2055" s="137"/>
    </row>
    <row r="2056" spans="2:2">
      <c r="B2056" s="137"/>
    </row>
    <row r="2057" spans="2:2">
      <c r="B2057" s="137"/>
    </row>
    <row r="2058" spans="2:2">
      <c r="B2058" s="137"/>
    </row>
    <row r="2059" spans="2:2">
      <c r="B2059" s="137"/>
    </row>
    <row r="2060" spans="2:2">
      <c r="B2060" s="137"/>
    </row>
    <row r="2061" spans="2:2">
      <c r="B2061" s="137"/>
    </row>
    <row r="2062" spans="2:2">
      <c r="B2062" s="137"/>
    </row>
    <row r="2063" spans="2:2">
      <c r="B2063" s="137"/>
    </row>
    <row r="2064" spans="2:2">
      <c r="B2064" s="137"/>
    </row>
    <row r="2065" spans="2:2">
      <c r="B2065" s="137"/>
    </row>
    <row r="2066" spans="2:2">
      <c r="B2066" s="137"/>
    </row>
    <row r="2067" spans="2:2">
      <c r="B2067" s="137"/>
    </row>
    <row r="2068" spans="2:2">
      <c r="B2068" s="137"/>
    </row>
    <row r="2069" spans="2:2">
      <c r="B2069" s="137"/>
    </row>
    <row r="2070" spans="2:2">
      <c r="B2070" s="137"/>
    </row>
    <row r="2071" spans="2:2">
      <c r="B2071" s="137"/>
    </row>
    <row r="2072" spans="2:2">
      <c r="B2072" s="137"/>
    </row>
    <row r="2073" spans="2:2">
      <c r="B2073" s="137"/>
    </row>
    <row r="2074" spans="2:2">
      <c r="B2074" s="137"/>
    </row>
    <row r="2075" spans="2:2">
      <c r="B2075" s="137"/>
    </row>
    <row r="2076" spans="2:2">
      <c r="B2076" s="137"/>
    </row>
    <row r="2077" spans="2:2">
      <c r="B2077" s="137"/>
    </row>
    <row r="2078" spans="2:2">
      <c r="B2078" s="137"/>
    </row>
    <row r="2079" spans="2:2">
      <c r="B2079" s="137"/>
    </row>
    <row r="2080" spans="2:2">
      <c r="B2080" s="137"/>
    </row>
    <row r="2081" spans="2:2">
      <c r="B2081" s="137"/>
    </row>
    <row r="2082" spans="2:2">
      <c r="B2082" s="137"/>
    </row>
    <row r="2083" spans="2:2">
      <c r="B2083" s="137"/>
    </row>
    <row r="2084" spans="2:2">
      <c r="B2084" s="137"/>
    </row>
    <row r="2085" spans="2:2">
      <c r="B2085" s="137"/>
    </row>
    <row r="2086" spans="2:2">
      <c r="B2086" s="137"/>
    </row>
    <row r="2087" spans="2:2">
      <c r="B2087" s="137"/>
    </row>
    <row r="2088" spans="2:2">
      <c r="B2088" s="137"/>
    </row>
    <row r="2089" spans="2:2">
      <c r="B2089" s="137"/>
    </row>
    <row r="2090" spans="2:2">
      <c r="B2090" s="137"/>
    </row>
    <row r="2091" spans="2:2">
      <c r="B2091" s="137"/>
    </row>
    <row r="2092" spans="2:2">
      <c r="B2092" s="137"/>
    </row>
    <row r="2093" spans="2:2">
      <c r="B2093" s="137"/>
    </row>
    <row r="2094" spans="2:2">
      <c r="B2094" s="137"/>
    </row>
    <row r="2095" spans="2:2">
      <c r="B2095" s="137"/>
    </row>
    <row r="2096" spans="2:2">
      <c r="B2096" s="137"/>
    </row>
    <row r="2097" spans="2:2">
      <c r="B2097" s="137"/>
    </row>
    <row r="2098" spans="2:2">
      <c r="B2098" s="137"/>
    </row>
  </sheetData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9598A-0D96-4ABC-8901-C52C9E1841B4}">
  <dimension ref="A3:B14"/>
  <sheetViews>
    <sheetView workbookViewId="0">
      <selection activeCell="B6" sqref="B6"/>
    </sheetView>
  </sheetViews>
  <sheetFormatPr baseColWidth="10" defaultRowHeight="13"/>
  <cols>
    <col min="1" max="1" width="49" bestFit="1" customWidth="1"/>
    <col min="2" max="2" width="17.8984375" bestFit="1" customWidth="1"/>
  </cols>
  <sheetData>
    <row r="3" spans="1:2">
      <c r="A3" s="72" t="s">
        <v>0</v>
      </c>
      <c r="B3" t="s">
        <v>1224</v>
      </c>
    </row>
    <row r="4" spans="1:2">
      <c r="A4" s="35" t="s">
        <v>729</v>
      </c>
      <c r="B4">
        <v>2</v>
      </c>
    </row>
    <row r="5" spans="1:2">
      <c r="A5" s="35" t="s">
        <v>65</v>
      </c>
      <c r="B5">
        <v>2</v>
      </c>
    </row>
    <row r="6" spans="1:2">
      <c r="A6" s="35" t="s">
        <v>676</v>
      </c>
      <c r="B6">
        <v>51</v>
      </c>
    </row>
    <row r="7" spans="1:2">
      <c r="A7" s="35" t="s">
        <v>1051</v>
      </c>
      <c r="B7">
        <v>2</v>
      </c>
    </row>
    <row r="8" spans="1:2">
      <c r="A8" s="35" t="s">
        <v>816</v>
      </c>
      <c r="B8">
        <v>2</v>
      </c>
    </row>
    <row r="9" spans="1:2">
      <c r="A9" s="35" t="s">
        <v>869</v>
      </c>
      <c r="B9">
        <v>4</v>
      </c>
    </row>
    <row r="10" spans="1:2">
      <c r="A10" s="35" t="s">
        <v>73</v>
      </c>
      <c r="B10">
        <v>20</v>
      </c>
    </row>
    <row r="11" spans="1:2">
      <c r="A11" s="35" t="s">
        <v>853</v>
      </c>
      <c r="B11">
        <v>1</v>
      </c>
    </row>
    <row r="12" spans="1:2">
      <c r="A12" s="35" t="s">
        <v>1223</v>
      </c>
      <c r="B12">
        <v>1</v>
      </c>
    </row>
    <row r="13" spans="1:2">
      <c r="A13" s="35" t="s">
        <v>714</v>
      </c>
      <c r="B13">
        <v>14</v>
      </c>
    </row>
    <row r="14" spans="1:2">
      <c r="A14" s="35" t="s">
        <v>24</v>
      </c>
      <c r="B14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C8A9-C92E-4567-9DAB-747FE6EA3553}">
  <dimension ref="A1:O101"/>
  <sheetViews>
    <sheetView workbookViewId="0">
      <selection sqref="A1:O101"/>
    </sheetView>
  </sheetViews>
  <sheetFormatPr baseColWidth="10" defaultRowHeight="13"/>
  <cols>
    <col min="1" max="1" width="23.3984375" customWidth="1"/>
    <col min="2" max="2" width="21.3984375" customWidth="1"/>
    <col min="3" max="3" width="17.69921875" customWidth="1"/>
    <col min="6" max="6" width="37.5" customWidth="1"/>
    <col min="7" max="7" width="21.296875" customWidth="1"/>
    <col min="8" max="8" width="24.59765625" customWidth="1"/>
    <col min="15" max="15" width="31.3984375" style="269" customWidth="1"/>
  </cols>
  <sheetData>
    <row r="1" spans="1:15" ht="33.5" customHeight="1">
      <c r="A1" s="164" t="s">
        <v>742</v>
      </c>
      <c r="B1" s="164" t="s">
        <v>25</v>
      </c>
      <c r="C1" s="164" t="s">
        <v>86</v>
      </c>
      <c r="D1" s="164" t="s">
        <v>27</v>
      </c>
      <c r="E1" s="164" t="s">
        <v>28</v>
      </c>
      <c r="F1" s="164" t="s">
        <v>357</v>
      </c>
      <c r="G1" s="164" t="s">
        <v>31</v>
      </c>
      <c r="H1" s="165" t="s">
        <v>63</v>
      </c>
      <c r="I1" s="164" t="s">
        <v>336</v>
      </c>
      <c r="J1" s="164" t="s">
        <v>50</v>
      </c>
      <c r="K1" s="164" t="s">
        <v>88</v>
      </c>
      <c r="L1" s="164" t="s">
        <v>64</v>
      </c>
      <c r="M1" s="270" t="s">
        <v>1211</v>
      </c>
      <c r="N1" s="270" t="s">
        <v>1212</v>
      </c>
      <c r="O1" s="164" t="s">
        <v>750</v>
      </c>
    </row>
    <row r="2" spans="1:15" ht="33.5" customHeight="1">
      <c r="A2" s="234" t="s">
        <v>676</v>
      </c>
      <c r="B2" s="234" t="s">
        <v>803</v>
      </c>
      <c r="C2" s="235">
        <v>46108</v>
      </c>
      <c r="D2" s="234" t="s">
        <v>804</v>
      </c>
      <c r="E2" s="234" t="s">
        <v>805</v>
      </c>
      <c r="F2" s="236" t="s">
        <v>335</v>
      </c>
      <c r="G2" s="234" t="s">
        <v>70</v>
      </c>
      <c r="H2" s="237" t="s">
        <v>150</v>
      </c>
      <c r="I2" s="234">
        <v>200</v>
      </c>
      <c r="J2" s="234">
        <v>8</v>
      </c>
      <c r="K2" s="238">
        <v>3900000</v>
      </c>
      <c r="L2" s="235">
        <v>46112</v>
      </c>
      <c r="M2" s="236"/>
      <c r="N2" s="236"/>
      <c r="O2" s="271"/>
    </row>
    <row r="3" spans="1:15" ht="33.5" customHeight="1">
      <c r="A3" s="234" t="s">
        <v>676</v>
      </c>
      <c r="B3" s="234" t="s">
        <v>803</v>
      </c>
      <c r="C3" s="235">
        <v>46108</v>
      </c>
      <c r="D3" s="234" t="s">
        <v>806</v>
      </c>
      <c r="E3" s="234" t="s">
        <v>807</v>
      </c>
      <c r="F3" s="236" t="s">
        <v>335</v>
      </c>
      <c r="G3" s="234" t="s">
        <v>70</v>
      </c>
      <c r="H3" s="237" t="s">
        <v>710</v>
      </c>
      <c r="I3" s="234">
        <v>100</v>
      </c>
      <c r="J3" s="234">
        <v>4</v>
      </c>
      <c r="K3" s="238">
        <v>24000000</v>
      </c>
      <c r="L3" s="235">
        <v>46112</v>
      </c>
      <c r="M3" s="236"/>
      <c r="N3" s="236"/>
      <c r="O3" s="271"/>
    </row>
    <row r="4" spans="1:15" ht="33.5" customHeight="1">
      <c r="A4" s="234" t="s">
        <v>676</v>
      </c>
      <c r="B4" s="238">
        <v>100744</v>
      </c>
      <c r="C4" s="235">
        <v>46086</v>
      </c>
      <c r="D4" s="234" t="s">
        <v>811</v>
      </c>
      <c r="E4" s="234" t="s">
        <v>812</v>
      </c>
      <c r="F4" s="236" t="s">
        <v>187</v>
      </c>
      <c r="G4" s="234" t="s">
        <v>98</v>
      </c>
      <c r="H4" s="237" t="s">
        <v>726</v>
      </c>
      <c r="I4" s="234">
        <v>800</v>
      </c>
      <c r="J4" s="234">
        <v>32</v>
      </c>
      <c r="K4" s="238">
        <v>32000000</v>
      </c>
      <c r="L4" s="235">
        <v>46087</v>
      </c>
      <c r="M4" s="236"/>
      <c r="N4" s="236"/>
      <c r="O4" s="272"/>
    </row>
    <row r="5" spans="1:15" ht="33.5" customHeight="1">
      <c r="A5" s="234" t="s">
        <v>676</v>
      </c>
      <c r="B5" s="238">
        <v>100744</v>
      </c>
      <c r="C5" s="235">
        <v>46086</v>
      </c>
      <c r="D5" s="234" t="s">
        <v>813</v>
      </c>
      <c r="E5" s="236"/>
      <c r="F5" s="236" t="s">
        <v>187</v>
      </c>
      <c r="G5" s="234" t="s">
        <v>98</v>
      </c>
      <c r="H5" s="237" t="s">
        <v>726</v>
      </c>
      <c r="I5" s="234">
        <v>200</v>
      </c>
      <c r="J5" s="234">
        <v>8</v>
      </c>
      <c r="K5" s="238">
        <v>8000000</v>
      </c>
      <c r="L5" s="235">
        <v>46087</v>
      </c>
      <c r="M5" s="236"/>
      <c r="N5" s="236"/>
      <c r="O5" s="272"/>
    </row>
    <row r="6" spans="1:15" ht="33.5" customHeight="1">
      <c r="A6" s="234" t="s">
        <v>676</v>
      </c>
      <c r="B6" s="238">
        <v>100818</v>
      </c>
      <c r="C6" s="235">
        <v>46090</v>
      </c>
      <c r="D6" s="234" t="s">
        <v>814</v>
      </c>
      <c r="E6" s="234" t="s">
        <v>815</v>
      </c>
      <c r="F6" s="236" t="s">
        <v>187</v>
      </c>
      <c r="G6" s="234" t="s">
        <v>98</v>
      </c>
      <c r="H6" s="237" t="s">
        <v>186</v>
      </c>
      <c r="I6" s="234">
        <v>100</v>
      </c>
      <c r="J6" s="234">
        <v>0</v>
      </c>
      <c r="K6" s="238">
        <v>9720000</v>
      </c>
      <c r="L6" s="235">
        <v>46092</v>
      </c>
      <c r="M6" s="236"/>
      <c r="N6" s="236"/>
      <c r="O6" s="271"/>
    </row>
    <row r="7" spans="1:15" ht="33.5" customHeight="1">
      <c r="A7" s="234" t="s">
        <v>676</v>
      </c>
      <c r="B7" s="234">
        <v>101441</v>
      </c>
      <c r="C7" s="235">
        <v>46102</v>
      </c>
      <c r="D7" s="234" t="s">
        <v>818</v>
      </c>
      <c r="E7" s="234" t="s">
        <v>819</v>
      </c>
      <c r="F7" s="236" t="s">
        <v>187</v>
      </c>
      <c r="G7" s="234" t="s">
        <v>98</v>
      </c>
      <c r="H7" s="237" t="s">
        <v>721</v>
      </c>
      <c r="I7" s="234">
        <v>750</v>
      </c>
      <c r="J7" s="234">
        <v>30</v>
      </c>
      <c r="K7" s="238">
        <v>11850000</v>
      </c>
      <c r="L7" s="235">
        <v>46107</v>
      </c>
      <c r="M7" s="236"/>
      <c r="N7" s="236"/>
      <c r="O7" s="271"/>
    </row>
    <row r="8" spans="1:15" ht="33.5" customHeight="1">
      <c r="A8" s="234" t="s">
        <v>676</v>
      </c>
      <c r="B8" s="234">
        <v>101700</v>
      </c>
      <c r="C8" s="235">
        <v>46111</v>
      </c>
      <c r="D8" s="234" t="s">
        <v>837</v>
      </c>
      <c r="E8" s="234" t="s">
        <v>838</v>
      </c>
      <c r="F8" s="236" t="s">
        <v>187</v>
      </c>
      <c r="G8" s="234" t="s">
        <v>98</v>
      </c>
      <c r="H8" s="237" t="s">
        <v>163</v>
      </c>
      <c r="I8" s="234">
        <v>25</v>
      </c>
      <c r="J8" s="234">
        <v>1</v>
      </c>
      <c r="K8" s="238">
        <v>12870000</v>
      </c>
      <c r="L8" s="235">
        <v>46120</v>
      </c>
      <c r="M8" s="236"/>
      <c r="N8" s="236"/>
      <c r="O8" s="271"/>
    </row>
    <row r="9" spans="1:15" ht="33.5" customHeight="1">
      <c r="A9" s="234" t="s">
        <v>676</v>
      </c>
      <c r="B9" s="234">
        <v>101700</v>
      </c>
      <c r="C9" s="235">
        <v>46111</v>
      </c>
      <c r="D9" s="234" t="s">
        <v>837</v>
      </c>
      <c r="E9" s="234" t="s">
        <v>838</v>
      </c>
      <c r="F9" s="236" t="s">
        <v>187</v>
      </c>
      <c r="G9" s="234" t="s">
        <v>98</v>
      </c>
      <c r="H9" s="237" t="s">
        <v>713</v>
      </c>
      <c r="I9" s="234">
        <v>30</v>
      </c>
      <c r="J9" s="234">
        <v>1</v>
      </c>
      <c r="K9" s="238">
        <v>2130000</v>
      </c>
      <c r="L9" s="235">
        <v>46120</v>
      </c>
      <c r="M9" s="236"/>
      <c r="N9" s="236"/>
      <c r="O9" s="271"/>
    </row>
    <row r="10" spans="1:15" ht="33.5" customHeight="1">
      <c r="A10" s="234" t="s">
        <v>676</v>
      </c>
      <c r="B10" s="234">
        <v>101700</v>
      </c>
      <c r="C10" s="235">
        <v>46111</v>
      </c>
      <c r="D10" s="234" t="s">
        <v>837</v>
      </c>
      <c r="E10" s="234" t="s">
        <v>838</v>
      </c>
      <c r="F10" s="236" t="s">
        <v>187</v>
      </c>
      <c r="G10" s="234" t="s">
        <v>98</v>
      </c>
      <c r="H10" s="237" t="s">
        <v>726</v>
      </c>
      <c r="I10" s="234">
        <v>200</v>
      </c>
      <c r="J10" s="234">
        <v>8</v>
      </c>
      <c r="K10" s="238">
        <v>8000000</v>
      </c>
      <c r="L10" s="235">
        <v>46120</v>
      </c>
      <c r="M10" s="236"/>
      <c r="N10" s="236"/>
      <c r="O10" s="271"/>
    </row>
    <row r="11" spans="1:15" ht="33.5" customHeight="1">
      <c r="A11" s="234" t="s">
        <v>676</v>
      </c>
      <c r="B11" s="236"/>
      <c r="C11" s="235">
        <v>46112</v>
      </c>
      <c r="D11" s="234" t="s">
        <v>843</v>
      </c>
      <c r="E11" s="234" t="s">
        <v>844</v>
      </c>
      <c r="F11" s="236" t="s">
        <v>845</v>
      </c>
      <c r="G11" s="234" t="s">
        <v>111</v>
      </c>
      <c r="H11" s="237" t="s">
        <v>846</v>
      </c>
      <c r="I11" s="234">
        <v>10</v>
      </c>
      <c r="J11" s="234">
        <v>0</v>
      </c>
      <c r="K11" s="238">
        <v>1680000</v>
      </c>
      <c r="L11" s="235">
        <v>46118</v>
      </c>
      <c r="M11" s="236"/>
      <c r="N11" s="236"/>
      <c r="O11" s="271"/>
    </row>
    <row r="12" spans="1:15" ht="33.5" customHeight="1">
      <c r="A12" s="234" t="s">
        <v>676</v>
      </c>
      <c r="B12" s="234">
        <v>50221</v>
      </c>
      <c r="C12" s="235">
        <v>46112</v>
      </c>
      <c r="D12" s="234" t="s">
        <v>847</v>
      </c>
      <c r="E12" s="236"/>
      <c r="F12" s="236" t="s">
        <v>724</v>
      </c>
      <c r="G12" s="234" t="s">
        <v>752</v>
      </c>
      <c r="H12" s="237" t="s">
        <v>726</v>
      </c>
      <c r="I12" s="234">
        <v>60</v>
      </c>
      <c r="J12" s="234">
        <v>3</v>
      </c>
      <c r="K12" s="238">
        <v>2400000</v>
      </c>
      <c r="L12" s="235">
        <v>46128</v>
      </c>
      <c r="M12" s="236"/>
      <c r="N12" s="236"/>
      <c r="O12" s="271"/>
    </row>
    <row r="13" spans="1:15" ht="33.5" customHeight="1">
      <c r="A13" s="234" t="s">
        <v>676</v>
      </c>
      <c r="B13" s="234">
        <v>50239</v>
      </c>
      <c r="C13" s="235">
        <v>46112</v>
      </c>
      <c r="D13" s="234" t="s">
        <v>867</v>
      </c>
      <c r="E13" s="236"/>
      <c r="F13" s="236" t="s">
        <v>724</v>
      </c>
      <c r="G13" s="234" t="s">
        <v>868</v>
      </c>
      <c r="H13" s="237" t="s">
        <v>726</v>
      </c>
      <c r="I13" s="234">
        <v>40</v>
      </c>
      <c r="J13" s="234">
        <v>2</v>
      </c>
      <c r="K13" s="238">
        <v>1600000</v>
      </c>
      <c r="L13" s="235">
        <v>46118</v>
      </c>
      <c r="M13" s="236"/>
      <c r="N13" s="236"/>
      <c r="O13" s="271"/>
    </row>
    <row r="14" spans="1:15" ht="33.5" customHeight="1">
      <c r="A14" s="234" t="s">
        <v>676</v>
      </c>
      <c r="B14" s="234" t="s">
        <v>876</v>
      </c>
      <c r="C14" s="235">
        <v>46113</v>
      </c>
      <c r="D14" s="234" t="s">
        <v>877</v>
      </c>
      <c r="E14" s="234" t="s">
        <v>878</v>
      </c>
      <c r="F14" s="236" t="s">
        <v>767</v>
      </c>
      <c r="G14" s="234" t="s">
        <v>322</v>
      </c>
      <c r="H14" s="237" t="s">
        <v>879</v>
      </c>
      <c r="I14" s="234">
        <v>60</v>
      </c>
      <c r="J14" s="234">
        <v>2</v>
      </c>
      <c r="K14" s="238">
        <v>13500000</v>
      </c>
      <c r="L14" s="235">
        <v>46119</v>
      </c>
      <c r="M14" s="236"/>
      <c r="N14" s="236"/>
      <c r="O14" s="271"/>
    </row>
    <row r="15" spans="1:15" ht="33.5" customHeight="1">
      <c r="A15" s="234" t="s">
        <v>676</v>
      </c>
      <c r="B15" s="234" t="s">
        <v>876</v>
      </c>
      <c r="C15" s="235">
        <v>46113</v>
      </c>
      <c r="D15" s="234" t="s">
        <v>877</v>
      </c>
      <c r="E15" s="234" t="s">
        <v>878</v>
      </c>
      <c r="F15" s="236" t="s">
        <v>767</v>
      </c>
      <c r="G15" s="234" t="s">
        <v>322</v>
      </c>
      <c r="H15" s="237" t="s">
        <v>163</v>
      </c>
      <c r="I15" s="234">
        <v>25</v>
      </c>
      <c r="J15" s="234">
        <v>1</v>
      </c>
      <c r="K15" s="238">
        <v>12975000</v>
      </c>
      <c r="L15" s="235">
        <v>46119</v>
      </c>
      <c r="M15" s="236"/>
      <c r="N15" s="236"/>
      <c r="O15" s="271"/>
    </row>
    <row r="16" spans="1:15" ht="33.5" customHeight="1">
      <c r="A16" s="234" t="s">
        <v>676</v>
      </c>
      <c r="B16" s="234" t="s">
        <v>876</v>
      </c>
      <c r="C16" s="235">
        <v>46113</v>
      </c>
      <c r="D16" s="234" t="s">
        <v>877</v>
      </c>
      <c r="E16" s="234" t="s">
        <v>878</v>
      </c>
      <c r="F16" s="236" t="s">
        <v>767</v>
      </c>
      <c r="G16" s="234" t="s">
        <v>322</v>
      </c>
      <c r="H16" s="237" t="s">
        <v>713</v>
      </c>
      <c r="I16" s="234">
        <v>5</v>
      </c>
      <c r="J16" s="234">
        <v>0</v>
      </c>
      <c r="K16" s="238">
        <v>350000</v>
      </c>
      <c r="L16" s="235">
        <v>46119</v>
      </c>
      <c r="M16" s="236"/>
      <c r="N16" s="236"/>
      <c r="O16" s="271"/>
    </row>
    <row r="17" spans="1:15" ht="33.5" customHeight="1">
      <c r="A17" s="234" t="s">
        <v>676</v>
      </c>
      <c r="B17" s="234" t="s">
        <v>876</v>
      </c>
      <c r="C17" s="235">
        <v>46113</v>
      </c>
      <c r="D17" s="234" t="s">
        <v>882</v>
      </c>
      <c r="E17" s="234" t="s">
        <v>883</v>
      </c>
      <c r="F17" s="236" t="s">
        <v>767</v>
      </c>
      <c r="G17" s="234" t="s">
        <v>322</v>
      </c>
      <c r="H17" s="237" t="s">
        <v>722</v>
      </c>
      <c r="I17" s="234">
        <v>4.5</v>
      </c>
      <c r="J17" s="234">
        <v>0</v>
      </c>
      <c r="K17" s="234">
        <v>0</v>
      </c>
      <c r="L17" s="235">
        <v>46119</v>
      </c>
      <c r="M17" s="236"/>
      <c r="N17" s="236"/>
      <c r="O17" s="271"/>
    </row>
    <row r="18" spans="1:15" ht="33.5" customHeight="1">
      <c r="A18" s="234" t="s">
        <v>676</v>
      </c>
      <c r="B18" s="234">
        <v>4500149862</v>
      </c>
      <c r="C18" s="235">
        <v>46113</v>
      </c>
      <c r="D18" s="234" t="s">
        <v>890</v>
      </c>
      <c r="E18" s="234" t="s">
        <v>891</v>
      </c>
      <c r="F18" s="236" t="s">
        <v>3</v>
      </c>
      <c r="G18" s="234" t="s">
        <v>42</v>
      </c>
      <c r="H18" s="237" t="s">
        <v>756</v>
      </c>
      <c r="I18" s="234">
        <v>100</v>
      </c>
      <c r="J18" s="234">
        <v>4</v>
      </c>
      <c r="K18" s="238">
        <v>15600000</v>
      </c>
      <c r="L18" s="235">
        <v>46119</v>
      </c>
      <c r="M18" s="236"/>
      <c r="N18" s="236"/>
      <c r="O18" s="271"/>
    </row>
    <row r="19" spans="1:15" ht="33.5" customHeight="1">
      <c r="A19" s="234" t="s">
        <v>676</v>
      </c>
      <c r="B19" s="234">
        <v>4500149862</v>
      </c>
      <c r="C19" s="235">
        <v>46113</v>
      </c>
      <c r="D19" s="234" t="s">
        <v>890</v>
      </c>
      <c r="E19" s="234" t="s">
        <v>891</v>
      </c>
      <c r="F19" s="236" t="s">
        <v>3</v>
      </c>
      <c r="G19" s="234" t="s">
        <v>42</v>
      </c>
      <c r="H19" s="237" t="s">
        <v>67</v>
      </c>
      <c r="I19" s="234">
        <v>200</v>
      </c>
      <c r="J19" s="234">
        <v>8</v>
      </c>
      <c r="K19" s="238">
        <v>5260000</v>
      </c>
      <c r="L19" s="235">
        <v>46119</v>
      </c>
      <c r="M19" s="236"/>
      <c r="N19" s="236"/>
      <c r="O19" s="271"/>
    </row>
    <row r="20" spans="1:15" ht="33.5" customHeight="1">
      <c r="A20" s="234" t="s">
        <v>676</v>
      </c>
      <c r="B20" s="236"/>
      <c r="C20" s="235">
        <v>46059</v>
      </c>
      <c r="D20" s="234" t="s">
        <v>926</v>
      </c>
      <c r="E20" s="234" t="s">
        <v>927</v>
      </c>
      <c r="F20" s="236" t="s">
        <v>347</v>
      </c>
      <c r="G20" s="234" t="s">
        <v>723</v>
      </c>
      <c r="H20" s="237" t="s">
        <v>72</v>
      </c>
      <c r="I20" s="234">
        <v>175</v>
      </c>
      <c r="J20" s="234">
        <v>7</v>
      </c>
      <c r="K20" s="238">
        <v>3675000</v>
      </c>
      <c r="L20" s="235">
        <v>46120</v>
      </c>
      <c r="M20" s="236"/>
      <c r="N20" s="236"/>
      <c r="O20" s="271"/>
    </row>
    <row r="21" spans="1:15" ht="33.5" customHeight="1">
      <c r="A21" s="234" t="s">
        <v>676</v>
      </c>
      <c r="B21" s="236"/>
      <c r="C21" s="235">
        <v>46059</v>
      </c>
      <c r="D21" s="234" t="s">
        <v>926</v>
      </c>
      <c r="E21" s="234" t="s">
        <v>927</v>
      </c>
      <c r="F21" s="236" t="s">
        <v>347</v>
      </c>
      <c r="G21" s="234" t="s">
        <v>723</v>
      </c>
      <c r="H21" s="237" t="s">
        <v>182</v>
      </c>
      <c r="I21" s="234">
        <v>1125</v>
      </c>
      <c r="J21" s="234">
        <v>45</v>
      </c>
      <c r="K21" s="238">
        <v>57375000</v>
      </c>
      <c r="L21" s="235">
        <v>46120</v>
      </c>
      <c r="M21" s="236"/>
      <c r="N21" s="236"/>
      <c r="O21" s="271"/>
    </row>
    <row r="22" spans="1:15" ht="33.5" customHeight="1">
      <c r="A22" s="234" t="s">
        <v>676</v>
      </c>
      <c r="B22" s="234">
        <v>50165</v>
      </c>
      <c r="C22" s="235">
        <v>46107</v>
      </c>
      <c r="D22" s="234" t="s">
        <v>768</v>
      </c>
      <c r="E22" s="236"/>
      <c r="F22" s="236" t="s">
        <v>724</v>
      </c>
      <c r="G22" s="234" t="s">
        <v>322</v>
      </c>
      <c r="H22" s="237" t="s">
        <v>186</v>
      </c>
      <c r="I22" s="234">
        <v>30</v>
      </c>
      <c r="J22" s="234">
        <v>1</v>
      </c>
      <c r="K22" s="238">
        <v>3300000</v>
      </c>
      <c r="L22" s="235">
        <v>46107</v>
      </c>
      <c r="M22" s="236"/>
      <c r="N22" s="236"/>
      <c r="O22" s="271"/>
    </row>
    <row r="23" spans="1:15" ht="33.5" customHeight="1">
      <c r="A23" s="234" t="s">
        <v>676</v>
      </c>
      <c r="B23" s="234">
        <v>360085</v>
      </c>
      <c r="C23" s="235">
        <v>46118</v>
      </c>
      <c r="D23" s="234" t="s">
        <v>931</v>
      </c>
      <c r="E23" s="234" t="s">
        <v>932</v>
      </c>
      <c r="F23" s="236" t="s">
        <v>135</v>
      </c>
      <c r="G23" s="234" t="s">
        <v>35</v>
      </c>
      <c r="H23" s="237" t="s">
        <v>165</v>
      </c>
      <c r="I23" s="234">
        <v>150</v>
      </c>
      <c r="J23" s="234">
        <v>6</v>
      </c>
      <c r="K23" s="238">
        <v>26925000</v>
      </c>
      <c r="L23" s="235">
        <v>45755</v>
      </c>
      <c r="M23" s="236"/>
      <c r="N23" s="236"/>
      <c r="O23" s="271"/>
    </row>
    <row r="24" spans="1:15" ht="33.5" customHeight="1">
      <c r="A24" s="234" t="s">
        <v>676</v>
      </c>
      <c r="B24" s="236"/>
      <c r="C24" s="235">
        <v>46059</v>
      </c>
      <c r="D24" s="234" t="s">
        <v>933</v>
      </c>
      <c r="E24" s="236"/>
      <c r="F24" s="236" t="s">
        <v>845</v>
      </c>
      <c r="G24" s="234" t="s">
        <v>111</v>
      </c>
      <c r="H24" s="237" t="s">
        <v>726</v>
      </c>
      <c r="I24" s="234">
        <v>40</v>
      </c>
      <c r="J24" s="234">
        <v>2</v>
      </c>
      <c r="K24" s="238">
        <v>1600000</v>
      </c>
      <c r="L24" s="235">
        <v>45755</v>
      </c>
      <c r="M24" s="236"/>
      <c r="N24" s="236"/>
      <c r="O24" s="271"/>
    </row>
    <row r="25" spans="1:15" ht="33.5" customHeight="1">
      <c r="A25" s="234" t="s">
        <v>676</v>
      </c>
      <c r="B25" s="236"/>
      <c r="C25" s="235">
        <v>46059</v>
      </c>
      <c r="D25" s="234" t="s">
        <v>933</v>
      </c>
      <c r="E25" s="236"/>
      <c r="F25" s="236" t="s">
        <v>845</v>
      </c>
      <c r="G25" s="234" t="s">
        <v>111</v>
      </c>
      <c r="H25" s="237" t="s">
        <v>163</v>
      </c>
      <c r="I25" s="234">
        <v>7.5</v>
      </c>
      <c r="J25" s="234">
        <v>0</v>
      </c>
      <c r="K25" s="238">
        <v>3861000</v>
      </c>
      <c r="L25" s="235">
        <v>45755</v>
      </c>
      <c r="M25" s="236"/>
      <c r="N25" s="236"/>
      <c r="O25" s="271"/>
    </row>
    <row r="26" spans="1:15" ht="33.5" customHeight="1">
      <c r="A26" s="234" t="s">
        <v>676</v>
      </c>
      <c r="B26" s="234">
        <v>4504034159</v>
      </c>
      <c r="C26" s="235">
        <v>46119</v>
      </c>
      <c r="D26" s="234" t="s">
        <v>944</v>
      </c>
      <c r="E26" s="234" t="s">
        <v>945</v>
      </c>
      <c r="F26" s="236" t="s">
        <v>130</v>
      </c>
      <c r="G26" s="234" t="s">
        <v>98</v>
      </c>
      <c r="H26" s="237" t="s">
        <v>150</v>
      </c>
      <c r="I26" s="234">
        <v>1300</v>
      </c>
      <c r="J26" s="234">
        <v>52</v>
      </c>
      <c r="K26" s="238">
        <v>23075000</v>
      </c>
      <c r="L26" s="235">
        <v>46120</v>
      </c>
      <c r="M26" s="236"/>
      <c r="N26" s="236"/>
      <c r="O26" s="271"/>
    </row>
    <row r="27" spans="1:15" ht="33.5" customHeight="1">
      <c r="A27" s="234" t="s">
        <v>676</v>
      </c>
      <c r="B27" s="236"/>
      <c r="C27" s="235">
        <v>46107</v>
      </c>
      <c r="D27" s="234" t="s">
        <v>769</v>
      </c>
      <c r="E27" s="234" t="s">
        <v>949</v>
      </c>
      <c r="F27" s="236" t="s">
        <v>727</v>
      </c>
      <c r="G27" s="234" t="s">
        <v>35</v>
      </c>
      <c r="H27" s="237" t="s">
        <v>950</v>
      </c>
      <c r="I27" s="234">
        <v>10</v>
      </c>
      <c r="J27" s="234">
        <v>0</v>
      </c>
      <c r="K27" s="238">
        <v>700000</v>
      </c>
      <c r="L27" s="235">
        <v>46108</v>
      </c>
      <c r="M27" s="236"/>
      <c r="N27" s="236"/>
      <c r="O27" s="271"/>
    </row>
    <row r="28" spans="1:15" ht="33.5" customHeight="1">
      <c r="A28" s="234" t="s">
        <v>676</v>
      </c>
      <c r="B28" s="234" t="s">
        <v>770</v>
      </c>
      <c r="C28" s="235">
        <v>46107</v>
      </c>
      <c r="D28" s="234" t="s">
        <v>771</v>
      </c>
      <c r="E28" s="234" t="s">
        <v>951</v>
      </c>
      <c r="F28" s="236" t="s">
        <v>727</v>
      </c>
      <c r="G28" s="234" t="s">
        <v>35</v>
      </c>
      <c r="H28" s="237" t="s">
        <v>67</v>
      </c>
      <c r="I28" s="234">
        <v>75</v>
      </c>
      <c r="J28" s="234">
        <v>3</v>
      </c>
      <c r="K28" s="238">
        <v>1912500</v>
      </c>
      <c r="L28" s="235">
        <v>46109</v>
      </c>
      <c r="M28" s="236"/>
      <c r="N28" s="236"/>
      <c r="O28" s="271"/>
    </row>
    <row r="29" spans="1:15" ht="33.5" customHeight="1">
      <c r="A29" s="234" t="s">
        <v>676</v>
      </c>
      <c r="B29" s="236"/>
      <c r="C29" s="235">
        <v>46084</v>
      </c>
      <c r="D29" s="234" t="s">
        <v>758</v>
      </c>
      <c r="E29" s="234" t="s">
        <v>952</v>
      </c>
      <c r="F29" s="236" t="s">
        <v>845</v>
      </c>
      <c r="G29" s="234" t="s">
        <v>111</v>
      </c>
      <c r="H29" s="237" t="s">
        <v>186</v>
      </c>
      <c r="I29" s="234">
        <v>10</v>
      </c>
      <c r="J29" s="234">
        <v>0</v>
      </c>
      <c r="K29" s="238">
        <v>972000</v>
      </c>
      <c r="L29" s="235">
        <v>46086</v>
      </c>
      <c r="M29" s="236"/>
      <c r="N29" s="236"/>
      <c r="O29" s="271"/>
    </row>
    <row r="30" spans="1:15" ht="33.5" customHeight="1">
      <c r="A30" s="234" t="s">
        <v>676</v>
      </c>
      <c r="B30" s="234">
        <v>50165</v>
      </c>
      <c r="C30" s="235">
        <v>46107</v>
      </c>
      <c r="D30" s="234" t="s">
        <v>768</v>
      </c>
      <c r="E30" s="236"/>
      <c r="F30" s="236" t="s">
        <v>724</v>
      </c>
      <c r="G30" s="234" t="s">
        <v>322</v>
      </c>
      <c r="H30" s="237" t="s">
        <v>186</v>
      </c>
      <c r="I30" s="234">
        <v>30</v>
      </c>
      <c r="J30" s="234">
        <v>1</v>
      </c>
      <c r="K30" s="238">
        <v>3300000</v>
      </c>
      <c r="L30" s="235">
        <v>46107</v>
      </c>
      <c r="M30" s="236"/>
      <c r="N30" s="236"/>
      <c r="O30" s="271"/>
    </row>
    <row r="31" spans="1:15" ht="33.5" customHeight="1">
      <c r="A31" s="234" t="s">
        <v>676</v>
      </c>
      <c r="B31" s="236"/>
      <c r="C31" s="235">
        <v>46119</v>
      </c>
      <c r="D31" s="234" t="s">
        <v>961</v>
      </c>
      <c r="E31" s="234" t="s">
        <v>962</v>
      </c>
      <c r="F31" s="236" t="s">
        <v>324</v>
      </c>
      <c r="G31" s="234" t="s">
        <v>98</v>
      </c>
      <c r="H31" s="237" t="s">
        <v>721</v>
      </c>
      <c r="I31" s="234">
        <v>250</v>
      </c>
      <c r="J31" s="234">
        <v>10</v>
      </c>
      <c r="K31" s="238">
        <v>4000000</v>
      </c>
      <c r="L31" s="235">
        <v>46120</v>
      </c>
      <c r="M31" s="236"/>
      <c r="N31" s="236"/>
      <c r="O31" s="273" t="s">
        <v>963</v>
      </c>
    </row>
    <row r="32" spans="1:15" ht="33.5" customHeight="1">
      <c r="A32" s="234" t="s">
        <v>676</v>
      </c>
      <c r="B32" s="236"/>
      <c r="C32" s="235">
        <v>46119</v>
      </c>
      <c r="D32" s="234" t="s">
        <v>961</v>
      </c>
      <c r="E32" s="234" t="s">
        <v>962</v>
      </c>
      <c r="F32" s="236" t="s">
        <v>324</v>
      </c>
      <c r="G32" s="234" t="s">
        <v>98</v>
      </c>
      <c r="H32" s="237" t="s">
        <v>107</v>
      </c>
      <c r="I32" s="234">
        <v>50</v>
      </c>
      <c r="J32" s="234">
        <v>2</v>
      </c>
      <c r="K32" s="238">
        <v>3550000</v>
      </c>
      <c r="L32" s="235">
        <v>46120</v>
      </c>
      <c r="M32" s="236"/>
      <c r="N32" s="236"/>
      <c r="O32" s="273" t="s">
        <v>963</v>
      </c>
    </row>
    <row r="33" spans="1:15" ht="33.5" customHeight="1">
      <c r="A33" s="234" t="s">
        <v>676</v>
      </c>
      <c r="B33" s="236"/>
      <c r="C33" s="235">
        <v>46121</v>
      </c>
      <c r="D33" s="234" t="s">
        <v>990</v>
      </c>
      <c r="E33" s="234" t="s">
        <v>991</v>
      </c>
      <c r="F33" s="236" t="s">
        <v>347</v>
      </c>
      <c r="G33" s="234" t="s">
        <v>723</v>
      </c>
      <c r="H33" s="237" t="s">
        <v>710</v>
      </c>
      <c r="I33" s="234">
        <v>200</v>
      </c>
      <c r="J33" s="234">
        <v>8</v>
      </c>
      <c r="K33" s="238">
        <v>47400000</v>
      </c>
      <c r="L33" s="235">
        <v>46122</v>
      </c>
      <c r="M33" s="236"/>
      <c r="N33" s="236"/>
      <c r="O33" s="271"/>
    </row>
    <row r="34" spans="1:15" ht="33.5" customHeight="1">
      <c r="A34" s="234" t="s">
        <v>676</v>
      </c>
      <c r="B34" s="234">
        <v>840</v>
      </c>
      <c r="C34" s="235">
        <v>46121</v>
      </c>
      <c r="D34" s="234" t="s">
        <v>1007</v>
      </c>
      <c r="E34" s="236"/>
      <c r="F34" s="236" t="s">
        <v>845</v>
      </c>
      <c r="G34" s="234" t="s">
        <v>407</v>
      </c>
      <c r="H34" s="237" t="s">
        <v>712</v>
      </c>
      <c r="I34" s="234">
        <v>25</v>
      </c>
      <c r="J34" s="234">
        <v>1</v>
      </c>
      <c r="K34" s="238">
        <v>1687000</v>
      </c>
      <c r="L34" s="235">
        <v>46127</v>
      </c>
      <c r="M34" s="236"/>
      <c r="N34" s="236"/>
      <c r="O34" s="271"/>
    </row>
    <row r="35" spans="1:15" ht="33.5" customHeight="1">
      <c r="A35" s="234" t="s">
        <v>676</v>
      </c>
      <c r="B35" s="234">
        <v>840</v>
      </c>
      <c r="C35" s="235">
        <v>46121</v>
      </c>
      <c r="D35" s="234" t="s">
        <v>1007</v>
      </c>
      <c r="E35" s="236"/>
      <c r="F35" s="236" t="s">
        <v>845</v>
      </c>
      <c r="G35" s="234" t="s">
        <v>407</v>
      </c>
      <c r="H35" s="237" t="s">
        <v>710</v>
      </c>
      <c r="I35" s="234">
        <v>50</v>
      </c>
      <c r="J35" s="234">
        <v>2</v>
      </c>
      <c r="K35" s="238">
        <v>11750000</v>
      </c>
      <c r="L35" s="235">
        <v>46127</v>
      </c>
      <c r="M35" s="236"/>
      <c r="N35" s="236"/>
      <c r="O35" s="271"/>
    </row>
    <row r="36" spans="1:15" ht="33.5" customHeight="1">
      <c r="A36" s="234" t="s">
        <v>676</v>
      </c>
      <c r="B36" s="234">
        <v>840</v>
      </c>
      <c r="C36" s="235">
        <v>46121</v>
      </c>
      <c r="D36" s="234" t="s">
        <v>1007</v>
      </c>
      <c r="E36" s="236"/>
      <c r="F36" s="236" t="s">
        <v>845</v>
      </c>
      <c r="G36" s="234" t="s">
        <v>407</v>
      </c>
      <c r="H36" s="237" t="s">
        <v>67</v>
      </c>
      <c r="I36" s="234">
        <v>500</v>
      </c>
      <c r="J36" s="234">
        <v>20</v>
      </c>
      <c r="K36" s="238">
        <v>13150000</v>
      </c>
      <c r="L36" s="235">
        <v>46127</v>
      </c>
      <c r="M36" s="236"/>
      <c r="N36" s="236"/>
      <c r="O36" s="271"/>
    </row>
    <row r="37" spans="1:15" ht="33.5" customHeight="1">
      <c r="A37" s="234" t="s">
        <v>676</v>
      </c>
      <c r="B37" s="234">
        <v>840</v>
      </c>
      <c r="C37" s="235">
        <v>46121</v>
      </c>
      <c r="D37" s="234" t="s">
        <v>1007</v>
      </c>
      <c r="E37" s="236"/>
      <c r="F37" s="236" t="s">
        <v>845</v>
      </c>
      <c r="G37" s="234" t="s">
        <v>407</v>
      </c>
      <c r="H37" s="237" t="s">
        <v>68</v>
      </c>
      <c r="I37" s="234">
        <v>50</v>
      </c>
      <c r="J37" s="234">
        <v>2</v>
      </c>
      <c r="K37" s="238">
        <v>2680000</v>
      </c>
      <c r="L37" s="235">
        <v>46127</v>
      </c>
      <c r="M37" s="236"/>
      <c r="N37" s="236"/>
      <c r="O37" s="271"/>
    </row>
    <row r="38" spans="1:15" ht="33.5" customHeight="1">
      <c r="A38" s="234" t="s">
        <v>676</v>
      </c>
      <c r="B38" s="234">
        <v>840</v>
      </c>
      <c r="C38" s="235">
        <v>46121</v>
      </c>
      <c r="D38" s="234" t="s">
        <v>1008</v>
      </c>
      <c r="E38" s="236"/>
      <c r="F38" s="236" t="s">
        <v>845</v>
      </c>
      <c r="G38" s="234" t="s">
        <v>407</v>
      </c>
      <c r="H38" s="237" t="s">
        <v>722</v>
      </c>
      <c r="I38" s="234">
        <v>3.75</v>
      </c>
      <c r="J38" s="234">
        <v>0</v>
      </c>
      <c r="K38" s="234">
        <v>0</v>
      </c>
      <c r="L38" s="235">
        <v>46127</v>
      </c>
      <c r="M38" s="236"/>
      <c r="N38" s="236"/>
      <c r="O38" s="271"/>
    </row>
    <row r="39" spans="1:15" ht="33.5" customHeight="1">
      <c r="A39" s="234" t="s">
        <v>676</v>
      </c>
      <c r="B39" s="236"/>
      <c r="C39" s="235">
        <v>46126</v>
      </c>
      <c r="D39" s="234" t="s">
        <v>1069</v>
      </c>
      <c r="E39" s="234" t="s">
        <v>1070</v>
      </c>
      <c r="F39" s="236" t="s">
        <v>725</v>
      </c>
      <c r="G39" s="234" t="s">
        <v>747</v>
      </c>
      <c r="H39" s="237" t="s">
        <v>627</v>
      </c>
      <c r="I39" s="234">
        <v>250</v>
      </c>
      <c r="J39" s="234">
        <v>10</v>
      </c>
      <c r="K39" s="238">
        <v>9625000</v>
      </c>
      <c r="L39" s="235">
        <v>46127</v>
      </c>
      <c r="M39" s="236"/>
      <c r="N39" s="236"/>
      <c r="O39" s="274" t="s">
        <v>1072</v>
      </c>
    </row>
    <row r="40" spans="1:15" ht="33.5" customHeight="1">
      <c r="A40" s="234" t="s">
        <v>676</v>
      </c>
      <c r="B40" s="236"/>
      <c r="C40" s="235">
        <v>46126</v>
      </c>
      <c r="D40" s="234" t="s">
        <v>1069</v>
      </c>
      <c r="E40" s="234" t="s">
        <v>1070</v>
      </c>
      <c r="F40" s="236" t="s">
        <v>725</v>
      </c>
      <c r="G40" s="234" t="s">
        <v>747</v>
      </c>
      <c r="H40" s="237" t="s">
        <v>756</v>
      </c>
      <c r="I40" s="234">
        <v>20</v>
      </c>
      <c r="J40" s="234">
        <v>1</v>
      </c>
      <c r="K40" s="238">
        <v>3200000</v>
      </c>
      <c r="L40" s="235">
        <v>46127</v>
      </c>
      <c r="M40" s="236"/>
      <c r="N40" s="236"/>
      <c r="O40" s="274" t="s">
        <v>1072</v>
      </c>
    </row>
    <row r="41" spans="1:15" ht="33.5" customHeight="1">
      <c r="A41" s="234" t="s">
        <v>676</v>
      </c>
      <c r="B41" s="234" t="s">
        <v>1092</v>
      </c>
      <c r="C41" s="235">
        <v>46127</v>
      </c>
      <c r="D41" s="234" t="s">
        <v>1093</v>
      </c>
      <c r="E41" s="236"/>
      <c r="F41" s="236" t="s">
        <v>789</v>
      </c>
      <c r="G41" s="234" t="s">
        <v>33</v>
      </c>
      <c r="H41" s="237" t="s">
        <v>67</v>
      </c>
      <c r="I41" s="234">
        <v>700</v>
      </c>
      <c r="J41" s="234">
        <v>28</v>
      </c>
      <c r="K41" s="238">
        <v>18410000</v>
      </c>
      <c r="L41" s="235">
        <v>46134</v>
      </c>
      <c r="M41" s="236"/>
      <c r="N41" s="236"/>
      <c r="O41" s="271"/>
    </row>
    <row r="42" spans="1:15" ht="33.5" customHeight="1">
      <c r="A42" s="234" t="s">
        <v>676</v>
      </c>
      <c r="B42" s="234" t="s">
        <v>79</v>
      </c>
      <c r="C42" s="235">
        <v>46129</v>
      </c>
      <c r="D42" s="234" t="s">
        <v>1125</v>
      </c>
      <c r="E42" s="236"/>
      <c r="F42" s="236" t="s">
        <v>13</v>
      </c>
      <c r="G42" s="234" t="s">
        <v>35</v>
      </c>
      <c r="H42" s="237" t="s">
        <v>118</v>
      </c>
      <c r="I42" s="234">
        <v>200</v>
      </c>
      <c r="J42" s="234">
        <v>8</v>
      </c>
      <c r="K42" s="238">
        <v>4800000</v>
      </c>
      <c r="L42" s="235">
        <v>46132</v>
      </c>
      <c r="M42" s="236"/>
      <c r="N42" s="236"/>
      <c r="O42" s="271"/>
    </row>
    <row r="43" spans="1:15" ht="33.5" customHeight="1">
      <c r="A43" s="234" t="s">
        <v>676</v>
      </c>
      <c r="B43" s="234" t="s">
        <v>1134</v>
      </c>
      <c r="C43" s="235">
        <v>46129</v>
      </c>
      <c r="D43" s="234" t="s">
        <v>1135</v>
      </c>
      <c r="E43" s="236"/>
      <c r="F43" s="236" t="s">
        <v>311</v>
      </c>
      <c r="G43" s="234" t="s">
        <v>70</v>
      </c>
      <c r="H43" s="237" t="s">
        <v>71</v>
      </c>
      <c r="I43" s="234">
        <v>50</v>
      </c>
      <c r="J43" s="234">
        <v>2</v>
      </c>
      <c r="K43" s="238">
        <v>5125000</v>
      </c>
      <c r="L43" s="235">
        <v>46133</v>
      </c>
      <c r="M43" s="236"/>
      <c r="N43" s="236"/>
      <c r="O43" s="271"/>
    </row>
    <row r="44" spans="1:15" ht="33.5" customHeight="1">
      <c r="A44" s="234" t="s">
        <v>676</v>
      </c>
      <c r="B44" s="234" t="s">
        <v>1134</v>
      </c>
      <c r="C44" s="235">
        <v>46129</v>
      </c>
      <c r="D44" s="234" t="s">
        <v>1135</v>
      </c>
      <c r="E44" s="236"/>
      <c r="F44" s="236" t="s">
        <v>311</v>
      </c>
      <c r="G44" s="234" t="s">
        <v>70</v>
      </c>
      <c r="H44" s="237" t="s">
        <v>67</v>
      </c>
      <c r="I44" s="234">
        <v>250</v>
      </c>
      <c r="J44" s="234">
        <v>10</v>
      </c>
      <c r="K44" s="238">
        <v>6375000</v>
      </c>
      <c r="L44" s="235">
        <v>46133</v>
      </c>
      <c r="M44" s="236"/>
      <c r="N44" s="236"/>
      <c r="O44" s="271"/>
    </row>
    <row r="45" spans="1:15" ht="33.5" customHeight="1">
      <c r="A45" s="234" t="s">
        <v>676</v>
      </c>
      <c r="B45" s="234" t="s">
        <v>1134</v>
      </c>
      <c r="C45" s="235">
        <v>46129</v>
      </c>
      <c r="D45" s="234" t="s">
        <v>1135</v>
      </c>
      <c r="E45" s="236"/>
      <c r="F45" s="236" t="s">
        <v>311</v>
      </c>
      <c r="G45" s="234" t="s">
        <v>70</v>
      </c>
      <c r="H45" s="237" t="s">
        <v>165</v>
      </c>
      <c r="I45" s="234">
        <v>100</v>
      </c>
      <c r="J45" s="234">
        <v>4</v>
      </c>
      <c r="K45" s="238">
        <v>16420000</v>
      </c>
      <c r="L45" s="235">
        <v>46133</v>
      </c>
      <c r="M45" s="236"/>
      <c r="N45" s="236"/>
      <c r="O45" s="271"/>
    </row>
    <row r="46" spans="1:15" ht="33.5" customHeight="1">
      <c r="A46" s="234" t="s">
        <v>676</v>
      </c>
      <c r="B46" s="234" t="s">
        <v>1134</v>
      </c>
      <c r="C46" s="235">
        <v>46129</v>
      </c>
      <c r="D46" s="234" t="s">
        <v>1135</v>
      </c>
      <c r="E46" s="236"/>
      <c r="F46" s="236" t="s">
        <v>311</v>
      </c>
      <c r="G46" s="234" t="s">
        <v>70</v>
      </c>
      <c r="H46" s="237" t="s">
        <v>721</v>
      </c>
      <c r="I46" s="234">
        <v>300</v>
      </c>
      <c r="J46" s="234">
        <v>12</v>
      </c>
      <c r="K46" s="238">
        <v>4860000</v>
      </c>
      <c r="L46" s="235">
        <v>46133</v>
      </c>
      <c r="M46" s="236"/>
      <c r="N46" s="236"/>
      <c r="O46" s="271"/>
    </row>
    <row r="47" spans="1:15" ht="33.5" customHeight="1">
      <c r="A47" s="234" t="s">
        <v>676</v>
      </c>
      <c r="B47" s="234" t="s">
        <v>1134</v>
      </c>
      <c r="C47" s="235">
        <v>46129</v>
      </c>
      <c r="D47" s="234" t="s">
        <v>1135</v>
      </c>
      <c r="E47" s="236"/>
      <c r="F47" s="236" t="s">
        <v>311</v>
      </c>
      <c r="G47" s="234" t="s">
        <v>70</v>
      </c>
      <c r="H47" s="237" t="s">
        <v>150</v>
      </c>
      <c r="I47" s="234">
        <v>100</v>
      </c>
      <c r="J47" s="234">
        <v>4</v>
      </c>
      <c r="K47" s="238">
        <v>1989000</v>
      </c>
      <c r="L47" s="235">
        <v>46133</v>
      </c>
      <c r="M47" s="236"/>
      <c r="N47" s="236"/>
      <c r="O47" s="271"/>
    </row>
    <row r="48" spans="1:15" ht="33.5" customHeight="1">
      <c r="A48" s="234" t="s">
        <v>676</v>
      </c>
      <c r="B48" s="234" t="s">
        <v>1185</v>
      </c>
      <c r="C48" s="235">
        <v>46134</v>
      </c>
      <c r="D48" s="234" t="s">
        <v>1186</v>
      </c>
      <c r="E48" s="236"/>
      <c r="F48" s="236" t="s">
        <v>789</v>
      </c>
      <c r="G48" s="234" t="s">
        <v>97</v>
      </c>
      <c r="H48" s="237" t="s">
        <v>150</v>
      </c>
      <c r="I48" s="234">
        <v>1000</v>
      </c>
      <c r="J48" s="234">
        <v>40</v>
      </c>
      <c r="K48" s="238">
        <v>19500000</v>
      </c>
      <c r="L48" s="235">
        <v>46139</v>
      </c>
      <c r="M48" s="236"/>
      <c r="N48" s="236"/>
      <c r="O48" s="271"/>
    </row>
    <row r="49" spans="1:15" ht="33.5" customHeight="1">
      <c r="A49" s="234" t="s">
        <v>676</v>
      </c>
      <c r="B49" s="234">
        <v>9984</v>
      </c>
      <c r="C49" s="235">
        <v>46135</v>
      </c>
      <c r="D49" s="234" t="s">
        <v>1200</v>
      </c>
      <c r="E49" s="236"/>
      <c r="F49" s="236" t="s">
        <v>720</v>
      </c>
      <c r="G49" s="234" t="s">
        <v>39</v>
      </c>
      <c r="H49" s="237" t="s">
        <v>150</v>
      </c>
      <c r="I49" s="234">
        <v>100</v>
      </c>
      <c r="J49" s="234">
        <v>4</v>
      </c>
      <c r="K49" s="238">
        <v>1950000</v>
      </c>
      <c r="L49" s="235">
        <v>46139</v>
      </c>
      <c r="M49" s="236"/>
      <c r="N49" s="236"/>
      <c r="O49" s="271"/>
    </row>
    <row r="50" spans="1:15" ht="33.5" customHeight="1">
      <c r="A50" s="234" t="s">
        <v>676</v>
      </c>
      <c r="B50" s="234">
        <v>9984</v>
      </c>
      <c r="C50" s="235">
        <v>46135</v>
      </c>
      <c r="D50" s="234" t="s">
        <v>1200</v>
      </c>
      <c r="E50" s="236"/>
      <c r="F50" s="236" t="s">
        <v>720</v>
      </c>
      <c r="G50" s="234" t="s">
        <v>39</v>
      </c>
      <c r="H50" s="237" t="s">
        <v>721</v>
      </c>
      <c r="I50" s="234">
        <v>50</v>
      </c>
      <c r="J50" s="234">
        <v>2</v>
      </c>
      <c r="K50" s="238">
        <v>800000</v>
      </c>
      <c r="L50" s="235">
        <v>46139</v>
      </c>
      <c r="M50" s="236"/>
      <c r="N50" s="236"/>
      <c r="O50" s="271"/>
    </row>
    <row r="51" spans="1:15" s="246" customFormat="1" ht="33.5" customHeight="1">
      <c r="A51" s="234" t="s">
        <v>676</v>
      </c>
      <c r="B51" s="234" t="s">
        <v>1201</v>
      </c>
      <c r="C51" s="235">
        <v>46136</v>
      </c>
      <c r="D51" s="234" t="s">
        <v>1202</v>
      </c>
      <c r="E51" s="236"/>
      <c r="F51" s="236" t="s">
        <v>789</v>
      </c>
      <c r="G51" s="234" t="s">
        <v>33</v>
      </c>
      <c r="H51" s="237" t="s">
        <v>67</v>
      </c>
      <c r="I51" s="234">
        <v>800</v>
      </c>
      <c r="J51" s="234">
        <v>32</v>
      </c>
      <c r="K51" s="238">
        <v>21040000</v>
      </c>
      <c r="L51" s="235">
        <v>46142</v>
      </c>
      <c r="M51" s="236"/>
      <c r="N51" s="236"/>
      <c r="O51" s="271"/>
    </row>
    <row r="52" spans="1:15" s="246" customFormat="1" ht="33.5" customHeight="1">
      <c r="A52" s="234" t="s">
        <v>676</v>
      </c>
      <c r="B52" s="234" t="s">
        <v>1201</v>
      </c>
      <c r="C52" s="235">
        <v>46136</v>
      </c>
      <c r="D52" s="234" t="s">
        <v>1202</v>
      </c>
      <c r="E52" s="236"/>
      <c r="F52" s="236" t="s">
        <v>789</v>
      </c>
      <c r="G52" s="234" t="s">
        <v>33</v>
      </c>
      <c r="H52" s="237" t="s">
        <v>150</v>
      </c>
      <c r="I52" s="234">
        <v>2000</v>
      </c>
      <c r="J52" s="234">
        <v>80</v>
      </c>
      <c r="K52" s="238">
        <v>39000000</v>
      </c>
      <c r="L52" s="235">
        <v>46142</v>
      </c>
      <c r="M52" s="236"/>
      <c r="N52" s="236"/>
      <c r="O52" s="271"/>
    </row>
    <row r="53" spans="1:15" ht="33.5" customHeight="1">
      <c r="A53" s="275" t="s">
        <v>729</v>
      </c>
      <c r="B53" s="275" t="s">
        <v>956</v>
      </c>
      <c r="C53" s="276">
        <v>46118</v>
      </c>
      <c r="D53" s="275" t="s">
        <v>957</v>
      </c>
      <c r="E53" s="277"/>
      <c r="F53" s="277" t="s">
        <v>279</v>
      </c>
      <c r="G53" s="275" t="s">
        <v>93</v>
      </c>
      <c r="H53" s="278" t="s">
        <v>163</v>
      </c>
      <c r="I53" s="275">
        <v>6</v>
      </c>
      <c r="J53" s="275">
        <v>0</v>
      </c>
      <c r="K53" s="279">
        <v>3120000</v>
      </c>
      <c r="L53" s="276">
        <v>45754</v>
      </c>
      <c r="M53" s="277"/>
      <c r="N53" s="277"/>
      <c r="O53" s="280" t="s">
        <v>958</v>
      </c>
    </row>
    <row r="54" spans="1:15" ht="33.5" customHeight="1">
      <c r="A54" s="275" t="s">
        <v>729</v>
      </c>
      <c r="B54" s="275" t="s">
        <v>1086</v>
      </c>
      <c r="C54" s="276">
        <v>46127</v>
      </c>
      <c r="D54" s="275" t="s">
        <v>1087</v>
      </c>
      <c r="E54" s="275" t="s">
        <v>1088</v>
      </c>
      <c r="F54" s="277" t="s">
        <v>279</v>
      </c>
      <c r="G54" s="275" t="s">
        <v>93</v>
      </c>
      <c r="H54" s="278" t="s">
        <v>163</v>
      </c>
      <c r="I54" s="275">
        <v>4</v>
      </c>
      <c r="J54" s="275">
        <v>0</v>
      </c>
      <c r="K54" s="279">
        <v>2080000</v>
      </c>
      <c r="L54" s="275" t="s">
        <v>1089</v>
      </c>
      <c r="M54" s="277"/>
      <c r="N54" s="277"/>
      <c r="O54" s="280" t="s">
        <v>1090</v>
      </c>
    </row>
    <row r="55" spans="1:15" ht="33.5" customHeight="1">
      <c r="A55" s="281" t="s">
        <v>816</v>
      </c>
      <c r="B55" s="282">
        <v>100818</v>
      </c>
      <c r="C55" s="283">
        <v>46090</v>
      </c>
      <c r="D55" s="281" t="s">
        <v>817</v>
      </c>
      <c r="E55" s="284"/>
      <c r="F55" s="284" t="s">
        <v>187</v>
      </c>
      <c r="G55" s="281" t="s">
        <v>98</v>
      </c>
      <c r="H55" s="285" t="s">
        <v>756</v>
      </c>
      <c r="I55" s="281">
        <v>50</v>
      </c>
      <c r="J55" s="281">
        <v>2</v>
      </c>
      <c r="K55" s="282">
        <v>7250000</v>
      </c>
      <c r="L55" s="283">
        <v>46092</v>
      </c>
      <c r="M55" s="284"/>
      <c r="N55" s="284"/>
      <c r="O55" s="286"/>
    </row>
    <row r="56" spans="1:15" ht="33.5" customHeight="1">
      <c r="A56" s="281" t="s">
        <v>816</v>
      </c>
      <c r="B56" s="281">
        <v>101700</v>
      </c>
      <c r="C56" s="283">
        <v>46111</v>
      </c>
      <c r="D56" s="281" t="s">
        <v>839</v>
      </c>
      <c r="E56" s="284"/>
      <c r="F56" s="284" t="s">
        <v>187</v>
      </c>
      <c r="G56" s="281" t="s">
        <v>98</v>
      </c>
      <c r="H56" s="285" t="s">
        <v>756</v>
      </c>
      <c r="I56" s="281">
        <v>50</v>
      </c>
      <c r="J56" s="281">
        <v>2</v>
      </c>
      <c r="K56" s="282">
        <v>7250000</v>
      </c>
      <c r="L56" s="283">
        <v>46120</v>
      </c>
      <c r="M56" s="284"/>
      <c r="N56" s="284"/>
      <c r="O56" s="286"/>
    </row>
    <row r="57" spans="1:15" ht="33.5" customHeight="1">
      <c r="A57" s="281" t="s">
        <v>869</v>
      </c>
      <c r="B57" s="281">
        <v>101803</v>
      </c>
      <c r="C57" s="283">
        <v>46112</v>
      </c>
      <c r="D57" s="281" t="s">
        <v>870</v>
      </c>
      <c r="E57" s="281" t="s">
        <v>871</v>
      </c>
      <c r="F57" s="284" t="s">
        <v>716</v>
      </c>
      <c r="G57" s="281" t="s">
        <v>98</v>
      </c>
      <c r="H57" s="285" t="s">
        <v>756</v>
      </c>
      <c r="I57" s="281">
        <v>100</v>
      </c>
      <c r="J57" s="281">
        <v>4</v>
      </c>
      <c r="K57" s="282">
        <v>14500000</v>
      </c>
      <c r="L57" s="283">
        <v>46120</v>
      </c>
      <c r="M57" s="284"/>
      <c r="N57" s="284"/>
      <c r="O57" s="287" t="s">
        <v>872</v>
      </c>
    </row>
    <row r="58" spans="1:15" ht="33.5" customHeight="1">
      <c r="A58" s="281" t="s">
        <v>869</v>
      </c>
      <c r="B58" s="281">
        <v>101803</v>
      </c>
      <c r="C58" s="283">
        <v>46112</v>
      </c>
      <c r="D58" s="281" t="s">
        <v>870</v>
      </c>
      <c r="E58" s="281" t="s">
        <v>873</v>
      </c>
      <c r="F58" s="284" t="s">
        <v>716</v>
      </c>
      <c r="G58" s="281" t="s">
        <v>98</v>
      </c>
      <c r="H58" s="285" t="s">
        <v>186</v>
      </c>
      <c r="I58" s="281">
        <v>450</v>
      </c>
      <c r="J58" s="281">
        <v>18</v>
      </c>
      <c r="K58" s="282">
        <v>43750000</v>
      </c>
      <c r="L58" s="283">
        <v>46120</v>
      </c>
      <c r="M58" s="284"/>
      <c r="N58" s="284"/>
      <c r="O58" s="286"/>
    </row>
    <row r="59" spans="1:15" ht="33.5" customHeight="1">
      <c r="A59" s="281" t="s">
        <v>869</v>
      </c>
      <c r="B59" s="281" t="s">
        <v>876</v>
      </c>
      <c r="C59" s="283">
        <v>46113</v>
      </c>
      <c r="D59" s="281" t="s">
        <v>877</v>
      </c>
      <c r="E59" s="281" t="s">
        <v>880</v>
      </c>
      <c r="F59" s="284" t="s">
        <v>767</v>
      </c>
      <c r="G59" s="281" t="s">
        <v>322</v>
      </c>
      <c r="H59" s="285" t="s">
        <v>756</v>
      </c>
      <c r="I59" s="281">
        <v>40</v>
      </c>
      <c r="J59" s="281">
        <v>2</v>
      </c>
      <c r="K59" s="282">
        <v>6200000</v>
      </c>
      <c r="L59" s="283">
        <v>46119</v>
      </c>
      <c r="M59" s="284"/>
      <c r="N59" s="284"/>
      <c r="O59" s="287" t="s">
        <v>872</v>
      </c>
    </row>
    <row r="60" spans="1:15" ht="33.5" customHeight="1">
      <c r="A60" s="281" t="s">
        <v>869</v>
      </c>
      <c r="B60" s="281" t="s">
        <v>876</v>
      </c>
      <c r="C60" s="283">
        <v>46113</v>
      </c>
      <c r="D60" s="281" t="s">
        <v>877</v>
      </c>
      <c r="E60" s="281" t="s">
        <v>881</v>
      </c>
      <c r="F60" s="284" t="s">
        <v>767</v>
      </c>
      <c r="G60" s="281" t="s">
        <v>322</v>
      </c>
      <c r="H60" s="285" t="s">
        <v>186</v>
      </c>
      <c r="I60" s="281">
        <v>10</v>
      </c>
      <c r="J60" s="281">
        <v>0</v>
      </c>
      <c r="K60" s="282">
        <v>1020000</v>
      </c>
      <c r="L60" s="283">
        <v>46119</v>
      </c>
      <c r="M60" s="284"/>
      <c r="N60" s="284"/>
      <c r="O60" s="286"/>
    </row>
    <row r="61" spans="1:15" ht="33.5" customHeight="1">
      <c r="A61" s="228" t="s">
        <v>714</v>
      </c>
      <c r="B61" s="228" t="s">
        <v>781</v>
      </c>
      <c r="C61" s="229">
        <v>46099</v>
      </c>
      <c r="D61" s="228" t="s">
        <v>783</v>
      </c>
      <c r="E61" s="228" t="s">
        <v>784</v>
      </c>
      <c r="F61" s="230" t="s">
        <v>123</v>
      </c>
      <c r="G61" s="228" t="s">
        <v>39</v>
      </c>
      <c r="H61" s="231" t="s">
        <v>721</v>
      </c>
      <c r="I61" s="228">
        <v>800</v>
      </c>
      <c r="J61" s="228">
        <v>32</v>
      </c>
      <c r="K61" s="232">
        <v>12800000</v>
      </c>
      <c r="L61" s="229">
        <v>46119</v>
      </c>
      <c r="M61" s="230"/>
      <c r="N61" s="230"/>
      <c r="O61" s="233" t="s">
        <v>785</v>
      </c>
    </row>
    <row r="62" spans="1:15" ht="33.5" customHeight="1">
      <c r="A62" s="228" t="s">
        <v>714</v>
      </c>
      <c r="B62" s="228">
        <v>1390393</v>
      </c>
      <c r="C62" s="229">
        <v>46106</v>
      </c>
      <c r="D62" s="228" t="s">
        <v>792</v>
      </c>
      <c r="E62" s="228" t="s">
        <v>793</v>
      </c>
      <c r="F62" s="230" t="s">
        <v>794</v>
      </c>
      <c r="G62" s="228" t="s">
        <v>42</v>
      </c>
      <c r="H62" s="231" t="s">
        <v>712</v>
      </c>
      <c r="I62" s="228">
        <v>75</v>
      </c>
      <c r="J62" s="228">
        <v>3</v>
      </c>
      <c r="K62" s="232">
        <v>3889500</v>
      </c>
      <c r="L62" s="229">
        <v>46113</v>
      </c>
      <c r="M62" s="230"/>
      <c r="N62" s="230"/>
      <c r="O62" s="233" t="s">
        <v>795</v>
      </c>
    </row>
    <row r="63" spans="1:15" ht="33.5" customHeight="1">
      <c r="A63" s="228" t="s">
        <v>714</v>
      </c>
      <c r="B63" s="228" t="s">
        <v>820</v>
      </c>
      <c r="C63" s="229">
        <v>46108</v>
      </c>
      <c r="D63" s="228" t="s">
        <v>821</v>
      </c>
      <c r="E63" s="228" t="s">
        <v>822</v>
      </c>
      <c r="F63" s="230" t="s">
        <v>9</v>
      </c>
      <c r="G63" s="228" t="s">
        <v>39</v>
      </c>
      <c r="H63" s="231" t="s">
        <v>72</v>
      </c>
      <c r="I63" s="228">
        <v>3000</v>
      </c>
      <c r="J63" s="228">
        <v>120</v>
      </c>
      <c r="K63" s="232">
        <v>61500000</v>
      </c>
      <c r="L63" s="229">
        <v>46119</v>
      </c>
      <c r="M63" s="230"/>
      <c r="N63" s="230"/>
      <c r="O63" s="233" t="s">
        <v>785</v>
      </c>
    </row>
    <row r="64" spans="1:15" ht="33.5" customHeight="1">
      <c r="A64" s="228" t="s">
        <v>714</v>
      </c>
      <c r="B64" s="228">
        <v>5504523092</v>
      </c>
      <c r="C64" s="229">
        <v>46111</v>
      </c>
      <c r="D64" s="228" t="s">
        <v>826</v>
      </c>
      <c r="E64" s="228" t="s">
        <v>827</v>
      </c>
      <c r="F64" s="230" t="s">
        <v>17</v>
      </c>
      <c r="G64" s="228" t="s">
        <v>91</v>
      </c>
      <c r="H64" s="231" t="s">
        <v>150</v>
      </c>
      <c r="I64" s="228">
        <v>8000</v>
      </c>
      <c r="J64" s="228">
        <v>320</v>
      </c>
      <c r="K64" s="232">
        <v>146800000</v>
      </c>
      <c r="L64" s="229">
        <v>46113</v>
      </c>
      <c r="M64" s="230"/>
      <c r="N64" s="230"/>
      <c r="O64" s="233" t="s">
        <v>828</v>
      </c>
    </row>
    <row r="65" spans="1:15" ht="33.5" customHeight="1">
      <c r="A65" s="228" t="s">
        <v>714</v>
      </c>
      <c r="B65" s="228">
        <v>13809</v>
      </c>
      <c r="C65" s="229">
        <v>46111</v>
      </c>
      <c r="D65" s="228" t="s">
        <v>835</v>
      </c>
      <c r="E65" s="228" t="s">
        <v>836</v>
      </c>
      <c r="F65" s="230" t="s">
        <v>725</v>
      </c>
      <c r="G65" s="228" t="s">
        <v>747</v>
      </c>
      <c r="H65" s="231" t="s">
        <v>627</v>
      </c>
      <c r="I65" s="228">
        <v>250</v>
      </c>
      <c r="J65" s="228">
        <v>10</v>
      </c>
      <c r="K65" s="232">
        <v>9625000</v>
      </c>
      <c r="L65" s="229">
        <v>46119</v>
      </c>
      <c r="M65" s="230"/>
      <c r="N65" s="230"/>
      <c r="O65" s="233" t="s">
        <v>785</v>
      </c>
    </row>
    <row r="66" spans="1:15" ht="33.5" customHeight="1">
      <c r="A66" s="228" t="s">
        <v>714</v>
      </c>
      <c r="B66" s="228">
        <v>13809</v>
      </c>
      <c r="C66" s="229">
        <v>46111</v>
      </c>
      <c r="D66" s="228" t="s">
        <v>835</v>
      </c>
      <c r="E66" s="228" t="s">
        <v>836</v>
      </c>
      <c r="F66" s="230" t="s">
        <v>725</v>
      </c>
      <c r="G66" s="228" t="s">
        <v>747</v>
      </c>
      <c r="H66" s="231" t="s">
        <v>67</v>
      </c>
      <c r="I66" s="228">
        <v>250</v>
      </c>
      <c r="J66" s="228">
        <v>10</v>
      </c>
      <c r="K66" s="232">
        <v>6375000</v>
      </c>
      <c r="L66" s="229">
        <v>46119</v>
      </c>
      <c r="M66" s="230"/>
      <c r="N66" s="230"/>
      <c r="O66" s="233" t="s">
        <v>785</v>
      </c>
    </row>
    <row r="67" spans="1:15" ht="33.5" customHeight="1">
      <c r="A67" s="228" t="s">
        <v>714</v>
      </c>
      <c r="B67" s="228" t="s">
        <v>840</v>
      </c>
      <c r="C67" s="229">
        <v>46112</v>
      </c>
      <c r="D67" s="228" t="s">
        <v>841</v>
      </c>
      <c r="E67" s="228" t="s">
        <v>842</v>
      </c>
      <c r="F67" s="230" t="s">
        <v>789</v>
      </c>
      <c r="G67" s="228" t="s">
        <v>33</v>
      </c>
      <c r="H67" s="231" t="s">
        <v>627</v>
      </c>
      <c r="I67" s="228">
        <v>200</v>
      </c>
      <c r="J67" s="228">
        <v>8</v>
      </c>
      <c r="K67" s="232">
        <v>8100000</v>
      </c>
      <c r="L67" s="229">
        <v>46119</v>
      </c>
      <c r="M67" s="230"/>
      <c r="N67" s="230"/>
      <c r="O67" s="233" t="s">
        <v>785</v>
      </c>
    </row>
    <row r="68" spans="1:15" ht="33.5" customHeight="1">
      <c r="A68" s="228" t="s">
        <v>714</v>
      </c>
      <c r="B68" s="228" t="s">
        <v>840</v>
      </c>
      <c r="C68" s="229">
        <v>46112</v>
      </c>
      <c r="D68" s="228" t="s">
        <v>841</v>
      </c>
      <c r="E68" s="228" t="s">
        <v>842</v>
      </c>
      <c r="F68" s="230" t="s">
        <v>789</v>
      </c>
      <c r="G68" s="228" t="s">
        <v>33</v>
      </c>
      <c r="H68" s="231" t="s">
        <v>67</v>
      </c>
      <c r="I68" s="228">
        <v>500</v>
      </c>
      <c r="J68" s="228">
        <v>20</v>
      </c>
      <c r="K68" s="232">
        <v>13150000</v>
      </c>
      <c r="L68" s="229">
        <v>46119</v>
      </c>
      <c r="M68" s="230"/>
      <c r="N68" s="230"/>
      <c r="O68" s="233" t="s">
        <v>785</v>
      </c>
    </row>
    <row r="69" spans="1:15" ht="33.5" customHeight="1">
      <c r="A69" s="228" t="s">
        <v>714</v>
      </c>
      <c r="B69" s="228" t="s">
        <v>840</v>
      </c>
      <c r="C69" s="229">
        <v>46112</v>
      </c>
      <c r="D69" s="228" t="s">
        <v>841</v>
      </c>
      <c r="E69" s="228" t="s">
        <v>842</v>
      </c>
      <c r="F69" s="230" t="s">
        <v>789</v>
      </c>
      <c r="G69" s="228" t="s">
        <v>33</v>
      </c>
      <c r="H69" s="231" t="s">
        <v>150</v>
      </c>
      <c r="I69" s="228">
        <v>2000</v>
      </c>
      <c r="J69" s="228">
        <v>80</v>
      </c>
      <c r="K69" s="232">
        <v>39000000</v>
      </c>
      <c r="L69" s="229">
        <v>46119</v>
      </c>
      <c r="M69" s="230"/>
      <c r="N69" s="230"/>
      <c r="O69" s="233" t="s">
        <v>785</v>
      </c>
    </row>
    <row r="70" spans="1:15" ht="33.5" customHeight="1">
      <c r="A70" s="228" t="s">
        <v>714</v>
      </c>
      <c r="B70" s="228" t="s">
        <v>79</v>
      </c>
      <c r="C70" s="229">
        <v>46059</v>
      </c>
      <c r="D70" s="228" t="s">
        <v>908</v>
      </c>
      <c r="E70" s="228" t="s">
        <v>909</v>
      </c>
      <c r="F70" s="230" t="s">
        <v>275</v>
      </c>
      <c r="G70" s="228" t="s">
        <v>38</v>
      </c>
      <c r="H70" s="231" t="s">
        <v>186</v>
      </c>
      <c r="I70" s="228">
        <v>147</v>
      </c>
      <c r="J70" s="228">
        <v>6</v>
      </c>
      <c r="K70" s="232">
        <v>14994000</v>
      </c>
      <c r="L70" s="229">
        <v>46119</v>
      </c>
      <c r="M70" s="230"/>
      <c r="N70" s="230"/>
      <c r="O70" s="233" t="s">
        <v>910</v>
      </c>
    </row>
    <row r="71" spans="1:15" ht="33.5" customHeight="1">
      <c r="A71" s="228" t="s">
        <v>714</v>
      </c>
      <c r="B71" s="228">
        <v>5504563743</v>
      </c>
      <c r="C71" s="229">
        <v>46121</v>
      </c>
      <c r="D71" s="228" t="s">
        <v>1003</v>
      </c>
      <c r="E71" s="228" t="s">
        <v>1004</v>
      </c>
      <c r="F71" s="230" t="s">
        <v>17</v>
      </c>
      <c r="G71" s="228" t="s">
        <v>91</v>
      </c>
      <c r="H71" s="231" t="s">
        <v>72</v>
      </c>
      <c r="I71" s="228">
        <v>6000</v>
      </c>
      <c r="J71" s="228">
        <v>240</v>
      </c>
      <c r="K71" s="232">
        <v>117000000</v>
      </c>
      <c r="L71" s="229">
        <v>46122</v>
      </c>
      <c r="M71" s="230"/>
      <c r="N71" s="230"/>
      <c r="O71" s="256" t="s">
        <v>1005</v>
      </c>
    </row>
    <row r="72" spans="1:15" ht="33.5" customHeight="1">
      <c r="A72" s="228" t="s">
        <v>714</v>
      </c>
      <c r="B72" s="228">
        <v>1401882</v>
      </c>
      <c r="C72" s="229">
        <v>46126</v>
      </c>
      <c r="D72" s="228" t="s">
        <v>1065</v>
      </c>
      <c r="E72" s="228" t="s">
        <v>1066</v>
      </c>
      <c r="F72" s="230" t="s">
        <v>794</v>
      </c>
      <c r="G72" s="228" t="s">
        <v>42</v>
      </c>
      <c r="H72" s="231" t="s">
        <v>717</v>
      </c>
      <c r="I72" s="228">
        <v>75</v>
      </c>
      <c r="J72" s="228">
        <v>3</v>
      </c>
      <c r="K72" s="232">
        <v>13515000</v>
      </c>
      <c r="L72" s="229">
        <v>46129</v>
      </c>
      <c r="M72" s="230"/>
      <c r="N72" s="230"/>
      <c r="O72" s="233" t="s">
        <v>1067</v>
      </c>
    </row>
    <row r="73" spans="1:15" ht="33.5" customHeight="1">
      <c r="A73" s="228" t="s">
        <v>714</v>
      </c>
      <c r="B73" s="228">
        <v>1401882</v>
      </c>
      <c r="C73" s="229">
        <v>46126</v>
      </c>
      <c r="D73" s="228" t="s">
        <v>1105</v>
      </c>
      <c r="E73" s="230"/>
      <c r="F73" s="230" t="s">
        <v>794</v>
      </c>
      <c r="G73" s="228" t="s">
        <v>42</v>
      </c>
      <c r="H73" s="231" t="s">
        <v>717</v>
      </c>
      <c r="I73" s="228">
        <v>75</v>
      </c>
      <c r="J73" s="228">
        <v>3</v>
      </c>
      <c r="K73" s="232">
        <v>13515000</v>
      </c>
      <c r="L73" s="229">
        <v>46129</v>
      </c>
      <c r="M73" s="230"/>
      <c r="N73" s="230"/>
      <c r="O73" s="233" t="s">
        <v>1067</v>
      </c>
    </row>
    <row r="74" spans="1:15" s="163" customFormat="1" ht="33.5" customHeight="1">
      <c r="A74" s="228" t="s">
        <v>714</v>
      </c>
      <c r="B74" s="228">
        <v>13841</v>
      </c>
      <c r="C74" s="229">
        <v>46126</v>
      </c>
      <c r="D74" s="228" t="s">
        <v>1069</v>
      </c>
      <c r="E74" s="228" t="s">
        <v>1070</v>
      </c>
      <c r="F74" s="230" t="s">
        <v>725</v>
      </c>
      <c r="G74" s="228" t="s">
        <v>747</v>
      </c>
      <c r="H74" s="231" t="s">
        <v>67</v>
      </c>
      <c r="I74" s="228">
        <v>250</v>
      </c>
      <c r="J74" s="228">
        <v>10</v>
      </c>
      <c r="K74" s="232">
        <v>6375000</v>
      </c>
      <c r="L74" s="229">
        <v>46126</v>
      </c>
      <c r="M74" s="230"/>
      <c r="N74" s="230"/>
      <c r="O74" s="233" t="s">
        <v>1071</v>
      </c>
    </row>
    <row r="75" spans="1:15" ht="33.5" customHeight="1">
      <c r="A75" s="288" t="s">
        <v>853</v>
      </c>
      <c r="B75" s="288">
        <v>4500087944</v>
      </c>
      <c r="C75" s="289">
        <v>46112</v>
      </c>
      <c r="D75" s="288" t="s">
        <v>854</v>
      </c>
      <c r="E75" s="288" t="s">
        <v>855</v>
      </c>
      <c r="F75" s="290" t="s">
        <v>709</v>
      </c>
      <c r="G75" s="288" t="s">
        <v>331</v>
      </c>
      <c r="H75" s="291" t="s">
        <v>856</v>
      </c>
      <c r="I75" s="288">
        <v>2500</v>
      </c>
      <c r="J75" s="288">
        <v>100</v>
      </c>
      <c r="K75" s="292">
        <v>48125000</v>
      </c>
      <c r="L75" s="289">
        <v>46118</v>
      </c>
      <c r="M75" s="290"/>
      <c r="N75" s="290"/>
      <c r="O75" s="293" t="s">
        <v>857</v>
      </c>
    </row>
    <row r="76" spans="1:15" ht="33.5" customHeight="1">
      <c r="A76" s="294" t="s">
        <v>65</v>
      </c>
      <c r="B76" s="295"/>
      <c r="C76" s="296">
        <v>46119</v>
      </c>
      <c r="D76" s="294" t="s">
        <v>947</v>
      </c>
      <c r="E76" s="295"/>
      <c r="F76" s="295" t="s">
        <v>889</v>
      </c>
      <c r="G76" s="294" t="s">
        <v>287</v>
      </c>
      <c r="H76" s="297" t="s">
        <v>722</v>
      </c>
      <c r="I76" s="294">
        <v>0.6</v>
      </c>
      <c r="J76" s="294">
        <v>0</v>
      </c>
      <c r="K76" s="294">
        <v>0</v>
      </c>
      <c r="L76" s="296">
        <v>46120</v>
      </c>
      <c r="M76" s="295"/>
      <c r="N76" s="295"/>
      <c r="O76" s="298" t="s">
        <v>948</v>
      </c>
    </row>
    <row r="77" spans="1:15" ht="33.5" customHeight="1">
      <c r="A77" s="239" t="s">
        <v>65</v>
      </c>
      <c r="B77" s="241"/>
      <c r="C77" s="240">
        <v>46125</v>
      </c>
      <c r="D77" s="241"/>
      <c r="E77" s="241"/>
      <c r="F77" s="241" t="s">
        <v>347</v>
      </c>
      <c r="G77" s="239" t="s">
        <v>723</v>
      </c>
      <c r="H77" s="242" t="s">
        <v>182</v>
      </c>
      <c r="I77" s="239">
        <v>500</v>
      </c>
      <c r="J77" s="239">
        <v>20</v>
      </c>
      <c r="K77" s="243">
        <v>25500000</v>
      </c>
      <c r="L77" s="240">
        <v>46126</v>
      </c>
      <c r="M77" s="241"/>
      <c r="N77" s="241"/>
      <c r="O77" s="299"/>
    </row>
    <row r="78" spans="1:15" ht="33.5" customHeight="1">
      <c r="A78" s="239" t="s">
        <v>1051</v>
      </c>
      <c r="B78" s="241"/>
      <c r="C78" s="240">
        <v>46125</v>
      </c>
      <c r="D78" s="239" t="s">
        <v>1052</v>
      </c>
      <c r="E78" s="241"/>
      <c r="F78" s="241" t="s">
        <v>1053</v>
      </c>
      <c r="G78" s="239" t="s">
        <v>124</v>
      </c>
      <c r="H78" s="242" t="s">
        <v>879</v>
      </c>
      <c r="I78" s="239">
        <v>2</v>
      </c>
      <c r="J78" s="239">
        <v>0</v>
      </c>
      <c r="K78" s="243">
        <v>500000</v>
      </c>
      <c r="L78" s="240">
        <v>46125</v>
      </c>
      <c r="M78" s="241"/>
      <c r="N78" s="241"/>
      <c r="O78" s="299"/>
    </row>
    <row r="79" spans="1:15" ht="33.5" customHeight="1">
      <c r="A79" s="239" t="s">
        <v>1051</v>
      </c>
      <c r="B79" s="241"/>
      <c r="C79" s="240">
        <v>46125</v>
      </c>
      <c r="D79" s="239" t="s">
        <v>1054</v>
      </c>
      <c r="E79" s="241"/>
      <c r="F79" s="241" t="s">
        <v>1053</v>
      </c>
      <c r="G79" s="239" t="s">
        <v>124</v>
      </c>
      <c r="H79" s="242" t="s">
        <v>722</v>
      </c>
      <c r="I79" s="239">
        <v>0.15</v>
      </c>
      <c r="J79" s="239">
        <v>0</v>
      </c>
      <c r="K79" s="239">
        <v>0</v>
      </c>
      <c r="L79" s="240">
        <v>46125</v>
      </c>
      <c r="M79" s="241"/>
      <c r="N79" s="241"/>
      <c r="O79" s="299"/>
    </row>
    <row r="80" spans="1:15" ht="33.5" customHeight="1">
      <c r="A80" s="239" t="s">
        <v>65</v>
      </c>
      <c r="B80" s="239">
        <v>155</v>
      </c>
      <c r="C80" s="240">
        <v>46132</v>
      </c>
      <c r="D80" s="239" t="s">
        <v>1140</v>
      </c>
      <c r="E80" s="239" t="s">
        <v>1141</v>
      </c>
      <c r="F80" s="241" t="s">
        <v>326</v>
      </c>
      <c r="G80" s="239" t="s">
        <v>35</v>
      </c>
      <c r="H80" s="242" t="s">
        <v>163</v>
      </c>
      <c r="I80" s="239">
        <v>2.5</v>
      </c>
      <c r="J80" s="239">
        <v>0</v>
      </c>
      <c r="K80" s="243">
        <v>1297000</v>
      </c>
      <c r="L80" s="240">
        <v>46132</v>
      </c>
      <c r="M80" s="241"/>
      <c r="N80" s="241"/>
      <c r="O80" s="300" t="s">
        <v>1142</v>
      </c>
    </row>
    <row r="81" spans="1:15" ht="33.5" customHeight="1">
      <c r="A81" s="281" t="s">
        <v>73</v>
      </c>
      <c r="B81" s="281" t="s">
        <v>848</v>
      </c>
      <c r="C81" s="283">
        <v>46112</v>
      </c>
      <c r="D81" s="281" t="s">
        <v>849</v>
      </c>
      <c r="E81" s="281" t="s">
        <v>850</v>
      </c>
      <c r="F81" s="284" t="s">
        <v>100</v>
      </c>
      <c r="G81" s="281" t="s">
        <v>45</v>
      </c>
      <c r="H81" s="285" t="s">
        <v>719</v>
      </c>
      <c r="I81" s="281">
        <v>100</v>
      </c>
      <c r="J81" s="281">
        <v>4</v>
      </c>
      <c r="K81" s="282">
        <v>3500000</v>
      </c>
      <c r="L81" s="283">
        <v>46118</v>
      </c>
      <c r="M81" s="284"/>
      <c r="N81" s="284"/>
      <c r="O81" s="301" t="s">
        <v>851</v>
      </c>
    </row>
    <row r="82" spans="1:15" ht="33.5" customHeight="1">
      <c r="A82" s="281" t="s">
        <v>73</v>
      </c>
      <c r="B82" s="281">
        <v>101762</v>
      </c>
      <c r="C82" s="283">
        <v>46112</v>
      </c>
      <c r="D82" s="281" t="s">
        <v>859</v>
      </c>
      <c r="E82" s="281" t="s">
        <v>861</v>
      </c>
      <c r="F82" s="284" t="s">
        <v>860</v>
      </c>
      <c r="G82" s="281" t="s">
        <v>98</v>
      </c>
      <c r="H82" s="285" t="s">
        <v>756</v>
      </c>
      <c r="I82" s="281">
        <v>20</v>
      </c>
      <c r="J82" s="281">
        <v>1</v>
      </c>
      <c r="K82" s="282">
        <v>2900000</v>
      </c>
      <c r="L82" s="283">
        <v>46120</v>
      </c>
      <c r="M82" s="284"/>
      <c r="N82" s="284"/>
      <c r="O82" s="286"/>
    </row>
    <row r="83" spans="1:15" ht="33.5" customHeight="1">
      <c r="A83" s="281" t="s">
        <v>73</v>
      </c>
      <c r="B83" s="281">
        <v>101762</v>
      </c>
      <c r="C83" s="283">
        <v>46112</v>
      </c>
      <c r="D83" s="281" t="s">
        <v>859</v>
      </c>
      <c r="E83" s="281" t="s">
        <v>862</v>
      </c>
      <c r="F83" s="284" t="s">
        <v>860</v>
      </c>
      <c r="G83" s="281" t="s">
        <v>98</v>
      </c>
      <c r="H83" s="285" t="s">
        <v>186</v>
      </c>
      <c r="I83" s="281">
        <v>63</v>
      </c>
      <c r="J83" s="284"/>
      <c r="K83" s="282">
        <v>6123600</v>
      </c>
      <c r="L83" s="283">
        <v>46120</v>
      </c>
      <c r="M83" s="284"/>
      <c r="N83" s="284"/>
      <c r="O83" s="301" t="s">
        <v>863</v>
      </c>
    </row>
    <row r="84" spans="1:15" ht="33.5" customHeight="1">
      <c r="A84" s="281" t="s">
        <v>73</v>
      </c>
      <c r="B84" s="281" t="s">
        <v>901</v>
      </c>
      <c r="C84" s="283">
        <v>46057</v>
      </c>
      <c r="D84" s="281" t="s">
        <v>903</v>
      </c>
      <c r="E84" s="281" t="s">
        <v>904</v>
      </c>
      <c r="F84" s="284" t="s">
        <v>4</v>
      </c>
      <c r="G84" s="281" t="s">
        <v>132</v>
      </c>
      <c r="H84" s="285" t="s">
        <v>756</v>
      </c>
      <c r="I84" s="281">
        <v>10</v>
      </c>
      <c r="J84" s="281">
        <v>0</v>
      </c>
      <c r="K84" s="282">
        <v>1550000</v>
      </c>
      <c r="L84" s="283">
        <v>46119</v>
      </c>
      <c r="M84" s="284"/>
      <c r="N84" s="284"/>
      <c r="O84" s="286"/>
    </row>
    <row r="85" spans="1:15" ht="33.5" customHeight="1">
      <c r="A85" s="281" t="s">
        <v>73</v>
      </c>
      <c r="B85" s="284"/>
      <c r="C85" s="283">
        <v>46059</v>
      </c>
      <c r="D85" s="281" t="s">
        <v>913</v>
      </c>
      <c r="E85" s="281" t="s">
        <v>914</v>
      </c>
      <c r="F85" s="284" t="s">
        <v>166</v>
      </c>
      <c r="G85" s="281" t="s">
        <v>35</v>
      </c>
      <c r="H85" s="285" t="s">
        <v>756</v>
      </c>
      <c r="I85" s="281">
        <v>10</v>
      </c>
      <c r="J85" s="281">
        <v>0</v>
      </c>
      <c r="K85" s="282">
        <v>1550000</v>
      </c>
      <c r="L85" s="283">
        <v>46118</v>
      </c>
      <c r="M85" s="284"/>
      <c r="N85" s="284"/>
      <c r="O85" s="286"/>
    </row>
    <row r="86" spans="1:15" ht="33.5" customHeight="1">
      <c r="A86" s="281" t="s">
        <v>73</v>
      </c>
      <c r="B86" s="281" t="s">
        <v>918</v>
      </c>
      <c r="C86" s="283">
        <v>46059</v>
      </c>
      <c r="D86" s="281" t="s">
        <v>919</v>
      </c>
      <c r="E86" s="281" t="s">
        <v>920</v>
      </c>
      <c r="F86" s="284" t="s">
        <v>311</v>
      </c>
      <c r="G86" s="281" t="s">
        <v>921</v>
      </c>
      <c r="H86" s="285" t="s">
        <v>186</v>
      </c>
      <c r="I86" s="281">
        <v>25</v>
      </c>
      <c r="J86" s="281">
        <v>1</v>
      </c>
      <c r="K86" s="282">
        <v>2625000</v>
      </c>
      <c r="L86" s="283">
        <v>46119</v>
      </c>
      <c r="M86" s="284"/>
      <c r="N86" s="284"/>
      <c r="O86" s="287" t="s">
        <v>922</v>
      </c>
    </row>
    <row r="87" spans="1:15" ht="33.5" customHeight="1">
      <c r="A87" s="281" t="s">
        <v>73</v>
      </c>
      <c r="B87" s="281" t="s">
        <v>918</v>
      </c>
      <c r="C87" s="283">
        <v>46059</v>
      </c>
      <c r="D87" s="281" t="s">
        <v>923</v>
      </c>
      <c r="E87" s="281" t="s">
        <v>924</v>
      </c>
      <c r="F87" s="284" t="s">
        <v>311</v>
      </c>
      <c r="G87" s="281" t="s">
        <v>921</v>
      </c>
      <c r="H87" s="285" t="s">
        <v>756</v>
      </c>
      <c r="I87" s="281">
        <v>50</v>
      </c>
      <c r="J87" s="281">
        <v>2</v>
      </c>
      <c r="K87" s="282">
        <v>7495000</v>
      </c>
      <c r="L87" s="283">
        <v>46119</v>
      </c>
      <c r="M87" s="284"/>
      <c r="N87" s="284"/>
      <c r="O87" s="286"/>
    </row>
    <row r="88" spans="1:15" ht="33.5" customHeight="1">
      <c r="A88" s="281" t="s">
        <v>73</v>
      </c>
      <c r="B88" s="281" t="s">
        <v>936</v>
      </c>
      <c r="C88" s="283">
        <v>46118</v>
      </c>
      <c r="D88" s="281" t="s">
        <v>937</v>
      </c>
      <c r="E88" s="281" t="s">
        <v>938</v>
      </c>
      <c r="F88" s="284" t="s">
        <v>23</v>
      </c>
      <c r="G88" s="281" t="s">
        <v>32</v>
      </c>
      <c r="H88" s="285" t="s">
        <v>756</v>
      </c>
      <c r="I88" s="281">
        <v>20</v>
      </c>
      <c r="J88" s="281">
        <v>1</v>
      </c>
      <c r="K88" s="282">
        <v>3200000</v>
      </c>
      <c r="L88" s="283">
        <v>45755</v>
      </c>
      <c r="M88" s="284"/>
      <c r="N88" s="284"/>
      <c r="O88" s="286"/>
    </row>
    <row r="89" spans="1:15" ht="33.5" customHeight="1">
      <c r="A89" s="281" t="s">
        <v>73</v>
      </c>
      <c r="B89" s="281">
        <v>5504485810</v>
      </c>
      <c r="C89" s="283">
        <v>46101</v>
      </c>
      <c r="D89" s="281" t="s">
        <v>764</v>
      </c>
      <c r="E89" s="281" t="s">
        <v>953</v>
      </c>
      <c r="F89" s="284" t="s">
        <v>17</v>
      </c>
      <c r="G89" s="281" t="s">
        <v>748</v>
      </c>
      <c r="H89" s="285" t="s">
        <v>541</v>
      </c>
      <c r="I89" s="281">
        <v>150</v>
      </c>
      <c r="J89" s="281">
        <v>6</v>
      </c>
      <c r="K89" s="282">
        <v>6975000</v>
      </c>
      <c r="L89" s="283">
        <v>46107</v>
      </c>
      <c r="M89" s="284"/>
      <c r="N89" s="284"/>
      <c r="O89" s="286"/>
    </row>
    <row r="90" spans="1:15" ht="33.5" customHeight="1">
      <c r="A90" s="281" t="s">
        <v>73</v>
      </c>
      <c r="B90" s="281">
        <v>4500087756</v>
      </c>
      <c r="C90" s="283">
        <v>46105</v>
      </c>
      <c r="D90" s="281" t="s">
        <v>765</v>
      </c>
      <c r="E90" s="281" t="s">
        <v>954</v>
      </c>
      <c r="F90" s="284" t="s">
        <v>709</v>
      </c>
      <c r="G90" s="281" t="s">
        <v>40</v>
      </c>
      <c r="H90" s="285" t="s">
        <v>757</v>
      </c>
      <c r="I90" s="281">
        <v>90</v>
      </c>
      <c r="J90" s="281">
        <v>4</v>
      </c>
      <c r="K90" s="281">
        <v>0</v>
      </c>
      <c r="L90" s="283">
        <v>46107</v>
      </c>
      <c r="M90" s="284"/>
      <c r="N90" s="284"/>
      <c r="O90" s="286"/>
    </row>
    <row r="91" spans="1:15" ht="33.5" customHeight="1">
      <c r="A91" s="281" t="s">
        <v>73</v>
      </c>
      <c r="B91" s="284"/>
      <c r="C91" s="283">
        <v>46058</v>
      </c>
      <c r="D91" s="281" t="s">
        <v>759</v>
      </c>
      <c r="E91" s="281" t="s">
        <v>967</v>
      </c>
      <c r="F91" s="284" t="s">
        <v>17</v>
      </c>
      <c r="G91" s="281" t="s">
        <v>748</v>
      </c>
      <c r="H91" s="285" t="s">
        <v>541</v>
      </c>
      <c r="I91" s="281">
        <v>16</v>
      </c>
      <c r="J91" s="281">
        <v>1</v>
      </c>
      <c r="K91" s="282">
        <v>744000</v>
      </c>
      <c r="L91" s="283">
        <v>46097</v>
      </c>
      <c r="M91" s="284"/>
      <c r="N91" s="284"/>
      <c r="O91" s="301" t="s">
        <v>968</v>
      </c>
    </row>
    <row r="92" spans="1:15" ht="33.5" customHeight="1">
      <c r="A92" s="281" t="s">
        <v>73</v>
      </c>
      <c r="B92" s="281">
        <v>4500088071</v>
      </c>
      <c r="C92" s="283">
        <v>46119</v>
      </c>
      <c r="D92" s="281" t="s">
        <v>974</v>
      </c>
      <c r="E92" s="281" t="s">
        <v>975</v>
      </c>
      <c r="F92" s="284" t="s">
        <v>709</v>
      </c>
      <c r="G92" s="281" t="s">
        <v>40</v>
      </c>
      <c r="H92" s="285" t="s">
        <v>756</v>
      </c>
      <c r="I92" s="281">
        <v>29</v>
      </c>
      <c r="J92" s="281">
        <v>1</v>
      </c>
      <c r="K92" s="282">
        <v>20350000</v>
      </c>
      <c r="L92" s="283">
        <v>46122</v>
      </c>
      <c r="M92" s="284"/>
      <c r="N92" s="284"/>
      <c r="O92" s="286"/>
    </row>
    <row r="93" spans="1:15" ht="33.5" customHeight="1">
      <c r="A93" s="281" t="s">
        <v>73</v>
      </c>
      <c r="B93" s="281">
        <v>4500088071</v>
      </c>
      <c r="C93" s="283">
        <v>46119</v>
      </c>
      <c r="D93" s="281" t="s">
        <v>974</v>
      </c>
      <c r="E93" s="281" t="s">
        <v>437</v>
      </c>
      <c r="F93" s="284" t="s">
        <v>709</v>
      </c>
      <c r="G93" s="281" t="s">
        <v>40</v>
      </c>
      <c r="H93" s="285" t="s">
        <v>756</v>
      </c>
      <c r="I93" s="281">
        <v>121</v>
      </c>
      <c r="J93" s="281">
        <v>5</v>
      </c>
      <c r="K93" s="282">
        <v>20350000</v>
      </c>
      <c r="L93" s="283">
        <v>46122</v>
      </c>
      <c r="M93" s="284"/>
      <c r="N93" s="284"/>
      <c r="O93" s="287" t="s">
        <v>976</v>
      </c>
    </row>
    <row r="94" spans="1:15" ht="33.5" customHeight="1">
      <c r="A94" s="281" t="s">
        <v>73</v>
      </c>
      <c r="B94" s="281">
        <v>5504450676</v>
      </c>
      <c r="C94" s="283">
        <v>46120</v>
      </c>
      <c r="D94" s="281" t="s">
        <v>989</v>
      </c>
      <c r="E94" s="284"/>
      <c r="F94" s="284" t="s">
        <v>17</v>
      </c>
      <c r="G94" s="281" t="s">
        <v>749</v>
      </c>
      <c r="H94" s="285" t="s">
        <v>541</v>
      </c>
      <c r="I94" s="281">
        <v>72</v>
      </c>
      <c r="J94" s="281">
        <v>3</v>
      </c>
      <c r="K94" s="282">
        <v>3600000</v>
      </c>
      <c r="L94" s="283">
        <v>46121</v>
      </c>
      <c r="M94" s="284"/>
      <c r="N94" s="284"/>
      <c r="O94" s="286"/>
    </row>
    <row r="95" spans="1:15" ht="33.5" customHeight="1">
      <c r="A95" s="281" t="s">
        <v>73</v>
      </c>
      <c r="B95" s="281" t="s">
        <v>1025</v>
      </c>
      <c r="C95" s="283">
        <v>46122</v>
      </c>
      <c r="D95" s="281" t="s">
        <v>1029</v>
      </c>
      <c r="E95" s="281" t="s">
        <v>1030</v>
      </c>
      <c r="F95" s="284" t="s">
        <v>4</v>
      </c>
      <c r="G95" s="281" t="s">
        <v>132</v>
      </c>
      <c r="H95" s="285" t="s">
        <v>756</v>
      </c>
      <c r="I95" s="281">
        <v>30</v>
      </c>
      <c r="J95" s="281">
        <v>1</v>
      </c>
      <c r="K95" s="282">
        <v>4650000</v>
      </c>
      <c r="L95" s="283">
        <v>46125</v>
      </c>
      <c r="M95" s="284"/>
      <c r="N95" s="284"/>
      <c r="O95" s="287" t="s">
        <v>872</v>
      </c>
    </row>
    <row r="96" spans="1:15" ht="33.5" customHeight="1">
      <c r="A96" s="281" t="s">
        <v>73</v>
      </c>
      <c r="B96" s="281">
        <v>4500088311</v>
      </c>
      <c r="C96" s="283">
        <v>46128</v>
      </c>
      <c r="D96" s="281" t="s">
        <v>1110</v>
      </c>
      <c r="E96" s="281" t="s">
        <v>1111</v>
      </c>
      <c r="F96" s="284" t="s">
        <v>709</v>
      </c>
      <c r="G96" s="281" t="s">
        <v>40</v>
      </c>
      <c r="H96" s="285" t="s">
        <v>756</v>
      </c>
      <c r="I96" s="281">
        <v>168</v>
      </c>
      <c r="J96" s="281">
        <v>7</v>
      </c>
      <c r="K96" s="282">
        <v>22764000</v>
      </c>
      <c r="L96" s="283">
        <v>46133</v>
      </c>
      <c r="M96" s="284"/>
      <c r="N96" s="284"/>
      <c r="O96" s="287" t="s">
        <v>872</v>
      </c>
    </row>
    <row r="97" spans="1:15" ht="33.5" customHeight="1">
      <c r="A97" s="281" t="s">
        <v>73</v>
      </c>
      <c r="B97" s="281">
        <v>102329</v>
      </c>
      <c r="C97" s="283">
        <v>46129</v>
      </c>
      <c r="D97" s="281" t="s">
        <v>1118</v>
      </c>
      <c r="E97" s="281" t="s">
        <v>1119</v>
      </c>
      <c r="F97" s="284" t="s">
        <v>860</v>
      </c>
      <c r="G97" s="281" t="s">
        <v>98</v>
      </c>
      <c r="H97" s="285" t="s">
        <v>756</v>
      </c>
      <c r="I97" s="281">
        <v>2</v>
      </c>
      <c r="J97" s="281">
        <v>0</v>
      </c>
      <c r="K97" s="282">
        <v>290000</v>
      </c>
      <c r="L97" s="283">
        <v>46130</v>
      </c>
      <c r="M97" s="284"/>
      <c r="N97" s="284"/>
      <c r="O97" s="286"/>
    </row>
    <row r="98" spans="1:15" ht="33.5" customHeight="1">
      <c r="A98" s="281" t="s">
        <v>73</v>
      </c>
      <c r="B98" s="281">
        <v>102329</v>
      </c>
      <c r="C98" s="283">
        <v>46129</v>
      </c>
      <c r="D98" s="281" t="s">
        <v>1118</v>
      </c>
      <c r="E98" s="284"/>
      <c r="F98" s="284" t="s">
        <v>860</v>
      </c>
      <c r="G98" s="281" t="s">
        <v>98</v>
      </c>
      <c r="H98" s="285" t="s">
        <v>756</v>
      </c>
      <c r="I98" s="281">
        <v>28</v>
      </c>
      <c r="J98" s="281">
        <v>1</v>
      </c>
      <c r="K98" s="282">
        <v>4060000</v>
      </c>
      <c r="L98" s="283">
        <v>46130</v>
      </c>
      <c r="M98" s="284"/>
      <c r="N98" s="284"/>
      <c r="O98" s="286"/>
    </row>
    <row r="99" spans="1:15" ht="33.5" customHeight="1">
      <c r="A99" s="281" t="s">
        <v>73</v>
      </c>
      <c r="B99" s="281">
        <v>102330</v>
      </c>
      <c r="C99" s="283">
        <v>46129</v>
      </c>
      <c r="D99" s="281" t="s">
        <v>1120</v>
      </c>
      <c r="E99" s="281" t="s">
        <v>1121</v>
      </c>
      <c r="F99" s="284" t="s">
        <v>746</v>
      </c>
      <c r="G99" s="281" t="s">
        <v>98</v>
      </c>
      <c r="H99" s="285" t="s">
        <v>756</v>
      </c>
      <c r="I99" s="281">
        <v>30</v>
      </c>
      <c r="J99" s="281">
        <v>1</v>
      </c>
      <c r="K99" s="282">
        <v>4350000</v>
      </c>
      <c r="L99" s="283">
        <v>46130</v>
      </c>
      <c r="M99" s="284"/>
      <c r="N99" s="284"/>
      <c r="O99" s="286"/>
    </row>
    <row r="100" spans="1:15" ht="33.5" customHeight="1">
      <c r="A100" s="281" t="s">
        <v>73</v>
      </c>
      <c r="B100" s="281">
        <v>102331</v>
      </c>
      <c r="C100" s="283">
        <v>46129</v>
      </c>
      <c r="D100" s="281" t="s">
        <v>1122</v>
      </c>
      <c r="E100" s="284"/>
      <c r="F100" s="284" t="s">
        <v>1123</v>
      </c>
      <c r="G100" s="281" t="s">
        <v>98</v>
      </c>
      <c r="H100" s="285" t="s">
        <v>756</v>
      </c>
      <c r="I100" s="281">
        <v>30</v>
      </c>
      <c r="J100" s="281">
        <v>1</v>
      </c>
      <c r="K100" s="282">
        <v>4350000</v>
      </c>
      <c r="L100" s="283">
        <v>46130</v>
      </c>
      <c r="M100" s="284"/>
      <c r="N100" s="284"/>
      <c r="O100" s="286"/>
    </row>
    <row r="101" spans="1:15" ht="33.5" customHeight="1">
      <c r="A101" s="250" t="s">
        <v>1223</v>
      </c>
      <c r="B101" s="250">
        <v>4500088351</v>
      </c>
      <c r="C101" s="251">
        <v>46129</v>
      </c>
      <c r="D101" s="250" t="s">
        <v>1128</v>
      </c>
      <c r="E101" s="252"/>
      <c r="F101" s="252" t="s">
        <v>709</v>
      </c>
      <c r="G101" s="250" t="s">
        <v>40</v>
      </c>
      <c r="H101" s="253" t="s">
        <v>67</v>
      </c>
      <c r="I101" s="250">
        <v>2000</v>
      </c>
      <c r="J101" s="250">
        <v>80</v>
      </c>
      <c r="K101" s="254">
        <v>49500000</v>
      </c>
      <c r="L101" s="251">
        <v>46129</v>
      </c>
      <c r="M101" s="252"/>
      <c r="N101" s="252"/>
      <c r="O101" s="302" t="s">
        <v>1129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98D6-4923-48A1-A077-657DAF3C5B5E}">
  <dimension ref="A3:G521"/>
  <sheetViews>
    <sheetView topLeftCell="A325" workbookViewId="0">
      <selection activeCell="A340" sqref="A340"/>
    </sheetView>
  </sheetViews>
  <sheetFormatPr baseColWidth="10" defaultRowHeight="13"/>
  <cols>
    <col min="1" max="1" width="54.59765625" bestFit="1" customWidth="1"/>
    <col min="2" max="2" width="16" bestFit="1" customWidth="1"/>
    <col min="4" max="4" width="20.19921875" customWidth="1"/>
  </cols>
  <sheetData>
    <row r="3" spans="1:7">
      <c r="A3" s="72" t="s">
        <v>0</v>
      </c>
      <c r="B3" t="s">
        <v>702</v>
      </c>
    </row>
    <row r="4" spans="1:7">
      <c r="A4" s="35">
        <v>-16</v>
      </c>
      <c r="B4">
        <v>1</v>
      </c>
    </row>
    <row r="5" spans="1:7">
      <c r="A5" s="116" t="s">
        <v>115</v>
      </c>
      <c r="B5">
        <v>1</v>
      </c>
    </row>
    <row r="6" spans="1:7">
      <c r="A6" s="117" t="s">
        <v>416</v>
      </c>
      <c r="B6">
        <v>1</v>
      </c>
      <c r="D6" s="142" t="s">
        <v>707</v>
      </c>
      <c r="E6" s="142">
        <v>587</v>
      </c>
      <c r="F6" s="143">
        <v>1</v>
      </c>
      <c r="G6" s="142" t="s">
        <v>708</v>
      </c>
    </row>
    <row r="7" spans="1:7">
      <c r="A7" s="35">
        <v>-7</v>
      </c>
      <c r="B7">
        <v>1</v>
      </c>
      <c r="D7" s="140" t="s">
        <v>703</v>
      </c>
      <c r="E7" s="139">
        <v>77</v>
      </c>
      <c r="F7" s="140" t="s">
        <v>706</v>
      </c>
      <c r="G7" s="141">
        <f>+E7*F6/E6</f>
        <v>0.131175468483816</v>
      </c>
    </row>
    <row r="8" spans="1:7">
      <c r="A8" s="116" t="s">
        <v>115</v>
      </c>
      <c r="B8">
        <v>1</v>
      </c>
      <c r="D8" s="140" t="s">
        <v>704</v>
      </c>
      <c r="E8" s="139">
        <f>+GETPIVOTDATA("Cliente",$A$3,"DIAS DE DIFERENCIA",0)</f>
        <v>371</v>
      </c>
      <c r="F8" s="140" t="s">
        <v>706</v>
      </c>
      <c r="G8" s="141">
        <f>+E8*F6/E6</f>
        <v>0.63202725724020448</v>
      </c>
    </row>
    <row r="9" spans="1:7">
      <c r="A9" s="117" t="s">
        <v>384</v>
      </c>
      <c r="B9">
        <v>1</v>
      </c>
      <c r="D9" s="140" t="s">
        <v>705</v>
      </c>
      <c r="E9" s="139">
        <v>139</v>
      </c>
      <c r="F9" s="140" t="s">
        <v>706</v>
      </c>
      <c r="G9" s="141">
        <f>+E9*F6/E6</f>
        <v>0.23679727427597955</v>
      </c>
    </row>
    <row r="10" spans="1:7">
      <c r="A10" s="35">
        <v>-6</v>
      </c>
      <c r="B10">
        <v>6</v>
      </c>
    </row>
    <row r="11" spans="1:7">
      <c r="A11" s="116" t="s">
        <v>70</v>
      </c>
      <c r="B11">
        <v>6</v>
      </c>
    </row>
    <row r="12" spans="1:7">
      <c r="A12" s="117" t="s">
        <v>556</v>
      </c>
      <c r="B12">
        <v>6</v>
      </c>
    </row>
    <row r="13" spans="1:7">
      <c r="A13" s="35">
        <v>-4</v>
      </c>
      <c r="B13">
        <v>1</v>
      </c>
    </row>
    <row r="14" spans="1:7">
      <c r="A14" s="116" t="s">
        <v>699</v>
      </c>
      <c r="B14">
        <v>1</v>
      </c>
    </row>
    <row r="15" spans="1:7">
      <c r="A15" s="117" t="s">
        <v>698</v>
      </c>
      <c r="B15">
        <v>1</v>
      </c>
    </row>
    <row r="16" spans="1:7">
      <c r="A16" s="35">
        <v>-3</v>
      </c>
      <c r="B16">
        <v>19</v>
      </c>
    </row>
    <row r="17" spans="1:2">
      <c r="A17" s="116" t="s">
        <v>100</v>
      </c>
      <c r="B17">
        <v>2</v>
      </c>
    </row>
    <row r="18" spans="1:2">
      <c r="A18" s="117" t="s">
        <v>394</v>
      </c>
      <c r="B18">
        <v>2</v>
      </c>
    </row>
    <row r="19" spans="1:2">
      <c r="A19" s="116" t="s">
        <v>420</v>
      </c>
      <c r="B19">
        <v>1</v>
      </c>
    </row>
    <row r="20" spans="1:2">
      <c r="A20" s="117" t="s">
        <v>700</v>
      </c>
      <c r="B20">
        <v>1</v>
      </c>
    </row>
    <row r="21" spans="1:2">
      <c r="A21" s="116" t="s">
        <v>340</v>
      </c>
      <c r="B21">
        <v>1</v>
      </c>
    </row>
    <row r="22" spans="1:2">
      <c r="A22" s="117" t="s">
        <v>554</v>
      </c>
      <c r="B22">
        <v>1</v>
      </c>
    </row>
    <row r="23" spans="1:2">
      <c r="A23" s="116" t="s">
        <v>8</v>
      </c>
      <c r="B23">
        <v>5</v>
      </c>
    </row>
    <row r="24" spans="1:2">
      <c r="A24" s="117" t="s">
        <v>413</v>
      </c>
      <c r="B24">
        <v>2</v>
      </c>
    </row>
    <row r="25" spans="1:2">
      <c r="A25" s="117" t="s">
        <v>458</v>
      </c>
      <c r="B25">
        <v>1</v>
      </c>
    </row>
    <row r="26" spans="1:2">
      <c r="A26" s="117" t="s">
        <v>578</v>
      </c>
      <c r="B26">
        <v>1</v>
      </c>
    </row>
    <row r="27" spans="1:2">
      <c r="A27" s="117" t="s">
        <v>579</v>
      </c>
      <c r="B27">
        <v>1</v>
      </c>
    </row>
    <row r="28" spans="1:2">
      <c r="A28" s="116" t="s">
        <v>11</v>
      </c>
      <c r="B28">
        <v>6</v>
      </c>
    </row>
    <row r="29" spans="1:2">
      <c r="A29" s="117" t="s">
        <v>367</v>
      </c>
      <c r="B29">
        <v>1</v>
      </c>
    </row>
    <row r="30" spans="1:2">
      <c r="A30" s="117" t="s">
        <v>455</v>
      </c>
      <c r="B30">
        <v>1</v>
      </c>
    </row>
    <row r="31" spans="1:2">
      <c r="A31" s="117" t="s">
        <v>520</v>
      </c>
      <c r="B31">
        <v>1</v>
      </c>
    </row>
    <row r="32" spans="1:2">
      <c r="A32" s="117" t="s">
        <v>567</v>
      </c>
      <c r="B32">
        <v>1</v>
      </c>
    </row>
    <row r="33" spans="1:2">
      <c r="A33" s="117" t="s">
        <v>595</v>
      </c>
      <c r="B33">
        <v>1</v>
      </c>
    </row>
    <row r="34" spans="1:2">
      <c r="A34" s="117" t="s">
        <v>631</v>
      </c>
      <c r="B34">
        <v>1</v>
      </c>
    </row>
    <row r="35" spans="1:2">
      <c r="A35" s="116" t="s">
        <v>337</v>
      </c>
      <c r="B35">
        <v>1</v>
      </c>
    </row>
    <row r="36" spans="1:2">
      <c r="A36" s="117" t="s">
        <v>522</v>
      </c>
      <c r="B36">
        <v>1</v>
      </c>
    </row>
    <row r="37" spans="1:2">
      <c r="A37" s="116" t="s">
        <v>123</v>
      </c>
      <c r="B37">
        <v>1</v>
      </c>
    </row>
    <row r="38" spans="1:2">
      <c r="A38" s="117" t="s">
        <v>697</v>
      </c>
      <c r="B38">
        <v>1</v>
      </c>
    </row>
    <row r="39" spans="1:2">
      <c r="A39" s="116" t="s">
        <v>388</v>
      </c>
      <c r="B39">
        <v>1</v>
      </c>
    </row>
    <row r="40" spans="1:2">
      <c r="A40" s="117" t="s">
        <v>387</v>
      </c>
      <c r="B40">
        <v>1</v>
      </c>
    </row>
    <row r="41" spans="1:2">
      <c r="A41" s="116" t="s">
        <v>115</v>
      </c>
      <c r="B41">
        <v>1</v>
      </c>
    </row>
    <row r="42" spans="1:2">
      <c r="A42" s="117" t="s">
        <v>460</v>
      </c>
      <c r="B42">
        <v>1</v>
      </c>
    </row>
    <row r="43" spans="1:2">
      <c r="A43" s="35">
        <v>-2</v>
      </c>
      <c r="B43">
        <v>18</v>
      </c>
    </row>
    <row r="44" spans="1:2">
      <c r="A44" s="116" t="s">
        <v>333</v>
      </c>
      <c r="B44">
        <v>3</v>
      </c>
    </row>
    <row r="45" spans="1:2">
      <c r="A45" s="117" t="s">
        <v>515</v>
      </c>
      <c r="B45">
        <v>3</v>
      </c>
    </row>
    <row r="46" spans="1:2">
      <c r="A46" s="116" t="s">
        <v>340</v>
      </c>
      <c r="B46">
        <v>3</v>
      </c>
    </row>
    <row r="47" spans="1:2">
      <c r="A47" s="117" t="s">
        <v>653</v>
      </c>
      <c r="B47">
        <v>3</v>
      </c>
    </row>
    <row r="48" spans="1:2">
      <c r="A48" s="116" t="s">
        <v>8</v>
      </c>
      <c r="B48">
        <v>4</v>
      </c>
    </row>
    <row r="49" spans="1:2">
      <c r="A49" s="117" t="s">
        <v>372</v>
      </c>
      <c r="B49">
        <v>2</v>
      </c>
    </row>
    <row r="50" spans="1:2">
      <c r="A50" s="117" t="s">
        <v>398</v>
      </c>
      <c r="B50">
        <v>1</v>
      </c>
    </row>
    <row r="51" spans="1:2">
      <c r="A51" s="117" t="s">
        <v>632</v>
      </c>
      <c r="B51">
        <v>1</v>
      </c>
    </row>
    <row r="52" spans="1:2">
      <c r="A52" s="116" t="s">
        <v>11</v>
      </c>
      <c r="B52">
        <v>3</v>
      </c>
    </row>
    <row r="53" spans="1:2">
      <c r="A53" s="117" t="s">
        <v>393</v>
      </c>
      <c r="B53">
        <v>2</v>
      </c>
    </row>
    <row r="54" spans="1:2">
      <c r="A54" s="117" t="s">
        <v>642</v>
      </c>
      <c r="B54">
        <v>1</v>
      </c>
    </row>
    <row r="55" spans="1:2">
      <c r="A55" s="116" t="s">
        <v>70</v>
      </c>
      <c r="B55">
        <v>2</v>
      </c>
    </row>
    <row r="56" spans="1:2">
      <c r="A56" s="117" t="s">
        <v>557</v>
      </c>
      <c r="B56">
        <v>2</v>
      </c>
    </row>
    <row r="57" spans="1:2">
      <c r="A57" s="116" t="s">
        <v>102</v>
      </c>
      <c r="B57">
        <v>3</v>
      </c>
    </row>
    <row r="58" spans="1:2">
      <c r="A58" s="117" t="s">
        <v>422</v>
      </c>
      <c r="B58">
        <v>3</v>
      </c>
    </row>
    <row r="59" spans="1:2">
      <c r="A59" s="35">
        <v>-1</v>
      </c>
      <c r="B59">
        <v>31</v>
      </c>
    </row>
    <row r="60" spans="1:2">
      <c r="A60" s="116" t="s">
        <v>108</v>
      </c>
      <c r="B60">
        <v>5</v>
      </c>
    </row>
    <row r="61" spans="1:2">
      <c r="A61" s="117" t="s">
        <v>404</v>
      </c>
      <c r="B61">
        <v>1</v>
      </c>
    </row>
    <row r="62" spans="1:2">
      <c r="A62" s="117" t="s">
        <v>552</v>
      </c>
      <c r="B62">
        <v>2</v>
      </c>
    </row>
    <row r="63" spans="1:2">
      <c r="A63" s="117" t="s">
        <v>684</v>
      </c>
      <c r="B63">
        <v>2</v>
      </c>
    </row>
    <row r="64" spans="1:2">
      <c r="A64" s="116" t="s">
        <v>100</v>
      </c>
      <c r="B64">
        <v>1</v>
      </c>
    </row>
    <row r="65" spans="1:2">
      <c r="A65" s="117" t="s">
        <v>473</v>
      </c>
      <c r="B65">
        <v>1</v>
      </c>
    </row>
    <row r="66" spans="1:2">
      <c r="A66" s="116" t="s">
        <v>5</v>
      </c>
      <c r="B66">
        <v>1</v>
      </c>
    </row>
    <row r="67" spans="1:2">
      <c r="A67" s="117" t="s">
        <v>523</v>
      </c>
      <c r="B67">
        <v>1</v>
      </c>
    </row>
    <row r="68" spans="1:2">
      <c r="A68" s="116" t="s">
        <v>345</v>
      </c>
      <c r="B68">
        <v>1</v>
      </c>
    </row>
    <row r="69" spans="1:2">
      <c r="A69" s="117" t="s">
        <v>518</v>
      </c>
      <c r="B69">
        <v>1</v>
      </c>
    </row>
    <row r="70" spans="1:2">
      <c r="A70" s="116" t="s">
        <v>175</v>
      </c>
      <c r="B70">
        <v>1</v>
      </c>
    </row>
    <row r="71" spans="1:2">
      <c r="A71" s="117" t="s">
        <v>536</v>
      </c>
      <c r="B71">
        <v>1</v>
      </c>
    </row>
    <row r="72" spans="1:2">
      <c r="A72" s="116" t="s">
        <v>334</v>
      </c>
      <c r="B72">
        <v>1</v>
      </c>
    </row>
    <row r="73" spans="1:2">
      <c r="A73" s="117" t="s">
        <v>474</v>
      </c>
      <c r="B73">
        <v>1</v>
      </c>
    </row>
    <row r="74" spans="1:2">
      <c r="A74" s="116" t="s">
        <v>476</v>
      </c>
      <c r="B74">
        <v>1</v>
      </c>
    </row>
    <row r="75" spans="1:2">
      <c r="A75" s="117" t="s">
        <v>475</v>
      </c>
      <c r="B75">
        <v>1</v>
      </c>
    </row>
    <row r="76" spans="1:2">
      <c r="A76" s="116" t="s">
        <v>340</v>
      </c>
      <c r="B76">
        <v>4</v>
      </c>
    </row>
    <row r="77" spans="1:2">
      <c r="A77" s="117" t="s">
        <v>533</v>
      </c>
      <c r="B77">
        <v>1</v>
      </c>
    </row>
    <row r="78" spans="1:2">
      <c r="A78" s="117" t="s">
        <v>591</v>
      </c>
      <c r="B78">
        <v>3</v>
      </c>
    </row>
    <row r="79" spans="1:2">
      <c r="A79" s="116" t="s">
        <v>8</v>
      </c>
      <c r="B79">
        <v>2</v>
      </c>
    </row>
    <row r="80" spans="1:2">
      <c r="A80" s="117" t="s">
        <v>558</v>
      </c>
      <c r="B80">
        <v>1</v>
      </c>
    </row>
    <row r="81" spans="1:2">
      <c r="A81" s="117" t="s">
        <v>561</v>
      </c>
      <c r="B81">
        <v>1</v>
      </c>
    </row>
    <row r="82" spans="1:2">
      <c r="A82" s="116" t="s">
        <v>11</v>
      </c>
      <c r="B82">
        <v>5</v>
      </c>
    </row>
    <row r="83" spans="1:2">
      <c r="A83" s="117" t="s">
        <v>417</v>
      </c>
      <c r="B83">
        <v>1</v>
      </c>
    </row>
    <row r="84" spans="1:2">
      <c r="A84" s="117" t="s">
        <v>418</v>
      </c>
      <c r="B84">
        <v>1</v>
      </c>
    </row>
    <row r="85" spans="1:2">
      <c r="A85" s="117" t="s">
        <v>457</v>
      </c>
      <c r="B85">
        <v>1</v>
      </c>
    </row>
    <row r="86" spans="1:2">
      <c r="A86" s="117" t="s">
        <v>516</v>
      </c>
      <c r="B86">
        <v>1</v>
      </c>
    </row>
    <row r="87" spans="1:2">
      <c r="A87" s="117" t="s">
        <v>678</v>
      </c>
      <c r="B87">
        <v>1</v>
      </c>
    </row>
    <row r="88" spans="1:2">
      <c r="A88" s="116" t="s">
        <v>616</v>
      </c>
      <c r="B88">
        <v>1</v>
      </c>
    </row>
    <row r="89" spans="1:2">
      <c r="A89" s="117" t="s">
        <v>615</v>
      </c>
      <c r="B89">
        <v>1</v>
      </c>
    </row>
    <row r="90" spans="1:2">
      <c r="A90" s="116" t="s">
        <v>600</v>
      </c>
      <c r="B90">
        <v>1</v>
      </c>
    </row>
    <row r="91" spans="1:2">
      <c r="A91" s="117" t="s">
        <v>599</v>
      </c>
      <c r="B91">
        <v>1</v>
      </c>
    </row>
    <row r="92" spans="1:2">
      <c r="A92" s="116" t="s">
        <v>471</v>
      </c>
      <c r="B92">
        <v>1</v>
      </c>
    </row>
    <row r="93" spans="1:2">
      <c r="A93" s="117" t="s">
        <v>470</v>
      </c>
      <c r="B93">
        <v>1</v>
      </c>
    </row>
    <row r="94" spans="1:2">
      <c r="A94" s="116" t="s">
        <v>113</v>
      </c>
      <c r="B94">
        <v>1</v>
      </c>
    </row>
    <row r="95" spans="1:2">
      <c r="A95" s="117" t="s">
        <v>637</v>
      </c>
      <c r="B95">
        <v>1</v>
      </c>
    </row>
    <row r="96" spans="1:2">
      <c r="A96" s="116" t="s">
        <v>15</v>
      </c>
      <c r="B96">
        <v>1</v>
      </c>
    </row>
    <row r="97" spans="1:2">
      <c r="A97" s="117" t="s">
        <v>447</v>
      </c>
      <c r="B97">
        <v>1</v>
      </c>
    </row>
    <row r="98" spans="1:2">
      <c r="A98" s="116" t="s">
        <v>16</v>
      </c>
      <c r="B98">
        <v>2</v>
      </c>
    </row>
    <row r="99" spans="1:2">
      <c r="A99" s="117" t="s">
        <v>609</v>
      </c>
      <c r="B99">
        <v>2</v>
      </c>
    </row>
    <row r="100" spans="1:2">
      <c r="A100" s="116" t="s">
        <v>695</v>
      </c>
      <c r="B100">
        <v>1</v>
      </c>
    </row>
    <row r="101" spans="1:2">
      <c r="A101" s="117" t="s">
        <v>694</v>
      </c>
      <c r="B101">
        <v>1</v>
      </c>
    </row>
    <row r="102" spans="1:2">
      <c r="A102" s="116" t="s">
        <v>622</v>
      </c>
      <c r="B102">
        <v>1</v>
      </c>
    </row>
    <row r="103" spans="1:2">
      <c r="A103" s="117" t="s">
        <v>621</v>
      </c>
      <c r="B103">
        <v>1</v>
      </c>
    </row>
    <row r="104" spans="1:2">
      <c r="A104" s="35">
        <v>0</v>
      </c>
      <c r="B104">
        <v>371</v>
      </c>
    </row>
    <row r="105" spans="1:2">
      <c r="A105" s="116" t="s">
        <v>94</v>
      </c>
      <c r="B105">
        <v>1</v>
      </c>
    </row>
    <row r="106" spans="1:2">
      <c r="A106" s="117" t="s">
        <v>443</v>
      </c>
      <c r="B106">
        <v>1</v>
      </c>
    </row>
    <row r="107" spans="1:2">
      <c r="A107" s="116" t="s">
        <v>279</v>
      </c>
      <c r="B107">
        <v>5</v>
      </c>
    </row>
    <row r="108" spans="1:2">
      <c r="A108" s="117" t="s">
        <v>414</v>
      </c>
      <c r="B108">
        <v>1</v>
      </c>
    </row>
    <row r="109" spans="1:2">
      <c r="A109" s="117" t="s">
        <v>424</v>
      </c>
      <c r="B109">
        <v>1</v>
      </c>
    </row>
    <row r="110" spans="1:2">
      <c r="A110" s="117" t="s">
        <v>425</v>
      </c>
      <c r="B110">
        <v>1</v>
      </c>
    </row>
    <row r="111" spans="1:2">
      <c r="A111" s="117" t="s">
        <v>452</v>
      </c>
      <c r="B111">
        <v>1</v>
      </c>
    </row>
    <row r="112" spans="1:2">
      <c r="A112" s="117" t="s">
        <v>580</v>
      </c>
      <c r="B112">
        <v>1</v>
      </c>
    </row>
    <row r="113" spans="1:2">
      <c r="A113" s="116" t="s">
        <v>138</v>
      </c>
      <c r="B113">
        <v>1</v>
      </c>
    </row>
    <row r="114" spans="1:2">
      <c r="A114" s="117" t="s">
        <v>620</v>
      </c>
      <c r="B114">
        <v>1</v>
      </c>
    </row>
    <row r="115" spans="1:2">
      <c r="A115" s="116" t="s">
        <v>355</v>
      </c>
      <c r="B115">
        <v>4</v>
      </c>
    </row>
    <row r="116" spans="1:2">
      <c r="A116" s="117" t="s">
        <v>354</v>
      </c>
      <c r="B116">
        <v>1</v>
      </c>
    </row>
    <row r="117" spans="1:2">
      <c r="A117" s="117" t="s">
        <v>423</v>
      </c>
      <c r="B117">
        <v>1</v>
      </c>
    </row>
    <row r="118" spans="1:2">
      <c r="A118" s="117" t="s">
        <v>568</v>
      </c>
      <c r="B118">
        <v>1</v>
      </c>
    </row>
    <row r="119" spans="1:2">
      <c r="A119" s="117" t="s">
        <v>652</v>
      </c>
      <c r="B119">
        <v>1</v>
      </c>
    </row>
    <row r="120" spans="1:2">
      <c r="A120" s="116" t="s">
        <v>108</v>
      </c>
      <c r="B120">
        <v>4</v>
      </c>
    </row>
    <row r="121" spans="1:2">
      <c r="A121" s="117" t="s">
        <v>633</v>
      </c>
      <c r="B121">
        <v>2</v>
      </c>
    </row>
    <row r="122" spans="1:2">
      <c r="A122" s="117" t="s">
        <v>640</v>
      </c>
      <c r="B122">
        <v>2</v>
      </c>
    </row>
    <row r="123" spans="1:2">
      <c r="A123" s="116" t="s">
        <v>4</v>
      </c>
      <c r="B123">
        <v>3</v>
      </c>
    </row>
    <row r="124" spans="1:2">
      <c r="A124" s="117" t="s">
        <v>426</v>
      </c>
      <c r="B124">
        <v>1</v>
      </c>
    </row>
    <row r="125" spans="1:2">
      <c r="A125" s="117" t="s">
        <v>584</v>
      </c>
      <c r="B125">
        <v>1</v>
      </c>
    </row>
    <row r="126" spans="1:2">
      <c r="A126" s="117" t="s">
        <v>651</v>
      </c>
      <c r="B126">
        <v>1</v>
      </c>
    </row>
    <row r="127" spans="1:2">
      <c r="A127" s="116" t="s">
        <v>311</v>
      </c>
      <c r="B127">
        <v>13</v>
      </c>
    </row>
    <row r="128" spans="1:2">
      <c r="A128" s="117" t="s">
        <v>383</v>
      </c>
      <c r="B128">
        <v>4</v>
      </c>
    </row>
    <row r="129" spans="1:2">
      <c r="A129" s="117" t="s">
        <v>450</v>
      </c>
      <c r="B129">
        <v>2</v>
      </c>
    </row>
    <row r="130" spans="1:2">
      <c r="A130" s="117" t="s">
        <v>603</v>
      </c>
      <c r="B130">
        <v>4</v>
      </c>
    </row>
    <row r="131" spans="1:2">
      <c r="A131" s="117" t="s">
        <v>639</v>
      </c>
      <c r="B131">
        <v>3</v>
      </c>
    </row>
    <row r="132" spans="1:2">
      <c r="A132" s="116" t="s">
        <v>352</v>
      </c>
      <c r="B132">
        <v>1</v>
      </c>
    </row>
    <row r="133" spans="1:2">
      <c r="A133" s="117" t="s">
        <v>585</v>
      </c>
      <c r="B133">
        <v>1</v>
      </c>
    </row>
    <row r="134" spans="1:2">
      <c r="A134" s="116" t="s">
        <v>129</v>
      </c>
      <c r="B134">
        <v>1</v>
      </c>
    </row>
    <row r="135" spans="1:2">
      <c r="A135" s="117" t="s">
        <v>421</v>
      </c>
      <c r="B135">
        <v>1</v>
      </c>
    </row>
    <row r="136" spans="1:2">
      <c r="A136" s="116" t="s">
        <v>491</v>
      </c>
      <c r="B136">
        <v>4</v>
      </c>
    </row>
    <row r="137" spans="1:2">
      <c r="A137" s="117" t="s">
        <v>490</v>
      </c>
      <c r="B137">
        <v>4</v>
      </c>
    </row>
    <row r="138" spans="1:2">
      <c r="A138" s="116" t="s">
        <v>363</v>
      </c>
      <c r="B138">
        <v>1</v>
      </c>
    </row>
    <row r="139" spans="1:2">
      <c r="A139" s="117" t="s">
        <v>362</v>
      </c>
      <c r="B139">
        <v>1</v>
      </c>
    </row>
    <row r="140" spans="1:2">
      <c r="A140" s="116" t="s">
        <v>116</v>
      </c>
      <c r="B140">
        <v>1</v>
      </c>
    </row>
    <row r="141" spans="1:2">
      <c r="A141" s="117" t="s">
        <v>641</v>
      </c>
      <c r="B141">
        <v>1</v>
      </c>
    </row>
    <row r="142" spans="1:2">
      <c r="A142" s="116" t="s">
        <v>275</v>
      </c>
      <c r="B142">
        <v>1</v>
      </c>
    </row>
    <row r="143" spans="1:2">
      <c r="A143" s="117" t="s">
        <v>378</v>
      </c>
      <c r="B143">
        <v>1</v>
      </c>
    </row>
    <row r="144" spans="1:2">
      <c r="A144" s="116" t="s">
        <v>333</v>
      </c>
      <c r="B144">
        <v>1</v>
      </c>
    </row>
    <row r="145" spans="1:2">
      <c r="A145" s="117" t="s">
        <v>385</v>
      </c>
      <c r="B145">
        <v>1</v>
      </c>
    </row>
    <row r="146" spans="1:2">
      <c r="A146" s="116" t="s">
        <v>345</v>
      </c>
      <c r="B146">
        <v>1</v>
      </c>
    </row>
    <row r="147" spans="1:2">
      <c r="A147" s="117" t="s">
        <v>518</v>
      </c>
      <c r="B147">
        <v>1</v>
      </c>
    </row>
    <row r="148" spans="1:2">
      <c r="A148" s="116" t="s">
        <v>130</v>
      </c>
      <c r="B148">
        <v>3</v>
      </c>
    </row>
    <row r="149" spans="1:2">
      <c r="A149" s="117" t="s">
        <v>537</v>
      </c>
      <c r="B149">
        <v>1</v>
      </c>
    </row>
    <row r="150" spans="1:2">
      <c r="A150" s="117" t="s">
        <v>570</v>
      </c>
      <c r="B150">
        <v>1</v>
      </c>
    </row>
    <row r="151" spans="1:2">
      <c r="A151" s="117" t="s">
        <v>571</v>
      </c>
      <c r="B151">
        <v>1</v>
      </c>
    </row>
    <row r="152" spans="1:2">
      <c r="A152" s="116" t="s">
        <v>175</v>
      </c>
      <c r="B152">
        <v>4</v>
      </c>
    </row>
    <row r="153" spans="1:2">
      <c r="A153" s="117" t="s">
        <v>376</v>
      </c>
      <c r="B153">
        <v>1</v>
      </c>
    </row>
    <row r="154" spans="1:2">
      <c r="A154" s="117" t="s">
        <v>550</v>
      </c>
      <c r="B154">
        <v>2</v>
      </c>
    </row>
    <row r="155" spans="1:2">
      <c r="A155" s="117" t="s">
        <v>638</v>
      </c>
      <c r="B155">
        <v>1</v>
      </c>
    </row>
    <row r="156" spans="1:2">
      <c r="A156" s="116" t="s">
        <v>332</v>
      </c>
      <c r="B156">
        <v>1</v>
      </c>
    </row>
    <row r="157" spans="1:2">
      <c r="A157" s="117" t="s">
        <v>435</v>
      </c>
      <c r="B157">
        <v>1</v>
      </c>
    </row>
    <row r="158" spans="1:2">
      <c r="A158" s="116" t="s">
        <v>187</v>
      </c>
      <c r="B158">
        <v>2</v>
      </c>
    </row>
    <row r="159" spans="1:2">
      <c r="A159" s="117" t="s">
        <v>444</v>
      </c>
      <c r="B159">
        <v>1</v>
      </c>
    </row>
    <row r="160" spans="1:2">
      <c r="A160" s="117" t="s">
        <v>467</v>
      </c>
      <c r="B160">
        <v>1</v>
      </c>
    </row>
    <row r="161" spans="1:2">
      <c r="A161" s="116" t="s">
        <v>476</v>
      </c>
      <c r="B161">
        <v>1</v>
      </c>
    </row>
    <row r="162" spans="1:2">
      <c r="A162" s="117" t="s">
        <v>586</v>
      </c>
      <c r="B162">
        <v>1</v>
      </c>
    </row>
    <row r="163" spans="1:2">
      <c r="A163" s="116" t="s">
        <v>420</v>
      </c>
      <c r="B163">
        <v>5</v>
      </c>
    </row>
    <row r="164" spans="1:2">
      <c r="A164" s="117" t="s">
        <v>419</v>
      </c>
      <c r="B164">
        <v>2</v>
      </c>
    </row>
    <row r="165" spans="1:2">
      <c r="A165" s="117" t="s">
        <v>507</v>
      </c>
      <c r="B165">
        <v>2</v>
      </c>
    </row>
    <row r="166" spans="1:2">
      <c r="A166" s="117" t="s">
        <v>675</v>
      </c>
      <c r="B166">
        <v>1</v>
      </c>
    </row>
    <row r="167" spans="1:2">
      <c r="A167" s="116" t="s">
        <v>347</v>
      </c>
      <c r="B167">
        <v>1</v>
      </c>
    </row>
    <row r="168" spans="1:2">
      <c r="A168" s="117" t="s">
        <v>409</v>
      </c>
      <c r="B168">
        <v>1</v>
      </c>
    </row>
    <row r="169" spans="1:2">
      <c r="A169" s="116" t="s">
        <v>340</v>
      </c>
      <c r="B169">
        <v>19</v>
      </c>
    </row>
    <row r="170" spans="1:2">
      <c r="A170" s="117" t="s">
        <v>341</v>
      </c>
      <c r="B170">
        <v>2</v>
      </c>
    </row>
    <row r="171" spans="1:2">
      <c r="A171" s="117" t="s">
        <v>366</v>
      </c>
      <c r="B171">
        <v>1</v>
      </c>
    </row>
    <row r="172" spans="1:2">
      <c r="A172" s="117" t="s">
        <v>399</v>
      </c>
      <c r="B172">
        <v>2</v>
      </c>
    </row>
    <row r="173" spans="1:2">
      <c r="A173" s="117" t="s">
        <v>445</v>
      </c>
      <c r="B173">
        <v>1</v>
      </c>
    </row>
    <row r="174" spans="1:2">
      <c r="A174" s="117" t="s">
        <v>448</v>
      </c>
      <c r="B174">
        <v>1</v>
      </c>
    </row>
    <row r="175" spans="1:2">
      <c r="A175" s="117" t="s">
        <v>510</v>
      </c>
      <c r="B175">
        <v>1</v>
      </c>
    </row>
    <row r="176" spans="1:2">
      <c r="A176" s="117" t="s">
        <v>524</v>
      </c>
      <c r="B176">
        <v>2</v>
      </c>
    </row>
    <row r="177" spans="1:2">
      <c r="A177" s="117" t="s">
        <v>547</v>
      </c>
      <c r="B177">
        <v>1</v>
      </c>
    </row>
    <row r="178" spans="1:2">
      <c r="A178" s="117" t="s">
        <v>605</v>
      </c>
      <c r="B178">
        <v>2</v>
      </c>
    </row>
    <row r="179" spans="1:2">
      <c r="A179" s="117" t="s">
        <v>610</v>
      </c>
      <c r="B179">
        <v>2</v>
      </c>
    </row>
    <row r="180" spans="1:2">
      <c r="A180" s="117" t="s">
        <v>669</v>
      </c>
      <c r="B180">
        <v>1</v>
      </c>
    </row>
    <row r="181" spans="1:2">
      <c r="A181" s="117" t="s">
        <v>672</v>
      </c>
      <c r="B181">
        <v>3</v>
      </c>
    </row>
    <row r="182" spans="1:2">
      <c r="A182" s="116" t="s">
        <v>8</v>
      </c>
      <c r="B182">
        <v>9</v>
      </c>
    </row>
    <row r="183" spans="1:2">
      <c r="A183" s="117" t="s">
        <v>368</v>
      </c>
      <c r="B183">
        <v>1</v>
      </c>
    </row>
    <row r="184" spans="1:2">
      <c r="A184" s="117" t="s">
        <v>454</v>
      </c>
      <c r="B184">
        <v>1</v>
      </c>
    </row>
    <row r="185" spans="1:2">
      <c r="A185" s="117" t="s">
        <v>477</v>
      </c>
      <c r="B185">
        <v>1</v>
      </c>
    </row>
    <row r="186" spans="1:2">
      <c r="A186" s="117" t="s">
        <v>511</v>
      </c>
      <c r="B186">
        <v>1</v>
      </c>
    </row>
    <row r="187" spans="1:2">
      <c r="A187" s="117" t="s">
        <v>521</v>
      </c>
      <c r="B187">
        <v>1</v>
      </c>
    </row>
    <row r="188" spans="1:2">
      <c r="A188" s="117" t="s">
        <v>531</v>
      </c>
      <c r="B188">
        <v>1</v>
      </c>
    </row>
    <row r="189" spans="1:2">
      <c r="A189" s="117" t="s">
        <v>593</v>
      </c>
      <c r="B189">
        <v>1</v>
      </c>
    </row>
    <row r="190" spans="1:2">
      <c r="A190" s="117" t="s">
        <v>649</v>
      </c>
      <c r="B190">
        <v>1</v>
      </c>
    </row>
    <row r="191" spans="1:2">
      <c r="A191" s="117" t="s">
        <v>630</v>
      </c>
      <c r="B191">
        <v>1</v>
      </c>
    </row>
    <row r="192" spans="1:2">
      <c r="A192" s="116" t="s">
        <v>9</v>
      </c>
      <c r="B192">
        <v>7</v>
      </c>
    </row>
    <row r="193" spans="1:2">
      <c r="A193" s="117" t="s">
        <v>380</v>
      </c>
      <c r="B193">
        <v>2</v>
      </c>
    </row>
    <row r="194" spans="1:2">
      <c r="A194" s="117" t="s">
        <v>412</v>
      </c>
      <c r="B194">
        <v>1</v>
      </c>
    </row>
    <row r="195" spans="1:2">
      <c r="A195" s="117" t="s">
        <v>564</v>
      </c>
      <c r="B195">
        <v>3</v>
      </c>
    </row>
    <row r="196" spans="1:2">
      <c r="A196" s="117" t="s">
        <v>590</v>
      </c>
      <c r="B196">
        <v>1</v>
      </c>
    </row>
    <row r="197" spans="1:2">
      <c r="A197" s="116" t="s">
        <v>193</v>
      </c>
      <c r="B197">
        <v>8</v>
      </c>
    </row>
    <row r="198" spans="1:2">
      <c r="A198" s="117" t="s">
        <v>650</v>
      </c>
      <c r="B198">
        <v>8</v>
      </c>
    </row>
    <row r="199" spans="1:2">
      <c r="A199" s="116" t="s">
        <v>10</v>
      </c>
      <c r="B199">
        <v>9</v>
      </c>
    </row>
    <row r="200" spans="1:2">
      <c r="A200" s="117" t="s">
        <v>438</v>
      </c>
      <c r="B200">
        <v>1</v>
      </c>
    </row>
    <row r="201" spans="1:2">
      <c r="A201" s="117" t="s">
        <v>439</v>
      </c>
      <c r="B201">
        <v>2</v>
      </c>
    </row>
    <row r="202" spans="1:2">
      <c r="A202" s="117" t="s">
        <v>446</v>
      </c>
      <c r="B202">
        <v>6</v>
      </c>
    </row>
    <row r="203" spans="1:2">
      <c r="A203" s="116" t="s">
        <v>328</v>
      </c>
      <c r="B203">
        <v>2</v>
      </c>
    </row>
    <row r="204" spans="1:2">
      <c r="A204" s="117" t="s">
        <v>495</v>
      </c>
      <c r="B204">
        <v>1</v>
      </c>
    </row>
    <row r="205" spans="1:2">
      <c r="A205" s="117" t="s">
        <v>572</v>
      </c>
      <c r="B205">
        <v>1</v>
      </c>
    </row>
    <row r="206" spans="1:2">
      <c r="A206" s="116" t="s">
        <v>161</v>
      </c>
      <c r="B206">
        <v>3</v>
      </c>
    </row>
    <row r="207" spans="1:2">
      <c r="A207" s="117" t="s">
        <v>549</v>
      </c>
      <c r="B207">
        <v>3</v>
      </c>
    </row>
    <row r="208" spans="1:2">
      <c r="A208" s="116" t="s">
        <v>430</v>
      </c>
      <c r="B208">
        <v>4</v>
      </c>
    </row>
    <row r="209" spans="1:2">
      <c r="A209" s="117" t="s">
        <v>429</v>
      </c>
      <c r="B209">
        <v>4</v>
      </c>
    </row>
    <row r="210" spans="1:2">
      <c r="A210" s="116" t="s">
        <v>349</v>
      </c>
      <c r="B210">
        <v>4</v>
      </c>
    </row>
    <row r="211" spans="1:2">
      <c r="A211" s="117" t="s">
        <v>534</v>
      </c>
      <c r="B211">
        <v>4</v>
      </c>
    </row>
    <row r="212" spans="1:2">
      <c r="A212" s="116" t="s">
        <v>487</v>
      </c>
      <c r="B212">
        <v>1</v>
      </c>
    </row>
    <row r="213" spans="1:2">
      <c r="A213" s="117" t="s">
        <v>486</v>
      </c>
      <c r="B213">
        <v>1</v>
      </c>
    </row>
    <row r="214" spans="1:2">
      <c r="A214" s="116" t="s">
        <v>11</v>
      </c>
      <c r="B214">
        <v>11</v>
      </c>
    </row>
    <row r="215" spans="1:2">
      <c r="A215" s="117" t="s">
        <v>391</v>
      </c>
      <c r="B215">
        <v>2</v>
      </c>
    </row>
    <row r="216" spans="1:2">
      <c r="A216" s="117" t="s">
        <v>459</v>
      </c>
      <c r="B216">
        <v>1</v>
      </c>
    </row>
    <row r="217" spans="1:2">
      <c r="A217" s="117" t="s">
        <v>513</v>
      </c>
      <c r="B217">
        <v>1</v>
      </c>
    </row>
    <row r="218" spans="1:2">
      <c r="A218" s="117" t="s">
        <v>528</v>
      </c>
      <c r="B218">
        <v>1</v>
      </c>
    </row>
    <row r="219" spans="1:2">
      <c r="A219" s="117" t="s">
        <v>530</v>
      </c>
      <c r="B219">
        <v>1</v>
      </c>
    </row>
    <row r="220" spans="1:2">
      <c r="A220" s="117" t="s">
        <v>551</v>
      </c>
      <c r="B220">
        <v>1</v>
      </c>
    </row>
    <row r="221" spans="1:2">
      <c r="A221" s="117" t="s">
        <v>581</v>
      </c>
      <c r="B221">
        <v>1</v>
      </c>
    </row>
    <row r="222" spans="1:2">
      <c r="A222" s="117" t="s">
        <v>589</v>
      </c>
      <c r="B222">
        <v>1</v>
      </c>
    </row>
    <row r="223" spans="1:2">
      <c r="A223" s="117" t="s">
        <v>643</v>
      </c>
      <c r="B223">
        <v>1</v>
      </c>
    </row>
    <row r="224" spans="1:2">
      <c r="A224" s="117" t="s">
        <v>647</v>
      </c>
      <c r="B224">
        <v>1</v>
      </c>
    </row>
    <row r="225" spans="1:2">
      <c r="A225" s="116" t="s">
        <v>469</v>
      </c>
      <c r="B225">
        <v>8</v>
      </c>
    </row>
    <row r="226" spans="1:2">
      <c r="A226" s="117" t="s">
        <v>468</v>
      </c>
      <c r="B226">
        <v>4</v>
      </c>
    </row>
    <row r="227" spans="1:2">
      <c r="A227" s="117" t="s">
        <v>472</v>
      </c>
      <c r="B227">
        <v>4</v>
      </c>
    </row>
    <row r="228" spans="1:2">
      <c r="A228" s="116" t="s">
        <v>12</v>
      </c>
      <c r="B228">
        <v>11</v>
      </c>
    </row>
    <row r="229" spans="1:2">
      <c r="A229" s="117" t="s">
        <v>680</v>
      </c>
      <c r="B229">
        <v>11</v>
      </c>
    </row>
    <row r="230" spans="1:2">
      <c r="A230" s="116" t="s">
        <v>466</v>
      </c>
      <c r="B230">
        <v>3</v>
      </c>
    </row>
    <row r="231" spans="1:2">
      <c r="A231" s="117" t="s">
        <v>465</v>
      </c>
      <c r="B231">
        <v>3</v>
      </c>
    </row>
    <row r="232" spans="1:2">
      <c r="A232" s="116" t="s">
        <v>327</v>
      </c>
      <c r="B232">
        <v>1</v>
      </c>
    </row>
    <row r="233" spans="1:2">
      <c r="A233" s="117" t="s">
        <v>431</v>
      </c>
      <c r="B233">
        <v>1</v>
      </c>
    </row>
    <row r="234" spans="1:2">
      <c r="A234" s="116" t="s">
        <v>692</v>
      </c>
      <c r="B234">
        <v>3</v>
      </c>
    </row>
    <row r="235" spans="1:2">
      <c r="A235" s="117" t="s">
        <v>691</v>
      </c>
      <c r="B235">
        <v>2</v>
      </c>
    </row>
    <row r="236" spans="1:2">
      <c r="A236" s="117" t="s">
        <v>693</v>
      </c>
      <c r="B236">
        <v>1</v>
      </c>
    </row>
    <row r="237" spans="1:2">
      <c r="A237" s="116" t="s">
        <v>540</v>
      </c>
      <c r="B237">
        <v>3</v>
      </c>
    </row>
    <row r="238" spans="1:2">
      <c r="A238" s="117" t="s">
        <v>539</v>
      </c>
      <c r="B238">
        <v>3</v>
      </c>
    </row>
    <row r="239" spans="1:2">
      <c r="A239" s="116" t="s">
        <v>402</v>
      </c>
      <c r="B239">
        <v>1</v>
      </c>
    </row>
    <row r="240" spans="1:2">
      <c r="A240" s="117" t="s">
        <v>401</v>
      </c>
      <c r="B240">
        <v>1</v>
      </c>
    </row>
    <row r="241" spans="1:2">
      <c r="A241" s="116" t="s">
        <v>125</v>
      </c>
      <c r="B241">
        <v>5</v>
      </c>
    </row>
    <row r="242" spans="1:2">
      <c r="A242" s="117" t="s">
        <v>449</v>
      </c>
      <c r="B242">
        <v>1</v>
      </c>
    </row>
    <row r="243" spans="1:2">
      <c r="A243" s="117" t="s">
        <v>464</v>
      </c>
      <c r="B243">
        <v>2</v>
      </c>
    </row>
    <row r="244" spans="1:2">
      <c r="A244" s="117" t="s">
        <v>625</v>
      </c>
      <c r="B244">
        <v>1</v>
      </c>
    </row>
    <row r="245" spans="1:2">
      <c r="A245" s="117" t="s">
        <v>255</v>
      </c>
      <c r="B245">
        <v>1</v>
      </c>
    </row>
    <row r="246" spans="1:2">
      <c r="A246" s="116" t="s">
        <v>15</v>
      </c>
      <c r="B246">
        <v>7</v>
      </c>
    </row>
    <row r="247" spans="1:2">
      <c r="A247" s="117" t="s">
        <v>374</v>
      </c>
      <c r="B247">
        <v>2</v>
      </c>
    </row>
    <row r="248" spans="1:2">
      <c r="A248" s="117" t="s">
        <v>375</v>
      </c>
      <c r="B248">
        <v>1</v>
      </c>
    </row>
    <row r="249" spans="1:2">
      <c r="A249" s="117" t="s">
        <v>410</v>
      </c>
      <c r="B249">
        <v>1</v>
      </c>
    </row>
    <row r="250" spans="1:2">
      <c r="A250" s="117" t="s">
        <v>538</v>
      </c>
      <c r="B250">
        <v>1</v>
      </c>
    </row>
    <row r="251" spans="1:2">
      <c r="A251" s="117" t="s">
        <v>594</v>
      </c>
      <c r="B251">
        <v>2</v>
      </c>
    </row>
    <row r="252" spans="1:2">
      <c r="A252" s="116" t="s">
        <v>339</v>
      </c>
      <c r="B252">
        <v>12</v>
      </c>
    </row>
    <row r="253" spans="1:2">
      <c r="A253" s="117" t="s">
        <v>461</v>
      </c>
      <c r="B253">
        <v>2</v>
      </c>
    </row>
    <row r="254" spans="1:2">
      <c r="A254" s="117" t="s">
        <v>493</v>
      </c>
      <c r="B254">
        <v>2</v>
      </c>
    </row>
    <row r="255" spans="1:2">
      <c r="A255" s="117" t="s">
        <v>574</v>
      </c>
      <c r="B255">
        <v>2</v>
      </c>
    </row>
    <row r="256" spans="1:2">
      <c r="A256" s="117" t="s">
        <v>608</v>
      </c>
      <c r="B256">
        <v>2</v>
      </c>
    </row>
    <row r="257" spans="1:2">
      <c r="A257" s="117" t="s">
        <v>648</v>
      </c>
      <c r="B257">
        <v>2</v>
      </c>
    </row>
    <row r="258" spans="1:2">
      <c r="A258" s="117" t="s">
        <v>688</v>
      </c>
      <c r="B258">
        <v>2</v>
      </c>
    </row>
    <row r="259" spans="1:2">
      <c r="A259" s="116" t="s">
        <v>123</v>
      </c>
      <c r="B259">
        <v>2</v>
      </c>
    </row>
    <row r="260" spans="1:2">
      <c r="A260" s="117" t="s">
        <v>373</v>
      </c>
      <c r="B260">
        <v>1</v>
      </c>
    </row>
    <row r="261" spans="1:2">
      <c r="A261" s="117" t="s">
        <v>381</v>
      </c>
      <c r="B261">
        <v>1</v>
      </c>
    </row>
    <row r="262" spans="1:2">
      <c r="A262" s="116" t="s">
        <v>110</v>
      </c>
      <c r="B262">
        <v>4</v>
      </c>
    </row>
    <row r="263" spans="1:2">
      <c r="A263" s="117" t="s">
        <v>436</v>
      </c>
      <c r="B263">
        <v>3</v>
      </c>
    </row>
    <row r="264" spans="1:2">
      <c r="A264" s="117" t="s">
        <v>671</v>
      </c>
      <c r="B264">
        <v>1</v>
      </c>
    </row>
    <row r="265" spans="1:2">
      <c r="A265" s="116" t="s">
        <v>70</v>
      </c>
      <c r="B265">
        <v>11</v>
      </c>
    </row>
    <row r="266" spans="1:2">
      <c r="A266" s="117" t="s">
        <v>408</v>
      </c>
      <c r="B266">
        <v>2</v>
      </c>
    </row>
    <row r="267" spans="1:2">
      <c r="A267" s="117" t="s">
        <v>451</v>
      </c>
      <c r="B267">
        <v>3</v>
      </c>
    </row>
    <row r="268" spans="1:2">
      <c r="A268" s="117" t="s">
        <v>555</v>
      </c>
      <c r="B268">
        <v>6</v>
      </c>
    </row>
    <row r="269" spans="1:2">
      <c r="A269" s="116" t="s">
        <v>16</v>
      </c>
      <c r="B269">
        <v>7</v>
      </c>
    </row>
    <row r="270" spans="1:2">
      <c r="A270" s="117" t="s">
        <v>343</v>
      </c>
      <c r="B270">
        <v>1</v>
      </c>
    </row>
    <row r="271" spans="1:2">
      <c r="A271" s="117" t="s">
        <v>462</v>
      </c>
      <c r="B271">
        <v>1</v>
      </c>
    </row>
    <row r="272" spans="1:2">
      <c r="A272" s="117" t="s">
        <v>482</v>
      </c>
      <c r="B272">
        <v>1</v>
      </c>
    </row>
    <row r="273" spans="1:2">
      <c r="A273" s="117" t="s">
        <v>529</v>
      </c>
      <c r="B273">
        <v>2</v>
      </c>
    </row>
    <row r="274" spans="1:2">
      <c r="A274" s="117" t="s">
        <v>686</v>
      </c>
      <c r="B274">
        <v>1</v>
      </c>
    </row>
    <row r="275" spans="1:2">
      <c r="A275" s="117" t="s">
        <v>687</v>
      </c>
      <c r="B275">
        <v>1</v>
      </c>
    </row>
    <row r="276" spans="1:2">
      <c r="A276" s="116" t="s">
        <v>325</v>
      </c>
      <c r="B276">
        <v>2</v>
      </c>
    </row>
    <row r="277" spans="1:2">
      <c r="A277" s="117" t="s">
        <v>548</v>
      </c>
      <c r="B277">
        <v>1</v>
      </c>
    </row>
    <row r="278" spans="1:2">
      <c r="A278" s="117" t="s">
        <v>613</v>
      </c>
      <c r="B278">
        <v>1</v>
      </c>
    </row>
    <row r="279" spans="1:2">
      <c r="A279" s="116" t="s">
        <v>17</v>
      </c>
      <c r="B279">
        <v>2</v>
      </c>
    </row>
    <row r="280" spans="1:2">
      <c r="A280" s="117" t="s">
        <v>485</v>
      </c>
      <c r="B280">
        <v>1</v>
      </c>
    </row>
    <row r="281" spans="1:2">
      <c r="A281" s="117" t="s">
        <v>646</v>
      </c>
      <c r="B281">
        <v>1</v>
      </c>
    </row>
    <row r="282" spans="1:2">
      <c r="A282" s="116" t="s">
        <v>344</v>
      </c>
      <c r="B282">
        <v>1</v>
      </c>
    </row>
    <row r="283" spans="1:2">
      <c r="A283" s="117" t="s">
        <v>517</v>
      </c>
      <c r="B283">
        <v>1</v>
      </c>
    </row>
    <row r="284" spans="1:2">
      <c r="A284" s="116" t="s">
        <v>19</v>
      </c>
      <c r="B284">
        <v>22</v>
      </c>
    </row>
    <row r="285" spans="1:2">
      <c r="A285" s="117" t="s">
        <v>479</v>
      </c>
      <c r="B285">
        <v>4</v>
      </c>
    </row>
    <row r="286" spans="1:2">
      <c r="A286" s="117" t="s">
        <v>623</v>
      </c>
      <c r="B286">
        <v>5</v>
      </c>
    </row>
    <row r="287" spans="1:2">
      <c r="A287" s="117" t="s">
        <v>624</v>
      </c>
      <c r="B287">
        <v>5</v>
      </c>
    </row>
    <row r="288" spans="1:2">
      <c r="A288" s="117" t="s">
        <v>685</v>
      </c>
      <c r="B288">
        <v>8</v>
      </c>
    </row>
    <row r="289" spans="1:2">
      <c r="A289" s="116" t="s">
        <v>102</v>
      </c>
      <c r="B289">
        <v>5</v>
      </c>
    </row>
    <row r="290" spans="1:2">
      <c r="A290" s="117" t="s">
        <v>428</v>
      </c>
      <c r="B290">
        <v>1</v>
      </c>
    </row>
    <row r="291" spans="1:2">
      <c r="A291" s="117" t="s">
        <v>607</v>
      </c>
      <c r="B291">
        <v>2</v>
      </c>
    </row>
    <row r="292" spans="1:2">
      <c r="A292" s="117" t="s">
        <v>658</v>
      </c>
      <c r="B292">
        <v>2</v>
      </c>
    </row>
    <row r="293" spans="1:2">
      <c r="A293" s="116" t="s">
        <v>359</v>
      </c>
      <c r="B293">
        <v>89</v>
      </c>
    </row>
    <row r="294" spans="1:2">
      <c r="A294" s="117" t="s">
        <v>442</v>
      </c>
      <c r="B294">
        <v>11</v>
      </c>
    </row>
    <row r="295" spans="1:2">
      <c r="A295" s="117" t="s">
        <v>478</v>
      </c>
      <c r="B295">
        <v>4</v>
      </c>
    </row>
    <row r="296" spans="1:2">
      <c r="A296" s="117" t="s">
        <v>488</v>
      </c>
      <c r="B296">
        <v>14</v>
      </c>
    </row>
    <row r="297" spans="1:2">
      <c r="A297" s="117" t="s">
        <v>525</v>
      </c>
      <c r="B297">
        <v>8</v>
      </c>
    </row>
    <row r="298" spans="1:2">
      <c r="A298" s="117" t="s">
        <v>526</v>
      </c>
      <c r="B298">
        <v>9</v>
      </c>
    </row>
    <row r="299" spans="1:2">
      <c r="A299" s="117" t="s">
        <v>358</v>
      </c>
      <c r="B299">
        <v>1</v>
      </c>
    </row>
    <row r="300" spans="1:2">
      <c r="A300" s="117" t="s">
        <v>575</v>
      </c>
      <c r="B300">
        <v>11</v>
      </c>
    </row>
    <row r="301" spans="1:2">
      <c r="A301" s="117" t="s">
        <v>583</v>
      </c>
      <c r="B301">
        <v>1</v>
      </c>
    </row>
    <row r="302" spans="1:2">
      <c r="A302" s="117" t="s">
        <v>582</v>
      </c>
      <c r="B302">
        <v>3</v>
      </c>
    </row>
    <row r="303" spans="1:2">
      <c r="A303" s="117" t="s">
        <v>604</v>
      </c>
      <c r="B303">
        <v>3</v>
      </c>
    </row>
    <row r="304" spans="1:2">
      <c r="A304" s="117" t="s">
        <v>626</v>
      </c>
      <c r="B304">
        <v>2</v>
      </c>
    </row>
    <row r="305" spans="1:2">
      <c r="A305" s="117" t="s">
        <v>576</v>
      </c>
      <c r="B305">
        <v>1</v>
      </c>
    </row>
    <row r="306" spans="1:2">
      <c r="A306" s="117" t="s">
        <v>679</v>
      </c>
      <c r="B306">
        <v>6</v>
      </c>
    </row>
    <row r="307" spans="1:2">
      <c r="A307" s="117" t="s">
        <v>689</v>
      </c>
      <c r="B307">
        <v>14</v>
      </c>
    </row>
    <row r="308" spans="1:2">
      <c r="A308" s="117" t="s">
        <v>690</v>
      </c>
      <c r="B308">
        <v>1</v>
      </c>
    </row>
    <row r="309" spans="1:2">
      <c r="A309" s="116" t="s">
        <v>350</v>
      </c>
      <c r="B309">
        <v>4</v>
      </c>
    </row>
    <row r="310" spans="1:2">
      <c r="A310" s="117" t="s">
        <v>365</v>
      </c>
      <c r="B310">
        <v>3</v>
      </c>
    </row>
    <row r="311" spans="1:2">
      <c r="A311" s="117" t="s">
        <v>369</v>
      </c>
      <c r="B311">
        <v>1</v>
      </c>
    </row>
    <row r="312" spans="1:2">
      <c r="A312" s="116" t="s">
        <v>326</v>
      </c>
      <c r="B312">
        <v>1</v>
      </c>
    </row>
    <row r="313" spans="1:2">
      <c r="A313" s="117" t="s">
        <v>544</v>
      </c>
      <c r="B313">
        <v>1</v>
      </c>
    </row>
    <row r="314" spans="1:2">
      <c r="A314" s="116" t="s">
        <v>388</v>
      </c>
      <c r="B314">
        <v>1</v>
      </c>
    </row>
    <row r="315" spans="1:2">
      <c r="A315" s="117" t="s">
        <v>389</v>
      </c>
      <c r="B315">
        <v>1</v>
      </c>
    </row>
    <row r="316" spans="1:2">
      <c r="A316" s="116" t="s">
        <v>682</v>
      </c>
      <c r="B316">
        <v>2</v>
      </c>
    </row>
    <row r="317" spans="1:2">
      <c r="A317" s="117" t="s">
        <v>681</v>
      </c>
      <c r="B317">
        <v>2</v>
      </c>
    </row>
    <row r="318" spans="1:2">
      <c r="A318" s="116" t="s">
        <v>151</v>
      </c>
      <c r="B318">
        <v>2</v>
      </c>
    </row>
    <row r="319" spans="1:2">
      <c r="A319" s="117" t="s">
        <v>546</v>
      </c>
      <c r="B319">
        <v>2</v>
      </c>
    </row>
    <row r="320" spans="1:2">
      <c r="A320" s="116" t="s">
        <v>133</v>
      </c>
      <c r="B320">
        <v>16</v>
      </c>
    </row>
    <row r="321" spans="1:2">
      <c r="A321" s="117" t="s">
        <v>400</v>
      </c>
      <c r="B321">
        <v>3</v>
      </c>
    </row>
    <row r="322" spans="1:2">
      <c r="A322" s="117" t="s">
        <v>432</v>
      </c>
      <c r="B322">
        <v>6</v>
      </c>
    </row>
    <row r="323" spans="1:2">
      <c r="A323" s="117" t="s">
        <v>498</v>
      </c>
      <c r="B323">
        <v>7</v>
      </c>
    </row>
    <row r="324" spans="1:2">
      <c r="A324" s="116" t="s">
        <v>115</v>
      </c>
      <c r="B324">
        <v>4</v>
      </c>
    </row>
    <row r="325" spans="1:2">
      <c r="A325" s="117" t="s">
        <v>364</v>
      </c>
      <c r="B325">
        <v>1</v>
      </c>
    </row>
    <row r="326" spans="1:2">
      <c r="A326" s="117" t="s">
        <v>403</v>
      </c>
      <c r="B326">
        <v>1</v>
      </c>
    </row>
    <row r="327" spans="1:2">
      <c r="A327" s="117" t="s">
        <v>560</v>
      </c>
      <c r="B327">
        <v>1</v>
      </c>
    </row>
    <row r="328" spans="1:2">
      <c r="A328" s="117" t="s">
        <v>566</v>
      </c>
      <c r="B328">
        <v>1</v>
      </c>
    </row>
    <row r="329" spans="1:2">
      <c r="A329" s="116" t="s">
        <v>635</v>
      </c>
      <c r="B329">
        <v>3</v>
      </c>
    </row>
    <row r="330" spans="1:2">
      <c r="A330" s="117" t="s">
        <v>636</v>
      </c>
      <c r="B330">
        <v>1</v>
      </c>
    </row>
    <row r="331" spans="1:2">
      <c r="A331" s="117" t="s">
        <v>663</v>
      </c>
      <c r="B331">
        <v>1</v>
      </c>
    </row>
    <row r="332" spans="1:2">
      <c r="A332" s="117" t="s">
        <v>683</v>
      </c>
      <c r="B332">
        <v>1</v>
      </c>
    </row>
    <row r="333" spans="1:2">
      <c r="A333" s="116" t="s">
        <v>348</v>
      </c>
      <c r="B333">
        <v>2</v>
      </c>
    </row>
    <row r="334" spans="1:2">
      <c r="A334" s="117" t="s">
        <v>502</v>
      </c>
      <c r="B334">
        <v>2</v>
      </c>
    </row>
    <row r="335" spans="1:2">
      <c r="A335" s="116" t="s">
        <v>612</v>
      </c>
      <c r="B335">
        <v>1</v>
      </c>
    </row>
    <row r="336" spans="1:2">
      <c r="A336" s="117" t="s">
        <v>611</v>
      </c>
      <c r="B336">
        <v>1</v>
      </c>
    </row>
    <row r="337" spans="1:2">
      <c r="A337" s="35">
        <v>1</v>
      </c>
      <c r="B337">
        <v>87</v>
      </c>
    </row>
    <row r="338" spans="1:2">
      <c r="A338" s="116" t="s">
        <v>100</v>
      </c>
      <c r="B338">
        <v>4</v>
      </c>
    </row>
    <row r="339" spans="1:2">
      <c r="A339" s="117" t="s">
        <v>573</v>
      </c>
      <c r="B339">
        <v>1</v>
      </c>
    </row>
    <row r="340" spans="1:2">
      <c r="A340" s="117" t="s">
        <v>644</v>
      </c>
      <c r="B340">
        <v>1</v>
      </c>
    </row>
    <row r="341" spans="1:2">
      <c r="A341" s="117" t="s">
        <v>668</v>
      </c>
      <c r="B341">
        <v>2</v>
      </c>
    </row>
    <row r="342" spans="1:2">
      <c r="A342" s="116" t="s">
        <v>324</v>
      </c>
      <c r="B342">
        <v>1</v>
      </c>
    </row>
    <row r="343" spans="1:2">
      <c r="A343" s="117" t="s">
        <v>664</v>
      </c>
      <c r="B343">
        <v>1</v>
      </c>
    </row>
    <row r="344" spans="1:2">
      <c r="A344" s="116" t="s">
        <v>129</v>
      </c>
      <c r="B344">
        <v>4</v>
      </c>
    </row>
    <row r="345" spans="1:2">
      <c r="A345" s="117" t="s">
        <v>606</v>
      </c>
      <c r="B345">
        <v>4</v>
      </c>
    </row>
    <row r="346" spans="1:2">
      <c r="A346" s="116" t="s">
        <v>116</v>
      </c>
      <c r="B346">
        <v>1</v>
      </c>
    </row>
    <row r="347" spans="1:2">
      <c r="A347" s="117" t="s">
        <v>569</v>
      </c>
      <c r="B347">
        <v>1</v>
      </c>
    </row>
    <row r="348" spans="1:2">
      <c r="A348" s="116" t="s">
        <v>275</v>
      </c>
      <c r="B348">
        <v>2</v>
      </c>
    </row>
    <row r="349" spans="1:2">
      <c r="A349" s="117" t="s">
        <v>392</v>
      </c>
      <c r="B349">
        <v>1</v>
      </c>
    </row>
    <row r="350" spans="1:2">
      <c r="A350" s="117" t="s">
        <v>535</v>
      </c>
      <c r="B350">
        <v>1</v>
      </c>
    </row>
    <row r="351" spans="1:2">
      <c r="A351" s="116" t="s">
        <v>333</v>
      </c>
      <c r="B351">
        <v>2</v>
      </c>
    </row>
    <row r="352" spans="1:2">
      <c r="A352" s="117" t="s">
        <v>656</v>
      </c>
      <c r="B352">
        <v>2</v>
      </c>
    </row>
    <row r="353" spans="1:2">
      <c r="A353" s="116" t="s">
        <v>130</v>
      </c>
      <c r="B353">
        <v>1</v>
      </c>
    </row>
    <row r="354" spans="1:2">
      <c r="A354" s="117" t="s">
        <v>601</v>
      </c>
      <c r="B354">
        <v>1</v>
      </c>
    </row>
    <row r="355" spans="1:2">
      <c r="A355" s="116" t="s">
        <v>175</v>
      </c>
      <c r="B355">
        <v>1</v>
      </c>
    </row>
    <row r="356" spans="1:2">
      <c r="A356" s="117" t="s">
        <v>377</v>
      </c>
      <c r="B356">
        <v>1</v>
      </c>
    </row>
    <row r="357" spans="1:2">
      <c r="A357" s="116" t="s">
        <v>334</v>
      </c>
      <c r="B357">
        <v>1</v>
      </c>
    </row>
    <row r="358" spans="1:2">
      <c r="A358" s="117" t="s">
        <v>602</v>
      </c>
      <c r="B358">
        <v>1</v>
      </c>
    </row>
    <row r="359" spans="1:2">
      <c r="A359" s="116" t="s">
        <v>666</v>
      </c>
      <c r="B359">
        <v>1</v>
      </c>
    </row>
    <row r="360" spans="1:2">
      <c r="A360" s="117" t="s">
        <v>665</v>
      </c>
      <c r="B360">
        <v>1</v>
      </c>
    </row>
    <row r="361" spans="1:2">
      <c r="A361" s="116" t="s">
        <v>332</v>
      </c>
      <c r="B361">
        <v>12</v>
      </c>
    </row>
    <row r="362" spans="1:2">
      <c r="A362" s="117" t="s">
        <v>543</v>
      </c>
      <c r="B362">
        <v>6</v>
      </c>
    </row>
    <row r="363" spans="1:2">
      <c r="A363" s="117" t="s">
        <v>596</v>
      </c>
      <c r="B363">
        <v>5</v>
      </c>
    </row>
    <row r="364" spans="1:2">
      <c r="A364" s="117" t="s">
        <v>597</v>
      </c>
      <c r="B364">
        <v>1</v>
      </c>
    </row>
    <row r="365" spans="1:2">
      <c r="A365" s="116" t="s">
        <v>187</v>
      </c>
      <c r="B365">
        <v>2</v>
      </c>
    </row>
    <row r="366" spans="1:2">
      <c r="A366" s="117" t="s">
        <v>545</v>
      </c>
      <c r="B366">
        <v>1</v>
      </c>
    </row>
    <row r="367" spans="1:2">
      <c r="A367" s="117" t="s">
        <v>659</v>
      </c>
      <c r="B367">
        <v>1</v>
      </c>
    </row>
    <row r="368" spans="1:2">
      <c r="A368" s="116" t="s">
        <v>347</v>
      </c>
      <c r="B368">
        <v>2</v>
      </c>
    </row>
    <row r="369" spans="1:2">
      <c r="A369" s="117" t="s">
        <v>559</v>
      </c>
      <c r="B369">
        <v>2</v>
      </c>
    </row>
    <row r="370" spans="1:2">
      <c r="A370" s="116" t="s">
        <v>340</v>
      </c>
      <c r="B370">
        <v>4</v>
      </c>
    </row>
    <row r="371" spans="1:2">
      <c r="A371" s="117" t="s">
        <v>628</v>
      </c>
      <c r="B371">
        <v>3</v>
      </c>
    </row>
    <row r="372" spans="1:2">
      <c r="A372" s="117" t="s">
        <v>670</v>
      </c>
      <c r="B372">
        <v>1</v>
      </c>
    </row>
    <row r="373" spans="1:2">
      <c r="A373" s="116" t="s">
        <v>434</v>
      </c>
      <c r="B373">
        <v>1</v>
      </c>
    </row>
    <row r="374" spans="1:2">
      <c r="A374" s="117" t="s">
        <v>433</v>
      </c>
      <c r="B374">
        <v>1</v>
      </c>
    </row>
    <row r="375" spans="1:2">
      <c r="A375" s="116" t="s">
        <v>8</v>
      </c>
      <c r="B375">
        <v>3</v>
      </c>
    </row>
    <row r="376" spans="1:2">
      <c r="A376" s="117" t="s">
        <v>553</v>
      </c>
      <c r="B376">
        <v>1</v>
      </c>
    </row>
    <row r="377" spans="1:2">
      <c r="A377" s="117" t="s">
        <v>629</v>
      </c>
      <c r="B377">
        <v>1</v>
      </c>
    </row>
    <row r="378" spans="1:2">
      <c r="A378" s="117" t="s">
        <v>667</v>
      </c>
      <c r="B378">
        <v>1</v>
      </c>
    </row>
    <row r="379" spans="1:2">
      <c r="A379" s="116" t="s">
        <v>328</v>
      </c>
      <c r="B379">
        <v>3</v>
      </c>
    </row>
    <row r="380" spans="1:2">
      <c r="A380" s="117" t="s">
        <v>496</v>
      </c>
      <c r="B380">
        <v>1</v>
      </c>
    </row>
    <row r="381" spans="1:2">
      <c r="A381" s="117" t="s">
        <v>514</v>
      </c>
      <c r="B381">
        <v>1</v>
      </c>
    </row>
    <row r="382" spans="1:2">
      <c r="A382" s="117" t="s">
        <v>673</v>
      </c>
      <c r="B382">
        <v>1</v>
      </c>
    </row>
    <row r="383" spans="1:2">
      <c r="A383" s="116" t="s">
        <v>430</v>
      </c>
      <c r="B383">
        <v>1</v>
      </c>
    </row>
    <row r="384" spans="1:2">
      <c r="A384" s="117" t="s">
        <v>598</v>
      </c>
      <c r="B384">
        <v>1</v>
      </c>
    </row>
    <row r="385" spans="1:2">
      <c r="A385" s="116" t="s">
        <v>11</v>
      </c>
      <c r="B385">
        <v>9</v>
      </c>
    </row>
    <row r="386" spans="1:2">
      <c r="A386" s="117" t="s">
        <v>382</v>
      </c>
      <c r="B386">
        <v>1</v>
      </c>
    </row>
    <row r="387" spans="1:2">
      <c r="A387" s="117" t="s">
        <v>441</v>
      </c>
      <c r="B387">
        <v>1</v>
      </c>
    </row>
    <row r="388" spans="1:2">
      <c r="A388" s="117" t="s">
        <v>456</v>
      </c>
      <c r="B388">
        <v>1</v>
      </c>
    </row>
    <row r="389" spans="1:2">
      <c r="A389" s="117" t="s">
        <v>483</v>
      </c>
      <c r="B389">
        <v>1</v>
      </c>
    </row>
    <row r="390" spans="1:2">
      <c r="A390" s="117" t="s">
        <v>519</v>
      </c>
      <c r="B390">
        <v>1</v>
      </c>
    </row>
    <row r="391" spans="1:2">
      <c r="A391" s="117" t="s">
        <v>527</v>
      </c>
      <c r="B391">
        <v>1</v>
      </c>
    </row>
    <row r="392" spans="1:2">
      <c r="A392" s="117" t="s">
        <v>654</v>
      </c>
      <c r="B392">
        <v>1</v>
      </c>
    </row>
    <row r="393" spans="1:2">
      <c r="A393" s="117" t="s">
        <v>657</v>
      </c>
      <c r="B393">
        <v>1</v>
      </c>
    </row>
    <row r="394" spans="1:2">
      <c r="A394" s="117" t="s">
        <v>655</v>
      </c>
      <c r="B394">
        <v>1</v>
      </c>
    </row>
    <row r="395" spans="1:2">
      <c r="A395" s="116" t="s">
        <v>616</v>
      </c>
      <c r="B395">
        <v>3</v>
      </c>
    </row>
    <row r="396" spans="1:2">
      <c r="A396" s="117" t="s">
        <v>617</v>
      </c>
      <c r="B396">
        <v>3</v>
      </c>
    </row>
    <row r="397" spans="1:2">
      <c r="A397" s="116" t="s">
        <v>335</v>
      </c>
      <c r="B397">
        <v>1</v>
      </c>
    </row>
    <row r="398" spans="1:2">
      <c r="A398" s="117" t="s">
        <v>696</v>
      </c>
      <c r="B398">
        <v>1</v>
      </c>
    </row>
    <row r="399" spans="1:2">
      <c r="A399" s="116" t="s">
        <v>125</v>
      </c>
      <c r="B399">
        <v>3</v>
      </c>
    </row>
    <row r="400" spans="1:2">
      <c r="A400" s="117" t="s">
        <v>395</v>
      </c>
      <c r="B400">
        <v>1</v>
      </c>
    </row>
    <row r="401" spans="1:2">
      <c r="A401" s="117" t="s">
        <v>660</v>
      </c>
      <c r="B401">
        <v>2</v>
      </c>
    </row>
    <row r="402" spans="1:2">
      <c r="A402" s="116" t="s">
        <v>346</v>
      </c>
      <c r="B402">
        <v>2</v>
      </c>
    </row>
    <row r="403" spans="1:2">
      <c r="A403" s="117" t="s">
        <v>614</v>
      </c>
      <c r="B403">
        <v>2</v>
      </c>
    </row>
    <row r="404" spans="1:2">
      <c r="A404" s="116" t="s">
        <v>16</v>
      </c>
      <c r="B404">
        <v>3</v>
      </c>
    </row>
    <row r="405" spans="1:2">
      <c r="A405" s="117" t="s">
        <v>563</v>
      </c>
      <c r="B405">
        <v>1</v>
      </c>
    </row>
    <row r="406" spans="1:2">
      <c r="A406" s="117" t="s">
        <v>562</v>
      </c>
      <c r="B406">
        <v>1</v>
      </c>
    </row>
    <row r="407" spans="1:2">
      <c r="A407" s="117" t="s">
        <v>592</v>
      </c>
      <c r="B407">
        <v>1</v>
      </c>
    </row>
    <row r="408" spans="1:2">
      <c r="A408" s="116" t="s">
        <v>619</v>
      </c>
      <c r="B408">
        <v>1</v>
      </c>
    </row>
    <row r="409" spans="1:2">
      <c r="A409" s="117" t="s">
        <v>618</v>
      </c>
      <c r="B409">
        <v>1</v>
      </c>
    </row>
    <row r="410" spans="1:2">
      <c r="A410" s="116" t="s">
        <v>18</v>
      </c>
      <c r="B410">
        <v>2</v>
      </c>
    </row>
    <row r="411" spans="1:2">
      <c r="A411" s="117" t="s">
        <v>406</v>
      </c>
      <c r="B411">
        <v>2</v>
      </c>
    </row>
    <row r="412" spans="1:2">
      <c r="A412" s="116" t="s">
        <v>359</v>
      </c>
      <c r="B412">
        <v>10</v>
      </c>
    </row>
    <row r="413" spans="1:2">
      <c r="A413" s="117" t="s">
        <v>488</v>
      </c>
      <c r="B413">
        <v>1</v>
      </c>
    </row>
    <row r="414" spans="1:2">
      <c r="A414" s="117" t="s">
        <v>626</v>
      </c>
      <c r="B414">
        <v>9</v>
      </c>
    </row>
    <row r="415" spans="1:2">
      <c r="A415" s="116" t="s">
        <v>115</v>
      </c>
      <c r="B415">
        <v>3</v>
      </c>
    </row>
    <row r="416" spans="1:2">
      <c r="A416" s="117" t="s">
        <v>379</v>
      </c>
      <c r="B416">
        <v>1</v>
      </c>
    </row>
    <row r="417" spans="1:2">
      <c r="A417" s="117" t="s">
        <v>415</v>
      </c>
      <c r="B417">
        <v>2</v>
      </c>
    </row>
    <row r="418" spans="1:2">
      <c r="A418" s="116" t="s">
        <v>635</v>
      </c>
      <c r="B418">
        <v>2</v>
      </c>
    </row>
    <row r="419" spans="1:2">
      <c r="A419" s="117" t="s">
        <v>634</v>
      </c>
      <c r="B419">
        <v>2</v>
      </c>
    </row>
    <row r="420" spans="1:2">
      <c r="A420" s="116" t="s">
        <v>662</v>
      </c>
      <c r="B420">
        <v>2</v>
      </c>
    </row>
    <row r="421" spans="1:2">
      <c r="A421" s="117" t="s">
        <v>661</v>
      </c>
      <c r="B421">
        <v>2</v>
      </c>
    </row>
    <row r="422" spans="1:2">
      <c r="A422" s="35">
        <v>2</v>
      </c>
      <c r="B422">
        <v>21</v>
      </c>
    </row>
    <row r="423" spans="1:2">
      <c r="A423" s="116" t="s">
        <v>304</v>
      </c>
      <c r="B423">
        <v>2</v>
      </c>
    </row>
    <row r="424" spans="1:2">
      <c r="A424" s="117" t="s">
        <v>588</v>
      </c>
      <c r="B424">
        <v>2</v>
      </c>
    </row>
    <row r="425" spans="1:2">
      <c r="A425" s="116" t="s">
        <v>3</v>
      </c>
      <c r="B425">
        <v>2</v>
      </c>
    </row>
    <row r="426" spans="1:2">
      <c r="A426" s="117" t="s">
        <v>532</v>
      </c>
      <c r="B426">
        <v>2</v>
      </c>
    </row>
    <row r="427" spans="1:2">
      <c r="A427" s="116" t="s">
        <v>279</v>
      </c>
      <c r="B427">
        <v>1</v>
      </c>
    </row>
    <row r="428" spans="1:2">
      <c r="A428" s="117" t="s">
        <v>453</v>
      </c>
      <c r="B428">
        <v>1</v>
      </c>
    </row>
    <row r="429" spans="1:2">
      <c r="A429" s="116" t="s">
        <v>100</v>
      </c>
      <c r="B429">
        <v>2</v>
      </c>
    </row>
    <row r="430" spans="1:2">
      <c r="A430" s="117" t="s">
        <v>484</v>
      </c>
      <c r="B430">
        <v>2</v>
      </c>
    </row>
    <row r="431" spans="1:2">
      <c r="A431" s="116" t="s">
        <v>333</v>
      </c>
      <c r="B431">
        <v>1</v>
      </c>
    </row>
    <row r="432" spans="1:2">
      <c r="A432" s="117" t="s">
        <v>396</v>
      </c>
      <c r="B432">
        <v>1</v>
      </c>
    </row>
    <row r="433" spans="1:2">
      <c r="A433" s="116" t="s">
        <v>175</v>
      </c>
      <c r="B433">
        <v>1</v>
      </c>
    </row>
    <row r="434" spans="1:2">
      <c r="A434" s="117" t="s">
        <v>506</v>
      </c>
      <c r="B434">
        <v>1</v>
      </c>
    </row>
    <row r="435" spans="1:2">
      <c r="A435" s="116" t="s">
        <v>8</v>
      </c>
      <c r="B435">
        <v>1</v>
      </c>
    </row>
    <row r="436" spans="1:2">
      <c r="A436" s="117" t="s">
        <v>674</v>
      </c>
      <c r="B436">
        <v>1</v>
      </c>
    </row>
    <row r="437" spans="1:2">
      <c r="A437" s="116" t="s">
        <v>9</v>
      </c>
      <c r="B437">
        <v>1</v>
      </c>
    </row>
    <row r="438" spans="1:2">
      <c r="A438" s="117" t="s">
        <v>564</v>
      </c>
      <c r="B438">
        <v>1</v>
      </c>
    </row>
    <row r="439" spans="1:2">
      <c r="A439" s="116" t="s">
        <v>328</v>
      </c>
      <c r="B439">
        <v>2</v>
      </c>
    </row>
    <row r="440" spans="1:2">
      <c r="A440" s="117" t="s">
        <v>499</v>
      </c>
      <c r="B440">
        <v>1</v>
      </c>
    </row>
    <row r="441" spans="1:2">
      <c r="A441" s="117" t="s">
        <v>500</v>
      </c>
      <c r="B441">
        <v>1</v>
      </c>
    </row>
    <row r="442" spans="1:2">
      <c r="A442" s="116" t="s">
        <v>301</v>
      </c>
      <c r="B442">
        <v>1</v>
      </c>
    </row>
    <row r="443" spans="1:2">
      <c r="A443" s="117" t="s">
        <v>390</v>
      </c>
      <c r="B443">
        <v>1</v>
      </c>
    </row>
    <row r="444" spans="1:2">
      <c r="A444" s="116" t="s">
        <v>327</v>
      </c>
      <c r="B444">
        <v>1</v>
      </c>
    </row>
    <row r="445" spans="1:2">
      <c r="A445" s="117" t="s">
        <v>492</v>
      </c>
      <c r="B445">
        <v>1</v>
      </c>
    </row>
    <row r="446" spans="1:2">
      <c r="A446" s="116" t="s">
        <v>540</v>
      </c>
      <c r="B446">
        <v>2</v>
      </c>
    </row>
    <row r="447" spans="1:2">
      <c r="A447" s="117" t="s">
        <v>542</v>
      </c>
      <c r="B447">
        <v>2</v>
      </c>
    </row>
    <row r="448" spans="1:2">
      <c r="A448" s="116" t="s">
        <v>402</v>
      </c>
      <c r="B448">
        <v>1</v>
      </c>
    </row>
    <row r="449" spans="1:2">
      <c r="A449" s="117" t="s">
        <v>587</v>
      </c>
      <c r="B449">
        <v>1</v>
      </c>
    </row>
    <row r="450" spans="1:2">
      <c r="A450" s="116" t="s">
        <v>15</v>
      </c>
      <c r="B450">
        <v>1</v>
      </c>
    </row>
    <row r="451" spans="1:2">
      <c r="A451" s="117" t="s">
        <v>501</v>
      </c>
      <c r="B451">
        <v>1</v>
      </c>
    </row>
    <row r="452" spans="1:2">
      <c r="A452" s="116" t="s">
        <v>115</v>
      </c>
      <c r="B452">
        <v>1</v>
      </c>
    </row>
    <row r="453" spans="1:2">
      <c r="A453" s="117" t="s">
        <v>371</v>
      </c>
      <c r="B453">
        <v>1</v>
      </c>
    </row>
    <row r="454" spans="1:2">
      <c r="A454" s="116" t="s">
        <v>166</v>
      </c>
      <c r="B454">
        <v>1</v>
      </c>
    </row>
    <row r="455" spans="1:2">
      <c r="A455" s="117" t="s">
        <v>677</v>
      </c>
      <c r="B455">
        <v>1</v>
      </c>
    </row>
    <row r="456" spans="1:2">
      <c r="A456" s="35">
        <v>3</v>
      </c>
      <c r="B456">
        <v>7</v>
      </c>
    </row>
    <row r="457" spans="1:2">
      <c r="A457" s="116" t="s">
        <v>8</v>
      </c>
      <c r="B457">
        <v>1</v>
      </c>
    </row>
    <row r="458" spans="1:2">
      <c r="A458" s="117" t="s">
        <v>480</v>
      </c>
      <c r="B458">
        <v>1</v>
      </c>
    </row>
    <row r="459" spans="1:2">
      <c r="A459" s="116" t="s">
        <v>335</v>
      </c>
      <c r="B459">
        <v>1</v>
      </c>
    </row>
    <row r="460" spans="1:2">
      <c r="A460" s="117" t="s">
        <v>370</v>
      </c>
      <c r="B460">
        <v>1</v>
      </c>
    </row>
    <row r="461" spans="1:2">
      <c r="A461" s="116" t="s">
        <v>15</v>
      </c>
      <c r="B461">
        <v>1</v>
      </c>
    </row>
    <row r="462" spans="1:2">
      <c r="A462" s="117" t="s">
        <v>504</v>
      </c>
      <c r="B462">
        <v>1</v>
      </c>
    </row>
    <row r="463" spans="1:2">
      <c r="A463" s="116" t="s">
        <v>325</v>
      </c>
      <c r="B463">
        <v>1</v>
      </c>
    </row>
    <row r="464" spans="1:2">
      <c r="A464" s="117" t="s">
        <v>463</v>
      </c>
      <c r="B464">
        <v>1</v>
      </c>
    </row>
    <row r="465" spans="1:2">
      <c r="A465" s="116" t="s">
        <v>115</v>
      </c>
      <c r="B465">
        <v>3</v>
      </c>
    </row>
    <row r="466" spans="1:2">
      <c r="A466" s="117" t="s">
        <v>353</v>
      </c>
      <c r="B466">
        <v>1</v>
      </c>
    </row>
    <row r="467" spans="1:2">
      <c r="A467" s="117" t="s">
        <v>411</v>
      </c>
      <c r="B467">
        <v>1</v>
      </c>
    </row>
    <row r="468" spans="1:2">
      <c r="A468" s="117" t="s">
        <v>489</v>
      </c>
      <c r="B468">
        <v>1</v>
      </c>
    </row>
    <row r="469" spans="1:2">
      <c r="A469" s="35">
        <v>4</v>
      </c>
      <c r="B469">
        <v>4</v>
      </c>
    </row>
    <row r="470" spans="1:2">
      <c r="A470" s="116" t="s">
        <v>75</v>
      </c>
      <c r="B470">
        <v>1</v>
      </c>
    </row>
    <row r="471" spans="1:2">
      <c r="A471" s="117" t="s">
        <v>427</v>
      </c>
      <c r="B471">
        <v>1</v>
      </c>
    </row>
    <row r="472" spans="1:2">
      <c r="A472" s="116" t="s">
        <v>328</v>
      </c>
      <c r="B472">
        <v>1</v>
      </c>
    </row>
    <row r="473" spans="1:2">
      <c r="A473" s="117" t="s">
        <v>497</v>
      </c>
      <c r="B473">
        <v>1</v>
      </c>
    </row>
    <row r="474" spans="1:2">
      <c r="A474" s="116" t="s">
        <v>509</v>
      </c>
      <c r="B474">
        <v>1</v>
      </c>
    </row>
    <row r="475" spans="1:2">
      <c r="A475" s="117" t="s">
        <v>508</v>
      </c>
      <c r="B475">
        <v>1</v>
      </c>
    </row>
    <row r="476" spans="1:2">
      <c r="A476" s="116" t="s">
        <v>125</v>
      </c>
      <c r="B476">
        <v>1</v>
      </c>
    </row>
    <row r="477" spans="1:2">
      <c r="A477" s="117" t="s">
        <v>503</v>
      </c>
      <c r="B477">
        <v>1</v>
      </c>
    </row>
    <row r="478" spans="1:2">
      <c r="A478" s="35">
        <v>5</v>
      </c>
      <c r="B478">
        <v>4</v>
      </c>
    </row>
    <row r="479" spans="1:2">
      <c r="A479" s="116" t="s">
        <v>3</v>
      </c>
      <c r="B479">
        <v>1</v>
      </c>
    </row>
    <row r="480" spans="1:2">
      <c r="A480" s="117" t="s">
        <v>386</v>
      </c>
      <c r="B480">
        <v>1</v>
      </c>
    </row>
    <row r="481" spans="1:2">
      <c r="A481" s="116" t="s">
        <v>100</v>
      </c>
      <c r="B481">
        <v>1</v>
      </c>
    </row>
    <row r="482" spans="1:2">
      <c r="A482" s="117" t="s">
        <v>645</v>
      </c>
      <c r="B482">
        <v>1</v>
      </c>
    </row>
    <row r="483" spans="1:2">
      <c r="A483" s="116" t="s">
        <v>311</v>
      </c>
      <c r="B483">
        <v>1</v>
      </c>
    </row>
    <row r="484" spans="1:2">
      <c r="A484" s="117" t="s">
        <v>603</v>
      </c>
      <c r="B484">
        <v>1</v>
      </c>
    </row>
    <row r="485" spans="1:2">
      <c r="A485" s="116" t="s">
        <v>8</v>
      </c>
      <c r="B485">
        <v>1</v>
      </c>
    </row>
    <row r="486" spans="1:2">
      <c r="A486" s="117" t="s">
        <v>577</v>
      </c>
      <c r="B486">
        <v>1</v>
      </c>
    </row>
    <row r="487" spans="1:2">
      <c r="A487" s="35">
        <v>6</v>
      </c>
      <c r="B487">
        <v>3</v>
      </c>
    </row>
    <row r="488" spans="1:2">
      <c r="A488" s="116" t="s">
        <v>137</v>
      </c>
      <c r="B488">
        <v>1</v>
      </c>
    </row>
    <row r="489" spans="1:2">
      <c r="A489" s="117" t="s">
        <v>397</v>
      </c>
      <c r="B489">
        <v>1</v>
      </c>
    </row>
    <row r="490" spans="1:2">
      <c r="A490" s="116" t="s">
        <v>104</v>
      </c>
      <c r="B490">
        <v>1</v>
      </c>
    </row>
    <row r="491" spans="1:2">
      <c r="A491" s="117" t="s">
        <v>565</v>
      </c>
      <c r="B491">
        <v>1</v>
      </c>
    </row>
    <row r="492" spans="1:2">
      <c r="A492" s="116" t="s">
        <v>8</v>
      </c>
      <c r="B492">
        <v>1</v>
      </c>
    </row>
    <row r="493" spans="1:2">
      <c r="A493" s="117" t="s">
        <v>481</v>
      </c>
      <c r="B493">
        <v>1</v>
      </c>
    </row>
    <row r="494" spans="1:2">
      <c r="A494" s="35">
        <v>7</v>
      </c>
      <c r="B494">
        <v>5</v>
      </c>
    </row>
    <row r="495" spans="1:2">
      <c r="A495" s="116" t="s">
        <v>8</v>
      </c>
      <c r="B495">
        <v>1</v>
      </c>
    </row>
    <row r="496" spans="1:2">
      <c r="A496" s="117" t="s">
        <v>440</v>
      </c>
      <c r="B496">
        <v>1</v>
      </c>
    </row>
    <row r="497" spans="1:2">
      <c r="A497" s="116" t="s">
        <v>113</v>
      </c>
      <c r="B497">
        <v>1</v>
      </c>
    </row>
    <row r="498" spans="1:2">
      <c r="A498" s="117" t="s">
        <v>505</v>
      </c>
      <c r="B498">
        <v>1</v>
      </c>
    </row>
    <row r="499" spans="1:2">
      <c r="A499" s="116" t="s">
        <v>110</v>
      </c>
      <c r="B499">
        <v>1</v>
      </c>
    </row>
    <row r="500" spans="1:2">
      <c r="A500" s="117" t="s">
        <v>436</v>
      </c>
      <c r="B500">
        <v>1</v>
      </c>
    </row>
    <row r="501" spans="1:2">
      <c r="A501" s="116" t="s">
        <v>359</v>
      </c>
      <c r="B501">
        <v>2</v>
      </c>
    </row>
    <row r="502" spans="1:2">
      <c r="A502" s="117" t="s">
        <v>626</v>
      </c>
      <c r="B502">
        <v>2</v>
      </c>
    </row>
    <row r="503" spans="1:2">
      <c r="A503" s="35">
        <v>9</v>
      </c>
      <c r="B503">
        <v>1</v>
      </c>
    </row>
    <row r="504" spans="1:2">
      <c r="A504" s="116" t="s">
        <v>8</v>
      </c>
      <c r="B504">
        <v>1</v>
      </c>
    </row>
    <row r="505" spans="1:2">
      <c r="A505" s="117" t="s">
        <v>512</v>
      </c>
      <c r="B505">
        <v>1</v>
      </c>
    </row>
    <row r="506" spans="1:2">
      <c r="A506" s="35">
        <v>11</v>
      </c>
      <c r="B506">
        <v>2</v>
      </c>
    </row>
    <row r="507" spans="1:2">
      <c r="A507" s="116" t="s">
        <v>359</v>
      </c>
      <c r="B507">
        <v>2</v>
      </c>
    </row>
    <row r="508" spans="1:2">
      <c r="A508" s="117" t="s">
        <v>361</v>
      </c>
      <c r="B508">
        <v>1</v>
      </c>
    </row>
    <row r="509" spans="1:2">
      <c r="A509" s="117" t="s">
        <v>360</v>
      </c>
      <c r="B509">
        <v>1</v>
      </c>
    </row>
    <row r="510" spans="1:2">
      <c r="A510" s="35">
        <v>13</v>
      </c>
      <c r="B510">
        <v>2</v>
      </c>
    </row>
    <row r="511" spans="1:2">
      <c r="A511" s="116" t="s">
        <v>17</v>
      </c>
      <c r="B511">
        <v>2</v>
      </c>
    </row>
    <row r="512" spans="1:2">
      <c r="A512" s="117" t="s">
        <v>494</v>
      </c>
      <c r="B512">
        <v>2</v>
      </c>
    </row>
    <row r="513" spans="1:2">
      <c r="A513" s="35">
        <v>14</v>
      </c>
      <c r="B513">
        <v>2</v>
      </c>
    </row>
    <row r="514" spans="1:2">
      <c r="A514" s="116" t="s">
        <v>100</v>
      </c>
      <c r="B514">
        <v>1</v>
      </c>
    </row>
    <row r="515" spans="1:2">
      <c r="A515" s="117" t="s">
        <v>484</v>
      </c>
      <c r="B515">
        <v>1</v>
      </c>
    </row>
    <row r="516" spans="1:2">
      <c r="A516" s="116" t="s">
        <v>359</v>
      </c>
      <c r="B516">
        <v>1</v>
      </c>
    </row>
    <row r="517" spans="1:2">
      <c r="A517" s="117" t="s">
        <v>488</v>
      </c>
      <c r="B517">
        <v>1</v>
      </c>
    </row>
    <row r="518" spans="1:2">
      <c r="A518" s="35">
        <v>8</v>
      </c>
      <c r="B518">
        <v>1</v>
      </c>
    </row>
    <row r="519" spans="1:2">
      <c r="A519" s="116" t="s">
        <v>115</v>
      </c>
      <c r="B519">
        <v>1</v>
      </c>
    </row>
    <row r="520" spans="1:2">
      <c r="A520" s="117" t="s">
        <v>405</v>
      </c>
      <c r="B520">
        <v>1</v>
      </c>
    </row>
    <row r="521" spans="1:2">
      <c r="A521" s="35" t="s">
        <v>24</v>
      </c>
      <c r="B521">
        <v>587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K459"/>
  <sheetViews>
    <sheetView topLeftCell="A296" workbookViewId="0">
      <selection activeCell="H397" sqref="A397:H397"/>
    </sheetView>
  </sheetViews>
  <sheetFormatPr baseColWidth="10" defaultRowHeight="13"/>
  <sheetData>
    <row r="1" spans="1:11" ht="35" thickBot="1">
      <c r="A1" s="79" t="s">
        <v>25</v>
      </c>
      <c r="B1" s="80" t="s">
        <v>86</v>
      </c>
      <c r="C1" s="80" t="s">
        <v>26</v>
      </c>
      <c r="D1" s="80" t="s">
        <v>27</v>
      </c>
      <c r="E1" s="80" t="s">
        <v>28</v>
      </c>
      <c r="F1" s="80" t="s">
        <v>29</v>
      </c>
      <c r="G1" s="80" t="s">
        <v>30</v>
      </c>
      <c r="H1" s="81" t="s">
        <v>273</v>
      </c>
      <c r="I1" s="80" t="s">
        <v>31</v>
      </c>
      <c r="J1" s="81" t="s">
        <v>63</v>
      </c>
      <c r="K1" s="80" t="s">
        <v>87</v>
      </c>
    </row>
    <row r="2" spans="1:11" ht="70.5" hidden="1" thickBot="1">
      <c r="A2" s="82">
        <v>7000371676</v>
      </c>
      <c r="B2" s="37">
        <v>45329</v>
      </c>
      <c r="C2" s="38">
        <v>0.47499999999999998</v>
      </c>
      <c r="D2" s="36">
        <v>113780</v>
      </c>
      <c r="E2" s="36">
        <v>18163</v>
      </c>
      <c r="F2" s="37">
        <v>45408</v>
      </c>
      <c r="G2" s="36" t="s">
        <v>146</v>
      </c>
      <c r="H2" s="83" t="s">
        <v>89</v>
      </c>
      <c r="I2" s="36" t="s">
        <v>147</v>
      </c>
      <c r="J2" s="39" t="s">
        <v>90</v>
      </c>
      <c r="K2" s="36">
        <v>56</v>
      </c>
    </row>
    <row r="3" spans="1:11" ht="35" hidden="1" thickBot="1">
      <c r="A3" s="82">
        <v>5502137871</v>
      </c>
      <c r="B3" s="37">
        <v>45357</v>
      </c>
      <c r="C3" s="38">
        <v>0.38472222222222224</v>
      </c>
      <c r="D3" s="36">
        <v>113403</v>
      </c>
      <c r="E3" s="36">
        <v>18253</v>
      </c>
      <c r="F3" s="37">
        <v>45358</v>
      </c>
      <c r="G3" s="38">
        <v>0.47222222222222221</v>
      </c>
      <c r="H3" s="39" t="s">
        <v>17</v>
      </c>
      <c r="I3" s="36" t="s">
        <v>91</v>
      </c>
      <c r="J3" s="39" t="s">
        <v>92</v>
      </c>
      <c r="K3" s="36">
        <v>40</v>
      </c>
    </row>
    <row r="4" spans="1:11" ht="35" hidden="1" thickBot="1">
      <c r="A4" s="82">
        <v>4500306477</v>
      </c>
      <c r="B4" s="37">
        <v>45390</v>
      </c>
      <c r="C4" s="38">
        <v>0.64652777777777781</v>
      </c>
      <c r="D4" s="36">
        <v>113635</v>
      </c>
      <c r="E4" s="42">
        <v>18144</v>
      </c>
      <c r="F4" s="37">
        <v>45391</v>
      </c>
      <c r="G4" s="38">
        <v>0.36249999999999999</v>
      </c>
      <c r="H4" s="43" t="s">
        <v>115</v>
      </c>
      <c r="I4" s="36" t="s">
        <v>98</v>
      </c>
      <c r="J4" s="39" t="s">
        <v>112</v>
      </c>
      <c r="K4" s="36">
        <v>97</v>
      </c>
    </row>
    <row r="5" spans="1:11" ht="23.5" hidden="1" thickBot="1">
      <c r="A5" s="82">
        <v>4500069104</v>
      </c>
      <c r="B5" s="37">
        <v>45401</v>
      </c>
      <c r="C5" s="38">
        <v>0.375</v>
      </c>
      <c r="D5" s="36">
        <v>113722</v>
      </c>
      <c r="E5" s="36">
        <v>18114</v>
      </c>
      <c r="F5" s="37">
        <v>45401</v>
      </c>
      <c r="G5" s="38">
        <v>0.38194444444444442</v>
      </c>
      <c r="H5" s="39" t="s">
        <v>94</v>
      </c>
      <c r="I5" s="36" t="s">
        <v>95</v>
      </c>
      <c r="J5" s="39" t="s">
        <v>74</v>
      </c>
      <c r="K5" s="36">
        <v>160</v>
      </c>
    </row>
    <row r="6" spans="1:11" ht="23.5" hidden="1" thickBot="1">
      <c r="A6" s="82">
        <v>4500069104</v>
      </c>
      <c r="B6" s="37">
        <v>45401</v>
      </c>
      <c r="C6" s="38">
        <v>0.375</v>
      </c>
      <c r="D6" s="36">
        <v>113723</v>
      </c>
      <c r="E6" s="36">
        <v>18237</v>
      </c>
      <c r="F6" s="37">
        <v>45401</v>
      </c>
      <c r="G6" s="38">
        <v>0.38194444444444442</v>
      </c>
      <c r="H6" s="39" t="s">
        <v>94</v>
      </c>
      <c r="I6" s="36" t="s">
        <v>95</v>
      </c>
      <c r="J6" s="39" t="s">
        <v>74</v>
      </c>
      <c r="K6" s="36">
        <v>120</v>
      </c>
    </row>
    <row r="7" spans="1:11" ht="76" hidden="1" thickBot="1">
      <c r="A7" s="82" t="s">
        <v>148</v>
      </c>
      <c r="B7" s="41">
        <v>45405</v>
      </c>
      <c r="C7" s="45">
        <v>0.32847222222222222</v>
      </c>
      <c r="D7" s="36">
        <v>113744</v>
      </c>
      <c r="E7" s="36">
        <v>18141</v>
      </c>
      <c r="F7" s="37">
        <v>45405</v>
      </c>
      <c r="G7" s="38">
        <v>0.41458333333333336</v>
      </c>
      <c r="H7" s="44" t="s">
        <v>149</v>
      </c>
      <c r="I7" s="46" t="s">
        <v>97</v>
      </c>
      <c r="J7" s="39" t="s">
        <v>150</v>
      </c>
      <c r="K7" s="36">
        <v>20</v>
      </c>
    </row>
    <row r="8" spans="1:11" ht="46.5" hidden="1" thickBot="1">
      <c r="A8" s="82">
        <v>1001451962</v>
      </c>
      <c r="B8" s="41">
        <v>45405</v>
      </c>
      <c r="C8" s="45">
        <v>0.74097222222222225</v>
      </c>
      <c r="D8" s="36">
        <v>113773</v>
      </c>
      <c r="E8" s="36">
        <v>18120</v>
      </c>
      <c r="F8" s="37">
        <v>45407</v>
      </c>
      <c r="G8" s="38">
        <v>0.66666666666666663</v>
      </c>
      <c r="H8" s="44" t="s">
        <v>151</v>
      </c>
      <c r="I8" s="46" t="s">
        <v>97</v>
      </c>
      <c r="J8" s="39" t="s">
        <v>101</v>
      </c>
      <c r="K8" s="36">
        <v>20</v>
      </c>
    </row>
    <row r="9" spans="1:11" ht="38.5" hidden="1" thickBot="1">
      <c r="A9" s="84" t="s">
        <v>152</v>
      </c>
      <c r="B9" s="46" t="s">
        <v>153</v>
      </c>
      <c r="C9" s="45">
        <v>0.375</v>
      </c>
      <c r="D9" s="36">
        <v>113755</v>
      </c>
      <c r="E9" s="36">
        <v>18162</v>
      </c>
      <c r="F9" s="37">
        <v>45406</v>
      </c>
      <c r="G9" s="38">
        <v>0.41875000000000001</v>
      </c>
      <c r="H9" s="44" t="s">
        <v>102</v>
      </c>
      <c r="I9" s="46" t="s">
        <v>103</v>
      </c>
      <c r="J9" s="39" t="s">
        <v>96</v>
      </c>
      <c r="K9" s="36">
        <v>7</v>
      </c>
    </row>
    <row r="10" spans="1:11" ht="38.5" hidden="1" thickBot="1">
      <c r="A10" s="84" t="s">
        <v>152</v>
      </c>
      <c r="B10" s="46" t="s">
        <v>153</v>
      </c>
      <c r="C10" s="45">
        <v>0.375</v>
      </c>
      <c r="D10" s="36">
        <v>113756</v>
      </c>
      <c r="E10" s="36">
        <v>18272</v>
      </c>
      <c r="F10" s="37">
        <v>45406</v>
      </c>
      <c r="G10" s="38">
        <v>0.43680555555555556</v>
      </c>
      <c r="H10" s="44" t="s">
        <v>102</v>
      </c>
      <c r="I10" s="46" t="s">
        <v>103</v>
      </c>
      <c r="J10" s="39" t="s">
        <v>96</v>
      </c>
      <c r="K10" s="36">
        <v>5</v>
      </c>
    </row>
    <row r="11" spans="1:11" ht="46.5" hidden="1" thickBot="1">
      <c r="A11" s="84" t="s">
        <v>152</v>
      </c>
      <c r="B11" s="41">
        <v>45406</v>
      </c>
      <c r="C11" s="45">
        <v>0.375</v>
      </c>
      <c r="D11" s="36">
        <v>113756</v>
      </c>
      <c r="E11" s="36">
        <v>18272</v>
      </c>
      <c r="F11" s="37">
        <v>45406</v>
      </c>
      <c r="G11" s="38">
        <v>0.43680555555555556</v>
      </c>
      <c r="H11" s="44" t="s">
        <v>102</v>
      </c>
      <c r="I11" s="46" t="s">
        <v>103</v>
      </c>
      <c r="J11" s="39" t="s">
        <v>101</v>
      </c>
      <c r="K11" s="36">
        <v>80</v>
      </c>
    </row>
    <row r="12" spans="1:11" ht="76" hidden="1" thickBot="1">
      <c r="A12" s="82" t="s">
        <v>154</v>
      </c>
      <c r="B12" s="41">
        <v>45406</v>
      </c>
      <c r="C12" s="45">
        <v>0.68194444444444446</v>
      </c>
      <c r="D12" s="36">
        <v>113768</v>
      </c>
      <c r="E12" s="36">
        <v>18116</v>
      </c>
      <c r="F12" s="37">
        <v>45407</v>
      </c>
      <c r="G12" s="38">
        <v>0.52638888888888891</v>
      </c>
      <c r="H12" s="44" t="s">
        <v>110</v>
      </c>
      <c r="I12" s="46" t="s">
        <v>111</v>
      </c>
      <c r="J12" s="39" t="s">
        <v>71</v>
      </c>
      <c r="K12" s="36">
        <v>40</v>
      </c>
    </row>
    <row r="13" spans="1:11" ht="76" hidden="1" thickBot="1">
      <c r="A13" s="82" t="s">
        <v>155</v>
      </c>
      <c r="B13" s="41">
        <v>45406</v>
      </c>
      <c r="C13" s="45">
        <v>0.68194444444444446</v>
      </c>
      <c r="D13" s="36">
        <v>113767</v>
      </c>
      <c r="E13" s="36">
        <v>18210</v>
      </c>
      <c r="F13" s="37">
        <v>45407</v>
      </c>
      <c r="G13" s="38">
        <v>0.52638888888888891</v>
      </c>
      <c r="H13" s="44" t="s">
        <v>110</v>
      </c>
      <c r="I13" s="46" t="s">
        <v>111</v>
      </c>
      <c r="J13" s="39" t="s">
        <v>112</v>
      </c>
      <c r="K13" s="36">
        <v>400</v>
      </c>
    </row>
    <row r="14" spans="1:11" ht="76" hidden="1" thickBot="1">
      <c r="A14" s="82" t="s">
        <v>156</v>
      </c>
      <c r="B14" s="41">
        <v>45406</v>
      </c>
      <c r="C14" s="45">
        <v>0.68194444444444446</v>
      </c>
      <c r="D14" s="36">
        <v>113766</v>
      </c>
      <c r="E14" s="36">
        <v>18117</v>
      </c>
      <c r="F14" s="37">
        <v>45407</v>
      </c>
      <c r="G14" s="38">
        <v>0.52638888888888891</v>
      </c>
      <c r="H14" s="44" t="s">
        <v>110</v>
      </c>
      <c r="I14" s="46" t="s">
        <v>111</v>
      </c>
      <c r="J14" s="39" t="s">
        <v>150</v>
      </c>
      <c r="K14" s="36">
        <v>4</v>
      </c>
    </row>
    <row r="15" spans="1:11" ht="51" hidden="1" thickBot="1">
      <c r="A15" s="82">
        <v>5502282955</v>
      </c>
      <c r="B15" s="41">
        <v>45407</v>
      </c>
      <c r="C15" s="45">
        <v>0.63194444444444442</v>
      </c>
      <c r="D15" s="36">
        <v>113774</v>
      </c>
      <c r="E15" s="36">
        <v>18121</v>
      </c>
      <c r="F15" s="37">
        <v>45408</v>
      </c>
      <c r="G15" s="38">
        <v>0.37638888888888888</v>
      </c>
      <c r="H15" s="44" t="s">
        <v>17</v>
      </c>
      <c r="I15" s="46" t="s">
        <v>93</v>
      </c>
      <c r="J15" s="39" t="s">
        <v>150</v>
      </c>
      <c r="K15" s="36">
        <v>80</v>
      </c>
    </row>
    <row r="16" spans="1:11" ht="23.5" hidden="1" thickBot="1">
      <c r="A16" s="82">
        <v>933060</v>
      </c>
      <c r="B16" s="37">
        <v>45407</v>
      </c>
      <c r="C16" s="38">
        <v>0.72291666666666665</v>
      </c>
      <c r="D16" s="36">
        <v>113775</v>
      </c>
      <c r="E16" s="36">
        <v>18156</v>
      </c>
      <c r="F16" s="37">
        <v>45408</v>
      </c>
      <c r="G16" s="47">
        <v>0.37986111111111109</v>
      </c>
      <c r="H16" s="44" t="s">
        <v>11</v>
      </c>
      <c r="I16" s="36" t="s">
        <v>97</v>
      </c>
      <c r="J16" s="39" t="s">
        <v>69</v>
      </c>
      <c r="K16" s="36">
        <v>6</v>
      </c>
    </row>
    <row r="17" spans="1:11" ht="38.5" hidden="1" thickBot="1">
      <c r="A17" s="82" t="s">
        <v>157</v>
      </c>
      <c r="B17" s="37">
        <v>45408</v>
      </c>
      <c r="C17" s="38">
        <v>0.47430555555555554</v>
      </c>
      <c r="D17" s="36">
        <v>113782</v>
      </c>
      <c r="E17" s="36">
        <v>18126</v>
      </c>
      <c r="F17" s="37">
        <v>45408</v>
      </c>
      <c r="G17" s="38">
        <v>0.52430555555555558</v>
      </c>
      <c r="H17" s="44" t="s">
        <v>75</v>
      </c>
      <c r="I17" s="36" t="s">
        <v>136</v>
      </c>
      <c r="J17" s="39" t="s">
        <v>145</v>
      </c>
      <c r="K17" s="36">
        <v>200</v>
      </c>
    </row>
    <row r="18" spans="1:11" ht="23.5" hidden="1" thickBot="1">
      <c r="A18" s="82">
        <v>521</v>
      </c>
      <c r="B18" s="37">
        <v>45408</v>
      </c>
      <c r="C18" s="38">
        <v>0.66180555555555554</v>
      </c>
      <c r="D18" s="36">
        <v>113783</v>
      </c>
      <c r="E18" s="36">
        <v>18134</v>
      </c>
      <c r="F18" s="37">
        <v>45411</v>
      </c>
      <c r="G18" s="38">
        <v>0.39444444444444443</v>
      </c>
      <c r="H18" s="44" t="s">
        <v>119</v>
      </c>
      <c r="I18" s="36" t="s">
        <v>37</v>
      </c>
      <c r="J18" s="39" t="s">
        <v>158</v>
      </c>
      <c r="K18" s="46">
        <v>2</v>
      </c>
    </row>
    <row r="19" spans="1:11" ht="76" hidden="1" thickBot="1">
      <c r="A19" s="82" t="s">
        <v>159</v>
      </c>
      <c r="B19" s="37">
        <v>45408</v>
      </c>
      <c r="C19" s="38">
        <v>0.68263888888888891</v>
      </c>
      <c r="D19" s="36">
        <v>113785</v>
      </c>
      <c r="E19" s="36">
        <v>18140</v>
      </c>
      <c r="F19" s="37">
        <v>45411</v>
      </c>
      <c r="G19" s="38">
        <v>0.45763888888888887</v>
      </c>
      <c r="H19" s="44" t="s">
        <v>149</v>
      </c>
      <c r="I19" s="36" t="s">
        <v>33</v>
      </c>
      <c r="J19" s="39" t="s">
        <v>69</v>
      </c>
      <c r="K19" s="36">
        <v>2</v>
      </c>
    </row>
    <row r="20" spans="1:11" ht="38.5" hidden="1" thickBot="1">
      <c r="A20" s="82" t="s">
        <v>160</v>
      </c>
      <c r="B20" s="37">
        <v>45408</v>
      </c>
      <c r="C20" s="38">
        <v>0.78333333333333333</v>
      </c>
      <c r="D20" s="36">
        <v>113786</v>
      </c>
      <c r="E20" s="36">
        <v>18125</v>
      </c>
      <c r="F20" s="37">
        <v>45411</v>
      </c>
      <c r="G20" s="38">
        <v>0.45763888888888887</v>
      </c>
      <c r="H20" s="44" t="s">
        <v>75</v>
      </c>
      <c r="I20" s="36" t="s">
        <v>136</v>
      </c>
      <c r="J20" s="39" t="s">
        <v>114</v>
      </c>
      <c r="K20" s="36">
        <v>20</v>
      </c>
    </row>
    <row r="21" spans="1:11" ht="38.5" hidden="1" thickBot="1">
      <c r="A21" s="82">
        <v>41083</v>
      </c>
      <c r="B21" s="37">
        <v>45411</v>
      </c>
      <c r="C21" s="38">
        <v>0.60416666666666663</v>
      </c>
      <c r="D21" s="36">
        <v>113788</v>
      </c>
      <c r="E21" s="36">
        <v>18131</v>
      </c>
      <c r="F21" s="37">
        <v>45411</v>
      </c>
      <c r="G21" s="38">
        <v>0.62152777777777779</v>
      </c>
      <c r="H21" s="44" t="s">
        <v>161</v>
      </c>
      <c r="I21" s="36" t="s">
        <v>39</v>
      </c>
      <c r="J21" s="39" t="s">
        <v>162</v>
      </c>
      <c r="K21" s="46">
        <v>36</v>
      </c>
    </row>
    <row r="22" spans="1:11" ht="38.5" hidden="1" thickBot="1">
      <c r="A22" s="82">
        <v>41083</v>
      </c>
      <c r="B22" s="37">
        <v>45411</v>
      </c>
      <c r="C22" s="38">
        <v>0.60416666666666663</v>
      </c>
      <c r="D22" s="36">
        <v>113788</v>
      </c>
      <c r="E22" s="36">
        <v>18131</v>
      </c>
      <c r="F22" s="37">
        <v>45411</v>
      </c>
      <c r="G22" s="38">
        <v>0.62152777777777779</v>
      </c>
      <c r="H22" s="44" t="s">
        <v>161</v>
      </c>
      <c r="I22" s="36" t="s">
        <v>39</v>
      </c>
      <c r="J22" s="48" t="s">
        <v>68</v>
      </c>
      <c r="K22" s="46">
        <v>6</v>
      </c>
    </row>
    <row r="23" spans="1:11" ht="38.5" hidden="1" thickBot="1">
      <c r="A23" s="82">
        <v>41083</v>
      </c>
      <c r="B23" s="37">
        <v>45411</v>
      </c>
      <c r="C23" s="38">
        <v>0.60416666666666663</v>
      </c>
      <c r="D23" s="36">
        <v>113788</v>
      </c>
      <c r="E23" s="36">
        <v>18131</v>
      </c>
      <c r="F23" s="37">
        <v>45411</v>
      </c>
      <c r="G23" s="38">
        <v>0.62152777777777779</v>
      </c>
      <c r="H23" s="44" t="s">
        <v>161</v>
      </c>
      <c r="I23" s="36" t="s">
        <v>39</v>
      </c>
      <c r="J23" s="39" t="s">
        <v>163</v>
      </c>
      <c r="K23" s="46">
        <v>36</v>
      </c>
    </row>
    <row r="24" spans="1:11" ht="23.5" hidden="1" thickBot="1">
      <c r="A24" s="82">
        <v>523</v>
      </c>
      <c r="B24" s="37">
        <v>45412</v>
      </c>
      <c r="C24" s="38">
        <v>0.3125</v>
      </c>
      <c r="D24" s="36">
        <v>113789</v>
      </c>
      <c r="E24" s="36">
        <v>18135</v>
      </c>
      <c r="F24" s="37">
        <v>45412</v>
      </c>
      <c r="G24" s="38">
        <v>0.31666666666666665</v>
      </c>
      <c r="H24" s="44" t="s">
        <v>119</v>
      </c>
      <c r="I24" s="36" t="s">
        <v>37</v>
      </c>
      <c r="J24" s="39" t="s">
        <v>68</v>
      </c>
      <c r="K24" s="36">
        <v>30</v>
      </c>
    </row>
    <row r="25" spans="1:11" ht="23.5" hidden="1" thickBot="1">
      <c r="A25" s="82">
        <v>523</v>
      </c>
      <c r="B25" s="37">
        <v>45412</v>
      </c>
      <c r="C25" s="38">
        <v>0.3125</v>
      </c>
      <c r="D25" s="36">
        <v>113789</v>
      </c>
      <c r="E25" s="36">
        <v>18135</v>
      </c>
      <c r="F25" s="37">
        <v>45412</v>
      </c>
      <c r="G25" s="38">
        <v>0.31666666666666665</v>
      </c>
      <c r="H25" s="44" t="s">
        <v>119</v>
      </c>
      <c r="I25" s="36" t="s">
        <v>37</v>
      </c>
      <c r="J25" s="39" t="s">
        <v>107</v>
      </c>
      <c r="K25" s="36">
        <v>4</v>
      </c>
    </row>
    <row r="26" spans="1:11" ht="38.5" hidden="1" thickBot="1">
      <c r="A26" s="82" t="s">
        <v>164</v>
      </c>
      <c r="B26" s="37">
        <v>45411</v>
      </c>
      <c r="C26" s="38">
        <v>0.90972222222222221</v>
      </c>
      <c r="D26" s="36">
        <v>113790</v>
      </c>
      <c r="E26" s="36">
        <v>18130</v>
      </c>
      <c r="F26" s="37">
        <v>45412</v>
      </c>
      <c r="G26" s="38">
        <v>0.32777777777777778</v>
      </c>
      <c r="H26" s="44" t="s">
        <v>9</v>
      </c>
      <c r="I26" s="36" t="s">
        <v>39</v>
      </c>
      <c r="J26" s="39" t="s">
        <v>165</v>
      </c>
      <c r="K26" s="36">
        <v>10</v>
      </c>
    </row>
    <row r="27" spans="1:11" ht="35" hidden="1" thickBot="1">
      <c r="A27" s="82">
        <v>935595</v>
      </c>
      <c r="B27" s="37">
        <v>45411</v>
      </c>
      <c r="C27" s="38">
        <v>0.74305555555555558</v>
      </c>
      <c r="D27" s="36">
        <v>113791</v>
      </c>
      <c r="E27" s="36">
        <v>18164</v>
      </c>
      <c r="F27" s="37">
        <v>45412</v>
      </c>
      <c r="G27" s="38">
        <v>0.3298611111111111</v>
      </c>
      <c r="H27" s="44" t="s">
        <v>11</v>
      </c>
      <c r="I27" s="36" t="s">
        <v>97</v>
      </c>
      <c r="J27" s="39" t="s">
        <v>99</v>
      </c>
      <c r="K27" s="36">
        <v>4</v>
      </c>
    </row>
    <row r="28" spans="1:11" ht="35" thickBot="1">
      <c r="A28" s="85">
        <v>1</v>
      </c>
      <c r="B28" s="37">
        <v>45411</v>
      </c>
      <c r="C28" s="38">
        <v>0.70138888888888884</v>
      </c>
      <c r="D28" s="36">
        <v>113792</v>
      </c>
      <c r="E28" s="36">
        <v>18133</v>
      </c>
      <c r="F28" s="37">
        <v>45412</v>
      </c>
      <c r="G28" s="38">
        <v>0.33194444444444443</v>
      </c>
      <c r="H28" s="44" t="s">
        <v>166</v>
      </c>
      <c r="I28" s="36" t="s">
        <v>134</v>
      </c>
      <c r="J28" s="39" t="s">
        <v>163</v>
      </c>
      <c r="K28" s="36">
        <v>7</v>
      </c>
    </row>
    <row r="29" spans="1:11" ht="35" hidden="1" thickBot="1">
      <c r="A29" s="82">
        <v>935360</v>
      </c>
      <c r="B29" s="37">
        <v>45411</v>
      </c>
      <c r="C29" s="38">
        <v>0.6694444444444444</v>
      </c>
      <c r="D29" s="36">
        <v>113798</v>
      </c>
      <c r="E29" s="36">
        <v>18154</v>
      </c>
      <c r="F29" s="37">
        <v>45412</v>
      </c>
      <c r="G29" s="38">
        <v>0.43541666666666667</v>
      </c>
      <c r="H29" s="44" t="s">
        <v>8</v>
      </c>
      <c r="I29" s="36" t="s">
        <v>37</v>
      </c>
      <c r="J29" s="39" t="s">
        <v>99</v>
      </c>
      <c r="K29" s="36">
        <v>4</v>
      </c>
    </row>
    <row r="30" spans="1:11" ht="51" hidden="1" thickBot="1">
      <c r="A30" s="82">
        <v>4503305140</v>
      </c>
      <c r="B30" s="37">
        <v>45411</v>
      </c>
      <c r="C30" s="38">
        <v>0.64166666666666672</v>
      </c>
      <c r="D30" s="36">
        <v>113799</v>
      </c>
      <c r="E30" s="36">
        <v>18175</v>
      </c>
      <c r="F30" s="37">
        <v>45412</v>
      </c>
      <c r="G30" s="38">
        <v>0.43611111111111112</v>
      </c>
      <c r="H30" s="44" t="s">
        <v>130</v>
      </c>
      <c r="I30" s="36" t="s">
        <v>98</v>
      </c>
      <c r="J30" s="48" t="s">
        <v>101</v>
      </c>
      <c r="K30" s="36">
        <v>240</v>
      </c>
    </row>
    <row r="31" spans="1:11" ht="47" hidden="1" thickBot="1">
      <c r="A31" s="82" t="s">
        <v>167</v>
      </c>
      <c r="B31" s="37">
        <v>45411</v>
      </c>
      <c r="C31" s="38">
        <v>0.62847222222222221</v>
      </c>
      <c r="D31" s="36">
        <v>113793</v>
      </c>
      <c r="E31" s="36">
        <v>18137</v>
      </c>
      <c r="F31" s="37">
        <v>45412</v>
      </c>
      <c r="G31" s="38">
        <v>0.34027777777777779</v>
      </c>
      <c r="H31" s="44" t="s">
        <v>123</v>
      </c>
      <c r="I31" s="36" t="s">
        <v>124</v>
      </c>
      <c r="J31" s="48" t="s">
        <v>101</v>
      </c>
      <c r="K31" s="36">
        <v>24</v>
      </c>
    </row>
    <row r="32" spans="1:11" ht="23.5" hidden="1" thickBot="1">
      <c r="A32" s="82">
        <v>935170</v>
      </c>
      <c r="B32" s="37">
        <v>45411</v>
      </c>
      <c r="C32" s="38">
        <v>0.58611111111111114</v>
      </c>
      <c r="D32" s="36">
        <v>113794</v>
      </c>
      <c r="E32" s="36">
        <v>18182</v>
      </c>
      <c r="F32" s="37">
        <v>45412</v>
      </c>
      <c r="G32" s="38">
        <v>0.34166666666666667</v>
      </c>
      <c r="H32" s="44" t="s">
        <v>11</v>
      </c>
      <c r="I32" s="36" t="s">
        <v>98</v>
      </c>
      <c r="J32" s="39" t="s">
        <v>74</v>
      </c>
      <c r="K32" s="36">
        <v>1</v>
      </c>
    </row>
    <row r="33" spans="1:11" ht="35" hidden="1" thickBot="1">
      <c r="A33" s="82">
        <v>934396</v>
      </c>
      <c r="B33" s="37">
        <v>45409</v>
      </c>
      <c r="C33" s="38">
        <v>0.85486111111111107</v>
      </c>
      <c r="D33" s="36">
        <v>113795</v>
      </c>
      <c r="E33" s="36">
        <v>18132</v>
      </c>
      <c r="F33" s="37">
        <v>45412</v>
      </c>
      <c r="G33" s="38">
        <v>0.34652777777777777</v>
      </c>
      <c r="H33" s="44" t="s">
        <v>11</v>
      </c>
      <c r="I33" s="36" t="s">
        <v>97</v>
      </c>
      <c r="J33" s="39" t="s">
        <v>168</v>
      </c>
      <c r="K33" s="36">
        <v>4</v>
      </c>
    </row>
    <row r="34" spans="1:11" ht="38.5" hidden="1" thickBot="1">
      <c r="A34" s="82">
        <v>935018</v>
      </c>
      <c r="B34" s="37">
        <v>45411</v>
      </c>
      <c r="C34" s="38">
        <v>0.50486111111111109</v>
      </c>
      <c r="D34" s="36">
        <v>113796</v>
      </c>
      <c r="E34" s="36">
        <v>18118</v>
      </c>
      <c r="F34" s="37">
        <v>45412</v>
      </c>
      <c r="G34" s="38">
        <v>0.35</v>
      </c>
      <c r="H34" s="44" t="s">
        <v>16</v>
      </c>
      <c r="I34" s="36" t="s">
        <v>35</v>
      </c>
      <c r="J34" s="39" t="s">
        <v>68</v>
      </c>
      <c r="K34" s="36">
        <v>3</v>
      </c>
    </row>
    <row r="35" spans="1:11" ht="26" hidden="1" thickBot="1">
      <c r="A35" s="82">
        <v>935007</v>
      </c>
      <c r="B35" s="41">
        <v>45411</v>
      </c>
      <c r="C35" s="45">
        <v>0.49375000000000002</v>
      </c>
      <c r="D35" s="36">
        <v>113800</v>
      </c>
      <c r="E35" s="36">
        <v>18128</v>
      </c>
      <c r="F35" s="37">
        <v>45412</v>
      </c>
      <c r="G35" s="38">
        <v>0.43611111111111112</v>
      </c>
      <c r="H35" s="44" t="s">
        <v>8</v>
      </c>
      <c r="I35" s="46" t="s">
        <v>41</v>
      </c>
      <c r="J35" s="39" t="s">
        <v>96</v>
      </c>
      <c r="K35" s="36">
        <v>6</v>
      </c>
    </row>
    <row r="36" spans="1:11" ht="26" hidden="1" thickBot="1">
      <c r="A36" s="82">
        <v>935007</v>
      </c>
      <c r="B36" s="41">
        <v>45411</v>
      </c>
      <c r="C36" s="45">
        <v>0.49375000000000002</v>
      </c>
      <c r="D36" s="36">
        <v>113801</v>
      </c>
      <c r="E36" s="36">
        <v>18224</v>
      </c>
      <c r="F36" s="37">
        <v>45412</v>
      </c>
      <c r="G36" s="38">
        <v>0.43611111111111112</v>
      </c>
      <c r="H36" s="44" t="s">
        <v>8</v>
      </c>
      <c r="I36" s="46" t="s">
        <v>41</v>
      </c>
      <c r="J36" s="39" t="s">
        <v>69</v>
      </c>
      <c r="K36" s="36">
        <v>42</v>
      </c>
    </row>
    <row r="37" spans="1:11" ht="38.5" thickBot="1">
      <c r="A37" s="85">
        <v>2</v>
      </c>
      <c r="B37" s="37">
        <v>45412</v>
      </c>
      <c r="C37" s="38">
        <v>0.39861111111111114</v>
      </c>
      <c r="D37" s="36">
        <v>113807</v>
      </c>
      <c r="E37" s="36">
        <v>18138</v>
      </c>
      <c r="F37" s="37">
        <v>45412</v>
      </c>
      <c r="G37" s="38">
        <v>0.61805555555555558</v>
      </c>
      <c r="H37" s="44" t="s">
        <v>15</v>
      </c>
      <c r="I37" s="36" t="s">
        <v>35</v>
      </c>
      <c r="J37" s="39" t="s">
        <v>163</v>
      </c>
      <c r="K37" s="36">
        <v>4</v>
      </c>
    </row>
    <row r="38" spans="1:11" ht="38.5" hidden="1" thickBot="1">
      <c r="A38" s="82" t="s">
        <v>169</v>
      </c>
      <c r="B38" s="37">
        <v>45412</v>
      </c>
      <c r="C38" s="38">
        <v>0.4152777777777778</v>
      </c>
      <c r="D38" s="36">
        <v>113803</v>
      </c>
      <c r="E38" s="36">
        <v>18122</v>
      </c>
      <c r="F38" s="37">
        <v>45412</v>
      </c>
      <c r="G38" s="38">
        <v>0.46250000000000002</v>
      </c>
      <c r="H38" s="44" t="s">
        <v>19</v>
      </c>
      <c r="I38" s="36" t="s">
        <v>32</v>
      </c>
      <c r="J38" s="39" t="s">
        <v>170</v>
      </c>
      <c r="K38" s="36">
        <v>4</v>
      </c>
    </row>
    <row r="39" spans="1:11" ht="38.5" hidden="1" thickBot="1">
      <c r="A39" s="82" t="s">
        <v>169</v>
      </c>
      <c r="B39" s="37">
        <v>45412</v>
      </c>
      <c r="C39" s="38">
        <v>0.4152777777777778</v>
      </c>
      <c r="D39" s="36">
        <v>113803</v>
      </c>
      <c r="E39" s="36">
        <v>18122</v>
      </c>
      <c r="F39" s="37">
        <v>45412</v>
      </c>
      <c r="G39" s="38">
        <v>0.46250000000000002</v>
      </c>
      <c r="H39" s="44" t="s">
        <v>19</v>
      </c>
      <c r="I39" s="36" t="s">
        <v>32</v>
      </c>
      <c r="J39" s="39" t="s">
        <v>171</v>
      </c>
      <c r="K39" s="36">
        <v>10</v>
      </c>
    </row>
    <row r="40" spans="1:11" ht="38.5" hidden="1" thickBot="1">
      <c r="A40" s="82" t="s">
        <v>169</v>
      </c>
      <c r="B40" s="37">
        <v>45412</v>
      </c>
      <c r="C40" s="38">
        <v>0.4152777777777778</v>
      </c>
      <c r="D40" s="36">
        <v>113803</v>
      </c>
      <c r="E40" s="36">
        <v>18122</v>
      </c>
      <c r="F40" s="37">
        <v>45412</v>
      </c>
      <c r="G40" s="38">
        <v>0.46250000000000002</v>
      </c>
      <c r="H40" s="44" t="s">
        <v>19</v>
      </c>
      <c r="I40" s="36" t="s">
        <v>32</v>
      </c>
      <c r="J40" s="39" t="s">
        <v>68</v>
      </c>
      <c r="K40" s="36">
        <v>20</v>
      </c>
    </row>
    <row r="41" spans="1:11" ht="51" hidden="1" thickBot="1">
      <c r="A41" s="82" t="s">
        <v>172</v>
      </c>
      <c r="B41" s="37">
        <v>45412</v>
      </c>
      <c r="C41" s="38">
        <v>0.51458333333333328</v>
      </c>
      <c r="D41" s="36">
        <v>113805</v>
      </c>
      <c r="E41" s="36">
        <v>18136</v>
      </c>
      <c r="F41" s="37">
        <v>45412</v>
      </c>
      <c r="G41" s="38">
        <v>0.54097222222222219</v>
      </c>
      <c r="H41" s="44" t="s">
        <v>125</v>
      </c>
      <c r="I41" s="36" t="s">
        <v>103</v>
      </c>
      <c r="J41" s="39" t="s">
        <v>109</v>
      </c>
      <c r="K41" s="36">
        <v>4</v>
      </c>
    </row>
    <row r="42" spans="1:11" ht="26" hidden="1" thickBot="1">
      <c r="A42" s="86">
        <v>49287</v>
      </c>
      <c r="B42" s="37">
        <v>45412</v>
      </c>
      <c r="C42" s="45">
        <v>0.54027777777777775</v>
      </c>
      <c r="D42" s="46">
        <v>113806</v>
      </c>
      <c r="E42" s="46">
        <v>18124</v>
      </c>
      <c r="F42" s="37">
        <v>45412</v>
      </c>
      <c r="G42" s="38">
        <v>0.62361111111111112</v>
      </c>
      <c r="H42" s="44" t="s">
        <v>113</v>
      </c>
      <c r="I42" s="46" t="s">
        <v>35</v>
      </c>
      <c r="J42" s="48" t="s">
        <v>145</v>
      </c>
      <c r="K42" s="46">
        <v>10</v>
      </c>
    </row>
    <row r="43" spans="1:11" ht="38.5" hidden="1" thickBot="1">
      <c r="A43" s="86" t="s">
        <v>173</v>
      </c>
      <c r="B43" s="41">
        <v>45412</v>
      </c>
      <c r="C43" s="45">
        <v>0.61944444444444446</v>
      </c>
      <c r="D43" s="46">
        <v>113808</v>
      </c>
      <c r="E43" s="46">
        <v>18127</v>
      </c>
      <c r="F43" s="37">
        <v>45414</v>
      </c>
      <c r="G43" s="38">
        <v>0.41805555555555557</v>
      </c>
      <c r="H43" s="44" t="s">
        <v>100</v>
      </c>
      <c r="I43" s="46" t="s">
        <v>45</v>
      </c>
      <c r="J43" s="48" t="s">
        <v>165</v>
      </c>
      <c r="K43" s="46">
        <v>1</v>
      </c>
    </row>
    <row r="44" spans="1:11" ht="38.5" hidden="1" thickBot="1">
      <c r="A44" s="86" t="s">
        <v>173</v>
      </c>
      <c r="B44" s="41">
        <v>45412</v>
      </c>
      <c r="C44" s="45">
        <v>0.61944444444444446</v>
      </c>
      <c r="D44" s="46">
        <v>113808</v>
      </c>
      <c r="E44" s="46">
        <v>18127</v>
      </c>
      <c r="F44" s="37">
        <v>45414</v>
      </c>
      <c r="G44" s="38">
        <v>0.41805555555555557</v>
      </c>
      <c r="H44" s="44" t="s">
        <v>100</v>
      </c>
      <c r="I44" s="46" t="s">
        <v>45</v>
      </c>
      <c r="J44" s="39" t="s">
        <v>174</v>
      </c>
      <c r="K44" s="36">
        <v>10</v>
      </c>
    </row>
    <row r="45" spans="1:11" ht="24.5" hidden="1" thickBot="1">
      <c r="A45" s="87" t="s">
        <v>79</v>
      </c>
      <c r="B45" s="41">
        <v>45414</v>
      </c>
      <c r="C45" s="45">
        <v>0.4152777777777778</v>
      </c>
      <c r="D45" s="46">
        <v>113809</v>
      </c>
      <c r="E45" s="46">
        <v>18115</v>
      </c>
      <c r="F45" s="37">
        <v>45414</v>
      </c>
      <c r="G45" s="38">
        <v>0.45208333333333334</v>
      </c>
      <c r="H45" s="44" t="s">
        <v>175</v>
      </c>
      <c r="I45" s="46" t="s">
        <v>35</v>
      </c>
      <c r="J45" s="49" t="s">
        <v>145</v>
      </c>
      <c r="K45" s="36">
        <v>84</v>
      </c>
    </row>
    <row r="46" spans="1:11" ht="23.5" hidden="1" thickBot="1">
      <c r="A46" s="86">
        <v>4500069406</v>
      </c>
      <c r="B46" s="41">
        <v>45412</v>
      </c>
      <c r="C46" s="45">
        <v>0.68125000000000002</v>
      </c>
      <c r="D46" s="46">
        <v>113810</v>
      </c>
      <c r="E46" s="46">
        <v>18384</v>
      </c>
      <c r="F46" s="37">
        <v>45414</v>
      </c>
      <c r="G46" s="38">
        <v>0.45208333333333334</v>
      </c>
      <c r="H46" s="44" t="s">
        <v>20</v>
      </c>
      <c r="I46" s="46" t="s">
        <v>40</v>
      </c>
      <c r="J46" s="39" t="s">
        <v>171</v>
      </c>
      <c r="K46" s="36">
        <v>20</v>
      </c>
    </row>
    <row r="47" spans="1:11" ht="23.5" hidden="1" thickBot="1">
      <c r="A47" s="86">
        <v>4500069406</v>
      </c>
      <c r="B47" s="41">
        <v>45412</v>
      </c>
      <c r="C47" s="45">
        <v>0.68125000000000002</v>
      </c>
      <c r="D47" s="46">
        <v>113810</v>
      </c>
      <c r="E47" s="46">
        <v>18384</v>
      </c>
      <c r="F47" s="37">
        <v>45414</v>
      </c>
      <c r="G47" s="38">
        <v>0.45208333333333334</v>
      </c>
      <c r="H47" s="44" t="s">
        <v>20</v>
      </c>
      <c r="I47" s="46" t="s">
        <v>40</v>
      </c>
      <c r="J47" s="39" t="s">
        <v>71</v>
      </c>
      <c r="K47" s="36">
        <v>80</v>
      </c>
    </row>
    <row r="48" spans="1:11" ht="23.5" hidden="1" thickBot="1">
      <c r="A48" s="86">
        <v>4500069406</v>
      </c>
      <c r="B48" s="41">
        <v>45412</v>
      </c>
      <c r="C48" s="45">
        <v>0.68125000000000002</v>
      </c>
      <c r="D48" s="46">
        <v>113810</v>
      </c>
      <c r="E48" s="46">
        <v>18384</v>
      </c>
      <c r="F48" s="37">
        <v>45414</v>
      </c>
      <c r="G48" s="38">
        <v>0.45208333333333334</v>
      </c>
      <c r="H48" s="44" t="s">
        <v>20</v>
      </c>
      <c r="I48" s="46" t="s">
        <v>40</v>
      </c>
      <c r="J48" s="39" t="s">
        <v>66</v>
      </c>
      <c r="K48" s="36">
        <v>32</v>
      </c>
    </row>
    <row r="49" spans="1:11" ht="23.5" hidden="1" thickBot="1">
      <c r="A49" s="86">
        <v>4500069406</v>
      </c>
      <c r="B49" s="41">
        <v>45412</v>
      </c>
      <c r="C49" s="45">
        <v>0.68125000000000002</v>
      </c>
      <c r="D49" s="46">
        <v>113810</v>
      </c>
      <c r="E49" s="46">
        <v>18384</v>
      </c>
      <c r="F49" s="37">
        <v>45414</v>
      </c>
      <c r="G49" s="38">
        <v>0.45208333333333334</v>
      </c>
      <c r="H49" s="44" t="s">
        <v>20</v>
      </c>
      <c r="I49" s="46" t="s">
        <v>40</v>
      </c>
      <c r="J49" s="39" t="s">
        <v>74</v>
      </c>
      <c r="K49" s="36">
        <v>16</v>
      </c>
    </row>
    <row r="50" spans="1:11" ht="23.5" hidden="1" thickBot="1">
      <c r="A50" s="86">
        <v>4500069406</v>
      </c>
      <c r="B50" s="41">
        <v>45412</v>
      </c>
      <c r="C50" s="45">
        <v>0.68125000000000002</v>
      </c>
      <c r="D50" s="46">
        <v>113810</v>
      </c>
      <c r="E50" s="46">
        <v>18384</v>
      </c>
      <c r="F50" s="37">
        <v>45414</v>
      </c>
      <c r="G50" s="38">
        <v>0.45208333333333334</v>
      </c>
      <c r="H50" s="44" t="s">
        <v>20</v>
      </c>
      <c r="I50" s="46" t="s">
        <v>40</v>
      </c>
      <c r="J50" s="39" t="s">
        <v>74</v>
      </c>
      <c r="K50" s="36">
        <v>100</v>
      </c>
    </row>
    <row r="51" spans="1:11" ht="23.5" hidden="1" thickBot="1">
      <c r="A51" s="86">
        <v>4500069406</v>
      </c>
      <c r="B51" s="41">
        <v>45412</v>
      </c>
      <c r="C51" s="45">
        <v>0.68125000000000002</v>
      </c>
      <c r="D51" s="46">
        <v>113810</v>
      </c>
      <c r="E51" s="46">
        <v>18384</v>
      </c>
      <c r="F51" s="37">
        <v>45414</v>
      </c>
      <c r="G51" s="38">
        <v>0.45208333333333334</v>
      </c>
      <c r="H51" s="44" t="s">
        <v>20</v>
      </c>
      <c r="I51" s="46" t="s">
        <v>40</v>
      </c>
      <c r="J51" s="39" t="s">
        <v>150</v>
      </c>
      <c r="K51" s="36">
        <v>40</v>
      </c>
    </row>
    <row r="52" spans="1:11" ht="23.5" hidden="1" thickBot="1">
      <c r="A52" s="86">
        <v>4500069406</v>
      </c>
      <c r="B52" s="41">
        <v>45412</v>
      </c>
      <c r="C52" s="45">
        <v>0.68125000000000002</v>
      </c>
      <c r="D52" s="46">
        <v>113810</v>
      </c>
      <c r="E52" s="46">
        <v>18384</v>
      </c>
      <c r="F52" s="37">
        <v>45414</v>
      </c>
      <c r="G52" s="38">
        <v>0.45208333333333334</v>
      </c>
      <c r="H52" s="44" t="s">
        <v>20</v>
      </c>
      <c r="I52" s="46" t="s">
        <v>40</v>
      </c>
      <c r="J52" s="39" t="s">
        <v>176</v>
      </c>
      <c r="K52" s="36">
        <v>8</v>
      </c>
    </row>
    <row r="53" spans="1:11" ht="24" hidden="1" thickBot="1">
      <c r="A53" s="86">
        <v>4500069406</v>
      </c>
      <c r="B53" s="41">
        <v>45412</v>
      </c>
      <c r="C53" s="45">
        <v>0.68125000000000002</v>
      </c>
      <c r="D53" s="46">
        <v>113810</v>
      </c>
      <c r="E53" s="46">
        <v>18384</v>
      </c>
      <c r="F53" s="37">
        <v>45414</v>
      </c>
      <c r="G53" s="38">
        <v>0.45208333333333334</v>
      </c>
      <c r="H53" s="44" t="s">
        <v>20</v>
      </c>
      <c r="I53" s="46" t="s">
        <v>40</v>
      </c>
      <c r="J53" s="48" t="s">
        <v>165</v>
      </c>
      <c r="K53" s="46">
        <v>10</v>
      </c>
    </row>
    <row r="54" spans="1:11" ht="24" hidden="1" thickBot="1">
      <c r="A54" s="86">
        <v>4500069406</v>
      </c>
      <c r="B54" s="41">
        <v>45412</v>
      </c>
      <c r="C54" s="45">
        <v>0.68125000000000002</v>
      </c>
      <c r="D54" s="46">
        <v>113810</v>
      </c>
      <c r="E54" s="46">
        <v>18384</v>
      </c>
      <c r="F54" s="37">
        <v>45414</v>
      </c>
      <c r="G54" s="38">
        <v>0.45208333333333334</v>
      </c>
      <c r="H54" s="44" t="s">
        <v>20</v>
      </c>
      <c r="I54" s="46" t="s">
        <v>40</v>
      </c>
      <c r="J54" s="48" t="s">
        <v>107</v>
      </c>
      <c r="K54" s="46">
        <v>20</v>
      </c>
    </row>
    <row r="55" spans="1:11" ht="35" hidden="1" thickBot="1">
      <c r="A55" s="86">
        <v>4500069406</v>
      </c>
      <c r="B55" s="41">
        <v>45412</v>
      </c>
      <c r="C55" s="45">
        <v>0.68125000000000002</v>
      </c>
      <c r="D55" s="46">
        <v>113810</v>
      </c>
      <c r="E55" s="46">
        <v>18384</v>
      </c>
      <c r="F55" s="37">
        <v>45414</v>
      </c>
      <c r="G55" s="38">
        <v>0.45208333333333334</v>
      </c>
      <c r="H55" s="44" t="s">
        <v>20</v>
      </c>
      <c r="I55" s="46" t="s">
        <v>40</v>
      </c>
      <c r="J55" s="39" t="s">
        <v>112</v>
      </c>
      <c r="K55" s="36">
        <v>40</v>
      </c>
    </row>
    <row r="56" spans="1:11" ht="13.5" hidden="1" thickBot="1">
      <c r="A56" s="86">
        <v>4500069406</v>
      </c>
      <c r="B56" s="41">
        <v>45412</v>
      </c>
      <c r="C56" s="45">
        <v>0.68125000000000002</v>
      </c>
      <c r="D56" s="46">
        <v>113810</v>
      </c>
      <c r="E56" s="46">
        <v>18384</v>
      </c>
      <c r="F56" s="37">
        <v>45414</v>
      </c>
      <c r="G56" s="38">
        <v>0.45208333333333334</v>
      </c>
      <c r="H56" s="44" t="s">
        <v>20</v>
      </c>
      <c r="I56" s="46" t="s">
        <v>40</v>
      </c>
      <c r="J56" s="39" t="s">
        <v>90</v>
      </c>
      <c r="K56" s="36">
        <v>8</v>
      </c>
    </row>
    <row r="57" spans="1:11" ht="23.5" hidden="1" thickBot="1">
      <c r="A57" s="86">
        <v>4500069407</v>
      </c>
      <c r="B57" s="41">
        <v>45412</v>
      </c>
      <c r="C57" s="45">
        <v>0.68125000000000002</v>
      </c>
      <c r="D57" s="46">
        <v>113814</v>
      </c>
      <c r="E57" s="46">
        <v>18165</v>
      </c>
      <c r="F57" s="37">
        <v>45414</v>
      </c>
      <c r="G57" s="38">
        <v>0.59097222222222223</v>
      </c>
      <c r="H57" s="44" t="s">
        <v>20</v>
      </c>
      <c r="I57" s="46" t="s">
        <v>40</v>
      </c>
      <c r="J57" s="39" t="s">
        <v>71</v>
      </c>
      <c r="K57" s="36">
        <v>80</v>
      </c>
    </row>
    <row r="58" spans="1:11" ht="23.5" hidden="1" thickBot="1">
      <c r="A58" s="86">
        <v>4500069407</v>
      </c>
      <c r="B58" s="41">
        <v>45412</v>
      </c>
      <c r="C58" s="45">
        <v>0.68125000000000002</v>
      </c>
      <c r="D58" s="46">
        <v>113814</v>
      </c>
      <c r="E58" s="46">
        <v>18165</v>
      </c>
      <c r="F58" s="37">
        <v>45414</v>
      </c>
      <c r="G58" s="38">
        <v>0.59097222222222223</v>
      </c>
      <c r="H58" s="44" t="s">
        <v>20</v>
      </c>
      <c r="I58" s="46" t="s">
        <v>40</v>
      </c>
      <c r="J58" s="39" t="s">
        <v>66</v>
      </c>
      <c r="K58" s="36">
        <v>32</v>
      </c>
    </row>
    <row r="59" spans="1:11" ht="23.5" hidden="1" thickBot="1">
      <c r="A59" s="86">
        <v>4500069407</v>
      </c>
      <c r="B59" s="41">
        <v>45412</v>
      </c>
      <c r="C59" s="45">
        <v>0.68125000000000002</v>
      </c>
      <c r="D59" s="46">
        <v>113814</v>
      </c>
      <c r="E59" s="46">
        <v>18165</v>
      </c>
      <c r="F59" s="37">
        <v>45414</v>
      </c>
      <c r="G59" s="38">
        <v>0.59097222222222223</v>
      </c>
      <c r="H59" s="44" t="s">
        <v>20</v>
      </c>
      <c r="I59" s="46" t="s">
        <v>40</v>
      </c>
      <c r="J59" s="39" t="s">
        <v>74</v>
      </c>
      <c r="K59" s="36">
        <v>100</v>
      </c>
    </row>
    <row r="60" spans="1:11" ht="24" hidden="1" thickBot="1">
      <c r="A60" s="86">
        <v>4500069407</v>
      </c>
      <c r="B60" s="41">
        <v>45412</v>
      </c>
      <c r="C60" s="45">
        <v>0.68125000000000002</v>
      </c>
      <c r="D60" s="46">
        <v>113814</v>
      </c>
      <c r="E60" s="46">
        <v>18165</v>
      </c>
      <c r="F60" s="37">
        <v>45414</v>
      </c>
      <c r="G60" s="38">
        <v>0.59097222222222223</v>
      </c>
      <c r="H60" s="44" t="s">
        <v>20</v>
      </c>
      <c r="I60" s="46" t="s">
        <v>40</v>
      </c>
      <c r="J60" s="48" t="s">
        <v>150</v>
      </c>
      <c r="K60" s="46">
        <v>40</v>
      </c>
    </row>
    <row r="61" spans="1:11" ht="23.5" hidden="1" thickBot="1">
      <c r="A61" s="86">
        <v>4500069407</v>
      </c>
      <c r="B61" s="41">
        <v>45412</v>
      </c>
      <c r="C61" s="45">
        <v>0.68125000000000002</v>
      </c>
      <c r="D61" s="46">
        <v>113814</v>
      </c>
      <c r="E61" s="46">
        <v>18165</v>
      </c>
      <c r="F61" s="37">
        <v>45414</v>
      </c>
      <c r="G61" s="38">
        <v>0.59097222222222223</v>
      </c>
      <c r="H61" s="44" t="s">
        <v>20</v>
      </c>
      <c r="I61" s="46" t="s">
        <v>40</v>
      </c>
      <c r="J61" s="39" t="s">
        <v>176</v>
      </c>
      <c r="K61" s="36">
        <v>8</v>
      </c>
    </row>
    <row r="62" spans="1:11" ht="23.5" hidden="1" thickBot="1">
      <c r="A62" s="86">
        <v>4500069407</v>
      </c>
      <c r="B62" s="41">
        <v>45412</v>
      </c>
      <c r="C62" s="45">
        <v>0.68125000000000002</v>
      </c>
      <c r="D62" s="46">
        <v>113814</v>
      </c>
      <c r="E62" s="46">
        <v>18165</v>
      </c>
      <c r="F62" s="37">
        <v>45414</v>
      </c>
      <c r="G62" s="38">
        <v>0.59097222222222223</v>
      </c>
      <c r="H62" s="44" t="s">
        <v>20</v>
      </c>
      <c r="I62" s="46" t="s">
        <v>40</v>
      </c>
      <c r="J62" s="39" t="s">
        <v>165</v>
      </c>
      <c r="K62" s="36">
        <v>10</v>
      </c>
    </row>
    <row r="63" spans="1:11" ht="24" hidden="1" thickBot="1">
      <c r="A63" s="86">
        <v>4500069407</v>
      </c>
      <c r="B63" s="41">
        <v>45412</v>
      </c>
      <c r="C63" s="45">
        <v>0.68125000000000002</v>
      </c>
      <c r="D63" s="46">
        <v>113814</v>
      </c>
      <c r="E63" s="46">
        <v>18165</v>
      </c>
      <c r="F63" s="37">
        <v>45414</v>
      </c>
      <c r="G63" s="38">
        <v>0.59097222222222223</v>
      </c>
      <c r="H63" s="44" t="s">
        <v>20</v>
      </c>
      <c r="I63" s="46" t="s">
        <v>40</v>
      </c>
      <c r="J63" s="48" t="s">
        <v>177</v>
      </c>
      <c r="K63" s="36">
        <v>200</v>
      </c>
    </row>
    <row r="64" spans="1:11" ht="23.5" hidden="1" thickBot="1">
      <c r="A64" s="86">
        <v>4500069407</v>
      </c>
      <c r="B64" s="41">
        <v>45412</v>
      </c>
      <c r="C64" s="45">
        <v>0.68125000000000002</v>
      </c>
      <c r="D64" s="46">
        <v>113814</v>
      </c>
      <c r="E64" s="46">
        <v>18165</v>
      </c>
      <c r="F64" s="37">
        <v>45414</v>
      </c>
      <c r="G64" s="38">
        <v>0.59097222222222223</v>
      </c>
      <c r="H64" s="44" t="s">
        <v>20</v>
      </c>
      <c r="I64" s="46" t="s">
        <v>40</v>
      </c>
      <c r="J64" s="39" t="s">
        <v>69</v>
      </c>
      <c r="K64" s="36">
        <v>12</v>
      </c>
    </row>
    <row r="65" spans="1:11" ht="23.5" hidden="1" thickBot="1">
      <c r="A65" s="82">
        <v>4500069408</v>
      </c>
      <c r="B65" s="41">
        <v>45412</v>
      </c>
      <c r="C65" s="38">
        <v>0.68125000000000002</v>
      </c>
      <c r="D65" s="36">
        <v>113813</v>
      </c>
      <c r="E65" s="36">
        <v>18155</v>
      </c>
      <c r="F65" s="37">
        <v>45414</v>
      </c>
      <c r="G65" s="38">
        <v>0.58958333333333335</v>
      </c>
      <c r="H65" s="44" t="s">
        <v>20</v>
      </c>
      <c r="I65" s="36" t="s">
        <v>37</v>
      </c>
      <c r="J65" s="39" t="s">
        <v>121</v>
      </c>
      <c r="K65" s="36">
        <v>60</v>
      </c>
    </row>
    <row r="66" spans="1:11" ht="35" hidden="1" thickBot="1">
      <c r="A66" s="82">
        <v>4500069408</v>
      </c>
      <c r="B66" s="41">
        <v>45412</v>
      </c>
      <c r="C66" s="38">
        <v>0.68125000000000002</v>
      </c>
      <c r="D66" s="36">
        <v>113813</v>
      </c>
      <c r="E66" s="36">
        <v>18155</v>
      </c>
      <c r="F66" s="37">
        <v>45414</v>
      </c>
      <c r="G66" s="38">
        <v>0.58958333333333335</v>
      </c>
      <c r="H66" s="44" t="s">
        <v>20</v>
      </c>
      <c r="I66" s="36" t="s">
        <v>37</v>
      </c>
      <c r="J66" s="39" t="s">
        <v>112</v>
      </c>
      <c r="K66" s="36">
        <v>40</v>
      </c>
    </row>
    <row r="67" spans="1:11" ht="35" hidden="1" thickBot="1">
      <c r="A67" s="82">
        <v>4500069408</v>
      </c>
      <c r="B67" s="41">
        <v>45412</v>
      </c>
      <c r="C67" s="38">
        <v>0.68125000000000002</v>
      </c>
      <c r="D67" s="36">
        <v>113813</v>
      </c>
      <c r="E67" s="36">
        <v>18155</v>
      </c>
      <c r="F67" s="37">
        <v>45414</v>
      </c>
      <c r="G67" s="38">
        <v>0.58958333333333335</v>
      </c>
      <c r="H67" s="44" t="s">
        <v>20</v>
      </c>
      <c r="I67" s="36" t="s">
        <v>37</v>
      </c>
      <c r="J67" s="39" t="s">
        <v>92</v>
      </c>
      <c r="K67" s="36">
        <v>8</v>
      </c>
    </row>
    <row r="68" spans="1:11" ht="23.5" hidden="1" thickBot="1">
      <c r="A68" s="82">
        <v>4500069408</v>
      </c>
      <c r="B68" s="41">
        <v>45412</v>
      </c>
      <c r="C68" s="38">
        <v>0.68125000000000002</v>
      </c>
      <c r="D68" s="36">
        <v>113813</v>
      </c>
      <c r="E68" s="36">
        <v>18155</v>
      </c>
      <c r="F68" s="37">
        <v>45414</v>
      </c>
      <c r="G68" s="38">
        <v>0.58958333333333335</v>
      </c>
      <c r="H68" s="44" t="s">
        <v>20</v>
      </c>
      <c r="I68" s="36" t="s">
        <v>37</v>
      </c>
      <c r="J68" s="39" t="s">
        <v>118</v>
      </c>
      <c r="K68" s="36">
        <v>3</v>
      </c>
    </row>
    <row r="69" spans="1:11" ht="23.5" hidden="1" thickBot="1">
      <c r="A69" s="82">
        <v>4500069408</v>
      </c>
      <c r="B69" s="41">
        <v>45412</v>
      </c>
      <c r="C69" s="38">
        <v>0.68125000000000002</v>
      </c>
      <c r="D69" s="36">
        <v>113813</v>
      </c>
      <c r="E69" s="36">
        <v>18155</v>
      </c>
      <c r="F69" s="37">
        <v>45414</v>
      </c>
      <c r="G69" s="38">
        <v>0.58958333333333335</v>
      </c>
      <c r="H69" s="44" t="s">
        <v>20</v>
      </c>
      <c r="I69" s="36" t="s">
        <v>37</v>
      </c>
      <c r="J69" s="39" t="s">
        <v>66</v>
      </c>
      <c r="K69" s="36">
        <v>20</v>
      </c>
    </row>
    <row r="70" spans="1:11" ht="26" hidden="1" thickBot="1">
      <c r="A70" s="86">
        <v>936620</v>
      </c>
      <c r="B70" s="41">
        <v>45412</v>
      </c>
      <c r="C70" s="45">
        <v>0.68680555555555556</v>
      </c>
      <c r="D70" s="36">
        <v>113820</v>
      </c>
      <c r="E70" s="36">
        <v>18129</v>
      </c>
      <c r="F70" s="37">
        <v>45414</v>
      </c>
      <c r="G70" s="38">
        <v>0.58958333333333335</v>
      </c>
      <c r="H70" s="44" t="s">
        <v>8</v>
      </c>
      <c r="I70" s="46" t="s">
        <v>36</v>
      </c>
      <c r="J70" s="48" t="s">
        <v>162</v>
      </c>
      <c r="K70" s="46">
        <v>24</v>
      </c>
    </row>
    <row r="71" spans="1:11" ht="46.5" hidden="1" thickBot="1">
      <c r="A71" s="82">
        <v>1001459262</v>
      </c>
      <c r="B71" s="37">
        <v>45412</v>
      </c>
      <c r="C71" s="38">
        <v>0.70277777777777772</v>
      </c>
      <c r="D71" s="36">
        <v>113812</v>
      </c>
      <c r="E71" s="36">
        <v>18286</v>
      </c>
      <c r="F71" s="37">
        <v>45414</v>
      </c>
      <c r="G71" s="38">
        <v>0.58750000000000002</v>
      </c>
      <c r="H71" s="44" t="s">
        <v>151</v>
      </c>
      <c r="I71" s="36" t="s">
        <v>97</v>
      </c>
      <c r="J71" s="39" t="s">
        <v>101</v>
      </c>
      <c r="K71" s="36">
        <v>20</v>
      </c>
    </row>
    <row r="72" spans="1:11" ht="76" hidden="1" thickBot="1">
      <c r="A72" s="82" t="s">
        <v>178</v>
      </c>
      <c r="B72" s="37">
        <v>45414</v>
      </c>
      <c r="C72" s="38">
        <v>0.29375000000000001</v>
      </c>
      <c r="D72" s="36">
        <v>113815</v>
      </c>
      <c r="E72" s="36">
        <v>18142</v>
      </c>
      <c r="F72" s="37">
        <v>45414</v>
      </c>
      <c r="G72" s="38">
        <v>0.60347222222222219</v>
      </c>
      <c r="H72" s="44" t="s">
        <v>149</v>
      </c>
      <c r="I72" s="36" t="s">
        <v>36</v>
      </c>
      <c r="J72" s="39" t="s">
        <v>107</v>
      </c>
      <c r="K72" s="36">
        <v>8</v>
      </c>
    </row>
    <row r="73" spans="1:11" ht="76" hidden="1" thickBot="1">
      <c r="A73" s="82" t="s">
        <v>179</v>
      </c>
      <c r="B73" s="37">
        <v>45414</v>
      </c>
      <c r="C73" s="38">
        <v>0.29375000000000001</v>
      </c>
      <c r="D73" s="36">
        <v>113816</v>
      </c>
      <c r="E73" s="36">
        <v>18143</v>
      </c>
      <c r="F73" s="37">
        <v>45414</v>
      </c>
      <c r="G73" s="38">
        <v>0.60347222222222219</v>
      </c>
      <c r="H73" s="44" t="s">
        <v>149</v>
      </c>
      <c r="I73" s="36" t="s">
        <v>36</v>
      </c>
      <c r="J73" s="39" t="s">
        <v>150</v>
      </c>
      <c r="K73" s="36">
        <v>8</v>
      </c>
    </row>
    <row r="74" spans="1:11" ht="76" hidden="1" thickBot="1">
      <c r="A74" s="82" t="s">
        <v>180</v>
      </c>
      <c r="B74" s="37">
        <v>45414</v>
      </c>
      <c r="C74" s="38">
        <v>0.50138888888888888</v>
      </c>
      <c r="D74" s="36">
        <v>113817</v>
      </c>
      <c r="E74" s="36">
        <v>18145</v>
      </c>
      <c r="F74" s="37">
        <v>45414</v>
      </c>
      <c r="G74" s="38">
        <v>0.60347222222222219</v>
      </c>
      <c r="H74" s="44" t="s">
        <v>149</v>
      </c>
      <c r="I74" s="36" t="s">
        <v>36</v>
      </c>
      <c r="J74" s="39" t="s">
        <v>101</v>
      </c>
      <c r="K74" s="36">
        <v>80</v>
      </c>
    </row>
    <row r="75" spans="1:11" ht="44" hidden="1" thickBot="1">
      <c r="A75" s="88">
        <v>937355</v>
      </c>
      <c r="B75" s="37">
        <v>45414</v>
      </c>
      <c r="C75" s="38">
        <v>0.51180555555555551</v>
      </c>
      <c r="D75" s="36">
        <v>113818</v>
      </c>
      <c r="E75" s="36">
        <v>18153</v>
      </c>
      <c r="F75" s="37">
        <v>45414</v>
      </c>
      <c r="G75" s="38">
        <v>0.60347222222222219</v>
      </c>
      <c r="H75" s="44" t="s">
        <v>8</v>
      </c>
      <c r="I75" s="36" t="s">
        <v>181</v>
      </c>
      <c r="J75" s="49" t="s">
        <v>168</v>
      </c>
      <c r="K75" s="36">
        <v>40</v>
      </c>
    </row>
    <row r="76" spans="1:11" ht="35" thickBot="1">
      <c r="A76" s="85">
        <v>3</v>
      </c>
      <c r="B76" s="37">
        <v>45414</v>
      </c>
      <c r="C76" s="38">
        <v>0.4826388888888889</v>
      </c>
      <c r="D76" s="36">
        <v>113819</v>
      </c>
      <c r="E76" s="36">
        <v>18139</v>
      </c>
      <c r="F76" s="37">
        <v>45414</v>
      </c>
      <c r="G76" s="38">
        <v>0.60347222222222219</v>
      </c>
      <c r="H76" s="44" t="s">
        <v>133</v>
      </c>
      <c r="I76" s="36" t="s">
        <v>95</v>
      </c>
      <c r="J76" s="39" t="s">
        <v>99</v>
      </c>
      <c r="K76" s="36">
        <v>2</v>
      </c>
    </row>
    <row r="77" spans="1:11" ht="35" thickBot="1">
      <c r="A77" s="85">
        <v>3</v>
      </c>
      <c r="B77" s="37">
        <v>45414</v>
      </c>
      <c r="C77" s="38">
        <v>0.4826388888888889</v>
      </c>
      <c r="D77" s="36">
        <v>113819</v>
      </c>
      <c r="E77" s="36">
        <v>18139</v>
      </c>
      <c r="F77" s="37">
        <v>45414</v>
      </c>
      <c r="G77" s="38">
        <v>0.60347222222222219</v>
      </c>
      <c r="H77" s="44" t="s">
        <v>133</v>
      </c>
      <c r="I77" s="36" t="s">
        <v>95</v>
      </c>
      <c r="J77" s="39" t="s">
        <v>182</v>
      </c>
      <c r="K77" s="36">
        <v>4</v>
      </c>
    </row>
    <row r="78" spans="1:11" ht="35" hidden="1" thickBot="1">
      <c r="A78" s="82" t="s">
        <v>183</v>
      </c>
      <c r="B78" s="37">
        <v>45399</v>
      </c>
      <c r="C78" s="38">
        <v>0.6875</v>
      </c>
      <c r="D78" s="36">
        <v>113710</v>
      </c>
      <c r="E78" s="36">
        <v>18123</v>
      </c>
      <c r="F78" s="37">
        <v>45399</v>
      </c>
      <c r="G78" s="38">
        <v>0.6875</v>
      </c>
      <c r="H78" s="39" t="s">
        <v>141</v>
      </c>
      <c r="I78" s="36" t="s">
        <v>35</v>
      </c>
      <c r="J78" s="39" t="s">
        <v>163</v>
      </c>
      <c r="K78" s="36">
        <v>10</v>
      </c>
    </row>
    <row r="79" spans="1:11" ht="38.5" hidden="1" thickBot="1">
      <c r="A79" s="82">
        <v>937460</v>
      </c>
      <c r="B79" s="37">
        <v>45414</v>
      </c>
      <c r="C79" s="38">
        <v>0.62847222222222221</v>
      </c>
      <c r="D79" s="36">
        <v>113821</v>
      </c>
      <c r="E79" s="36">
        <v>18148</v>
      </c>
      <c r="F79" s="37">
        <v>45414</v>
      </c>
      <c r="G79" s="38">
        <v>0.67777777777777781</v>
      </c>
      <c r="H79" s="44" t="s">
        <v>16</v>
      </c>
      <c r="I79" s="36" t="s">
        <v>35</v>
      </c>
      <c r="J79" s="39" t="s">
        <v>68</v>
      </c>
      <c r="K79" s="36">
        <v>16</v>
      </c>
    </row>
    <row r="80" spans="1:11" ht="35" hidden="1" thickBot="1">
      <c r="A80" s="88">
        <v>937410</v>
      </c>
      <c r="B80" s="37">
        <v>45414</v>
      </c>
      <c r="C80" s="38">
        <v>0.59513888888888888</v>
      </c>
      <c r="D80" s="36">
        <v>113826</v>
      </c>
      <c r="E80" s="36">
        <v>18152</v>
      </c>
      <c r="F80" s="37">
        <v>45415</v>
      </c>
      <c r="G80" s="38">
        <v>0.34305555555555556</v>
      </c>
      <c r="H80" s="44" t="s">
        <v>8</v>
      </c>
      <c r="I80" s="36" t="s">
        <v>131</v>
      </c>
      <c r="J80" s="39" t="s">
        <v>168</v>
      </c>
      <c r="K80" s="36">
        <v>3</v>
      </c>
    </row>
    <row r="81" spans="1:11" ht="76" hidden="1" thickBot="1">
      <c r="A81" s="82" t="s">
        <v>184</v>
      </c>
      <c r="B81" s="37">
        <v>45414</v>
      </c>
      <c r="C81" s="38">
        <v>0.61319444444444449</v>
      </c>
      <c r="D81" s="36">
        <v>113827</v>
      </c>
      <c r="E81" s="36">
        <v>18187</v>
      </c>
      <c r="F81" s="37">
        <v>45415</v>
      </c>
      <c r="G81" s="38">
        <v>0.34305555555555556</v>
      </c>
      <c r="H81" s="44" t="s">
        <v>149</v>
      </c>
      <c r="I81" s="36" t="s">
        <v>33</v>
      </c>
      <c r="J81" s="39" t="s">
        <v>107</v>
      </c>
      <c r="K81" s="36">
        <v>4</v>
      </c>
    </row>
    <row r="82" spans="1:11" ht="76" hidden="1" thickBot="1">
      <c r="A82" s="82" t="s">
        <v>184</v>
      </c>
      <c r="B82" s="37">
        <v>45414</v>
      </c>
      <c r="C82" s="38">
        <v>0.61319444444444449</v>
      </c>
      <c r="D82" s="36">
        <v>113827</v>
      </c>
      <c r="E82" s="36">
        <v>18187</v>
      </c>
      <c r="F82" s="37">
        <v>45415</v>
      </c>
      <c r="G82" s="38">
        <v>0.34305555555555556</v>
      </c>
      <c r="H82" s="44" t="s">
        <v>149</v>
      </c>
      <c r="I82" s="36" t="s">
        <v>33</v>
      </c>
      <c r="J82" s="39" t="s">
        <v>101</v>
      </c>
      <c r="K82" s="36">
        <v>40</v>
      </c>
    </row>
    <row r="83" spans="1:11" ht="23.5" hidden="1" thickBot="1">
      <c r="A83" s="82">
        <v>937478</v>
      </c>
      <c r="B83" s="37">
        <v>45414</v>
      </c>
      <c r="C83" s="38">
        <v>0.62916666666666665</v>
      </c>
      <c r="D83" s="36">
        <v>113822</v>
      </c>
      <c r="E83" s="36">
        <v>18158</v>
      </c>
      <c r="F83" s="37">
        <v>45414</v>
      </c>
      <c r="G83" s="38">
        <v>0.68541666666666667</v>
      </c>
      <c r="H83" s="44" t="s">
        <v>11</v>
      </c>
      <c r="I83" s="36" t="s">
        <v>35</v>
      </c>
      <c r="J83" s="39" t="s">
        <v>69</v>
      </c>
      <c r="K83" s="36">
        <v>1</v>
      </c>
    </row>
    <row r="84" spans="1:11" ht="23.5" hidden="1" thickBot="1">
      <c r="A84" s="82">
        <v>937556</v>
      </c>
      <c r="B84" s="37">
        <v>45414</v>
      </c>
      <c r="C84" s="38">
        <v>0.66805555555555551</v>
      </c>
      <c r="D84" s="36">
        <v>113823</v>
      </c>
      <c r="E84" s="36">
        <v>18183</v>
      </c>
      <c r="F84" s="37">
        <v>45414</v>
      </c>
      <c r="G84" s="38">
        <v>0.68680555555555556</v>
      </c>
      <c r="H84" s="44" t="s">
        <v>11</v>
      </c>
      <c r="I84" s="36" t="s">
        <v>98</v>
      </c>
      <c r="J84" s="39" t="s">
        <v>69</v>
      </c>
      <c r="K84" s="36">
        <v>15</v>
      </c>
    </row>
    <row r="85" spans="1:11" ht="23.5" hidden="1" thickBot="1">
      <c r="A85" s="82">
        <v>538</v>
      </c>
      <c r="B85" s="37">
        <v>45414</v>
      </c>
      <c r="C85" s="38">
        <v>0.65138888888888891</v>
      </c>
      <c r="D85" s="36">
        <v>113828</v>
      </c>
      <c r="E85" s="36">
        <v>18146</v>
      </c>
      <c r="F85" s="37">
        <v>45415</v>
      </c>
      <c r="G85" s="38">
        <v>0.34375</v>
      </c>
      <c r="H85" s="44" t="s">
        <v>119</v>
      </c>
      <c r="I85" s="36" t="s">
        <v>37</v>
      </c>
      <c r="J85" s="39" t="s">
        <v>114</v>
      </c>
      <c r="K85" s="36">
        <v>5</v>
      </c>
    </row>
    <row r="86" spans="1:11" ht="35" hidden="1" thickBot="1">
      <c r="A86" s="82">
        <v>538</v>
      </c>
      <c r="B86" s="37">
        <v>45414</v>
      </c>
      <c r="C86" s="38">
        <v>0.65138888888888891</v>
      </c>
      <c r="D86" s="36">
        <v>113828</v>
      </c>
      <c r="E86" s="36">
        <v>18146</v>
      </c>
      <c r="F86" s="37">
        <v>45415</v>
      </c>
      <c r="G86" s="38">
        <v>0.34375</v>
      </c>
      <c r="H86" s="44" t="s">
        <v>119</v>
      </c>
      <c r="I86" s="36" t="s">
        <v>37</v>
      </c>
      <c r="J86" s="39" t="s">
        <v>163</v>
      </c>
      <c r="K86" s="36">
        <v>100</v>
      </c>
    </row>
    <row r="87" spans="1:11" ht="23.5" hidden="1" thickBot="1">
      <c r="A87" s="82">
        <v>538</v>
      </c>
      <c r="B87" s="37">
        <v>45414</v>
      </c>
      <c r="C87" s="38">
        <v>0.65138888888888891</v>
      </c>
      <c r="D87" s="36">
        <v>113828</v>
      </c>
      <c r="E87" s="36">
        <v>18146</v>
      </c>
      <c r="F87" s="37">
        <v>45415</v>
      </c>
      <c r="G87" s="38">
        <v>0.34375</v>
      </c>
      <c r="H87" s="44" t="s">
        <v>119</v>
      </c>
      <c r="I87" s="36" t="s">
        <v>37</v>
      </c>
      <c r="J87" s="39" t="s">
        <v>177</v>
      </c>
      <c r="K87" s="36">
        <v>20</v>
      </c>
    </row>
    <row r="88" spans="1:11" ht="51" hidden="1" thickBot="1">
      <c r="A88" s="89" t="s">
        <v>185</v>
      </c>
      <c r="B88" s="37">
        <v>45414</v>
      </c>
      <c r="C88" s="38">
        <v>0.65</v>
      </c>
      <c r="D88" s="36">
        <v>113824</v>
      </c>
      <c r="E88" s="36">
        <v>18151</v>
      </c>
      <c r="F88" s="37">
        <v>45414</v>
      </c>
      <c r="G88" s="38">
        <v>0.69305555555555554</v>
      </c>
      <c r="H88" s="44" t="s">
        <v>4</v>
      </c>
      <c r="I88" s="36" t="s">
        <v>132</v>
      </c>
      <c r="J88" s="39" t="s">
        <v>186</v>
      </c>
      <c r="K88" s="36">
        <v>15</v>
      </c>
    </row>
    <row r="89" spans="1:11" ht="51" hidden="1" thickBot="1">
      <c r="A89" s="89" t="s">
        <v>185</v>
      </c>
      <c r="B89" s="37">
        <v>45414</v>
      </c>
      <c r="C89" s="38">
        <v>0.65</v>
      </c>
      <c r="D89" s="36">
        <v>113824</v>
      </c>
      <c r="E89" s="36">
        <v>18151</v>
      </c>
      <c r="F89" s="37">
        <v>45414</v>
      </c>
      <c r="G89" s="38">
        <v>0.69305555555555554</v>
      </c>
      <c r="H89" s="44" t="s">
        <v>4</v>
      </c>
      <c r="I89" s="36" t="s">
        <v>132</v>
      </c>
      <c r="J89" s="39" t="s">
        <v>158</v>
      </c>
      <c r="K89" s="36">
        <v>1</v>
      </c>
    </row>
    <row r="90" spans="1:11" ht="38.5" hidden="1" thickBot="1">
      <c r="A90" s="90">
        <v>68000</v>
      </c>
      <c r="B90" s="37">
        <v>45414</v>
      </c>
      <c r="C90" s="38">
        <v>0.58402777777777781</v>
      </c>
      <c r="D90" s="36">
        <v>113829</v>
      </c>
      <c r="E90" s="36">
        <v>18179</v>
      </c>
      <c r="F90" s="37">
        <v>45415</v>
      </c>
      <c r="G90" s="38">
        <v>0.36249999999999999</v>
      </c>
      <c r="H90" s="44" t="s">
        <v>187</v>
      </c>
      <c r="I90" s="36" t="s">
        <v>98</v>
      </c>
      <c r="J90" s="39" t="s">
        <v>163</v>
      </c>
      <c r="K90" s="36">
        <v>223</v>
      </c>
    </row>
    <row r="91" spans="1:11" ht="38.5" hidden="1" thickBot="1">
      <c r="A91" s="90">
        <v>68000</v>
      </c>
      <c r="B91" s="37">
        <v>45414</v>
      </c>
      <c r="C91" s="38">
        <v>0.58402777777777781</v>
      </c>
      <c r="D91" s="36">
        <v>113829</v>
      </c>
      <c r="E91" s="36">
        <v>18179</v>
      </c>
      <c r="F91" s="37">
        <v>45415</v>
      </c>
      <c r="G91" s="38">
        <v>0.36249999999999999</v>
      </c>
      <c r="H91" s="44" t="s">
        <v>187</v>
      </c>
      <c r="I91" s="36" t="s">
        <v>98</v>
      </c>
      <c r="J91" s="39" t="s">
        <v>186</v>
      </c>
      <c r="K91" s="36">
        <v>2560</v>
      </c>
    </row>
    <row r="92" spans="1:11" ht="38.5" hidden="1" thickBot="1">
      <c r="A92" s="90">
        <v>68000</v>
      </c>
      <c r="B92" s="37">
        <v>45414</v>
      </c>
      <c r="C92" s="38">
        <v>0.58402777777777781</v>
      </c>
      <c r="D92" s="36">
        <v>113829</v>
      </c>
      <c r="E92" s="36">
        <v>18179</v>
      </c>
      <c r="F92" s="37">
        <v>45415</v>
      </c>
      <c r="G92" s="38">
        <v>0.36249999999999999</v>
      </c>
      <c r="H92" s="44" t="s">
        <v>187</v>
      </c>
      <c r="I92" s="36" t="s">
        <v>98</v>
      </c>
      <c r="J92" s="39" t="s">
        <v>188</v>
      </c>
      <c r="K92" s="36">
        <v>410</v>
      </c>
    </row>
    <row r="93" spans="1:11" ht="38.5" hidden="1" thickBot="1">
      <c r="A93" s="90">
        <v>68000</v>
      </c>
      <c r="B93" s="37">
        <v>45414</v>
      </c>
      <c r="C93" s="38">
        <v>0.58402777777777781</v>
      </c>
      <c r="D93" s="36">
        <v>113829</v>
      </c>
      <c r="E93" s="36">
        <v>18179</v>
      </c>
      <c r="F93" s="37">
        <v>45415</v>
      </c>
      <c r="G93" s="38">
        <v>0.36249999999999999</v>
      </c>
      <c r="H93" s="44" t="s">
        <v>187</v>
      </c>
      <c r="I93" s="36" t="s">
        <v>98</v>
      </c>
      <c r="J93" s="39" t="s">
        <v>162</v>
      </c>
      <c r="K93" s="36">
        <v>88</v>
      </c>
    </row>
    <row r="94" spans="1:11" ht="38.5" hidden="1" thickBot="1">
      <c r="A94" s="76">
        <v>68000</v>
      </c>
      <c r="B94" s="51">
        <v>45414</v>
      </c>
      <c r="C94" s="52">
        <v>0.58402777777777781</v>
      </c>
      <c r="D94" s="53">
        <v>113829</v>
      </c>
      <c r="E94" s="53">
        <v>18206</v>
      </c>
      <c r="F94" s="51">
        <v>45415</v>
      </c>
      <c r="G94" s="52">
        <v>0.36249999999999999</v>
      </c>
      <c r="H94" s="54" t="s">
        <v>187</v>
      </c>
      <c r="I94" s="53" t="s">
        <v>98</v>
      </c>
      <c r="J94" s="55" t="s">
        <v>162</v>
      </c>
      <c r="K94" s="53">
        <v>122</v>
      </c>
    </row>
    <row r="95" spans="1:11" ht="38.5" hidden="1" thickBot="1">
      <c r="A95" s="90">
        <v>68000</v>
      </c>
      <c r="B95" s="37">
        <v>45414</v>
      </c>
      <c r="C95" s="38">
        <v>0.58402777777777781</v>
      </c>
      <c r="D95" s="36">
        <v>113829</v>
      </c>
      <c r="E95" s="36">
        <v>18179</v>
      </c>
      <c r="F95" s="37">
        <v>45415</v>
      </c>
      <c r="G95" s="38">
        <v>0.36249999999999999</v>
      </c>
      <c r="H95" s="44" t="s">
        <v>187</v>
      </c>
      <c r="I95" s="36" t="s">
        <v>98</v>
      </c>
      <c r="J95" s="39" t="s">
        <v>158</v>
      </c>
      <c r="K95" s="36">
        <v>60</v>
      </c>
    </row>
    <row r="96" spans="1:11" ht="46.5" hidden="1" thickBot="1">
      <c r="A96" s="90">
        <v>68013</v>
      </c>
      <c r="B96" s="37">
        <v>45414</v>
      </c>
      <c r="C96" s="38">
        <v>0.58402777777777781</v>
      </c>
      <c r="D96" s="36">
        <v>113830</v>
      </c>
      <c r="E96" s="36">
        <v>18180</v>
      </c>
      <c r="F96" s="37">
        <v>45415</v>
      </c>
      <c r="G96" s="38">
        <v>0.36249999999999999</v>
      </c>
      <c r="H96" s="44" t="s">
        <v>187</v>
      </c>
      <c r="I96" s="36" t="s">
        <v>98</v>
      </c>
      <c r="J96" s="39" t="s">
        <v>101</v>
      </c>
      <c r="K96" s="36">
        <v>40</v>
      </c>
    </row>
    <row r="97" spans="1:11" ht="76" hidden="1" thickBot="1">
      <c r="A97" s="82" t="s">
        <v>189</v>
      </c>
      <c r="B97" s="37">
        <v>45414</v>
      </c>
      <c r="C97" s="38">
        <v>0.69305555555555554</v>
      </c>
      <c r="D97" s="36">
        <v>113825</v>
      </c>
      <c r="E97" s="36">
        <v>18147</v>
      </c>
      <c r="F97" s="37">
        <v>45415</v>
      </c>
      <c r="G97" s="38">
        <v>0.3263888888888889</v>
      </c>
      <c r="H97" s="44" t="s">
        <v>190</v>
      </c>
      <c r="I97" s="36" t="s">
        <v>191</v>
      </c>
      <c r="J97" s="39" t="s">
        <v>163</v>
      </c>
      <c r="K97" s="36">
        <v>30</v>
      </c>
    </row>
    <row r="98" spans="1:11" ht="23.5" hidden="1" thickBot="1">
      <c r="A98" s="88">
        <v>937669</v>
      </c>
      <c r="B98" s="37">
        <v>45414</v>
      </c>
      <c r="C98" s="38">
        <v>0.71388888888888891</v>
      </c>
      <c r="D98" s="36">
        <v>113831</v>
      </c>
      <c r="E98" s="36">
        <v>18157</v>
      </c>
      <c r="F98" s="37">
        <v>45415</v>
      </c>
      <c r="G98" s="38">
        <v>0.36319444444444443</v>
      </c>
      <c r="H98" s="44" t="s">
        <v>11</v>
      </c>
      <c r="I98" s="36" t="s">
        <v>42</v>
      </c>
      <c r="J98" s="39" t="s">
        <v>69</v>
      </c>
      <c r="K98" s="36">
        <v>4</v>
      </c>
    </row>
    <row r="99" spans="1:11" ht="35" hidden="1" thickBot="1">
      <c r="A99" s="82">
        <v>937723</v>
      </c>
      <c r="B99" s="37">
        <v>45414</v>
      </c>
      <c r="C99" s="38">
        <v>0.74305555555555558</v>
      </c>
      <c r="D99" s="36">
        <v>113832</v>
      </c>
      <c r="E99" s="36">
        <v>18209</v>
      </c>
      <c r="F99" s="37">
        <v>45415</v>
      </c>
      <c r="G99" s="38">
        <v>0.36319444444444443</v>
      </c>
      <c r="H99" s="44" t="s">
        <v>11</v>
      </c>
      <c r="I99" s="36" t="s">
        <v>97</v>
      </c>
      <c r="J99" s="39" t="s">
        <v>168</v>
      </c>
      <c r="K99" s="36">
        <v>2</v>
      </c>
    </row>
    <row r="100" spans="1:11" ht="23.5" hidden="1" thickBot="1">
      <c r="A100" s="88">
        <v>937723</v>
      </c>
      <c r="B100" s="37">
        <v>45414</v>
      </c>
      <c r="C100" s="38">
        <v>0.74305555555555558</v>
      </c>
      <c r="D100" s="36">
        <v>113832</v>
      </c>
      <c r="E100" s="36">
        <v>18209</v>
      </c>
      <c r="F100" s="37">
        <v>45415</v>
      </c>
      <c r="G100" s="38">
        <v>0.36319444444444443</v>
      </c>
      <c r="H100" s="44" t="s">
        <v>11</v>
      </c>
      <c r="I100" s="36" t="s">
        <v>97</v>
      </c>
      <c r="J100" s="39" t="s">
        <v>69</v>
      </c>
      <c r="K100" s="36">
        <v>4</v>
      </c>
    </row>
    <row r="101" spans="1:11" ht="51" hidden="1" thickBot="1">
      <c r="A101" s="82">
        <v>317249</v>
      </c>
      <c r="B101" s="37">
        <v>45415</v>
      </c>
      <c r="C101" s="38">
        <v>0.35486111111111113</v>
      </c>
      <c r="D101" s="36">
        <v>113833</v>
      </c>
      <c r="E101" s="36">
        <v>18161</v>
      </c>
      <c r="F101" s="37">
        <v>45415</v>
      </c>
      <c r="G101" s="38">
        <v>0.51875000000000004</v>
      </c>
      <c r="H101" s="44" t="s">
        <v>135</v>
      </c>
      <c r="I101" s="36" t="s">
        <v>35</v>
      </c>
      <c r="J101" s="39" t="s">
        <v>182</v>
      </c>
      <c r="K101" s="36">
        <v>7</v>
      </c>
    </row>
    <row r="102" spans="1:11" ht="51" hidden="1" thickBot="1">
      <c r="A102" s="82" t="s">
        <v>192</v>
      </c>
      <c r="B102" s="37">
        <v>45415</v>
      </c>
      <c r="C102" s="38">
        <v>0.44374999999999998</v>
      </c>
      <c r="D102" s="36">
        <v>113834</v>
      </c>
      <c r="E102" s="36">
        <v>18159</v>
      </c>
      <c r="F102" s="37">
        <v>45415</v>
      </c>
      <c r="G102" s="38">
        <v>0.51875000000000004</v>
      </c>
      <c r="H102" s="44" t="s">
        <v>193</v>
      </c>
      <c r="I102" s="36" t="s">
        <v>106</v>
      </c>
      <c r="J102" s="39" t="s">
        <v>170</v>
      </c>
      <c r="K102" s="36">
        <v>20</v>
      </c>
    </row>
    <row r="103" spans="1:11" ht="51" hidden="1" thickBot="1">
      <c r="A103" s="82" t="s">
        <v>194</v>
      </c>
      <c r="B103" s="37">
        <v>45415</v>
      </c>
      <c r="C103" s="38">
        <v>0.50555555555555554</v>
      </c>
      <c r="D103" s="36">
        <v>113835</v>
      </c>
      <c r="E103" s="36">
        <v>18200</v>
      </c>
      <c r="F103" s="37">
        <v>45415</v>
      </c>
      <c r="G103" s="38">
        <v>0.51944444444444449</v>
      </c>
      <c r="H103" s="44" t="s">
        <v>193</v>
      </c>
      <c r="I103" s="36" t="s">
        <v>106</v>
      </c>
      <c r="J103" s="39" t="s">
        <v>71</v>
      </c>
      <c r="K103" s="36">
        <v>4</v>
      </c>
    </row>
    <row r="104" spans="1:11" ht="51" hidden="1" thickBot="1">
      <c r="A104" s="82" t="s">
        <v>194</v>
      </c>
      <c r="B104" s="37">
        <v>45415</v>
      </c>
      <c r="C104" s="38">
        <v>0.50555555555555554</v>
      </c>
      <c r="D104" s="36">
        <v>113835</v>
      </c>
      <c r="E104" s="36">
        <v>18200</v>
      </c>
      <c r="F104" s="37">
        <v>45415</v>
      </c>
      <c r="G104" s="38">
        <v>0.51944444444444449</v>
      </c>
      <c r="H104" s="44" t="s">
        <v>193</v>
      </c>
      <c r="I104" s="36" t="s">
        <v>106</v>
      </c>
      <c r="J104" s="39" t="s">
        <v>92</v>
      </c>
      <c r="K104" s="36">
        <v>4</v>
      </c>
    </row>
    <row r="105" spans="1:11" ht="23.5" hidden="1" thickBot="1">
      <c r="A105" s="82">
        <v>4500069455</v>
      </c>
      <c r="B105" s="37">
        <v>45415</v>
      </c>
      <c r="C105" s="38">
        <v>0.5</v>
      </c>
      <c r="D105" s="36">
        <v>113836</v>
      </c>
      <c r="E105" s="36">
        <v>18166</v>
      </c>
      <c r="F105" s="37">
        <v>45415</v>
      </c>
      <c r="G105" s="38">
        <v>0.6118055555555556</v>
      </c>
      <c r="H105" s="44" t="s">
        <v>20</v>
      </c>
      <c r="I105" s="36" t="s">
        <v>40</v>
      </c>
      <c r="J105" s="39" t="s">
        <v>67</v>
      </c>
      <c r="K105" s="36">
        <v>20</v>
      </c>
    </row>
    <row r="106" spans="1:11" ht="23.5" hidden="1" thickBot="1">
      <c r="A106" s="82">
        <v>4500069455</v>
      </c>
      <c r="B106" s="37">
        <v>45415</v>
      </c>
      <c r="C106" s="38">
        <v>0.5</v>
      </c>
      <c r="D106" s="36">
        <v>113836</v>
      </c>
      <c r="E106" s="36">
        <v>18166</v>
      </c>
      <c r="F106" s="37">
        <v>45415</v>
      </c>
      <c r="G106" s="38">
        <v>0.6118055555555556</v>
      </c>
      <c r="H106" s="44" t="s">
        <v>20</v>
      </c>
      <c r="I106" s="36" t="s">
        <v>40</v>
      </c>
      <c r="J106" s="39" t="s">
        <v>174</v>
      </c>
      <c r="K106" s="36">
        <v>5</v>
      </c>
    </row>
    <row r="107" spans="1:11" ht="51" hidden="1" thickBot="1">
      <c r="A107" s="82" t="s">
        <v>195</v>
      </c>
      <c r="B107" s="37">
        <v>45415</v>
      </c>
      <c r="C107" s="38">
        <v>0.59027777777777779</v>
      </c>
      <c r="D107" s="36">
        <v>113837</v>
      </c>
      <c r="E107" s="36">
        <v>18160</v>
      </c>
      <c r="F107" s="37">
        <v>45415</v>
      </c>
      <c r="G107" s="38">
        <v>0.6118055555555556</v>
      </c>
      <c r="H107" s="44" t="s">
        <v>193</v>
      </c>
      <c r="I107" s="36" t="s">
        <v>196</v>
      </c>
      <c r="J107" s="39" t="s">
        <v>186</v>
      </c>
      <c r="K107" s="36">
        <v>120</v>
      </c>
    </row>
    <row r="108" spans="1:11" ht="23.5" hidden="1" thickBot="1">
      <c r="A108" s="82">
        <v>549</v>
      </c>
      <c r="B108" s="37">
        <v>45415</v>
      </c>
      <c r="C108" s="38">
        <v>0.6791666666666667</v>
      </c>
      <c r="D108" s="36">
        <v>113843</v>
      </c>
      <c r="E108" s="36">
        <v>18177</v>
      </c>
      <c r="F108" s="41">
        <v>45418</v>
      </c>
      <c r="G108" s="38">
        <v>0.41805555555555557</v>
      </c>
      <c r="H108" s="44" t="s">
        <v>119</v>
      </c>
      <c r="I108" s="36" t="s">
        <v>37</v>
      </c>
      <c r="J108" s="39" t="s">
        <v>122</v>
      </c>
      <c r="K108" s="36">
        <v>30</v>
      </c>
    </row>
    <row r="109" spans="1:11" ht="23.5" hidden="1" thickBot="1">
      <c r="A109" s="82">
        <v>549</v>
      </c>
      <c r="B109" s="37">
        <v>45415</v>
      </c>
      <c r="C109" s="38">
        <v>0.6791666666666667</v>
      </c>
      <c r="D109" s="36">
        <v>113843</v>
      </c>
      <c r="E109" s="36">
        <v>18177</v>
      </c>
      <c r="F109" s="41">
        <v>45418</v>
      </c>
      <c r="G109" s="38">
        <v>0.41805555555555557</v>
      </c>
      <c r="H109" s="44" t="s">
        <v>119</v>
      </c>
      <c r="I109" s="36" t="s">
        <v>37</v>
      </c>
      <c r="J109" s="39" t="s">
        <v>68</v>
      </c>
      <c r="K109" s="36">
        <v>30</v>
      </c>
    </row>
    <row r="110" spans="1:11" ht="51" hidden="1" thickBot="1">
      <c r="A110" s="74" t="s">
        <v>197</v>
      </c>
      <c r="B110" s="57">
        <v>45415</v>
      </c>
      <c r="C110" s="58">
        <v>0.68333333333333335</v>
      </c>
      <c r="D110" s="59"/>
      <c r="E110" s="56" t="s">
        <v>65</v>
      </c>
      <c r="F110" s="59"/>
      <c r="G110" s="59"/>
      <c r="H110" s="60" t="s">
        <v>104</v>
      </c>
      <c r="I110" s="56" t="s">
        <v>198</v>
      </c>
      <c r="J110" s="61" t="s">
        <v>163</v>
      </c>
      <c r="K110" s="56">
        <v>10</v>
      </c>
    </row>
    <row r="111" spans="1:11" ht="24" thickBot="1">
      <c r="A111" s="91">
        <v>4</v>
      </c>
      <c r="B111" s="37">
        <v>45415</v>
      </c>
      <c r="C111" s="45">
        <v>0.6958333333333333</v>
      </c>
      <c r="D111" s="36">
        <v>113844</v>
      </c>
      <c r="E111" s="36">
        <v>18342</v>
      </c>
      <c r="F111" s="41">
        <v>45418</v>
      </c>
      <c r="G111" s="38">
        <v>0.41805555555555557</v>
      </c>
      <c r="H111" s="44" t="s">
        <v>175</v>
      </c>
      <c r="I111" s="46" t="s">
        <v>35</v>
      </c>
      <c r="J111" s="48" t="s">
        <v>150</v>
      </c>
      <c r="K111" s="46">
        <v>20</v>
      </c>
    </row>
    <row r="112" spans="1:11" ht="26" hidden="1" thickBot="1">
      <c r="A112" s="82">
        <v>662</v>
      </c>
      <c r="B112" s="37">
        <v>45415</v>
      </c>
      <c r="C112" s="38">
        <v>0.7</v>
      </c>
      <c r="D112" s="36">
        <v>113839</v>
      </c>
      <c r="E112" s="36">
        <v>18176</v>
      </c>
      <c r="F112" s="41">
        <v>45418</v>
      </c>
      <c r="G112" s="38">
        <v>0.38263888888888886</v>
      </c>
      <c r="H112" s="44" t="s">
        <v>128</v>
      </c>
      <c r="I112" s="46" t="s">
        <v>32</v>
      </c>
      <c r="J112" s="39" t="s">
        <v>114</v>
      </c>
      <c r="K112" s="36">
        <v>4</v>
      </c>
    </row>
    <row r="113" spans="1:11" ht="51" hidden="1" thickBot="1">
      <c r="A113" s="82" t="s">
        <v>199</v>
      </c>
      <c r="B113" s="37">
        <v>45415</v>
      </c>
      <c r="C113" s="38">
        <v>0.77847222222222223</v>
      </c>
      <c r="D113" s="36">
        <v>113840</v>
      </c>
      <c r="E113" s="36">
        <v>18172</v>
      </c>
      <c r="F113" s="41">
        <v>45418</v>
      </c>
      <c r="G113" s="38">
        <v>0.40208333333333335</v>
      </c>
      <c r="H113" s="44" t="s">
        <v>4</v>
      </c>
      <c r="I113" s="46" t="s">
        <v>132</v>
      </c>
      <c r="J113" s="39" t="s">
        <v>163</v>
      </c>
      <c r="K113" s="36">
        <v>5</v>
      </c>
    </row>
    <row r="114" spans="1:11" ht="76" hidden="1" thickBot="1">
      <c r="A114" s="82" t="s">
        <v>200</v>
      </c>
      <c r="B114" s="37">
        <v>45416</v>
      </c>
      <c r="C114" s="38">
        <v>0.375</v>
      </c>
      <c r="D114" s="36">
        <v>113845</v>
      </c>
      <c r="E114" s="36">
        <v>18198</v>
      </c>
      <c r="F114" s="41">
        <v>45418</v>
      </c>
      <c r="G114" s="38">
        <v>0.41944444444444445</v>
      </c>
      <c r="H114" s="44" t="s">
        <v>149</v>
      </c>
      <c r="I114" s="46" t="s">
        <v>33</v>
      </c>
      <c r="J114" s="39" t="s">
        <v>109</v>
      </c>
      <c r="K114" s="36">
        <v>12</v>
      </c>
    </row>
    <row r="115" spans="1:11" ht="38.5" hidden="1" thickBot="1">
      <c r="A115" s="82">
        <v>4500064740</v>
      </c>
      <c r="B115" s="37">
        <v>45417</v>
      </c>
      <c r="C115" s="38">
        <v>0.75486111111111109</v>
      </c>
      <c r="D115" s="36">
        <v>113841</v>
      </c>
      <c r="E115" s="36">
        <v>18171</v>
      </c>
      <c r="F115" s="41">
        <v>45418</v>
      </c>
      <c r="G115" s="38">
        <v>0.40625</v>
      </c>
      <c r="H115" s="44" t="s">
        <v>137</v>
      </c>
      <c r="I115" s="46" t="s">
        <v>120</v>
      </c>
      <c r="J115" s="39" t="s">
        <v>186</v>
      </c>
      <c r="K115" s="36">
        <v>560</v>
      </c>
    </row>
    <row r="116" spans="1:11" ht="38.5" thickBot="1">
      <c r="A116" s="75">
        <v>5</v>
      </c>
      <c r="B116" s="63">
        <v>45418</v>
      </c>
      <c r="C116" s="64">
        <v>0.30694444444444446</v>
      </c>
      <c r="D116" s="65">
        <v>113857</v>
      </c>
      <c r="E116" s="65">
        <v>18186</v>
      </c>
      <c r="F116" s="66">
        <v>45419</v>
      </c>
      <c r="G116" s="64">
        <v>0.51597222222222228</v>
      </c>
      <c r="H116" s="67" t="s">
        <v>5</v>
      </c>
      <c r="I116" s="68" t="s">
        <v>34</v>
      </c>
      <c r="J116" s="69" t="s">
        <v>67</v>
      </c>
      <c r="K116" s="65">
        <v>20</v>
      </c>
    </row>
    <row r="117" spans="1:11" ht="23.5" hidden="1" thickBot="1">
      <c r="A117" s="82">
        <v>4500119910</v>
      </c>
      <c r="B117" s="37">
        <v>45418</v>
      </c>
      <c r="C117" s="38">
        <v>0.35486111111111113</v>
      </c>
      <c r="D117" s="36">
        <v>113842</v>
      </c>
      <c r="E117" s="36">
        <v>18169</v>
      </c>
      <c r="F117" s="41">
        <v>45418</v>
      </c>
      <c r="G117" s="38">
        <v>0.40972222222222221</v>
      </c>
      <c r="H117" s="44" t="s">
        <v>3</v>
      </c>
      <c r="I117" s="46" t="s">
        <v>42</v>
      </c>
      <c r="J117" s="39" t="s">
        <v>176</v>
      </c>
      <c r="K117" s="36">
        <v>3</v>
      </c>
    </row>
    <row r="118" spans="1:11" ht="23.5" hidden="1" thickBot="1">
      <c r="A118" s="82">
        <v>4500119910</v>
      </c>
      <c r="B118" s="37">
        <v>45418</v>
      </c>
      <c r="C118" s="38">
        <v>0.35486111111111113</v>
      </c>
      <c r="D118" s="36">
        <v>113842</v>
      </c>
      <c r="E118" s="36">
        <v>18169</v>
      </c>
      <c r="F118" s="41">
        <v>45418</v>
      </c>
      <c r="G118" s="38">
        <v>0.40972222222222221</v>
      </c>
      <c r="H118" s="44" t="s">
        <v>3</v>
      </c>
      <c r="I118" s="46" t="s">
        <v>42</v>
      </c>
      <c r="J118" s="39" t="s">
        <v>68</v>
      </c>
      <c r="K118" s="36">
        <v>4</v>
      </c>
    </row>
    <row r="119" spans="1:11" ht="35" hidden="1" thickBot="1">
      <c r="A119" s="82" t="s">
        <v>201</v>
      </c>
      <c r="B119" s="37">
        <v>45418</v>
      </c>
      <c r="C119" s="38">
        <v>0.39513888888888887</v>
      </c>
      <c r="D119" s="36">
        <v>113846</v>
      </c>
      <c r="E119" s="36">
        <v>18174</v>
      </c>
      <c r="F119" s="41">
        <v>45418</v>
      </c>
      <c r="G119" s="38">
        <v>0.4201388888888889</v>
      </c>
      <c r="H119" s="44" t="s">
        <v>116</v>
      </c>
      <c r="I119" s="36" t="s">
        <v>37</v>
      </c>
      <c r="J119" s="39" t="s">
        <v>163</v>
      </c>
      <c r="K119" s="36">
        <v>6</v>
      </c>
    </row>
    <row r="120" spans="1:11" ht="35" hidden="1" thickBot="1">
      <c r="A120" s="82">
        <v>939058</v>
      </c>
      <c r="B120" s="37">
        <v>45418</v>
      </c>
      <c r="C120" s="38">
        <v>0.40763888888888888</v>
      </c>
      <c r="D120" s="36">
        <v>113847</v>
      </c>
      <c r="E120" s="36">
        <v>18201</v>
      </c>
      <c r="F120" s="41">
        <v>45418</v>
      </c>
      <c r="G120" s="38">
        <v>0.48749999999999999</v>
      </c>
      <c r="H120" s="44" t="s">
        <v>11</v>
      </c>
      <c r="I120" s="36" t="s">
        <v>97</v>
      </c>
      <c r="J120" s="39" t="s">
        <v>168</v>
      </c>
      <c r="K120" s="36">
        <v>2</v>
      </c>
    </row>
    <row r="121" spans="1:11" ht="35" hidden="1" thickBot="1">
      <c r="A121" s="82">
        <v>939058</v>
      </c>
      <c r="B121" s="37">
        <v>45418</v>
      </c>
      <c r="C121" s="38">
        <v>0.40763888888888888</v>
      </c>
      <c r="D121" s="36">
        <v>113847</v>
      </c>
      <c r="E121" s="36">
        <v>18201</v>
      </c>
      <c r="F121" s="41">
        <v>45418</v>
      </c>
      <c r="G121" s="38">
        <v>0.48749999999999999</v>
      </c>
      <c r="H121" s="44" t="s">
        <v>11</v>
      </c>
      <c r="I121" s="36" t="s">
        <v>97</v>
      </c>
      <c r="J121" s="39" t="s">
        <v>99</v>
      </c>
      <c r="K121" s="36">
        <v>3</v>
      </c>
    </row>
    <row r="122" spans="1:11" ht="23.5" hidden="1" thickBot="1">
      <c r="A122" s="88">
        <v>939107</v>
      </c>
      <c r="B122" s="37">
        <v>45418</v>
      </c>
      <c r="C122" s="38">
        <v>0.44027777777777777</v>
      </c>
      <c r="D122" s="36">
        <v>113848</v>
      </c>
      <c r="E122" s="36">
        <v>18181</v>
      </c>
      <c r="F122" s="41">
        <v>45418</v>
      </c>
      <c r="G122" s="38">
        <v>0.48888888888888887</v>
      </c>
      <c r="H122" s="44" t="s">
        <v>11</v>
      </c>
      <c r="I122" s="36" t="s">
        <v>98</v>
      </c>
      <c r="J122" s="39" t="s">
        <v>96</v>
      </c>
      <c r="K122" s="36">
        <v>7</v>
      </c>
    </row>
    <row r="123" spans="1:11" ht="38.5" thickBot="1">
      <c r="A123" s="91">
        <v>6</v>
      </c>
      <c r="B123" s="37">
        <v>45418</v>
      </c>
      <c r="C123" s="38">
        <v>0.46458333333333335</v>
      </c>
      <c r="D123" s="36">
        <v>113849</v>
      </c>
      <c r="E123" s="36">
        <v>18170</v>
      </c>
      <c r="F123" s="41">
        <v>45418</v>
      </c>
      <c r="G123" s="38">
        <v>0.48888888888888887</v>
      </c>
      <c r="H123" s="44" t="s">
        <v>108</v>
      </c>
      <c r="I123" s="36" t="s">
        <v>32</v>
      </c>
      <c r="J123" s="39" t="s">
        <v>67</v>
      </c>
      <c r="K123" s="36">
        <v>1</v>
      </c>
    </row>
    <row r="124" spans="1:11" ht="38.5" hidden="1" thickBot="1">
      <c r="A124" s="82" t="s">
        <v>207</v>
      </c>
      <c r="B124" s="37">
        <v>45418</v>
      </c>
      <c r="C124" s="38">
        <v>0.46597222222222223</v>
      </c>
      <c r="D124" s="36">
        <v>113850</v>
      </c>
      <c r="E124" s="36">
        <v>18168</v>
      </c>
      <c r="F124" s="41">
        <v>45418</v>
      </c>
      <c r="G124" s="38">
        <v>0.48958333333333331</v>
      </c>
      <c r="H124" s="44" t="s">
        <v>75</v>
      </c>
      <c r="I124" s="36" t="s">
        <v>202</v>
      </c>
      <c r="J124" s="39" t="s">
        <v>182</v>
      </c>
      <c r="K124" s="36">
        <v>2</v>
      </c>
    </row>
    <row r="125" spans="1:11" ht="35" hidden="1" thickBot="1">
      <c r="A125" s="82" t="s">
        <v>203</v>
      </c>
      <c r="B125" s="37">
        <v>45418</v>
      </c>
      <c r="C125" s="38">
        <v>0.46736111111111112</v>
      </c>
      <c r="D125" s="36">
        <v>113851</v>
      </c>
      <c r="E125" s="36">
        <v>18173</v>
      </c>
      <c r="F125" s="41">
        <v>45418</v>
      </c>
      <c r="G125" s="38">
        <v>0.58819444444444446</v>
      </c>
      <c r="H125" s="39" t="s">
        <v>208</v>
      </c>
      <c r="I125" s="36" t="s">
        <v>43</v>
      </c>
      <c r="J125" s="39" t="s">
        <v>162</v>
      </c>
      <c r="K125" s="36">
        <v>40</v>
      </c>
    </row>
    <row r="126" spans="1:11" ht="38.5" thickBot="1">
      <c r="A126" s="92">
        <v>7</v>
      </c>
      <c r="B126" s="37">
        <v>45418</v>
      </c>
      <c r="C126" s="38">
        <v>0.55625000000000002</v>
      </c>
      <c r="D126" s="36">
        <v>113852</v>
      </c>
      <c r="E126" s="36">
        <v>18178</v>
      </c>
      <c r="F126" s="37">
        <v>45418</v>
      </c>
      <c r="G126" s="38">
        <v>0.59375</v>
      </c>
      <c r="H126" s="44" t="s">
        <v>102</v>
      </c>
      <c r="I126" s="36" t="s">
        <v>103</v>
      </c>
      <c r="J126" s="39" t="s">
        <v>158</v>
      </c>
      <c r="K126" s="36">
        <v>4</v>
      </c>
    </row>
    <row r="127" spans="1:11" ht="76" hidden="1" thickBot="1">
      <c r="A127" s="82" t="s">
        <v>204</v>
      </c>
      <c r="B127" s="37">
        <v>45418</v>
      </c>
      <c r="C127" s="38">
        <v>0.57013888888888886</v>
      </c>
      <c r="D127" s="36">
        <v>113855</v>
      </c>
      <c r="E127" s="36">
        <v>18196</v>
      </c>
      <c r="F127" s="37">
        <v>45419</v>
      </c>
      <c r="G127" s="38">
        <v>0.51458333333333328</v>
      </c>
      <c r="H127" s="44" t="s">
        <v>149</v>
      </c>
      <c r="I127" s="36" t="s">
        <v>97</v>
      </c>
      <c r="J127" s="39" t="s">
        <v>109</v>
      </c>
      <c r="K127" s="36">
        <v>8</v>
      </c>
    </row>
    <row r="128" spans="1:11" ht="76" hidden="1" thickBot="1">
      <c r="A128" s="82" t="s">
        <v>204</v>
      </c>
      <c r="B128" s="37">
        <v>45418</v>
      </c>
      <c r="C128" s="38">
        <v>0.57013888888888886</v>
      </c>
      <c r="D128" s="36">
        <v>113855</v>
      </c>
      <c r="E128" s="36">
        <v>18196</v>
      </c>
      <c r="F128" s="37">
        <v>45419</v>
      </c>
      <c r="G128" s="38">
        <v>0.51458333333333328</v>
      </c>
      <c r="H128" s="44" t="s">
        <v>149</v>
      </c>
      <c r="I128" s="36" t="s">
        <v>97</v>
      </c>
      <c r="J128" s="39" t="s">
        <v>150</v>
      </c>
      <c r="K128" s="36">
        <v>14</v>
      </c>
    </row>
    <row r="129" spans="1:11" ht="76" hidden="1" thickBot="1">
      <c r="A129" s="82" t="s">
        <v>205</v>
      </c>
      <c r="B129" s="37">
        <v>45418</v>
      </c>
      <c r="C129" s="38">
        <v>0.59027777777777779</v>
      </c>
      <c r="D129" s="36">
        <v>113856</v>
      </c>
      <c r="E129" s="36">
        <v>18199</v>
      </c>
      <c r="F129" s="37">
        <v>45419</v>
      </c>
      <c r="G129" s="38">
        <v>0.51527777777777772</v>
      </c>
      <c r="H129" s="44" t="s">
        <v>149</v>
      </c>
      <c r="I129" s="36" t="s">
        <v>36</v>
      </c>
      <c r="J129" s="39" t="s">
        <v>101</v>
      </c>
      <c r="K129" s="36">
        <v>40</v>
      </c>
    </row>
    <row r="130" spans="1:11" ht="76" hidden="1" thickBot="1">
      <c r="A130" s="82" t="s">
        <v>205</v>
      </c>
      <c r="B130" s="37">
        <v>45418</v>
      </c>
      <c r="C130" s="38">
        <v>0.59027777777777779</v>
      </c>
      <c r="D130" s="36">
        <v>113856</v>
      </c>
      <c r="E130" s="36">
        <v>18199</v>
      </c>
      <c r="F130" s="37">
        <v>45419</v>
      </c>
      <c r="G130" s="38">
        <v>0.51527777777777772</v>
      </c>
      <c r="H130" s="44" t="s">
        <v>149</v>
      </c>
      <c r="I130" s="36" t="s">
        <v>36</v>
      </c>
      <c r="J130" s="39" t="s">
        <v>109</v>
      </c>
      <c r="K130" s="36">
        <v>4</v>
      </c>
    </row>
    <row r="131" spans="1:11" ht="46.5" thickBot="1">
      <c r="A131" s="85">
        <v>8</v>
      </c>
      <c r="B131" s="37">
        <v>45418</v>
      </c>
      <c r="C131" s="40"/>
      <c r="D131" s="36">
        <v>113853</v>
      </c>
      <c r="E131" s="36">
        <v>18187</v>
      </c>
      <c r="F131" s="37">
        <v>45418</v>
      </c>
      <c r="G131" s="38">
        <v>0.63888888888888884</v>
      </c>
      <c r="H131" s="44" t="s">
        <v>138</v>
      </c>
      <c r="I131" s="36" t="s">
        <v>206</v>
      </c>
      <c r="J131" s="39" t="s">
        <v>101</v>
      </c>
      <c r="K131" s="36">
        <v>1</v>
      </c>
    </row>
    <row r="132" spans="1:11" ht="35" thickBot="1">
      <c r="A132" s="85">
        <v>8</v>
      </c>
      <c r="B132" s="37">
        <v>45418</v>
      </c>
      <c r="C132" s="40"/>
      <c r="D132" s="36">
        <v>113853</v>
      </c>
      <c r="E132" s="36">
        <v>18187</v>
      </c>
      <c r="F132" s="37">
        <v>45418</v>
      </c>
      <c r="G132" s="38">
        <v>0.63888888888888884</v>
      </c>
      <c r="H132" s="44" t="s">
        <v>138</v>
      </c>
      <c r="I132" s="36" t="s">
        <v>206</v>
      </c>
      <c r="J132" s="39" t="s">
        <v>99</v>
      </c>
      <c r="K132" s="36">
        <v>1</v>
      </c>
    </row>
    <row r="133" spans="1:11" ht="35" thickBot="1">
      <c r="A133" s="85">
        <v>8</v>
      </c>
      <c r="B133" s="37">
        <v>45418</v>
      </c>
      <c r="C133" s="40"/>
      <c r="D133" s="36">
        <v>113853</v>
      </c>
      <c r="E133" s="36">
        <v>18187</v>
      </c>
      <c r="F133" s="37">
        <v>45418</v>
      </c>
      <c r="G133" s="38">
        <v>0.63888888888888884</v>
      </c>
      <c r="H133" s="44" t="s">
        <v>138</v>
      </c>
      <c r="I133" s="36" t="s">
        <v>206</v>
      </c>
      <c r="J133" s="39" t="s">
        <v>182</v>
      </c>
      <c r="K133" s="36">
        <v>1</v>
      </c>
    </row>
    <row r="134" spans="1:11" ht="51" hidden="1" thickBot="1">
      <c r="A134" s="82">
        <v>317249</v>
      </c>
      <c r="B134" s="37">
        <v>45419</v>
      </c>
      <c r="C134" s="38">
        <v>0.48194444444444445</v>
      </c>
      <c r="D134" s="36">
        <v>113858</v>
      </c>
      <c r="E134" s="36">
        <v>18188</v>
      </c>
      <c r="F134" s="37">
        <v>45419</v>
      </c>
      <c r="G134" s="38">
        <v>0.56597222222222221</v>
      </c>
      <c r="H134" s="44" t="s">
        <v>135</v>
      </c>
      <c r="I134" s="36" t="s">
        <v>35</v>
      </c>
      <c r="J134" s="39" t="s">
        <v>182</v>
      </c>
      <c r="K134" s="36">
        <v>7</v>
      </c>
    </row>
    <row r="135" spans="1:11" ht="35" hidden="1" thickBot="1">
      <c r="A135" s="82">
        <v>4500069546</v>
      </c>
      <c r="B135" s="37">
        <v>45418</v>
      </c>
      <c r="C135" s="38">
        <v>0.65972222222222221</v>
      </c>
      <c r="D135" s="36">
        <v>113859</v>
      </c>
      <c r="E135" s="36">
        <v>18191</v>
      </c>
      <c r="F135" s="37">
        <v>45419</v>
      </c>
      <c r="G135" s="38">
        <v>0.55069444444444449</v>
      </c>
      <c r="H135" s="44" t="s">
        <v>20</v>
      </c>
      <c r="I135" s="36" t="s">
        <v>37</v>
      </c>
      <c r="J135" s="39" t="s">
        <v>92</v>
      </c>
      <c r="K135" s="36">
        <v>8</v>
      </c>
    </row>
    <row r="136" spans="1:11" ht="23.5" hidden="1" thickBot="1">
      <c r="A136" s="82">
        <v>4500069546</v>
      </c>
      <c r="B136" s="37">
        <v>45418</v>
      </c>
      <c r="C136" s="38">
        <v>0.65972222222222221</v>
      </c>
      <c r="D136" s="36">
        <v>113859</v>
      </c>
      <c r="E136" s="36">
        <v>18191</v>
      </c>
      <c r="F136" s="37">
        <v>45419</v>
      </c>
      <c r="G136" s="38">
        <v>0.55069444444444449</v>
      </c>
      <c r="H136" s="44" t="s">
        <v>20</v>
      </c>
      <c r="I136" s="36" t="s">
        <v>37</v>
      </c>
      <c r="J136" s="39" t="s">
        <v>66</v>
      </c>
      <c r="K136" s="36">
        <v>60</v>
      </c>
    </row>
    <row r="137" spans="1:11" ht="38.5" hidden="1" thickBot="1">
      <c r="A137" s="82" t="s">
        <v>209</v>
      </c>
      <c r="B137" s="37">
        <v>45418</v>
      </c>
      <c r="C137" s="38">
        <v>0.69861111111111107</v>
      </c>
      <c r="D137" s="36">
        <v>113860</v>
      </c>
      <c r="E137" s="36">
        <v>18190</v>
      </c>
      <c r="F137" s="37">
        <v>45419</v>
      </c>
      <c r="G137" s="38">
        <v>0.56944444444444442</v>
      </c>
      <c r="H137" s="44" t="s">
        <v>19</v>
      </c>
      <c r="I137" s="36" t="s">
        <v>32</v>
      </c>
      <c r="J137" s="39" t="s">
        <v>171</v>
      </c>
      <c r="K137" s="36">
        <v>15</v>
      </c>
    </row>
    <row r="138" spans="1:11" ht="38.5" hidden="1" thickBot="1">
      <c r="A138" s="82" t="s">
        <v>209</v>
      </c>
      <c r="B138" s="37">
        <v>45418</v>
      </c>
      <c r="C138" s="38">
        <v>0.69861111111111107</v>
      </c>
      <c r="D138" s="36">
        <v>113860</v>
      </c>
      <c r="E138" s="36">
        <v>18190</v>
      </c>
      <c r="F138" s="37">
        <v>45419</v>
      </c>
      <c r="G138" s="38">
        <v>0.56944444444444442</v>
      </c>
      <c r="H138" s="44" t="s">
        <v>19</v>
      </c>
      <c r="I138" s="36" t="s">
        <v>32</v>
      </c>
      <c r="J138" s="39" t="s">
        <v>174</v>
      </c>
      <c r="K138" s="36">
        <v>2</v>
      </c>
    </row>
    <row r="139" spans="1:11" ht="38.5" hidden="1" thickBot="1">
      <c r="A139" s="82" t="s">
        <v>209</v>
      </c>
      <c r="B139" s="37">
        <v>45418</v>
      </c>
      <c r="C139" s="38">
        <v>0.69861111111111107</v>
      </c>
      <c r="D139" s="36">
        <v>113860</v>
      </c>
      <c r="E139" s="36">
        <v>18190</v>
      </c>
      <c r="F139" s="37">
        <v>45419</v>
      </c>
      <c r="G139" s="38">
        <v>0.56944444444444442</v>
      </c>
      <c r="H139" s="44" t="s">
        <v>19</v>
      </c>
      <c r="I139" s="36" t="s">
        <v>32</v>
      </c>
      <c r="J139" s="39" t="s">
        <v>92</v>
      </c>
      <c r="K139" s="36">
        <v>1</v>
      </c>
    </row>
    <row r="140" spans="1:11" ht="38.5" hidden="1" thickBot="1">
      <c r="A140" s="82" t="s">
        <v>209</v>
      </c>
      <c r="B140" s="37">
        <v>45418</v>
      </c>
      <c r="C140" s="38">
        <v>0.69861111111111107</v>
      </c>
      <c r="D140" s="36">
        <v>113860</v>
      </c>
      <c r="E140" s="36">
        <v>18190</v>
      </c>
      <c r="F140" s="37">
        <v>45419</v>
      </c>
      <c r="G140" s="38">
        <v>0.56944444444444442</v>
      </c>
      <c r="H140" s="44" t="s">
        <v>19</v>
      </c>
      <c r="I140" s="36" t="s">
        <v>32</v>
      </c>
      <c r="J140" s="39" t="s">
        <v>170</v>
      </c>
      <c r="K140" s="36">
        <v>4</v>
      </c>
    </row>
    <row r="141" spans="1:11" ht="13.5" hidden="1" thickBot="1">
      <c r="A141" s="86">
        <v>5032</v>
      </c>
      <c r="B141" s="37">
        <v>45419</v>
      </c>
      <c r="C141" s="38">
        <v>0.3347222222222222</v>
      </c>
      <c r="D141" s="36">
        <v>113863</v>
      </c>
      <c r="E141" s="36">
        <v>18296</v>
      </c>
      <c r="F141" s="37">
        <v>45419</v>
      </c>
      <c r="G141" s="38">
        <v>0.61458333333333337</v>
      </c>
      <c r="H141" s="44" t="s">
        <v>175</v>
      </c>
      <c r="I141" s="36" t="s">
        <v>38</v>
      </c>
      <c r="J141" s="39" t="s">
        <v>145</v>
      </c>
      <c r="K141" s="36">
        <v>3</v>
      </c>
    </row>
    <row r="142" spans="1:11" ht="38.5" thickBot="1">
      <c r="A142" s="85">
        <v>9</v>
      </c>
      <c r="B142" s="37">
        <v>45419</v>
      </c>
      <c r="C142" s="38">
        <v>0.34861111111111109</v>
      </c>
      <c r="D142" s="36">
        <v>113864</v>
      </c>
      <c r="E142" s="36">
        <v>18211</v>
      </c>
      <c r="F142" s="37">
        <v>45419</v>
      </c>
      <c r="G142" s="38">
        <v>0.61527777777777781</v>
      </c>
      <c r="H142" s="44" t="s">
        <v>105</v>
      </c>
      <c r="I142" s="36" t="s">
        <v>39</v>
      </c>
      <c r="J142" s="39" t="s">
        <v>90</v>
      </c>
      <c r="K142" s="36">
        <v>4</v>
      </c>
    </row>
    <row r="143" spans="1:11" ht="38.5" hidden="1" thickBot="1">
      <c r="A143" s="82" t="s">
        <v>274</v>
      </c>
      <c r="B143" s="37">
        <v>45419</v>
      </c>
      <c r="C143" s="38">
        <v>0.36944444444444446</v>
      </c>
      <c r="D143" s="36">
        <v>113990</v>
      </c>
      <c r="E143" s="36">
        <v>18327</v>
      </c>
      <c r="F143" s="37">
        <v>45419</v>
      </c>
      <c r="G143" s="38">
        <v>0.5756944444444444</v>
      </c>
      <c r="H143" s="44" t="s">
        <v>275</v>
      </c>
      <c r="I143" s="36" t="s">
        <v>35</v>
      </c>
      <c r="J143" s="39" t="s">
        <v>68</v>
      </c>
      <c r="K143" s="36">
        <v>10</v>
      </c>
    </row>
    <row r="144" spans="1:11" ht="26.5" hidden="1" thickBot="1">
      <c r="A144" s="88">
        <v>940071</v>
      </c>
      <c r="B144" s="37">
        <v>45419</v>
      </c>
      <c r="C144" s="38">
        <v>0.39097222222222222</v>
      </c>
      <c r="D144" s="36">
        <v>113865</v>
      </c>
      <c r="E144" s="36">
        <v>18208</v>
      </c>
      <c r="F144" s="37">
        <v>45419</v>
      </c>
      <c r="G144" s="38">
        <v>0.61527777777777781</v>
      </c>
      <c r="H144" s="44" t="s">
        <v>8</v>
      </c>
      <c r="I144" s="36" t="s">
        <v>36</v>
      </c>
      <c r="J144" s="39" t="s">
        <v>162</v>
      </c>
      <c r="K144" s="36">
        <v>29</v>
      </c>
    </row>
    <row r="145" spans="1:11" ht="51" hidden="1" thickBot="1">
      <c r="A145" s="89" t="s">
        <v>210</v>
      </c>
      <c r="B145" s="37">
        <v>45419</v>
      </c>
      <c r="C145" s="38">
        <v>0.56041666666666667</v>
      </c>
      <c r="D145" s="36">
        <v>113862</v>
      </c>
      <c r="E145" s="36">
        <v>18185</v>
      </c>
      <c r="F145" s="37">
        <v>45419</v>
      </c>
      <c r="G145" s="38">
        <v>0.58194444444444449</v>
      </c>
      <c r="H145" s="44" t="s">
        <v>4</v>
      </c>
      <c r="I145" s="36" t="s">
        <v>132</v>
      </c>
      <c r="J145" s="39" t="s">
        <v>186</v>
      </c>
      <c r="K145" s="36">
        <v>20</v>
      </c>
    </row>
    <row r="146" spans="1:11" ht="51" hidden="1" thickBot="1">
      <c r="A146" s="82">
        <v>320</v>
      </c>
      <c r="B146" s="37">
        <v>45419</v>
      </c>
      <c r="C146" s="38">
        <v>0.32777777777777778</v>
      </c>
      <c r="D146" s="36">
        <v>113866</v>
      </c>
      <c r="E146" s="36">
        <v>18189</v>
      </c>
      <c r="F146" s="37">
        <v>45419</v>
      </c>
      <c r="G146" s="38">
        <v>0.61597222222222225</v>
      </c>
      <c r="H146" s="44" t="s">
        <v>18</v>
      </c>
      <c r="I146" s="36" t="s">
        <v>211</v>
      </c>
      <c r="J146" s="39" t="s">
        <v>182</v>
      </c>
      <c r="K146" s="36">
        <v>1</v>
      </c>
    </row>
    <row r="147" spans="1:11" ht="51" hidden="1" thickBot="1">
      <c r="A147" s="82">
        <v>320</v>
      </c>
      <c r="B147" s="37">
        <v>45419</v>
      </c>
      <c r="C147" s="38">
        <v>0.32777777777777778</v>
      </c>
      <c r="D147" s="36">
        <v>113866</v>
      </c>
      <c r="E147" s="36">
        <v>18189</v>
      </c>
      <c r="F147" s="37">
        <v>45419</v>
      </c>
      <c r="G147" s="38">
        <v>0.61597222222222225</v>
      </c>
      <c r="H147" s="44" t="s">
        <v>18</v>
      </c>
      <c r="I147" s="36" t="s">
        <v>211</v>
      </c>
      <c r="J147" s="39" t="s">
        <v>76</v>
      </c>
      <c r="K147" s="36">
        <v>6</v>
      </c>
    </row>
    <row r="148" spans="1:11" ht="51" hidden="1" thickBot="1">
      <c r="A148" s="82">
        <v>320</v>
      </c>
      <c r="B148" s="37">
        <v>45419</v>
      </c>
      <c r="C148" s="38">
        <v>0.32777777777777778</v>
      </c>
      <c r="D148" s="36">
        <v>113866</v>
      </c>
      <c r="E148" s="36">
        <v>18189</v>
      </c>
      <c r="F148" s="37">
        <v>45419</v>
      </c>
      <c r="G148" s="38">
        <v>0.61597222222222225</v>
      </c>
      <c r="H148" s="44" t="s">
        <v>18</v>
      </c>
      <c r="I148" s="36" t="s">
        <v>211</v>
      </c>
      <c r="J148" s="39" t="s">
        <v>162</v>
      </c>
      <c r="K148" s="36">
        <v>10</v>
      </c>
    </row>
    <row r="149" spans="1:11" ht="51" hidden="1" thickBot="1">
      <c r="A149" s="82">
        <v>320</v>
      </c>
      <c r="B149" s="37">
        <v>45419</v>
      </c>
      <c r="C149" s="38">
        <v>0.32777777777777778</v>
      </c>
      <c r="D149" s="36">
        <v>113866</v>
      </c>
      <c r="E149" s="36">
        <v>18189</v>
      </c>
      <c r="F149" s="37">
        <v>45419</v>
      </c>
      <c r="G149" s="38">
        <v>0.61597222222222225</v>
      </c>
      <c r="H149" s="44" t="s">
        <v>18</v>
      </c>
      <c r="I149" s="36" t="s">
        <v>211</v>
      </c>
      <c r="J149" s="39" t="s">
        <v>67</v>
      </c>
      <c r="K149" s="36">
        <v>12</v>
      </c>
    </row>
    <row r="150" spans="1:11" ht="51" hidden="1" thickBot="1">
      <c r="A150" s="82">
        <v>320</v>
      </c>
      <c r="B150" s="37">
        <v>45419</v>
      </c>
      <c r="C150" s="38">
        <v>0.32777777777777778</v>
      </c>
      <c r="D150" s="36">
        <v>113866</v>
      </c>
      <c r="E150" s="36">
        <v>18189</v>
      </c>
      <c r="F150" s="37">
        <v>45419</v>
      </c>
      <c r="G150" s="38">
        <v>0.61597222222222225</v>
      </c>
      <c r="H150" s="44" t="s">
        <v>18</v>
      </c>
      <c r="I150" s="36" t="s">
        <v>211</v>
      </c>
      <c r="J150" s="39" t="s">
        <v>92</v>
      </c>
      <c r="K150" s="36">
        <v>1</v>
      </c>
    </row>
    <row r="151" spans="1:11" ht="38.5" thickBot="1">
      <c r="A151" s="85">
        <v>10</v>
      </c>
      <c r="B151" s="37">
        <v>45419</v>
      </c>
      <c r="C151" s="38">
        <v>0.75694444444444442</v>
      </c>
      <c r="D151" s="36">
        <v>113867</v>
      </c>
      <c r="E151" s="36">
        <v>18192</v>
      </c>
      <c r="F151" s="37">
        <v>45420</v>
      </c>
      <c r="G151" s="38">
        <v>0.52430555555555558</v>
      </c>
      <c r="H151" s="70" t="s">
        <v>15</v>
      </c>
      <c r="I151" s="44" t="s">
        <v>35</v>
      </c>
      <c r="J151" s="39" t="s">
        <v>177</v>
      </c>
      <c r="K151" s="36">
        <v>3</v>
      </c>
    </row>
    <row r="152" spans="1:11" ht="26.5" hidden="1" thickBot="1">
      <c r="A152" s="88">
        <v>940903</v>
      </c>
      <c r="B152" s="37">
        <v>45419</v>
      </c>
      <c r="C152" s="38">
        <v>0.76111111111111107</v>
      </c>
      <c r="D152" s="36">
        <v>113876</v>
      </c>
      <c r="E152" s="36">
        <v>18227</v>
      </c>
      <c r="F152" s="37">
        <v>45420</v>
      </c>
      <c r="G152" s="38">
        <v>0.52708333333333335</v>
      </c>
      <c r="H152" s="44" t="s">
        <v>8</v>
      </c>
      <c r="I152" s="36" t="s">
        <v>37</v>
      </c>
      <c r="J152" s="39" t="s">
        <v>69</v>
      </c>
      <c r="K152" s="36">
        <v>7</v>
      </c>
    </row>
    <row r="153" spans="1:11" ht="23.5" hidden="1" thickBot="1">
      <c r="A153" s="82">
        <v>4500069587</v>
      </c>
      <c r="B153" s="37">
        <v>45419</v>
      </c>
      <c r="C153" s="38">
        <v>0.76458333333333328</v>
      </c>
      <c r="D153" s="36">
        <v>113875</v>
      </c>
      <c r="E153" s="36">
        <v>18243</v>
      </c>
      <c r="F153" s="37">
        <v>45420</v>
      </c>
      <c r="G153" s="38">
        <v>0.52708333333333335</v>
      </c>
      <c r="H153" s="44" t="s">
        <v>20</v>
      </c>
      <c r="I153" s="36" t="s">
        <v>40</v>
      </c>
      <c r="J153" s="39" t="s">
        <v>171</v>
      </c>
      <c r="K153" s="36">
        <v>40</v>
      </c>
    </row>
    <row r="154" spans="1:11" ht="13.5" hidden="1" thickBot="1">
      <c r="A154" s="82">
        <v>4500069587</v>
      </c>
      <c r="B154" s="37">
        <v>45419</v>
      </c>
      <c r="C154" s="38">
        <v>0.76458333333333328</v>
      </c>
      <c r="D154" s="36">
        <v>113875</v>
      </c>
      <c r="E154" s="36">
        <v>18243</v>
      </c>
      <c r="F154" s="37">
        <v>45420</v>
      </c>
      <c r="G154" s="38">
        <v>0.52708333333333335</v>
      </c>
      <c r="H154" s="44" t="s">
        <v>20</v>
      </c>
      <c r="I154" s="36" t="s">
        <v>40</v>
      </c>
      <c r="J154" s="39" t="s">
        <v>90</v>
      </c>
      <c r="K154" s="36">
        <v>40</v>
      </c>
    </row>
    <row r="155" spans="1:11" ht="23.5" hidden="1" thickBot="1">
      <c r="A155" s="82">
        <v>4500069587</v>
      </c>
      <c r="B155" s="37">
        <v>45419</v>
      </c>
      <c r="C155" s="38">
        <v>0.76458333333333328</v>
      </c>
      <c r="D155" s="36">
        <v>113875</v>
      </c>
      <c r="E155" s="36">
        <v>18194</v>
      </c>
      <c r="F155" s="37">
        <v>45420</v>
      </c>
      <c r="G155" s="38">
        <v>0.52708333333333335</v>
      </c>
      <c r="H155" s="44" t="s">
        <v>20</v>
      </c>
      <c r="I155" s="36" t="s">
        <v>40</v>
      </c>
      <c r="J155" s="39" t="s">
        <v>66</v>
      </c>
      <c r="K155" s="36">
        <v>120</v>
      </c>
    </row>
    <row r="156" spans="1:11" ht="23.5" hidden="1" thickBot="1">
      <c r="A156" s="82">
        <v>4500069587</v>
      </c>
      <c r="B156" s="37">
        <v>45419</v>
      </c>
      <c r="C156" s="38">
        <v>0.76458333333333328</v>
      </c>
      <c r="D156" s="36">
        <v>113875</v>
      </c>
      <c r="E156" s="36">
        <v>18243</v>
      </c>
      <c r="F156" s="37">
        <v>45420</v>
      </c>
      <c r="G156" s="38">
        <v>0.52708333333333335</v>
      </c>
      <c r="H156" s="44" t="s">
        <v>20</v>
      </c>
      <c r="I156" s="36" t="s">
        <v>40</v>
      </c>
      <c r="J156" s="39" t="s">
        <v>69</v>
      </c>
      <c r="K156" s="36">
        <v>20</v>
      </c>
    </row>
    <row r="157" spans="1:11" ht="35" hidden="1" thickBot="1">
      <c r="A157" s="82">
        <v>4500069587</v>
      </c>
      <c r="B157" s="37">
        <v>45419</v>
      </c>
      <c r="C157" s="38">
        <v>0.76458333333333328</v>
      </c>
      <c r="D157" s="36">
        <v>113875</v>
      </c>
      <c r="E157" s="36">
        <v>18243</v>
      </c>
      <c r="F157" s="37">
        <v>45420</v>
      </c>
      <c r="G157" s="38">
        <v>0.52708333333333335</v>
      </c>
      <c r="H157" s="44" t="s">
        <v>20</v>
      </c>
      <c r="I157" s="36" t="s">
        <v>40</v>
      </c>
      <c r="J157" s="39" t="s">
        <v>112</v>
      </c>
      <c r="K157" s="36">
        <v>80</v>
      </c>
    </row>
    <row r="158" spans="1:11" ht="23.5" hidden="1" thickBot="1">
      <c r="A158" s="82">
        <v>4500069587</v>
      </c>
      <c r="B158" s="37">
        <v>45419</v>
      </c>
      <c r="C158" s="38">
        <v>0.76458333333333328</v>
      </c>
      <c r="D158" s="36">
        <v>113875</v>
      </c>
      <c r="E158" s="36">
        <v>18243</v>
      </c>
      <c r="F158" s="37">
        <v>45420</v>
      </c>
      <c r="G158" s="38">
        <v>0.52708333333333335</v>
      </c>
      <c r="H158" s="44" t="s">
        <v>20</v>
      </c>
      <c r="I158" s="36" t="s">
        <v>40</v>
      </c>
      <c r="J158" s="39" t="s">
        <v>162</v>
      </c>
      <c r="K158" s="36">
        <v>200</v>
      </c>
    </row>
    <row r="159" spans="1:11" ht="23.5" hidden="1" thickBot="1">
      <c r="A159" s="82">
        <v>4500069587</v>
      </c>
      <c r="B159" s="37">
        <v>45419</v>
      </c>
      <c r="C159" s="38">
        <v>0.76458333333333328</v>
      </c>
      <c r="D159" s="36">
        <v>113875</v>
      </c>
      <c r="E159" s="36">
        <v>18194</v>
      </c>
      <c r="F159" s="37">
        <v>45420</v>
      </c>
      <c r="G159" s="38">
        <v>0.52708333333333335</v>
      </c>
      <c r="H159" s="44" t="s">
        <v>20</v>
      </c>
      <c r="I159" s="36" t="s">
        <v>40</v>
      </c>
      <c r="J159" s="39" t="s">
        <v>74</v>
      </c>
      <c r="K159" s="36">
        <v>20</v>
      </c>
    </row>
    <row r="160" spans="1:11" ht="23.5" hidden="1" thickBot="1">
      <c r="A160" s="82">
        <v>4500069587</v>
      </c>
      <c r="B160" s="37">
        <v>45419</v>
      </c>
      <c r="C160" s="38">
        <v>0.76458333333333328</v>
      </c>
      <c r="D160" s="36">
        <v>113875</v>
      </c>
      <c r="E160" s="36">
        <v>18243</v>
      </c>
      <c r="F160" s="37">
        <v>45420</v>
      </c>
      <c r="G160" s="38">
        <v>0.52708333333333335</v>
      </c>
      <c r="H160" s="44" t="s">
        <v>20</v>
      </c>
      <c r="I160" s="36" t="s">
        <v>40</v>
      </c>
      <c r="J160" s="39" t="s">
        <v>71</v>
      </c>
      <c r="K160" s="36">
        <v>100</v>
      </c>
    </row>
    <row r="161" spans="1:11" ht="23.5" hidden="1" thickBot="1">
      <c r="A161" s="82">
        <v>4500069587</v>
      </c>
      <c r="B161" s="37">
        <v>45419</v>
      </c>
      <c r="C161" s="38">
        <v>0.76458333333333328</v>
      </c>
      <c r="D161" s="36">
        <v>113875</v>
      </c>
      <c r="E161" s="36">
        <v>18194</v>
      </c>
      <c r="F161" s="37">
        <v>45420</v>
      </c>
      <c r="G161" s="38">
        <v>0.52708333333333335</v>
      </c>
      <c r="H161" s="44" t="s">
        <v>20</v>
      </c>
      <c r="I161" s="36" t="s">
        <v>40</v>
      </c>
      <c r="J161" s="39" t="s">
        <v>176</v>
      </c>
      <c r="K161" s="36">
        <v>60</v>
      </c>
    </row>
    <row r="162" spans="1:11" ht="23.5" hidden="1" thickBot="1">
      <c r="A162" s="82">
        <v>4500069587</v>
      </c>
      <c r="B162" s="37">
        <v>45419</v>
      </c>
      <c r="C162" s="38">
        <v>0.76458333333333328</v>
      </c>
      <c r="D162" s="36">
        <v>113875</v>
      </c>
      <c r="E162" s="36">
        <v>18194</v>
      </c>
      <c r="F162" s="37">
        <v>45420</v>
      </c>
      <c r="G162" s="38">
        <v>0.52708333333333335</v>
      </c>
      <c r="H162" s="44" t="s">
        <v>20</v>
      </c>
      <c r="I162" s="36" t="s">
        <v>40</v>
      </c>
      <c r="J162" s="39" t="s">
        <v>74</v>
      </c>
      <c r="K162" s="36">
        <v>80</v>
      </c>
    </row>
    <row r="163" spans="1:11" ht="23.5" hidden="1" thickBot="1">
      <c r="A163" s="82">
        <v>4500069587</v>
      </c>
      <c r="B163" s="37">
        <v>45419</v>
      </c>
      <c r="C163" s="38">
        <v>0.76458333333333328</v>
      </c>
      <c r="D163" s="36">
        <v>113875</v>
      </c>
      <c r="E163" s="36">
        <v>18243</v>
      </c>
      <c r="F163" s="37">
        <v>45420</v>
      </c>
      <c r="G163" s="38">
        <v>0.52708333333333335</v>
      </c>
      <c r="H163" s="44" t="s">
        <v>20</v>
      </c>
      <c r="I163" s="36" t="s">
        <v>40</v>
      </c>
      <c r="J163" s="39" t="s">
        <v>121</v>
      </c>
      <c r="K163" s="36">
        <v>100</v>
      </c>
    </row>
    <row r="164" spans="1:11" ht="23.5" hidden="1" thickBot="1">
      <c r="A164" s="82">
        <v>4500069587</v>
      </c>
      <c r="B164" s="37">
        <v>45419</v>
      </c>
      <c r="C164" s="38">
        <v>0.76458333333333328</v>
      </c>
      <c r="D164" s="36">
        <v>113875</v>
      </c>
      <c r="E164" s="36">
        <v>18243</v>
      </c>
      <c r="F164" s="37">
        <v>45420</v>
      </c>
      <c r="G164" s="38">
        <v>0.52708333333333335</v>
      </c>
      <c r="H164" s="44" t="s">
        <v>20</v>
      </c>
      <c r="I164" s="36" t="s">
        <v>40</v>
      </c>
      <c r="J164" s="39" t="s">
        <v>67</v>
      </c>
      <c r="K164" s="36">
        <v>28</v>
      </c>
    </row>
    <row r="165" spans="1:11" ht="23.5" hidden="1" thickBot="1">
      <c r="A165" s="82">
        <v>4500069587</v>
      </c>
      <c r="B165" s="37">
        <v>45419</v>
      </c>
      <c r="C165" s="38">
        <v>0.76458333333333328</v>
      </c>
      <c r="D165" s="36">
        <v>113875</v>
      </c>
      <c r="E165" s="36">
        <v>18243</v>
      </c>
      <c r="F165" s="37">
        <v>45420</v>
      </c>
      <c r="G165" s="38">
        <v>0.52708333333333335</v>
      </c>
      <c r="H165" s="44" t="s">
        <v>20</v>
      </c>
      <c r="I165" s="36" t="s">
        <v>40</v>
      </c>
      <c r="J165" s="39" t="s">
        <v>150</v>
      </c>
      <c r="K165" s="36">
        <v>40</v>
      </c>
    </row>
    <row r="166" spans="1:11" ht="26" hidden="1" thickBot="1">
      <c r="A166" s="82">
        <v>940954</v>
      </c>
      <c r="B166" s="37">
        <v>45419</v>
      </c>
      <c r="C166" s="38">
        <v>0.9291666666666667</v>
      </c>
      <c r="D166" s="36">
        <v>113874</v>
      </c>
      <c r="E166" s="36">
        <v>18226</v>
      </c>
      <c r="F166" s="37">
        <v>45420</v>
      </c>
      <c r="G166" s="38">
        <v>0.52708333333333335</v>
      </c>
      <c r="H166" s="44" t="s">
        <v>8</v>
      </c>
      <c r="I166" s="36" t="s">
        <v>37</v>
      </c>
      <c r="J166" s="39" t="s">
        <v>69</v>
      </c>
      <c r="K166" s="36">
        <v>7</v>
      </c>
    </row>
    <row r="167" spans="1:11" ht="26" hidden="1" thickBot="1">
      <c r="A167" s="82">
        <v>941055</v>
      </c>
      <c r="B167" s="37">
        <v>45420</v>
      </c>
      <c r="C167" s="38">
        <v>0.42152777777777778</v>
      </c>
      <c r="D167" s="36">
        <v>113873</v>
      </c>
      <c r="E167" s="36">
        <v>18218</v>
      </c>
      <c r="F167" s="37">
        <v>45420</v>
      </c>
      <c r="G167" s="38">
        <v>0.52708333333333335</v>
      </c>
      <c r="H167" s="44" t="s">
        <v>8</v>
      </c>
      <c r="I167" s="36" t="s">
        <v>36</v>
      </c>
      <c r="J167" s="39" t="s">
        <v>72</v>
      </c>
      <c r="K167" s="36">
        <v>2</v>
      </c>
    </row>
    <row r="168" spans="1:11" ht="23.5" hidden="1" thickBot="1">
      <c r="A168" s="82">
        <v>570</v>
      </c>
      <c r="B168" s="37">
        <v>45420</v>
      </c>
      <c r="C168" s="38">
        <v>0.48194444444444445</v>
      </c>
      <c r="D168" s="36">
        <v>113872</v>
      </c>
      <c r="E168" s="36">
        <v>18193</v>
      </c>
      <c r="F168" s="37">
        <v>45420</v>
      </c>
      <c r="G168" s="38">
        <v>0.52708333333333335</v>
      </c>
      <c r="H168" s="44" t="s">
        <v>119</v>
      </c>
      <c r="I168" s="36" t="s">
        <v>37</v>
      </c>
      <c r="J168" s="39" t="s">
        <v>212</v>
      </c>
      <c r="K168" s="36">
        <v>40</v>
      </c>
    </row>
    <row r="169" spans="1:11" ht="35" hidden="1" thickBot="1">
      <c r="A169" s="82">
        <v>570</v>
      </c>
      <c r="B169" s="37">
        <v>45420</v>
      </c>
      <c r="C169" s="38">
        <v>0.48194444444444445</v>
      </c>
      <c r="D169" s="36">
        <v>113872</v>
      </c>
      <c r="E169" s="36">
        <v>18193</v>
      </c>
      <c r="F169" s="37">
        <v>45420</v>
      </c>
      <c r="G169" s="38">
        <v>0.52708333333333335</v>
      </c>
      <c r="H169" s="44" t="s">
        <v>119</v>
      </c>
      <c r="I169" s="36" t="s">
        <v>37</v>
      </c>
      <c r="J169" s="39" t="s">
        <v>186</v>
      </c>
      <c r="K169" s="36">
        <v>60</v>
      </c>
    </row>
    <row r="170" spans="1:11" ht="23.5" hidden="1" thickBot="1">
      <c r="A170" s="88">
        <v>941150</v>
      </c>
      <c r="B170" s="37">
        <v>45420</v>
      </c>
      <c r="C170" s="38">
        <v>0.49027777777777776</v>
      </c>
      <c r="D170" s="36">
        <v>113871</v>
      </c>
      <c r="E170" s="36">
        <v>18220</v>
      </c>
      <c r="F170" s="37">
        <v>45420</v>
      </c>
      <c r="G170" s="38">
        <v>0.52708333333333335</v>
      </c>
      <c r="H170" s="44" t="s">
        <v>11</v>
      </c>
      <c r="I170" s="36" t="s">
        <v>97</v>
      </c>
      <c r="J170" s="39" t="s">
        <v>72</v>
      </c>
      <c r="K170" s="36">
        <v>3</v>
      </c>
    </row>
    <row r="171" spans="1:11" ht="23.5" hidden="1" thickBot="1">
      <c r="A171" s="88">
        <v>941151</v>
      </c>
      <c r="B171" s="37">
        <v>45420</v>
      </c>
      <c r="C171" s="38">
        <v>0.49027777777777776</v>
      </c>
      <c r="D171" s="36">
        <v>113870</v>
      </c>
      <c r="E171" s="36">
        <v>18259</v>
      </c>
      <c r="F171" s="37">
        <v>45420</v>
      </c>
      <c r="G171" s="38">
        <v>0.52708333333333335</v>
      </c>
      <c r="H171" s="44" t="s">
        <v>11</v>
      </c>
      <c r="I171" s="36" t="s">
        <v>98</v>
      </c>
      <c r="J171" s="39" t="s">
        <v>69</v>
      </c>
      <c r="K171" s="36">
        <v>12</v>
      </c>
    </row>
    <row r="172" spans="1:11" ht="38.5" thickBot="1">
      <c r="A172" s="85">
        <v>10</v>
      </c>
      <c r="B172" s="37">
        <v>45420</v>
      </c>
      <c r="C172" s="38">
        <v>0.50208333333333333</v>
      </c>
      <c r="D172" s="36">
        <v>113869</v>
      </c>
      <c r="E172" s="36">
        <v>18192</v>
      </c>
      <c r="F172" s="37">
        <v>45420</v>
      </c>
      <c r="G172" s="38">
        <v>0.52708333333333335</v>
      </c>
      <c r="H172" s="44" t="s">
        <v>15</v>
      </c>
      <c r="I172" s="36" t="s">
        <v>35</v>
      </c>
      <c r="J172" s="39" t="s">
        <v>122</v>
      </c>
      <c r="K172" s="36">
        <v>9</v>
      </c>
    </row>
    <row r="173" spans="1:11" ht="38.5" thickBot="1">
      <c r="A173" s="85">
        <v>10</v>
      </c>
      <c r="B173" s="37">
        <v>45420</v>
      </c>
      <c r="C173" s="38">
        <v>0.50208333333333333</v>
      </c>
      <c r="D173" s="36">
        <v>113869</v>
      </c>
      <c r="E173" s="36">
        <v>18192</v>
      </c>
      <c r="F173" s="37">
        <v>45420</v>
      </c>
      <c r="G173" s="38">
        <v>0.52708333333333335</v>
      </c>
      <c r="H173" s="44" t="s">
        <v>15</v>
      </c>
      <c r="I173" s="36" t="s">
        <v>35</v>
      </c>
      <c r="J173" s="39" t="s">
        <v>188</v>
      </c>
      <c r="K173" s="36">
        <v>11</v>
      </c>
    </row>
    <row r="174" spans="1:11" ht="23.5" hidden="1" thickBot="1">
      <c r="A174" s="82" t="s">
        <v>213</v>
      </c>
      <c r="B174" s="37">
        <v>45420</v>
      </c>
      <c r="C174" s="38">
        <v>0.50972222222222219</v>
      </c>
      <c r="D174" s="36">
        <v>113868</v>
      </c>
      <c r="E174" s="36">
        <v>18212</v>
      </c>
      <c r="F174" s="37">
        <v>45420</v>
      </c>
      <c r="G174" s="38">
        <v>0.52500000000000002</v>
      </c>
      <c r="H174" s="44" t="s">
        <v>70</v>
      </c>
      <c r="I174" s="36" t="s">
        <v>132</v>
      </c>
      <c r="J174" s="39" t="s">
        <v>90</v>
      </c>
      <c r="K174" s="36">
        <v>4</v>
      </c>
    </row>
    <row r="175" spans="1:11" ht="23.5" hidden="1" thickBot="1">
      <c r="A175" s="82" t="s">
        <v>213</v>
      </c>
      <c r="B175" s="37">
        <v>45420</v>
      </c>
      <c r="C175" s="38">
        <v>0.50972222222222219</v>
      </c>
      <c r="D175" s="36">
        <v>113868</v>
      </c>
      <c r="E175" s="36">
        <v>18212</v>
      </c>
      <c r="F175" s="37">
        <v>45420</v>
      </c>
      <c r="G175" s="38">
        <v>0.52500000000000002</v>
      </c>
      <c r="H175" s="44" t="s">
        <v>70</v>
      </c>
      <c r="I175" s="36" t="s">
        <v>132</v>
      </c>
      <c r="J175" s="39" t="s">
        <v>71</v>
      </c>
      <c r="K175" s="36">
        <v>8</v>
      </c>
    </row>
    <row r="176" spans="1:11" ht="23.5" hidden="1" thickBot="1">
      <c r="A176" s="82">
        <v>4500119651</v>
      </c>
      <c r="B176" s="37">
        <v>45411</v>
      </c>
      <c r="C176" s="38">
        <v>0.49166666666666664</v>
      </c>
      <c r="D176" s="36">
        <v>113797</v>
      </c>
      <c r="E176" s="36">
        <v>18184</v>
      </c>
      <c r="F176" s="37">
        <v>45412</v>
      </c>
      <c r="G176" s="38">
        <v>0.375</v>
      </c>
      <c r="H176" s="44" t="s">
        <v>3</v>
      </c>
      <c r="I176" s="36" t="s">
        <v>42</v>
      </c>
      <c r="J176" s="39" t="s">
        <v>176</v>
      </c>
      <c r="K176" s="36">
        <v>3</v>
      </c>
    </row>
    <row r="177" spans="1:11" ht="38.5" thickBot="1">
      <c r="A177" s="85">
        <v>10</v>
      </c>
      <c r="B177" s="37">
        <v>45420</v>
      </c>
      <c r="C177" s="38">
        <v>0.58333333333333337</v>
      </c>
      <c r="D177" s="36">
        <v>113877</v>
      </c>
      <c r="E177" s="36">
        <v>18195</v>
      </c>
      <c r="F177" s="37">
        <v>45420</v>
      </c>
      <c r="G177" s="38">
        <v>0.60763888888888884</v>
      </c>
      <c r="H177" s="44" t="s">
        <v>15</v>
      </c>
      <c r="I177" s="36" t="s">
        <v>35</v>
      </c>
      <c r="J177" s="39" t="s">
        <v>68</v>
      </c>
      <c r="K177" s="36">
        <v>1</v>
      </c>
    </row>
    <row r="178" spans="1:11" ht="23.5" hidden="1" thickBot="1">
      <c r="A178" s="82">
        <v>4500069616</v>
      </c>
      <c r="B178" s="37">
        <v>45420</v>
      </c>
      <c r="C178" s="38">
        <v>0.68055555555555558</v>
      </c>
      <c r="D178" s="36">
        <v>113878</v>
      </c>
      <c r="E178" s="36">
        <v>18242</v>
      </c>
      <c r="F178" s="37">
        <v>45421</v>
      </c>
      <c r="G178" s="38">
        <v>0.50069444444444444</v>
      </c>
      <c r="H178" s="44" t="s">
        <v>20</v>
      </c>
      <c r="I178" s="36" t="s">
        <v>40</v>
      </c>
      <c r="J178" s="39" t="s">
        <v>174</v>
      </c>
      <c r="K178" s="36">
        <v>10</v>
      </c>
    </row>
    <row r="179" spans="1:11" ht="23.5" hidden="1" thickBot="1">
      <c r="A179" s="82">
        <v>4500069616</v>
      </c>
      <c r="B179" s="37">
        <v>45420</v>
      </c>
      <c r="C179" s="38">
        <v>0.68055555555555558</v>
      </c>
      <c r="D179" s="36">
        <v>113878</v>
      </c>
      <c r="E179" s="36">
        <v>18242</v>
      </c>
      <c r="F179" s="37">
        <v>45421</v>
      </c>
      <c r="G179" s="38">
        <v>0.50069444444444444</v>
      </c>
      <c r="H179" s="44" t="s">
        <v>20</v>
      </c>
      <c r="I179" s="36" t="s">
        <v>40</v>
      </c>
      <c r="J179" s="39" t="s">
        <v>107</v>
      </c>
      <c r="K179" s="36">
        <v>16</v>
      </c>
    </row>
    <row r="180" spans="1:11" ht="35" hidden="1" thickBot="1">
      <c r="A180" s="82">
        <v>4500069616</v>
      </c>
      <c r="B180" s="37">
        <v>45420</v>
      </c>
      <c r="C180" s="38">
        <v>0.68055555555555558</v>
      </c>
      <c r="D180" s="36">
        <v>113878</v>
      </c>
      <c r="E180" s="36">
        <v>18242</v>
      </c>
      <c r="F180" s="37">
        <v>45421</v>
      </c>
      <c r="G180" s="38">
        <v>0.50069444444444444</v>
      </c>
      <c r="H180" s="44" t="s">
        <v>20</v>
      </c>
      <c r="I180" s="36" t="s">
        <v>40</v>
      </c>
      <c r="J180" s="39" t="s">
        <v>99</v>
      </c>
      <c r="K180" s="36">
        <v>14</v>
      </c>
    </row>
    <row r="181" spans="1:11" ht="23.5" hidden="1" thickBot="1">
      <c r="A181" s="50">
        <v>941584</v>
      </c>
      <c r="B181" s="37">
        <v>45420</v>
      </c>
      <c r="C181" s="38">
        <v>0.74097222222222225</v>
      </c>
      <c r="D181" s="36">
        <v>113879</v>
      </c>
      <c r="E181" s="36">
        <v>18221</v>
      </c>
      <c r="F181" s="37">
        <v>45421</v>
      </c>
      <c r="G181" s="38">
        <v>0.50069444444444444</v>
      </c>
      <c r="H181" s="44" t="s">
        <v>11</v>
      </c>
      <c r="I181" s="36" t="s">
        <v>42</v>
      </c>
      <c r="J181" s="39" t="s">
        <v>72</v>
      </c>
      <c r="K181" s="36">
        <v>1</v>
      </c>
    </row>
    <row r="182" spans="1:11" ht="35" thickBot="1">
      <c r="A182" s="85">
        <v>11</v>
      </c>
      <c r="B182" s="37">
        <v>45421</v>
      </c>
      <c r="C182" s="38">
        <v>0.25694444444444442</v>
      </c>
      <c r="D182" s="36">
        <v>113880</v>
      </c>
      <c r="E182" s="36">
        <v>18342</v>
      </c>
      <c r="F182" s="37">
        <v>45421</v>
      </c>
      <c r="G182" s="38">
        <v>0.50069444444444444</v>
      </c>
      <c r="H182" s="44" t="s">
        <v>175</v>
      </c>
      <c r="I182" s="36" t="s">
        <v>35</v>
      </c>
      <c r="J182" s="39" t="s">
        <v>170</v>
      </c>
      <c r="K182" s="36">
        <v>1</v>
      </c>
    </row>
    <row r="183" spans="1:11" ht="23.5" hidden="1" thickBot="1">
      <c r="A183" s="71">
        <v>941974</v>
      </c>
      <c r="B183" s="51">
        <v>45421</v>
      </c>
      <c r="C183" s="52">
        <v>0.4284722222222222</v>
      </c>
      <c r="D183" s="53">
        <v>113881</v>
      </c>
      <c r="E183" s="53">
        <v>18219</v>
      </c>
      <c r="F183" s="51">
        <v>45421</v>
      </c>
      <c r="G183" s="52">
        <v>0.50069444444444444</v>
      </c>
      <c r="H183" s="54" t="s">
        <v>11</v>
      </c>
      <c r="I183" s="53" t="s">
        <v>98</v>
      </c>
      <c r="J183" s="55" t="s">
        <v>72</v>
      </c>
      <c r="K183" s="53">
        <v>4</v>
      </c>
    </row>
    <row r="184" spans="1:11" ht="26" thickBot="1">
      <c r="A184" s="85">
        <v>12</v>
      </c>
      <c r="B184" s="37">
        <v>45421</v>
      </c>
      <c r="C184" s="38">
        <v>0.49375000000000002</v>
      </c>
      <c r="D184" s="36">
        <v>113882</v>
      </c>
      <c r="E184" s="36">
        <v>18207</v>
      </c>
      <c r="F184" s="37">
        <v>45421</v>
      </c>
      <c r="G184" s="38">
        <v>0.50069444444444444</v>
      </c>
      <c r="H184" s="44" t="s">
        <v>8</v>
      </c>
      <c r="I184" s="36" t="s">
        <v>36</v>
      </c>
      <c r="J184" s="39" t="s">
        <v>117</v>
      </c>
      <c r="K184" s="36">
        <v>3</v>
      </c>
    </row>
    <row r="185" spans="1:11" ht="26" thickBot="1">
      <c r="A185" s="85">
        <v>12</v>
      </c>
      <c r="B185" s="37">
        <v>45421</v>
      </c>
      <c r="C185" s="38">
        <v>0.49375000000000002</v>
      </c>
      <c r="D185" s="36">
        <v>113882</v>
      </c>
      <c r="E185" s="36">
        <v>18207</v>
      </c>
      <c r="F185" s="37">
        <v>45421</v>
      </c>
      <c r="G185" s="38">
        <v>0.50069444444444444</v>
      </c>
      <c r="H185" s="44" t="s">
        <v>8</v>
      </c>
      <c r="I185" s="36" t="s">
        <v>36</v>
      </c>
      <c r="J185" s="39" t="s">
        <v>67</v>
      </c>
      <c r="K185" s="36">
        <v>2</v>
      </c>
    </row>
    <row r="186" spans="1:11" ht="35" hidden="1" thickBot="1">
      <c r="A186" s="82">
        <v>104</v>
      </c>
      <c r="B186" s="37">
        <v>45421</v>
      </c>
      <c r="C186" s="38">
        <v>0.47013888888888888</v>
      </c>
      <c r="D186" s="36">
        <v>113883</v>
      </c>
      <c r="E186" s="36">
        <v>18363</v>
      </c>
      <c r="F186" s="37">
        <v>45421</v>
      </c>
      <c r="G186" s="38">
        <v>0.50069444444444444</v>
      </c>
      <c r="H186" s="44" t="s">
        <v>214</v>
      </c>
      <c r="I186" s="36" t="s">
        <v>35</v>
      </c>
      <c r="J186" s="39" t="s">
        <v>163</v>
      </c>
      <c r="K186" s="36">
        <v>6</v>
      </c>
    </row>
    <row r="187" spans="1:11" ht="35" hidden="1" thickBot="1">
      <c r="A187" s="82">
        <v>104</v>
      </c>
      <c r="B187" s="37">
        <v>45421</v>
      </c>
      <c r="C187" s="38">
        <v>0.47013888888888888</v>
      </c>
      <c r="D187" s="36">
        <v>113883</v>
      </c>
      <c r="E187" s="36">
        <v>18363</v>
      </c>
      <c r="F187" s="37">
        <v>45421</v>
      </c>
      <c r="G187" s="38">
        <v>0.50069444444444444</v>
      </c>
      <c r="H187" s="44" t="s">
        <v>214</v>
      </c>
      <c r="I187" s="36" t="s">
        <v>35</v>
      </c>
      <c r="J187" s="39" t="s">
        <v>186</v>
      </c>
      <c r="K187" s="36">
        <v>3</v>
      </c>
    </row>
    <row r="188" spans="1:11" ht="35" hidden="1" thickBot="1">
      <c r="A188" s="50">
        <v>942360</v>
      </c>
      <c r="B188" s="37">
        <v>45421</v>
      </c>
      <c r="C188" s="38">
        <v>0.65694444444444444</v>
      </c>
      <c r="D188" s="36">
        <v>113887</v>
      </c>
      <c r="E188" s="36">
        <v>18228</v>
      </c>
      <c r="F188" s="37">
        <v>45422</v>
      </c>
      <c r="G188" s="38">
        <v>0.45694444444444443</v>
      </c>
      <c r="H188" s="44" t="s">
        <v>8</v>
      </c>
      <c r="I188" s="36" t="s">
        <v>41</v>
      </c>
      <c r="J188" s="39" t="s">
        <v>99</v>
      </c>
      <c r="K188" s="36">
        <v>20</v>
      </c>
    </row>
    <row r="189" spans="1:11" ht="76" hidden="1" thickBot="1">
      <c r="A189" s="82" t="s">
        <v>215</v>
      </c>
      <c r="B189" s="37">
        <v>45421</v>
      </c>
      <c r="C189" s="38">
        <v>0.68125000000000002</v>
      </c>
      <c r="D189" s="36">
        <v>113888</v>
      </c>
      <c r="E189" s="36">
        <v>18239</v>
      </c>
      <c r="F189" s="37">
        <v>45422</v>
      </c>
      <c r="G189" s="38">
        <v>0.45763888888888887</v>
      </c>
      <c r="H189" s="44" t="s">
        <v>149</v>
      </c>
      <c r="I189" s="36" t="s">
        <v>97</v>
      </c>
      <c r="J189" s="39" t="s">
        <v>109</v>
      </c>
      <c r="K189" s="36">
        <v>6</v>
      </c>
    </row>
    <row r="190" spans="1:11" ht="76" hidden="1" thickBot="1">
      <c r="A190" s="82" t="s">
        <v>215</v>
      </c>
      <c r="B190" s="37">
        <v>45421</v>
      </c>
      <c r="C190" s="38">
        <v>0.68125000000000002</v>
      </c>
      <c r="D190" s="36">
        <v>113888</v>
      </c>
      <c r="E190" s="36">
        <v>18239</v>
      </c>
      <c r="F190" s="37">
        <v>45422</v>
      </c>
      <c r="G190" s="38">
        <v>0.45763888888888887</v>
      </c>
      <c r="H190" s="44" t="s">
        <v>149</v>
      </c>
      <c r="I190" s="36" t="s">
        <v>97</v>
      </c>
      <c r="J190" s="39" t="s">
        <v>101</v>
      </c>
      <c r="K190" s="36">
        <v>28</v>
      </c>
    </row>
    <row r="191" spans="1:11" ht="76" hidden="1" thickBot="1">
      <c r="A191" s="82" t="s">
        <v>215</v>
      </c>
      <c r="B191" s="37">
        <v>45421</v>
      </c>
      <c r="C191" s="38">
        <v>0.68125000000000002</v>
      </c>
      <c r="D191" s="36">
        <v>113888</v>
      </c>
      <c r="E191" s="36">
        <v>18239</v>
      </c>
      <c r="F191" s="37">
        <v>45422</v>
      </c>
      <c r="G191" s="38">
        <v>0.45763888888888887</v>
      </c>
      <c r="H191" s="44" t="s">
        <v>149</v>
      </c>
      <c r="I191" s="36" t="s">
        <v>97</v>
      </c>
      <c r="J191" s="39" t="s">
        <v>150</v>
      </c>
      <c r="K191" s="36">
        <v>8</v>
      </c>
    </row>
    <row r="192" spans="1:11" ht="51" hidden="1" thickBot="1">
      <c r="A192" s="82" t="s">
        <v>216</v>
      </c>
      <c r="B192" s="37">
        <v>45421</v>
      </c>
      <c r="C192" s="38">
        <v>0.6479166666666667</v>
      </c>
      <c r="D192" s="36">
        <v>113884</v>
      </c>
      <c r="E192" s="36">
        <v>18223</v>
      </c>
      <c r="F192" s="37">
        <v>45422</v>
      </c>
      <c r="G192" s="38">
        <v>0.34375</v>
      </c>
      <c r="H192" s="44" t="s">
        <v>125</v>
      </c>
      <c r="I192" s="36" t="s">
        <v>126</v>
      </c>
      <c r="J192" s="39" t="s">
        <v>96</v>
      </c>
      <c r="K192" s="36">
        <v>10</v>
      </c>
    </row>
    <row r="193" spans="1:11" ht="51" hidden="1" thickBot="1">
      <c r="A193" s="82" t="s">
        <v>216</v>
      </c>
      <c r="B193" s="37">
        <v>45421</v>
      </c>
      <c r="C193" s="38">
        <v>0.6479166666666667</v>
      </c>
      <c r="D193" s="36">
        <v>113884</v>
      </c>
      <c r="E193" s="36">
        <v>18223</v>
      </c>
      <c r="F193" s="37">
        <v>45422</v>
      </c>
      <c r="G193" s="38">
        <v>0.34375</v>
      </c>
      <c r="H193" s="44" t="s">
        <v>125</v>
      </c>
      <c r="I193" s="36" t="s">
        <v>126</v>
      </c>
      <c r="J193" s="39" t="s">
        <v>67</v>
      </c>
      <c r="K193" s="36">
        <v>1</v>
      </c>
    </row>
    <row r="194" spans="1:11" ht="38.5" hidden="1" thickBot="1">
      <c r="A194" s="82">
        <v>135</v>
      </c>
      <c r="B194" s="37">
        <v>45422</v>
      </c>
      <c r="C194" s="38">
        <v>0.36805555555555558</v>
      </c>
      <c r="D194" s="36">
        <v>113889</v>
      </c>
      <c r="E194" s="36">
        <v>18241</v>
      </c>
      <c r="F194" s="37">
        <v>45422</v>
      </c>
      <c r="G194" s="38">
        <v>0.45833333333333331</v>
      </c>
      <c r="H194" s="44" t="s">
        <v>129</v>
      </c>
      <c r="I194" s="36" t="s">
        <v>37</v>
      </c>
      <c r="J194" s="39" t="s">
        <v>68</v>
      </c>
      <c r="K194" s="36">
        <v>7</v>
      </c>
    </row>
    <row r="195" spans="1:11" ht="38.5" hidden="1" thickBot="1">
      <c r="A195" s="82">
        <v>135</v>
      </c>
      <c r="B195" s="37">
        <v>45422</v>
      </c>
      <c r="C195" s="38">
        <v>0.36805555555555558</v>
      </c>
      <c r="D195" s="36">
        <v>113889</v>
      </c>
      <c r="E195" s="36">
        <v>18241</v>
      </c>
      <c r="F195" s="37">
        <v>45422</v>
      </c>
      <c r="G195" s="38">
        <v>0.45833333333333331</v>
      </c>
      <c r="H195" s="44" t="s">
        <v>129</v>
      </c>
      <c r="I195" s="36" t="s">
        <v>37</v>
      </c>
      <c r="J195" s="39" t="s">
        <v>150</v>
      </c>
      <c r="K195" s="36">
        <v>1</v>
      </c>
    </row>
    <row r="196" spans="1:11" ht="38.5" hidden="1" thickBot="1">
      <c r="A196" s="82">
        <v>135</v>
      </c>
      <c r="B196" s="37">
        <v>45422</v>
      </c>
      <c r="C196" s="38">
        <v>0.36805555555555558</v>
      </c>
      <c r="D196" s="36">
        <v>113889</v>
      </c>
      <c r="E196" s="36">
        <v>18241</v>
      </c>
      <c r="F196" s="37">
        <v>45422</v>
      </c>
      <c r="G196" s="38">
        <v>0.45833333333333331</v>
      </c>
      <c r="H196" s="44" t="s">
        <v>129</v>
      </c>
      <c r="I196" s="36" t="s">
        <v>37</v>
      </c>
      <c r="J196" s="39" t="s">
        <v>217</v>
      </c>
      <c r="K196" s="36">
        <v>35</v>
      </c>
    </row>
    <row r="197" spans="1:11" ht="38.5" hidden="1" thickBot="1">
      <c r="A197" s="77" t="s">
        <v>218</v>
      </c>
      <c r="B197" s="93">
        <v>45421</v>
      </c>
      <c r="C197" s="94">
        <v>0.92083333333333328</v>
      </c>
      <c r="D197" s="78">
        <v>113886</v>
      </c>
      <c r="E197" s="78">
        <v>18256</v>
      </c>
      <c r="F197" s="93">
        <v>45422</v>
      </c>
      <c r="G197" s="94">
        <v>0.40416666666666667</v>
      </c>
      <c r="H197" s="95" t="s">
        <v>9</v>
      </c>
      <c r="I197" s="78" t="s">
        <v>39</v>
      </c>
      <c r="J197" s="96" t="s">
        <v>68</v>
      </c>
      <c r="K197" s="78">
        <v>160</v>
      </c>
    </row>
    <row r="198" spans="1:11" ht="38.5" hidden="1" thickBot="1">
      <c r="A198" s="77" t="s">
        <v>218</v>
      </c>
      <c r="B198" s="93">
        <v>45421</v>
      </c>
      <c r="C198" s="94">
        <v>0.92083333333333328</v>
      </c>
      <c r="D198" s="78">
        <v>113886</v>
      </c>
      <c r="E198" s="78">
        <v>18256</v>
      </c>
      <c r="F198" s="93">
        <v>45422</v>
      </c>
      <c r="G198" s="94">
        <v>0.40416666666666667</v>
      </c>
      <c r="H198" s="95" t="s">
        <v>9</v>
      </c>
      <c r="I198" s="78" t="s">
        <v>39</v>
      </c>
      <c r="J198" s="96" t="s">
        <v>165</v>
      </c>
      <c r="K198" s="78">
        <v>20</v>
      </c>
    </row>
    <row r="199" spans="1:11" ht="38.5" hidden="1" thickBot="1">
      <c r="A199" s="77" t="s">
        <v>218</v>
      </c>
      <c r="B199" s="93">
        <v>45421</v>
      </c>
      <c r="C199" s="94">
        <v>0.92083333333333328</v>
      </c>
      <c r="D199" s="78">
        <v>113886</v>
      </c>
      <c r="E199" s="78">
        <v>18256</v>
      </c>
      <c r="F199" s="93">
        <v>45422</v>
      </c>
      <c r="G199" s="94">
        <v>0.40416666666666667</v>
      </c>
      <c r="H199" s="95" t="s">
        <v>9</v>
      </c>
      <c r="I199" s="78" t="s">
        <v>39</v>
      </c>
      <c r="J199" s="96" t="s">
        <v>219</v>
      </c>
      <c r="K199" s="78">
        <v>3</v>
      </c>
    </row>
    <row r="200" spans="1:11" ht="38.5" hidden="1" thickBot="1">
      <c r="A200" s="77" t="s">
        <v>218</v>
      </c>
      <c r="B200" s="93">
        <v>45421</v>
      </c>
      <c r="C200" s="94">
        <v>0.92083333333333328</v>
      </c>
      <c r="D200" s="78">
        <v>113886</v>
      </c>
      <c r="E200" s="78">
        <v>18256</v>
      </c>
      <c r="F200" s="93">
        <v>45422</v>
      </c>
      <c r="G200" s="94">
        <v>0.40416666666666667</v>
      </c>
      <c r="H200" s="95" t="s">
        <v>9</v>
      </c>
      <c r="I200" s="78" t="s">
        <v>39</v>
      </c>
      <c r="J200" s="96" t="s">
        <v>71</v>
      </c>
      <c r="K200" s="78">
        <v>16</v>
      </c>
    </row>
    <row r="201" spans="1:11" ht="38.5" hidden="1" thickBot="1">
      <c r="A201" s="77" t="s">
        <v>218</v>
      </c>
      <c r="B201" s="93">
        <v>45421</v>
      </c>
      <c r="C201" s="94">
        <v>0.92083333333333328</v>
      </c>
      <c r="D201" s="78">
        <v>113886</v>
      </c>
      <c r="E201" s="78">
        <v>18256</v>
      </c>
      <c r="F201" s="93">
        <v>45422</v>
      </c>
      <c r="G201" s="94">
        <v>0.40416666666666667</v>
      </c>
      <c r="H201" s="95" t="s">
        <v>9</v>
      </c>
      <c r="I201" s="78" t="s">
        <v>39</v>
      </c>
      <c r="J201" s="96" t="s">
        <v>66</v>
      </c>
      <c r="K201" s="78">
        <v>100</v>
      </c>
    </row>
    <row r="202" spans="1:11" ht="46.5" hidden="1" thickBot="1">
      <c r="A202" s="82">
        <v>4500120228</v>
      </c>
      <c r="B202" s="37">
        <v>45422</v>
      </c>
      <c r="C202" s="38">
        <v>0.40972222222222221</v>
      </c>
      <c r="D202" s="36">
        <v>113890</v>
      </c>
      <c r="E202" s="36">
        <v>18215</v>
      </c>
      <c r="F202" s="37">
        <v>45422</v>
      </c>
      <c r="G202" s="38">
        <v>0.58263888888888893</v>
      </c>
      <c r="H202" s="44" t="s">
        <v>3</v>
      </c>
      <c r="I202" s="36" t="s">
        <v>42</v>
      </c>
      <c r="J202" s="39" t="s">
        <v>101</v>
      </c>
      <c r="K202" s="36">
        <v>24</v>
      </c>
    </row>
    <row r="203" spans="1:11" ht="76" hidden="1" thickBot="1">
      <c r="A203" s="82" t="s">
        <v>220</v>
      </c>
      <c r="B203" s="37">
        <v>45422</v>
      </c>
      <c r="C203" s="38">
        <v>0.51041666666666663</v>
      </c>
      <c r="D203" s="36">
        <v>113892</v>
      </c>
      <c r="E203" s="36">
        <v>18222</v>
      </c>
      <c r="F203" s="37">
        <v>45422</v>
      </c>
      <c r="G203" s="38">
        <v>0.58611111111111114</v>
      </c>
      <c r="H203" s="44" t="s">
        <v>190</v>
      </c>
      <c r="I203" s="36" t="s">
        <v>191</v>
      </c>
      <c r="J203" s="39" t="s">
        <v>163</v>
      </c>
      <c r="K203" s="36">
        <v>24</v>
      </c>
    </row>
    <row r="204" spans="1:11" ht="51" hidden="1" thickBot="1">
      <c r="A204" s="82" t="s">
        <v>221</v>
      </c>
      <c r="B204" s="37">
        <v>45422</v>
      </c>
      <c r="C204" s="38">
        <v>0.53888888888888886</v>
      </c>
      <c r="D204" s="36">
        <v>113891</v>
      </c>
      <c r="E204" s="36">
        <v>18216</v>
      </c>
      <c r="F204" s="37">
        <v>45422</v>
      </c>
      <c r="G204" s="38">
        <v>0.58263888888888893</v>
      </c>
      <c r="H204" s="44" t="s">
        <v>4</v>
      </c>
      <c r="I204" s="36" t="s">
        <v>132</v>
      </c>
      <c r="J204" s="39" t="s">
        <v>186</v>
      </c>
      <c r="K204" s="36">
        <v>15</v>
      </c>
    </row>
    <row r="205" spans="1:11" ht="76" hidden="1" thickBot="1">
      <c r="A205" s="82" t="s">
        <v>222</v>
      </c>
      <c r="B205" s="37">
        <v>45422</v>
      </c>
      <c r="C205" s="38">
        <v>0.62013888888888891</v>
      </c>
      <c r="D205" s="36">
        <v>113896</v>
      </c>
      <c r="E205" s="36">
        <v>18249</v>
      </c>
      <c r="F205" s="37">
        <v>45422</v>
      </c>
      <c r="G205" s="38">
        <v>0.42708333333333331</v>
      </c>
      <c r="H205" s="44" t="s">
        <v>149</v>
      </c>
      <c r="I205" s="36" t="s">
        <v>33</v>
      </c>
      <c r="J205" s="39" t="s">
        <v>219</v>
      </c>
      <c r="K205" s="36">
        <v>1</v>
      </c>
    </row>
    <row r="206" spans="1:11" ht="76" hidden="1" thickBot="1">
      <c r="A206" s="82" t="s">
        <v>222</v>
      </c>
      <c r="B206" s="37">
        <v>45422</v>
      </c>
      <c r="C206" s="38">
        <v>0.62013888888888891</v>
      </c>
      <c r="D206" s="36">
        <v>113896</v>
      </c>
      <c r="E206" s="36">
        <v>18249</v>
      </c>
      <c r="F206" s="37">
        <v>45422</v>
      </c>
      <c r="G206" s="38">
        <v>0.42708333333333331</v>
      </c>
      <c r="H206" s="44" t="s">
        <v>149</v>
      </c>
      <c r="I206" s="36" t="s">
        <v>33</v>
      </c>
      <c r="J206" s="39" t="s">
        <v>107</v>
      </c>
      <c r="K206" s="36">
        <v>7</v>
      </c>
    </row>
    <row r="207" spans="1:11" ht="76" hidden="1" thickBot="1">
      <c r="A207" s="82" t="s">
        <v>222</v>
      </c>
      <c r="B207" s="37">
        <v>45422</v>
      </c>
      <c r="C207" s="38">
        <v>0.62013888888888891</v>
      </c>
      <c r="D207" s="36">
        <v>113896</v>
      </c>
      <c r="E207" s="36">
        <v>18249</v>
      </c>
      <c r="F207" s="37">
        <v>45422</v>
      </c>
      <c r="G207" s="38">
        <v>0.42708333333333331</v>
      </c>
      <c r="H207" s="44" t="s">
        <v>149</v>
      </c>
      <c r="I207" s="36" t="s">
        <v>33</v>
      </c>
      <c r="J207" s="39" t="s">
        <v>101</v>
      </c>
      <c r="K207" s="36">
        <v>60</v>
      </c>
    </row>
    <row r="208" spans="1:11" ht="76" hidden="1" thickBot="1">
      <c r="A208" s="82" t="s">
        <v>222</v>
      </c>
      <c r="B208" s="37">
        <v>45422</v>
      </c>
      <c r="C208" s="38">
        <v>0.62013888888888891</v>
      </c>
      <c r="D208" s="36">
        <v>113896</v>
      </c>
      <c r="E208" s="36">
        <v>18249</v>
      </c>
      <c r="F208" s="37">
        <v>45422</v>
      </c>
      <c r="G208" s="38">
        <v>0.42708333333333331</v>
      </c>
      <c r="H208" s="44" t="s">
        <v>149</v>
      </c>
      <c r="I208" s="36" t="s">
        <v>33</v>
      </c>
      <c r="J208" s="39" t="s">
        <v>150</v>
      </c>
      <c r="K208" s="36">
        <v>24</v>
      </c>
    </row>
    <row r="209" spans="1:11" ht="46.5" hidden="1" thickBot="1">
      <c r="A209" s="90">
        <v>68551</v>
      </c>
      <c r="B209" s="37">
        <v>45422</v>
      </c>
      <c r="C209" s="38">
        <v>0.66736111111111107</v>
      </c>
      <c r="D209" s="36">
        <v>113897</v>
      </c>
      <c r="E209" s="36">
        <v>18238</v>
      </c>
      <c r="F209" s="37">
        <v>45422</v>
      </c>
      <c r="G209" s="38">
        <v>0.42708333333333331</v>
      </c>
      <c r="H209" s="44" t="s">
        <v>187</v>
      </c>
      <c r="I209" s="36" t="s">
        <v>98</v>
      </c>
      <c r="J209" s="39" t="s">
        <v>101</v>
      </c>
      <c r="K209" s="36">
        <v>40</v>
      </c>
    </row>
    <row r="210" spans="1:11" ht="38.5" thickBot="1">
      <c r="A210" s="85">
        <v>14</v>
      </c>
      <c r="B210" s="37">
        <v>45422</v>
      </c>
      <c r="C210" s="38">
        <v>0.72361111111111109</v>
      </c>
      <c r="D210" s="36">
        <v>113899</v>
      </c>
      <c r="E210" s="36">
        <v>18230</v>
      </c>
      <c r="F210" s="37">
        <v>45422</v>
      </c>
      <c r="G210" s="38">
        <v>0.42708333333333331</v>
      </c>
      <c r="H210" s="44" t="s">
        <v>108</v>
      </c>
      <c r="I210" s="36" t="s">
        <v>32</v>
      </c>
      <c r="J210" s="39" t="s">
        <v>107</v>
      </c>
      <c r="K210" s="36">
        <v>6</v>
      </c>
    </row>
    <row r="211" spans="1:11" ht="38.5" hidden="1" thickBot="1">
      <c r="A211" s="82">
        <v>4500309792</v>
      </c>
      <c r="B211" s="37">
        <v>45422</v>
      </c>
      <c r="C211" s="38">
        <v>0.74722222222222223</v>
      </c>
      <c r="D211" s="36">
        <v>113894</v>
      </c>
      <c r="E211" s="36">
        <v>18231</v>
      </c>
      <c r="F211" s="37">
        <v>45426</v>
      </c>
      <c r="G211" s="38">
        <v>0.37708333333333333</v>
      </c>
      <c r="H211" s="44" t="s">
        <v>142</v>
      </c>
      <c r="I211" s="36" t="s">
        <v>143</v>
      </c>
      <c r="J211" s="39" t="s">
        <v>68</v>
      </c>
      <c r="K211" s="36">
        <v>8</v>
      </c>
    </row>
    <row r="212" spans="1:11" ht="26.5" hidden="1" thickBot="1">
      <c r="A212" s="50">
        <v>943326</v>
      </c>
      <c r="B212" s="37">
        <v>45422</v>
      </c>
      <c r="C212" s="38">
        <v>0.81388888888888888</v>
      </c>
      <c r="D212" s="36">
        <v>113900</v>
      </c>
      <c r="E212" s="36">
        <v>18229</v>
      </c>
      <c r="F212" s="37">
        <v>45426</v>
      </c>
      <c r="G212" s="38">
        <v>0.43333333333333335</v>
      </c>
      <c r="H212" s="44" t="s">
        <v>8</v>
      </c>
      <c r="I212" s="36" t="s">
        <v>37</v>
      </c>
      <c r="J212" s="39" t="s">
        <v>96</v>
      </c>
      <c r="K212" s="36">
        <v>15</v>
      </c>
    </row>
    <row r="213" spans="1:11" ht="51" hidden="1" thickBot="1">
      <c r="A213" s="82" t="s">
        <v>223</v>
      </c>
      <c r="B213" s="37">
        <v>45425</v>
      </c>
      <c r="C213" s="38">
        <v>0.41736111111111113</v>
      </c>
      <c r="D213" s="36">
        <v>113895</v>
      </c>
      <c r="E213" s="36">
        <v>18233</v>
      </c>
      <c r="F213" s="37">
        <v>45426</v>
      </c>
      <c r="G213" s="38">
        <v>0.38124999999999998</v>
      </c>
      <c r="H213" s="44" t="s">
        <v>125</v>
      </c>
      <c r="I213" s="36" t="s">
        <v>126</v>
      </c>
      <c r="J213" s="39" t="s">
        <v>96</v>
      </c>
      <c r="K213" s="36">
        <v>13</v>
      </c>
    </row>
    <row r="214" spans="1:11" ht="51" hidden="1" thickBot="1">
      <c r="A214" s="82" t="s">
        <v>223</v>
      </c>
      <c r="B214" s="37">
        <v>45425</v>
      </c>
      <c r="C214" s="38">
        <v>0.41736111111111113</v>
      </c>
      <c r="D214" s="36">
        <v>113895</v>
      </c>
      <c r="E214" s="36">
        <v>18233</v>
      </c>
      <c r="F214" s="37">
        <v>45426</v>
      </c>
      <c r="G214" s="38">
        <v>0.38124999999999998</v>
      </c>
      <c r="H214" s="44" t="s">
        <v>125</v>
      </c>
      <c r="I214" s="36" t="s">
        <v>126</v>
      </c>
      <c r="J214" s="39" t="s">
        <v>67</v>
      </c>
      <c r="K214" s="36">
        <v>4</v>
      </c>
    </row>
    <row r="215" spans="1:11" ht="38.5" thickBot="1">
      <c r="A215" s="85">
        <v>13</v>
      </c>
      <c r="B215" s="37">
        <v>45426</v>
      </c>
      <c r="C215" s="38">
        <v>0.37013888888888891</v>
      </c>
      <c r="D215" s="36">
        <v>113908</v>
      </c>
      <c r="E215" s="36">
        <v>18234</v>
      </c>
      <c r="F215" s="37">
        <v>45426</v>
      </c>
      <c r="G215" s="38">
        <v>0.6381944444444444</v>
      </c>
      <c r="H215" s="44" t="s">
        <v>15</v>
      </c>
      <c r="I215" s="36" t="s">
        <v>35</v>
      </c>
      <c r="J215" s="39" t="s">
        <v>122</v>
      </c>
      <c r="K215" s="36">
        <v>31</v>
      </c>
    </row>
    <row r="216" spans="1:11" ht="38.5" thickBot="1">
      <c r="A216" s="85">
        <v>13</v>
      </c>
      <c r="B216" s="37">
        <v>45426</v>
      </c>
      <c r="C216" s="38">
        <v>0.37013888888888891</v>
      </c>
      <c r="D216" s="36">
        <v>113908</v>
      </c>
      <c r="E216" s="36">
        <v>18234</v>
      </c>
      <c r="F216" s="37">
        <v>45426</v>
      </c>
      <c r="G216" s="38">
        <v>0.6381944444444444</v>
      </c>
      <c r="H216" s="44" t="s">
        <v>15</v>
      </c>
      <c r="I216" s="36" t="s">
        <v>35</v>
      </c>
      <c r="J216" s="39" t="s">
        <v>188</v>
      </c>
      <c r="K216" s="36">
        <v>38</v>
      </c>
    </row>
    <row r="217" spans="1:11" ht="46.5" thickBot="1">
      <c r="A217" s="85">
        <v>15</v>
      </c>
      <c r="B217" s="37">
        <v>45426</v>
      </c>
      <c r="C217" s="38">
        <v>0.44374999999999998</v>
      </c>
      <c r="D217" s="36">
        <v>113904</v>
      </c>
      <c r="E217" s="36">
        <v>18266</v>
      </c>
      <c r="F217" s="37">
        <v>45426</v>
      </c>
      <c r="G217" s="38">
        <v>0.5180555555555556</v>
      </c>
      <c r="H217" s="44" t="s">
        <v>224</v>
      </c>
      <c r="I217" s="36" t="s">
        <v>132</v>
      </c>
      <c r="J217" s="39" t="s">
        <v>101</v>
      </c>
      <c r="K217" s="36">
        <v>20</v>
      </c>
    </row>
    <row r="218" spans="1:11" ht="38.5" hidden="1" thickBot="1">
      <c r="A218" s="82" t="s">
        <v>225</v>
      </c>
      <c r="B218" s="37">
        <v>45426</v>
      </c>
      <c r="C218" s="38">
        <v>0.45763888888888887</v>
      </c>
      <c r="D218" s="36">
        <v>113902</v>
      </c>
      <c r="E218" s="36">
        <v>18235</v>
      </c>
      <c r="F218" s="37">
        <v>45426</v>
      </c>
      <c r="G218" s="38">
        <v>0.51249999999999996</v>
      </c>
      <c r="H218" s="44" t="s">
        <v>19</v>
      </c>
      <c r="I218" s="36" t="s">
        <v>32</v>
      </c>
      <c r="J218" s="39" t="s">
        <v>177</v>
      </c>
      <c r="K218" s="36">
        <v>20</v>
      </c>
    </row>
    <row r="219" spans="1:11" ht="38.5" hidden="1" thickBot="1">
      <c r="A219" s="82" t="s">
        <v>225</v>
      </c>
      <c r="B219" s="37">
        <v>45426</v>
      </c>
      <c r="C219" s="38">
        <v>0.45763888888888887</v>
      </c>
      <c r="D219" s="36">
        <v>113902</v>
      </c>
      <c r="E219" s="36">
        <v>18235</v>
      </c>
      <c r="F219" s="37">
        <v>45426</v>
      </c>
      <c r="G219" s="38">
        <v>0.51249999999999996</v>
      </c>
      <c r="H219" s="44" t="s">
        <v>19</v>
      </c>
      <c r="I219" s="36" t="s">
        <v>32</v>
      </c>
      <c r="J219" s="39" t="s">
        <v>69</v>
      </c>
      <c r="K219" s="36">
        <v>3</v>
      </c>
    </row>
    <row r="220" spans="1:11" ht="38.5" hidden="1" thickBot="1">
      <c r="A220" s="82" t="s">
        <v>225</v>
      </c>
      <c r="B220" s="37">
        <v>45426</v>
      </c>
      <c r="C220" s="38">
        <v>0.45763888888888887</v>
      </c>
      <c r="D220" s="36">
        <v>113902</v>
      </c>
      <c r="E220" s="36">
        <v>18235</v>
      </c>
      <c r="F220" s="37">
        <v>45426</v>
      </c>
      <c r="G220" s="38">
        <v>0.51249999999999996</v>
      </c>
      <c r="H220" s="44" t="s">
        <v>19</v>
      </c>
      <c r="I220" s="36" t="s">
        <v>32</v>
      </c>
      <c r="J220" s="39" t="s">
        <v>150</v>
      </c>
      <c r="K220" s="36">
        <v>5</v>
      </c>
    </row>
    <row r="221" spans="1:11" ht="38.5" hidden="1" thickBot="1">
      <c r="A221" s="82" t="s">
        <v>225</v>
      </c>
      <c r="B221" s="37">
        <v>45426</v>
      </c>
      <c r="C221" s="38">
        <v>0.45763888888888887</v>
      </c>
      <c r="D221" s="36">
        <v>113902</v>
      </c>
      <c r="E221" s="36">
        <v>18235</v>
      </c>
      <c r="F221" s="37">
        <v>45426</v>
      </c>
      <c r="G221" s="38">
        <v>0.51249999999999996</v>
      </c>
      <c r="H221" s="44" t="s">
        <v>19</v>
      </c>
      <c r="I221" s="36" t="s">
        <v>32</v>
      </c>
      <c r="J221" s="39" t="s">
        <v>68</v>
      </c>
      <c r="K221" s="36">
        <v>20</v>
      </c>
    </row>
    <row r="222" spans="1:11" ht="76" hidden="1" thickBot="1">
      <c r="A222" s="82" t="s">
        <v>226</v>
      </c>
      <c r="B222" s="37">
        <v>45426</v>
      </c>
      <c r="C222" s="38">
        <v>0.49444444444444446</v>
      </c>
      <c r="D222" s="36">
        <v>113905</v>
      </c>
      <c r="E222" s="36">
        <v>18248</v>
      </c>
      <c r="F222" s="37">
        <v>45426</v>
      </c>
      <c r="G222" s="38">
        <v>0.51875000000000004</v>
      </c>
      <c r="H222" s="44" t="s">
        <v>149</v>
      </c>
      <c r="I222" s="36" t="s">
        <v>33</v>
      </c>
      <c r="J222" s="39" t="s">
        <v>114</v>
      </c>
      <c r="K222" s="36">
        <v>1</v>
      </c>
    </row>
    <row r="223" spans="1:11" ht="38.5" hidden="1" thickBot="1">
      <c r="A223" s="77" t="s">
        <v>276</v>
      </c>
      <c r="B223" s="93">
        <v>45426</v>
      </c>
      <c r="C223" s="94">
        <v>0.36249999999999999</v>
      </c>
      <c r="D223" s="78">
        <v>113903</v>
      </c>
      <c r="E223" s="78">
        <v>18322</v>
      </c>
      <c r="F223" s="93">
        <v>45426</v>
      </c>
      <c r="G223" s="94">
        <v>0.51666666666666672</v>
      </c>
      <c r="H223" s="95" t="s">
        <v>275</v>
      </c>
      <c r="I223" s="78" t="s">
        <v>227</v>
      </c>
      <c r="J223" s="96" t="s">
        <v>68</v>
      </c>
      <c r="K223" s="78">
        <v>80</v>
      </c>
    </row>
    <row r="224" spans="1:11" ht="35" thickBot="1">
      <c r="A224" s="85">
        <v>16</v>
      </c>
      <c r="B224" s="37">
        <v>45426</v>
      </c>
      <c r="C224" s="38">
        <v>0.51111111111111107</v>
      </c>
      <c r="D224" s="36">
        <v>113906</v>
      </c>
      <c r="E224" s="36">
        <v>18270</v>
      </c>
      <c r="F224" s="37">
        <v>45426</v>
      </c>
      <c r="G224" s="38">
        <v>0.59791666666666665</v>
      </c>
      <c r="H224" s="44" t="s">
        <v>133</v>
      </c>
      <c r="I224" s="36" t="s">
        <v>95</v>
      </c>
      <c r="J224" s="39" t="s">
        <v>182</v>
      </c>
      <c r="K224" s="36">
        <v>2</v>
      </c>
    </row>
    <row r="225" spans="1:11" ht="76" hidden="1" thickBot="1">
      <c r="A225" s="82" t="s">
        <v>228</v>
      </c>
      <c r="B225" s="37">
        <v>45426</v>
      </c>
      <c r="C225" s="38">
        <v>0.58888888888888891</v>
      </c>
      <c r="D225" s="36">
        <v>113907</v>
      </c>
      <c r="E225" s="36">
        <v>18244</v>
      </c>
      <c r="F225" s="37">
        <v>45426</v>
      </c>
      <c r="G225" s="38">
        <v>0.60347222222222219</v>
      </c>
      <c r="H225" s="44" t="s">
        <v>149</v>
      </c>
      <c r="I225" s="36" t="s">
        <v>97</v>
      </c>
      <c r="J225" s="39" t="s">
        <v>69</v>
      </c>
      <c r="K225" s="36">
        <v>15</v>
      </c>
    </row>
    <row r="226" spans="1:11" ht="38.5" thickBot="1">
      <c r="A226" s="85">
        <v>17</v>
      </c>
      <c r="B226" s="37">
        <v>45426</v>
      </c>
      <c r="C226" s="38">
        <v>0.64513888888888893</v>
      </c>
      <c r="D226" s="36">
        <v>113909</v>
      </c>
      <c r="E226" s="36">
        <v>18234</v>
      </c>
      <c r="F226" s="37">
        <v>45426</v>
      </c>
      <c r="G226" s="38">
        <v>0.66041666666666665</v>
      </c>
      <c r="H226" s="44" t="s">
        <v>15</v>
      </c>
      <c r="I226" s="36" t="s">
        <v>35</v>
      </c>
      <c r="J226" s="39" t="s">
        <v>122</v>
      </c>
      <c r="K226" s="36">
        <v>12</v>
      </c>
    </row>
    <row r="227" spans="1:11" ht="38.5" thickBot="1">
      <c r="A227" s="85">
        <v>18</v>
      </c>
      <c r="B227" s="37">
        <v>45426</v>
      </c>
      <c r="C227" s="38">
        <v>0.64513888888888893</v>
      </c>
      <c r="D227" s="36">
        <v>113909</v>
      </c>
      <c r="E227" s="36">
        <v>18234</v>
      </c>
      <c r="F227" s="37">
        <v>45426</v>
      </c>
      <c r="G227" s="38">
        <v>0.66041666666666665</v>
      </c>
      <c r="H227" s="44" t="s">
        <v>15</v>
      </c>
      <c r="I227" s="36" t="s">
        <v>35</v>
      </c>
      <c r="J227" s="39" t="s">
        <v>188</v>
      </c>
      <c r="K227" s="36">
        <v>8</v>
      </c>
    </row>
    <row r="228" spans="1:11" ht="46.5" hidden="1" thickBot="1">
      <c r="A228" s="82">
        <v>4500309919</v>
      </c>
      <c r="B228" s="37">
        <v>45426</v>
      </c>
      <c r="C228" s="38">
        <v>0.66805555555555551</v>
      </c>
      <c r="D228" s="36">
        <v>113910</v>
      </c>
      <c r="E228" s="36">
        <v>18328</v>
      </c>
      <c r="F228" s="37">
        <v>45427</v>
      </c>
      <c r="G228" s="38">
        <v>0.38263888888888886</v>
      </c>
      <c r="H228" s="44" t="s">
        <v>115</v>
      </c>
      <c r="I228" s="36" t="s">
        <v>98</v>
      </c>
      <c r="J228" s="39" t="s">
        <v>101</v>
      </c>
      <c r="K228" s="36">
        <v>40</v>
      </c>
    </row>
    <row r="229" spans="1:11" ht="26" hidden="1" thickBot="1">
      <c r="A229" s="74">
        <v>944280</v>
      </c>
      <c r="B229" s="57">
        <v>45426</v>
      </c>
      <c r="C229" s="58">
        <v>0.71875</v>
      </c>
      <c r="D229" s="56">
        <v>113914</v>
      </c>
      <c r="E229" s="56">
        <v>18251</v>
      </c>
      <c r="F229" s="57">
        <v>45427</v>
      </c>
      <c r="G229" s="58">
        <v>0.48194444444444445</v>
      </c>
      <c r="H229" s="60" t="s">
        <v>8</v>
      </c>
      <c r="I229" s="56" t="s">
        <v>41</v>
      </c>
      <c r="J229" s="61" t="s">
        <v>72</v>
      </c>
      <c r="K229" s="56">
        <v>1</v>
      </c>
    </row>
    <row r="230" spans="1:11" ht="38.5" hidden="1" thickBot="1">
      <c r="A230" s="82" t="s">
        <v>229</v>
      </c>
      <c r="B230" s="37">
        <v>45426</v>
      </c>
      <c r="C230" s="38">
        <v>0.74722222222222223</v>
      </c>
      <c r="D230" s="36">
        <v>113915</v>
      </c>
      <c r="E230" s="36">
        <v>18245</v>
      </c>
      <c r="F230" s="37">
        <v>45427</v>
      </c>
      <c r="G230" s="38">
        <v>0.48194444444444445</v>
      </c>
      <c r="H230" s="44" t="s">
        <v>75</v>
      </c>
      <c r="I230" s="36" t="s">
        <v>202</v>
      </c>
      <c r="J230" s="39" t="s">
        <v>182</v>
      </c>
      <c r="K230" s="36">
        <v>4</v>
      </c>
    </row>
    <row r="231" spans="1:11" ht="38.5" hidden="1" thickBot="1">
      <c r="A231" s="82" t="s">
        <v>229</v>
      </c>
      <c r="B231" s="37">
        <v>45426</v>
      </c>
      <c r="C231" s="38">
        <v>0.74722222222222223</v>
      </c>
      <c r="D231" s="36">
        <v>113915</v>
      </c>
      <c r="E231" s="36">
        <v>18245</v>
      </c>
      <c r="F231" s="37">
        <v>45427</v>
      </c>
      <c r="G231" s="38">
        <v>0.48194444444444445</v>
      </c>
      <c r="H231" s="44" t="s">
        <v>75</v>
      </c>
      <c r="I231" s="36" t="s">
        <v>202</v>
      </c>
      <c r="J231" s="39" t="s">
        <v>109</v>
      </c>
      <c r="K231" s="36">
        <v>4</v>
      </c>
    </row>
    <row r="232" spans="1:11" ht="38.5" hidden="1" thickBot="1">
      <c r="A232" s="82" t="s">
        <v>230</v>
      </c>
      <c r="B232" s="37">
        <v>45426</v>
      </c>
      <c r="C232" s="38">
        <v>0.74722222222222223</v>
      </c>
      <c r="D232" s="36">
        <v>113911</v>
      </c>
      <c r="E232" s="36">
        <v>18263</v>
      </c>
      <c r="F232" s="37">
        <v>45427</v>
      </c>
      <c r="G232" s="38">
        <v>0.38819444444444445</v>
      </c>
      <c r="H232" s="44" t="s">
        <v>139</v>
      </c>
      <c r="I232" s="36" t="s">
        <v>39</v>
      </c>
      <c r="J232" s="39" t="s">
        <v>150</v>
      </c>
      <c r="K232" s="36">
        <v>6</v>
      </c>
    </row>
    <row r="233" spans="1:11" ht="46.5" hidden="1" thickBot="1">
      <c r="A233" s="82" t="s">
        <v>231</v>
      </c>
      <c r="B233" s="37">
        <v>45426</v>
      </c>
      <c r="C233" s="38">
        <v>0.77569444444444446</v>
      </c>
      <c r="D233" s="36">
        <v>113916</v>
      </c>
      <c r="E233" s="36">
        <v>18246</v>
      </c>
      <c r="F233" s="37">
        <v>45427</v>
      </c>
      <c r="G233" s="38">
        <v>0.4826388888888889</v>
      </c>
      <c r="H233" s="44" t="s">
        <v>75</v>
      </c>
      <c r="I233" s="36" t="s">
        <v>202</v>
      </c>
      <c r="J233" s="39" t="s">
        <v>101</v>
      </c>
      <c r="K233" s="36">
        <v>10</v>
      </c>
    </row>
    <row r="234" spans="1:11" ht="46.5" hidden="1" thickBot="1">
      <c r="A234" s="82" t="s">
        <v>232</v>
      </c>
      <c r="B234" s="37">
        <v>45427</v>
      </c>
      <c r="C234" s="38">
        <v>0.30208333333333331</v>
      </c>
      <c r="D234" s="36">
        <v>113912</v>
      </c>
      <c r="E234" s="36">
        <v>18247</v>
      </c>
      <c r="F234" s="37">
        <v>45427</v>
      </c>
      <c r="G234" s="38">
        <v>0.39444444444444443</v>
      </c>
      <c r="H234" s="44" t="s">
        <v>100</v>
      </c>
      <c r="I234" s="36" t="s">
        <v>45</v>
      </c>
      <c r="J234" s="39" t="s">
        <v>101</v>
      </c>
      <c r="K234" s="36">
        <v>8</v>
      </c>
    </row>
    <row r="235" spans="1:11" ht="76" hidden="1" thickBot="1">
      <c r="A235" s="82" t="s">
        <v>233</v>
      </c>
      <c r="B235" s="37">
        <v>45427</v>
      </c>
      <c r="C235" s="38">
        <v>0.31736111111111109</v>
      </c>
      <c r="D235" s="36">
        <v>113924</v>
      </c>
      <c r="E235" s="36">
        <v>18250</v>
      </c>
      <c r="F235" s="37">
        <v>45427</v>
      </c>
      <c r="G235" s="38">
        <v>0.58333333333333337</v>
      </c>
      <c r="H235" s="44" t="s">
        <v>149</v>
      </c>
      <c r="I235" s="36" t="s">
        <v>36</v>
      </c>
      <c r="J235" s="39" t="s">
        <v>109</v>
      </c>
      <c r="K235" s="36">
        <v>4</v>
      </c>
    </row>
    <row r="236" spans="1:11" ht="23.5" hidden="1" thickBot="1">
      <c r="A236" s="82">
        <v>944590</v>
      </c>
      <c r="B236" s="37">
        <v>45427</v>
      </c>
      <c r="C236" s="38">
        <v>0.32361111111111113</v>
      </c>
      <c r="D236" s="36">
        <v>113923</v>
      </c>
      <c r="E236" s="36">
        <v>18258</v>
      </c>
      <c r="F236" s="37">
        <v>45427</v>
      </c>
      <c r="G236" s="38">
        <v>0.59305555555555556</v>
      </c>
      <c r="H236" s="39" t="s">
        <v>11</v>
      </c>
      <c r="I236" s="36" t="s">
        <v>39</v>
      </c>
      <c r="J236" s="39" t="s">
        <v>72</v>
      </c>
      <c r="K236" s="36">
        <v>4</v>
      </c>
    </row>
    <row r="237" spans="1:11" ht="23.5" hidden="1" thickBot="1">
      <c r="A237" s="82">
        <v>607</v>
      </c>
      <c r="B237" s="37">
        <v>45427</v>
      </c>
      <c r="C237" s="38">
        <v>0.35069444444444442</v>
      </c>
      <c r="D237" s="36">
        <v>113922</v>
      </c>
      <c r="E237" s="36">
        <v>18262</v>
      </c>
      <c r="F237" s="37">
        <v>45427</v>
      </c>
      <c r="G237" s="38">
        <v>0.59305555555555556</v>
      </c>
      <c r="H237" s="39" t="s">
        <v>119</v>
      </c>
      <c r="I237" s="36" t="s">
        <v>40</v>
      </c>
      <c r="J237" s="39" t="s">
        <v>107</v>
      </c>
      <c r="K237" s="36">
        <v>3</v>
      </c>
    </row>
    <row r="238" spans="1:11" ht="23.5" hidden="1" thickBot="1">
      <c r="A238" s="82">
        <v>944666</v>
      </c>
      <c r="B238" s="37">
        <v>45427</v>
      </c>
      <c r="C238" s="38">
        <v>0.36875000000000002</v>
      </c>
      <c r="D238" s="36">
        <v>113921</v>
      </c>
      <c r="E238" s="36">
        <v>18255</v>
      </c>
      <c r="F238" s="37">
        <v>45427</v>
      </c>
      <c r="G238" s="38">
        <v>0.59305555555555556</v>
      </c>
      <c r="H238" s="39" t="s">
        <v>8</v>
      </c>
      <c r="I238" s="36" t="s">
        <v>36</v>
      </c>
      <c r="J238" s="39" t="s">
        <v>68</v>
      </c>
      <c r="K238" s="36">
        <v>12</v>
      </c>
    </row>
    <row r="239" spans="1:11" ht="23.5" hidden="1" thickBot="1">
      <c r="A239" s="82">
        <v>944666</v>
      </c>
      <c r="B239" s="37">
        <v>45427</v>
      </c>
      <c r="C239" s="38">
        <v>0.36875000000000002</v>
      </c>
      <c r="D239" s="36">
        <v>113921</v>
      </c>
      <c r="E239" s="36">
        <v>18255</v>
      </c>
      <c r="F239" s="37">
        <v>45427</v>
      </c>
      <c r="G239" s="38">
        <v>0.59305555555555556</v>
      </c>
      <c r="H239" s="39" t="s">
        <v>8</v>
      </c>
      <c r="I239" s="36" t="s">
        <v>36</v>
      </c>
      <c r="J239" s="39" t="s">
        <v>69</v>
      </c>
      <c r="K239" s="36">
        <v>5</v>
      </c>
    </row>
    <row r="240" spans="1:11" ht="23.5" hidden="1" thickBot="1">
      <c r="A240" s="82">
        <v>944673</v>
      </c>
      <c r="B240" s="37">
        <v>45427</v>
      </c>
      <c r="C240" s="38">
        <v>0.37638888888888888</v>
      </c>
      <c r="D240" s="36">
        <v>113920</v>
      </c>
      <c r="E240" s="36">
        <v>18254</v>
      </c>
      <c r="F240" s="37">
        <v>45427</v>
      </c>
      <c r="G240" s="38">
        <v>0.59305555555555556</v>
      </c>
      <c r="H240" s="39" t="s">
        <v>8</v>
      </c>
      <c r="I240" s="36" t="s">
        <v>36</v>
      </c>
      <c r="J240" s="39" t="s">
        <v>68</v>
      </c>
      <c r="K240" s="36">
        <v>8</v>
      </c>
    </row>
    <row r="241" spans="1:11" ht="23.5" hidden="1" thickBot="1">
      <c r="A241" s="82">
        <v>4500069720</v>
      </c>
      <c r="B241" s="37">
        <v>45427</v>
      </c>
      <c r="C241" s="38">
        <v>0.38263888888888886</v>
      </c>
      <c r="D241" s="36">
        <v>113919</v>
      </c>
      <c r="E241" s="36">
        <v>18267</v>
      </c>
      <c r="F241" s="37">
        <v>45427</v>
      </c>
      <c r="G241" s="38">
        <v>0.59305555555555556</v>
      </c>
      <c r="H241" s="39" t="s">
        <v>20</v>
      </c>
      <c r="I241" s="36" t="s">
        <v>37</v>
      </c>
      <c r="J241" s="39" t="s">
        <v>150</v>
      </c>
      <c r="K241" s="36">
        <v>4</v>
      </c>
    </row>
    <row r="242" spans="1:11" ht="23.5" hidden="1" thickBot="1">
      <c r="A242" s="82">
        <v>4500069720</v>
      </c>
      <c r="B242" s="37">
        <v>45427</v>
      </c>
      <c r="C242" s="38">
        <v>0.38263888888888886</v>
      </c>
      <c r="D242" s="36">
        <v>113919</v>
      </c>
      <c r="E242" s="36">
        <v>18267</v>
      </c>
      <c r="F242" s="37">
        <v>45427</v>
      </c>
      <c r="G242" s="38">
        <v>0.59305555555555556</v>
      </c>
      <c r="H242" s="39" t="s">
        <v>20</v>
      </c>
      <c r="I242" s="36" t="s">
        <v>37</v>
      </c>
      <c r="J242" s="39" t="s">
        <v>71</v>
      </c>
      <c r="K242" s="36">
        <v>20</v>
      </c>
    </row>
    <row r="243" spans="1:11" ht="23.5" hidden="1" thickBot="1">
      <c r="A243" s="82">
        <v>4500069720</v>
      </c>
      <c r="B243" s="37">
        <v>45427</v>
      </c>
      <c r="C243" s="38">
        <v>0.38263888888888886</v>
      </c>
      <c r="D243" s="36">
        <v>113919</v>
      </c>
      <c r="E243" s="36">
        <v>18267</v>
      </c>
      <c r="F243" s="37">
        <v>45427</v>
      </c>
      <c r="G243" s="38">
        <v>0.59305555555555556</v>
      </c>
      <c r="H243" s="39" t="s">
        <v>20</v>
      </c>
      <c r="I243" s="36" t="s">
        <v>37</v>
      </c>
      <c r="J243" s="39" t="s">
        <v>165</v>
      </c>
      <c r="K243" s="36">
        <v>8</v>
      </c>
    </row>
    <row r="244" spans="1:11" ht="35" hidden="1" thickBot="1">
      <c r="A244" s="82">
        <v>4500069720</v>
      </c>
      <c r="B244" s="37">
        <v>45427</v>
      </c>
      <c r="C244" s="38">
        <v>0.38263888888888886</v>
      </c>
      <c r="D244" s="36">
        <v>113919</v>
      </c>
      <c r="E244" s="36">
        <v>18267</v>
      </c>
      <c r="F244" s="37">
        <v>45427</v>
      </c>
      <c r="G244" s="38">
        <v>0.59305555555555556</v>
      </c>
      <c r="H244" s="39" t="s">
        <v>20</v>
      </c>
      <c r="I244" s="36" t="s">
        <v>37</v>
      </c>
      <c r="J244" s="39" t="s">
        <v>92</v>
      </c>
      <c r="K244" s="36">
        <v>16</v>
      </c>
    </row>
    <row r="245" spans="1:11" ht="23.5" hidden="1" thickBot="1">
      <c r="A245" s="82">
        <v>4500069720</v>
      </c>
      <c r="B245" s="37">
        <v>45427</v>
      </c>
      <c r="C245" s="38">
        <v>0.38263888888888886</v>
      </c>
      <c r="D245" s="36">
        <v>113919</v>
      </c>
      <c r="E245" s="36">
        <v>18267</v>
      </c>
      <c r="F245" s="37">
        <v>45427</v>
      </c>
      <c r="G245" s="38">
        <v>0.59305555555555556</v>
      </c>
      <c r="H245" s="39" t="s">
        <v>20</v>
      </c>
      <c r="I245" s="36" t="s">
        <v>37</v>
      </c>
      <c r="J245" s="39" t="s">
        <v>176</v>
      </c>
      <c r="K245" s="36">
        <v>8</v>
      </c>
    </row>
    <row r="246" spans="1:11" ht="23.5" hidden="1" thickBot="1">
      <c r="A246" s="82">
        <v>4500069720</v>
      </c>
      <c r="B246" s="37">
        <v>45427</v>
      </c>
      <c r="C246" s="38">
        <v>0.38263888888888886</v>
      </c>
      <c r="D246" s="36">
        <v>113919</v>
      </c>
      <c r="E246" s="36">
        <v>18267</v>
      </c>
      <c r="F246" s="37">
        <v>45427</v>
      </c>
      <c r="G246" s="38">
        <v>0.59305555555555556</v>
      </c>
      <c r="H246" s="39" t="s">
        <v>20</v>
      </c>
      <c r="I246" s="36" t="s">
        <v>37</v>
      </c>
      <c r="J246" s="39" t="s">
        <v>74</v>
      </c>
      <c r="K246" s="36">
        <v>20</v>
      </c>
    </row>
    <row r="247" spans="1:11" ht="23.5" hidden="1" thickBot="1">
      <c r="A247" s="82">
        <v>4500069720</v>
      </c>
      <c r="B247" s="37">
        <v>45427</v>
      </c>
      <c r="C247" s="38">
        <v>0.38263888888888886</v>
      </c>
      <c r="D247" s="36">
        <v>113919</v>
      </c>
      <c r="E247" s="36">
        <v>18267</v>
      </c>
      <c r="F247" s="37">
        <v>45427</v>
      </c>
      <c r="G247" s="38">
        <v>0.59305555555555556</v>
      </c>
      <c r="H247" s="39" t="s">
        <v>20</v>
      </c>
      <c r="I247" s="36" t="s">
        <v>37</v>
      </c>
      <c r="J247" s="39" t="s">
        <v>67</v>
      </c>
      <c r="K247" s="36">
        <v>28</v>
      </c>
    </row>
    <row r="248" spans="1:11" ht="23.5" hidden="1" thickBot="1">
      <c r="A248" s="82">
        <v>4500069720</v>
      </c>
      <c r="B248" s="37">
        <v>45427</v>
      </c>
      <c r="C248" s="38">
        <v>0.38263888888888886</v>
      </c>
      <c r="D248" s="36">
        <v>113919</v>
      </c>
      <c r="E248" s="36">
        <v>18267</v>
      </c>
      <c r="F248" s="37">
        <v>45427</v>
      </c>
      <c r="G248" s="38">
        <v>0.59305555555555556</v>
      </c>
      <c r="H248" s="39" t="s">
        <v>20</v>
      </c>
      <c r="I248" s="36" t="s">
        <v>37</v>
      </c>
      <c r="J248" s="39" t="s">
        <v>66</v>
      </c>
      <c r="K248" s="36">
        <v>80</v>
      </c>
    </row>
    <row r="249" spans="1:11" ht="46.5" hidden="1" thickBot="1">
      <c r="A249" s="82" t="s">
        <v>234</v>
      </c>
      <c r="B249" s="37">
        <v>45427</v>
      </c>
      <c r="C249" s="38">
        <v>0.43819444444444444</v>
      </c>
      <c r="D249" s="36">
        <v>113913</v>
      </c>
      <c r="E249" s="36">
        <v>18264</v>
      </c>
      <c r="F249" s="37">
        <v>45427</v>
      </c>
      <c r="G249" s="38">
        <v>0.48194444444444445</v>
      </c>
      <c r="H249" s="39" t="s">
        <v>123</v>
      </c>
      <c r="I249" s="36" t="s">
        <v>124</v>
      </c>
      <c r="J249" s="39" t="s">
        <v>101</v>
      </c>
      <c r="K249" s="36">
        <v>16</v>
      </c>
    </row>
    <row r="250" spans="1:11" ht="23.5" hidden="1" thickBot="1">
      <c r="A250" s="82">
        <v>944930</v>
      </c>
      <c r="B250" s="37">
        <v>45427</v>
      </c>
      <c r="C250" s="38">
        <v>0.48125000000000001</v>
      </c>
      <c r="D250" s="36">
        <v>113918</v>
      </c>
      <c r="E250" s="36">
        <v>18252</v>
      </c>
      <c r="F250" s="37">
        <v>45427</v>
      </c>
      <c r="G250" s="38">
        <v>0.59305555555555556</v>
      </c>
      <c r="H250" s="39" t="s">
        <v>8</v>
      </c>
      <c r="I250" s="36" t="s">
        <v>41</v>
      </c>
      <c r="J250" s="39" t="s">
        <v>96</v>
      </c>
      <c r="K250" s="36">
        <v>12</v>
      </c>
    </row>
    <row r="251" spans="1:11" ht="23.5" hidden="1" thickBot="1">
      <c r="A251" s="82">
        <v>105</v>
      </c>
      <c r="B251" s="37">
        <v>45427</v>
      </c>
      <c r="C251" s="38">
        <v>0.49236111111111114</v>
      </c>
      <c r="D251" s="36">
        <v>113917</v>
      </c>
      <c r="E251" s="36">
        <v>18358</v>
      </c>
      <c r="F251" s="37">
        <v>45427</v>
      </c>
      <c r="G251" s="38">
        <v>0.59305555555555556</v>
      </c>
      <c r="H251" s="39" t="s">
        <v>214</v>
      </c>
      <c r="I251" s="36" t="s">
        <v>35</v>
      </c>
      <c r="J251" s="39" t="s">
        <v>68</v>
      </c>
      <c r="K251" s="36">
        <v>1</v>
      </c>
    </row>
    <row r="252" spans="1:11" ht="23.5" hidden="1" thickBot="1">
      <c r="A252" s="82">
        <v>49539</v>
      </c>
      <c r="B252" s="37">
        <v>45427</v>
      </c>
      <c r="C252" s="38">
        <v>0.55069444444444449</v>
      </c>
      <c r="D252" s="36">
        <v>113926</v>
      </c>
      <c r="E252" s="36">
        <v>18336</v>
      </c>
      <c r="F252" s="37">
        <v>45427</v>
      </c>
      <c r="G252" s="38">
        <v>0.59722222222222221</v>
      </c>
      <c r="H252" s="39" t="s">
        <v>113</v>
      </c>
      <c r="I252" s="36" t="s">
        <v>35</v>
      </c>
      <c r="J252" s="39" t="s">
        <v>145</v>
      </c>
      <c r="K252" s="36">
        <v>27</v>
      </c>
    </row>
    <row r="253" spans="1:11" ht="23.5" thickBot="1">
      <c r="A253" s="85">
        <v>18</v>
      </c>
      <c r="B253" s="37">
        <v>45427</v>
      </c>
      <c r="C253" s="38">
        <v>0.55208333333333337</v>
      </c>
      <c r="D253" s="36">
        <v>113925</v>
      </c>
      <c r="E253" s="36">
        <v>18261</v>
      </c>
      <c r="F253" s="37">
        <v>45427</v>
      </c>
      <c r="G253" s="38">
        <v>0.60069444444444442</v>
      </c>
      <c r="H253" s="39" t="s">
        <v>166</v>
      </c>
      <c r="I253" s="36" t="s">
        <v>35</v>
      </c>
      <c r="J253" s="39" t="s">
        <v>177</v>
      </c>
      <c r="K253" s="36">
        <v>10</v>
      </c>
    </row>
    <row r="254" spans="1:11" ht="23.5" hidden="1" thickBot="1">
      <c r="A254" s="82">
        <v>4500069748</v>
      </c>
      <c r="B254" s="37">
        <v>45427</v>
      </c>
      <c r="C254" s="38">
        <v>0.68055555555555558</v>
      </c>
      <c r="D254" s="36">
        <v>113927</v>
      </c>
      <c r="E254" s="36">
        <v>18268</v>
      </c>
      <c r="F254" s="37">
        <v>45427</v>
      </c>
      <c r="G254" s="38">
        <v>0.70486111111111116</v>
      </c>
      <c r="H254" s="39" t="s">
        <v>20</v>
      </c>
      <c r="I254" s="36" t="s">
        <v>40</v>
      </c>
      <c r="J254" s="39" t="s">
        <v>66</v>
      </c>
      <c r="K254" s="36">
        <v>100</v>
      </c>
    </row>
    <row r="255" spans="1:11" ht="23.5" hidden="1" thickBot="1">
      <c r="A255" s="82">
        <v>4500069748</v>
      </c>
      <c r="B255" s="37">
        <v>45427</v>
      </c>
      <c r="C255" s="38">
        <v>0.68055555555555558</v>
      </c>
      <c r="D255" s="36">
        <v>113927</v>
      </c>
      <c r="E255" s="36">
        <v>18268</v>
      </c>
      <c r="F255" s="37">
        <v>45427</v>
      </c>
      <c r="G255" s="38">
        <v>0.70486111111111116</v>
      </c>
      <c r="H255" s="39" t="s">
        <v>20</v>
      </c>
      <c r="I255" s="36" t="s">
        <v>40</v>
      </c>
      <c r="J255" s="39" t="s">
        <v>165</v>
      </c>
      <c r="K255" s="36">
        <v>16</v>
      </c>
    </row>
    <row r="256" spans="1:11" ht="23.5" hidden="1" thickBot="1">
      <c r="A256" s="82">
        <v>4500069748</v>
      </c>
      <c r="B256" s="37">
        <v>45427</v>
      </c>
      <c r="C256" s="38">
        <v>0.68055555555555558</v>
      </c>
      <c r="D256" s="36">
        <v>113927</v>
      </c>
      <c r="E256" s="36">
        <v>18268</v>
      </c>
      <c r="F256" s="37">
        <v>45427</v>
      </c>
      <c r="G256" s="38">
        <v>0.70486111111111116</v>
      </c>
      <c r="H256" s="39" t="s">
        <v>20</v>
      </c>
      <c r="I256" s="36" t="s">
        <v>40</v>
      </c>
      <c r="J256" s="39" t="s">
        <v>171</v>
      </c>
      <c r="K256" s="36">
        <v>32</v>
      </c>
    </row>
    <row r="257" spans="1:11" ht="23.5" hidden="1" thickBot="1">
      <c r="A257" s="82">
        <v>4500069748</v>
      </c>
      <c r="B257" s="37">
        <v>45427</v>
      </c>
      <c r="C257" s="38">
        <v>0.68055555555555558</v>
      </c>
      <c r="D257" s="36">
        <v>113927</v>
      </c>
      <c r="E257" s="36">
        <v>18268</v>
      </c>
      <c r="F257" s="37">
        <v>45427</v>
      </c>
      <c r="G257" s="38">
        <v>0.70486111111111116</v>
      </c>
      <c r="H257" s="39" t="s">
        <v>20</v>
      </c>
      <c r="I257" s="36" t="s">
        <v>40</v>
      </c>
      <c r="J257" s="39" t="s">
        <v>107</v>
      </c>
      <c r="K257" s="36">
        <v>20</v>
      </c>
    </row>
    <row r="258" spans="1:11" ht="23.5" hidden="1" thickBot="1">
      <c r="A258" s="82">
        <v>4500069748</v>
      </c>
      <c r="B258" s="37">
        <v>45427</v>
      </c>
      <c r="C258" s="38">
        <v>0.68055555555555558</v>
      </c>
      <c r="D258" s="36">
        <v>113927</v>
      </c>
      <c r="E258" s="36">
        <v>18268</v>
      </c>
      <c r="F258" s="37">
        <v>45427</v>
      </c>
      <c r="G258" s="38">
        <v>0.70486111111111116</v>
      </c>
      <c r="H258" s="39" t="s">
        <v>20</v>
      </c>
      <c r="I258" s="36" t="s">
        <v>40</v>
      </c>
      <c r="J258" s="39" t="s">
        <v>96</v>
      </c>
      <c r="K258" s="36">
        <v>70</v>
      </c>
    </row>
    <row r="259" spans="1:11" ht="23.5" hidden="1" thickBot="1">
      <c r="A259" s="82">
        <v>4500069748</v>
      </c>
      <c r="B259" s="37">
        <v>45427</v>
      </c>
      <c r="C259" s="38">
        <v>0.68055555555555558</v>
      </c>
      <c r="D259" s="36">
        <v>113927</v>
      </c>
      <c r="E259" s="36">
        <v>18268</v>
      </c>
      <c r="F259" s="37">
        <v>45427</v>
      </c>
      <c r="G259" s="38">
        <v>0.70486111111111116</v>
      </c>
      <c r="H259" s="39" t="s">
        <v>20</v>
      </c>
      <c r="I259" s="36" t="s">
        <v>40</v>
      </c>
      <c r="J259" s="39" t="s">
        <v>74</v>
      </c>
      <c r="K259" s="36">
        <v>80</v>
      </c>
    </row>
    <row r="260" spans="1:11" ht="23.5" hidden="1" thickBot="1">
      <c r="A260" s="82">
        <v>4500069748</v>
      </c>
      <c r="B260" s="37">
        <v>45427</v>
      </c>
      <c r="C260" s="38">
        <v>0.68055555555555558</v>
      </c>
      <c r="D260" s="36">
        <v>113927</v>
      </c>
      <c r="E260" s="36">
        <v>18268</v>
      </c>
      <c r="F260" s="37">
        <v>45427</v>
      </c>
      <c r="G260" s="38">
        <v>0.70486111111111116</v>
      </c>
      <c r="H260" s="39" t="s">
        <v>20</v>
      </c>
      <c r="I260" s="36" t="s">
        <v>40</v>
      </c>
      <c r="J260" s="39" t="s">
        <v>71</v>
      </c>
      <c r="K260" s="36">
        <v>40</v>
      </c>
    </row>
    <row r="261" spans="1:11" ht="23.5" hidden="1" thickBot="1">
      <c r="A261" s="82">
        <v>4500069748</v>
      </c>
      <c r="B261" s="37">
        <v>45427</v>
      </c>
      <c r="C261" s="38">
        <v>0.68055555555555558</v>
      </c>
      <c r="D261" s="36">
        <v>113927</v>
      </c>
      <c r="E261" s="36">
        <v>18268</v>
      </c>
      <c r="F261" s="37">
        <v>45427</v>
      </c>
      <c r="G261" s="38">
        <v>0.70486111111111116</v>
      </c>
      <c r="H261" s="39" t="s">
        <v>20</v>
      </c>
      <c r="I261" s="36" t="s">
        <v>40</v>
      </c>
      <c r="J261" s="39" t="s">
        <v>67</v>
      </c>
      <c r="K261" s="36">
        <v>8</v>
      </c>
    </row>
    <row r="262" spans="1:11" ht="23.5" hidden="1" thickBot="1">
      <c r="A262" s="82">
        <v>4500069748</v>
      </c>
      <c r="B262" s="37">
        <v>45427</v>
      </c>
      <c r="C262" s="38">
        <v>0.68055555555555558</v>
      </c>
      <c r="D262" s="36">
        <v>113927</v>
      </c>
      <c r="E262" s="36">
        <v>18268</v>
      </c>
      <c r="F262" s="37">
        <v>45427</v>
      </c>
      <c r="G262" s="38">
        <v>0.70486111111111116</v>
      </c>
      <c r="H262" s="39" t="s">
        <v>20</v>
      </c>
      <c r="I262" s="36" t="s">
        <v>40</v>
      </c>
      <c r="J262" s="39" t="s">
        <v>150</v>
      </c>
      <c r="K262" s="36">
        <v>60</v>
      </c>
    </row>
    <row r="263" spans="1:11" ht="23.5" hidden="1" thickBot="1">
      <c r="A263" s="82">
        <v>4500069750</v>
      </c>
      <c r="B263" s="37">
        <v>45427</v>
      </c>
      <c r="C263" s="38">
        <v>0.68055555555555558</v>
      </c>
      <c r="D263" s="36">
        <v>113929</v>
      </c>
      <c r="E263" s="36">
        <v>18287</v>
      </c>
      <c r="F263" s="37">
        <v>45428</v>
      </c>
      <c r="G263" s="38">
        <v>0.40069444444444446</v>
      </c>
      <c r="H263" s="39" t="s">
        <v>20</v>
      </c>
      <c r="I263" s="36" t="s">
        <v>40</v>
      </c>
      <c r="J263" s="39" t="s">
        <v>66</v>
      </c>
      <c r="K263" s="36">
        <v>80</v>
      </c>
    </row>
    <row r="264" spans="1:11" ht="23.5" hidden="1" thickBot="1">
      <c r="A264" s="82">
        <v>4500069750</v>
      </c>
      <c r="B264" s="37">
        <v>45427</v>
      </c>
      <c r="C264" s="38">
        <v>0.68055555555555558</v>
      </c>
      <c r="D264" s="36">
        <v>113929</v>
      </c>
      <c r="E264" s="36">
        <v>18287</v>
      </c>
      <c r="F264" s="37">
        <v>45428</v>
      </c>
      <c r="G264" s="38">
        <v>0.40069444444444446</v>
      </c>
      <c r="H264" s="39" t="s">
        <v>20</v>
      </c>
      <c r="I264" s="36" t="s">
        <v>40</v>
      </c>
      <c r="J264" s="39" t="s">
        <v>74</v>
      </c>
      <c r="K264" s="36">
        <v>80</v>
      </c>
    </row>
    <row r="265" spans="1:11" ht="23.5" hidden="1" thickBot="1">
      <c r="A265" s="82">
        <v>4500069750</v>
      </c>
      <c r="B265" s="37">
        <v>45427</v>
      </c>
      <c r="C265" s="38">
        <v>0.68055555555555558</v>
      </c>
      <c r="D265" s="36">
        <v>113929</v>
      </c>
      <c r="E265" s="36">
        <v>18287</v>
      </c>
      <c r="F265" s="37">
        <v>45428</v>
      </c>
      <c r="G265" s="38">
        <v>0.40069444444444446</v>
      </c>
      <c r="H265" s="39" t="s">
        <v>20</v>
      </c>
      <c r="I265" s="36" t="s">
        <v>40</v>
      </c>
      <c r="J265" s="39" t="s">
        <v>71</v>
      </c>
      <c r="K265" s="36">
        <v>40</v>
      </c>
    </row>
    <row r="266" spans="1:11" ht="23.5" hidden="1" thickBot="1">
      <c r="A266" s="82">
        <v>4500069750</v>
      </c>
      <c r="B266" s="37">
        <v>45427</v>
      </c>
      <c r="C266" s="38">
        <v>0.68055555555555558</v>
      </c>
      <c r="D266" s="36">
        <v>113929</v>
      </c>
      <c r="E266" s="36">
        <v>18287</v>
      </c>
      <c r="F266" s="37">
        <v>45428</v>
      </c>
      <c r="G266" s="38">
        <v>0.40069444444444446</v>
      </c>
      <c r="H266" s="39" t="s">
        <v>20</v>
      </c>
      <c r="I266" s="36" t="s">
        <v>40</v>
      </c>
      <c r="J266" s="39" t="s">
        <v>165</v>
      </c>
      <c r="K266" s="36">
        <v>16</v>
      </c>
    </row>
    <row r="267" spans="1:11" ht="23.5" hidden="1" thickBot="1">
      <c r="A267" s="82">
        <v>4500069750</v>
      </c>
      <c r="B267" s="37">
        <v>45427</v>
      </c>
      <c r="C267" s="38">
        <v>0.68055555555555558</v>
      </c>
      <c r="D267" s="36">
        <v>113929</v>
      </c>
      <c r="E267" s="36">
        <v>18287</v>
      </c>
      <c r="F267" s="37">
        <v>45428</v>
      </c>
      <c r="G267" s="38">
        <v>0.40069444444444446</v>
      </c>
      <c r="H267" s="39" t="s">
        <v>20</v>
      </c>
      <c r="I267" s="36" t="s">
        <v>40</v>
      </c>
      <c r="J267" s="39" t="s">
        <v>67</v>
      </c>
      <c r="K267" s="36">
        <v>12</v>
      </c>
    </row>
    <row r="268" spans="1:11" ht="13.5" hidden="1" thickBot="1">
      <c r="A268" s="82">
        <v>4500069750</v>
      </c>
      <c r="B268" s="37">
        <v>45427</v>
      </c>
      <c r="C268" s="38">
        <v>0.68055555555555558</v>
      </c>
      <c r="D268" s="36">
        <v>113929</v>
      </c>
      <c r="E268" s="36">
        <v>18287</v>
      </c>
      <c r="F268" s="37">
        <v>45428</v>
      </c>
      <c r="G268" s="38">
        <v>0.40069444444444446</v>
      </c>
      <c r="H268" s="39" t="s">
        <v>20</v>
      </c>
      <c r="I268" s="36" t="s">
        <v>40</v>
      </c>
      <c r="J268" s="39" t="s">
        <v>90</v>
      </c>
      <c r="K268" s="36">
        <v>8</v>
      </c>
    </row>
    <row r="269" spans="1:11" ht="35" hidden="1" thickBot="1">
      <c r="A269" s="82">
        <v>4500069750</v>
      </c>
      <c r="B269" s="37">
        <v>45427</v>
      </c>
      <c r="C269" s="38">
        <v>0.68055555555555558</v>
      </c>
      <c r="D269" s="36">
        <v>113929</v>
      </c>
      <c r="E269" s="36">
        <v>18287</v>
      </c>
      <c r="F269" s="37">
        <v>45428</v>
      </c>
      <c r="G269" s="38">
        <v>0.40069444444444446</v>
      </c>
      <c r="H269" s="39" t="s">
        <v>20</v>
      </c>
      <c r="I269" s="36" t="s">
        <v>40</v>
      </c>
      <c r="J269" s="39" t="s">
        <v>99</v>
      </c>
      <c r="K269" s="36">
        <v>8</v>
      </c>
    </row>
    <row r="270" spans="1:11" ht="23.5" hidden="1" thickBot="1">
      <c r="A270" s="82">
        <v>4500069750</v>
      </c>
      <c r="B270" s="37">
        <v>45427</v>
      </c>
      <c r="C270" s="38">
        <v>0.68055555555555558</v>
      </c>
      <c r="D270" s="36">
        <v>113929</v>
      </c>
      <c r="E270" s="36">
        <v>18287</v>
      </c>
      <c r="F270" s="37">
        <v>45428</v>
      </c>
      <c r="G270" s="38">
        <v>0.40069444444444446</v>
      </c>
      <c r="H270" s="39" t="s">
        <v>20</v>
      </c>
      <c r="I270" s="36" t="s">
        <v>40</v>
      </c>
      <c r="J270" s="39" t="s">
        <v>150</v>
      </c>
      <c r="K270" s="36">
        <v>20</v>
      </c>
    </row>
    <row r="271" spans="1:11" ht="35" hidden="1" thickBot="1">
      <c r="A271" s="82">
        <v>4500069750</v>
      </c>
      <c r="B271" s="37">
        <v>45427</v>
      </c>
      <c r="C271" s="38">
        <v>0.68055555555555558</v>
      </c>
      <c r="D271" s="36">
        <v>113929</v>
      </c>
      <c r="E271" s="36">
        <v>18287</v>
      </c>
      <c r="F271" s="37">
        <v>45428</v>
      </c>
      <c r="G271" s="38">
        <v>0.40069444444444446</v>
      </c>
      <c r="H271" s="39" t="s">
        <v>20</v>
      </c>
      <c r="I271" s="36" t="s">
        <v>40</v>
      </c>
      <c r="J271" s="39" t="s">
        <v>112</v>
      </c>
      <c r="K271" s="36">
        <v>40</v>
      </c>
    </row>
    <row r="272" spans="1:11" ht="23.5" hidden="1" thickBot="1">
      <c r="A272" s="82">
        <v>4500069752</v>
      </c>
      <c r="B272" s="37">
        <v>45427</v>
      </c>
      <c r="C272" s="38">
        <v>0.70138888888888884</v>
      </c>
      <c r="D272" s="36">
        <v>113930</v>
      </c>
      <c r="E272" s="36">
        <v>18269</v>
      </c>
      <c r="F272" s="37">
        <v>45428</v>
      </c>
      <c r="G272" s="38">
        <v>0.40069444444444446</v>
      </c>
      <c r="H272" s="39" t="s">
        <v>20</v>
      </c>
      <c r="I272" s="36" t="s">
        <v>40</v>
      </c>
      <c r="J272" s="39" t="s">
        <v>235</v>
      </c>
      <c r="K272" s="36">
        <v>250</v>
      </c>
    </row>
    <row r="273" spans="1:11" ht="46.5" hidden="1" thickBot="1">
      <c r="A273" s="82" t="s">
        <v>236</v>
      </c>
      <c r="B273" s="37">
        <v>45427</v>
      </c>
      <c r="C273" s="38">
        <v>0.72916666666666663</v>
      </c>
      <c r="D273" s="36">
        <v>113933</v>
      </c>
      <c r="E273" s="36">
        <v>18257</v>
      </c>
      <c r="F273" s="37">
        <v>45428</v>
      </c>
      <c r="G273" s="38">
        <v>0.55694444444444446</v>
      </c>
      <c r="H273" s="39" t="s">
        <v>193</v>
      </c>
      <c r="I273" s="36" t="s">
        <v>106</v>
      </c>
      <c r="J273" s="39" t="s">
        <v>170</v>
      </c>
      <c r="K273" s="36">
        <v>60</v>
      </c>
    </row>
    <row r="274" spans="1:11" ht="46.5" hidden="1" thickBot="1">
      <c r="A274" s="82" t="s">
        <v>236</v>
      </c>
      <c r="B274" s="37">
        <v>45427</v>
      </c>
      <c r="C274" s="38">
        <v>0.72916666666666663</v>
      </c>
      <c r="D274" s="36">
        <v>113933</v>
      </c>
      <c r="E274" s="36">
        <v>18257</v>
      </c>
      <c r="F274" s="37">
        <v>45428</v>
      </c>
      <c r="G274" s="38">
        <v>0.55694444444444446</v>
      </c>
      <c r="H274" s="39" t="s">
        <v>193</v>
      </c>
      <c r="I274" s="36" t="s">
        <v>106</v>
      </c>
      <c r="J274" s="39" t="s">
        <v>71</v>
      </c>
      <c r="K274" s="36">
        <v>12</v>
      </c>
    </row>
    <row r="275" spans="1:11" ht="23.5" hidden="1" thickBot="1">
      <c r="A275" s="97">
        <v>5502351549</v>
      </c>
      <c r="B275" s="98">
        <v>45428</v>
      </c>
      <c r="C275" s="99">
        <v>0.43055555555555558</v>
      </c>
      <c r="D275" s="100">
        <v>113932</v>
      </c>
      <c r="E275" s="100">
        <v>18314</v>
      </c>
      <c r="F275" s="98">
        <v>45428</v>
      </c>
      <c r="G275" s="99">
        <v>0.47916666666666669</v>
      </c>
      <c r="H275" s="101" t="s">
        <v>17</v>
      </c>
      <c r="I275" s="100" t="s">
        <v>35</v>
      </c>
      <c r="J275" s="101" t="s">
        <v>237</v>
      </c>
      <c r="K275" s="100">
        <v>24</v>
      </c>
    </row>
    <row r="276" spans="1:11" ht="46.5" hidden="1" thickBot="1">
      <c r="A276" s="82" t="s">
        <v>238</v>
      </c>
      <c r="B276" s="37">
        <v>45428</v>
      </c>
      <c r="C276" s="38">
        <v>0.50694444444444442</v>
      </c>
      <c r="D276" s="36">
        <v>113934</v>
      </c>
      <c r="E276" s="36">
        <v>18265</v>
      </c>
      <c r="F276" s="37">
        <v>45428</v>
      </c>
      <c r="G276" s="38">
        <v>0.60416666666666663</v>
      </c>
      <c r="H276" s="39" t="s">
        <v>123</v>
      </c>
      <c r="I276" s="36" t="s">
        <v>124</v>
      </c>
      <c r="J276" s="39" t="s">
        <v>101</v>
      </c>
      <c r="K276" s="36">
        <v>12</v>
      </c>
    </row>
    <row r="277" spans="1:11" ht="23.5" hidden="1" thickBot="1">
      <c r="A277" s="50">
        <v>945661</v>
      </c>
      <c r="B277" s="37">
        <v>45428</v>
      </c>
      <c r="C277" s="38">
        <v>0.52222222222222225</v>
      </c>
      <c r="D277" s="36">
        <v>113935</v>
      </c>
      <c r="E277" s="36">
        <v>18305</v>
      </c>
      <c r="F277" s="37">
        <v>45428</v>
      </c>
      <c r="G277" s="38">
        <v>0.60416666666666663</v>
      </c>
      <c r="H277" s="39" t="s">
        <v>11</v>
      </c>
      <c r="I277" s="36" t="s">
        <v>97</v>
      </c>
      <c r="J277" s="39" t="s">
        <v>162</v>
      </c>
      <c r="K277" s="36">
        <v>40</v>
      </c>
    </row>
    <row r="278" spans="1:11" ht="35" hidden="1" thickBot="1">
      <c r="A278" s="74">
        <v>945796</v>
      </c>
      <c r="B278" s="57">
        <v>45428</v>
      </c>
      <c r="C278" s="58">
        <v>0.59027777777777779</v>
      </c>
      <c r="D278" s="56">
        <v>113936</v>
      </c>
      <c r="E278" s="56">
        <v>18260</v>
      </c>
      <c r="F278" s="57">
        <v>45428</v>
      </c>
      <c r="G278" s="58">
        <v>0.62222222222222223</v>
      </c>
      <c r="H278" s="61" t="s">
        <v>11</v>
      </c>
      <c r="I278" s="56" t="s">
        <v>42</v>
      </c>
      <c r="J278" s="61" t="s">
        <v>182</v>
      </c>
      <c r="K278" s="56">
        <v>1</v>
      </c>
    </row>
    <row r="279" spans="1:11" ht="35" hidden="1" thickBot="1">
      <c r="A279" s="50">
        <v>945779</v>
      </c>
      <c r="B279" s="37">
        <v>45428</v>
      </c>
      <c r="C279" s="38">
        <v>0.59652777777777777</v>
      </c>
      <c r="D279" s="36">
        <v>113939</v>
      </c>
      <c r="E279" s="36">
        <v>18281</v>
      </c>
      <c r="F279" s="37">
        <v>45429</v>
      </c>
      <c r="G279" s="38">
        <v>0.47499999999999998</v>
      </c>
      <c r="H279" s="39" t="s">
        <v>11</v>
      </c>
      <c r="I279" s="36" t="s">
        <v>35</v>
      </c>
      <c r="J279" s="39" t="s">
        <v>168</v>
      </c>
      <c r="K279" s="36">
        <v>3</v>
      </c>
    </row>
    <row r="280" spans="1:11" ht="35" hidden="1" thickBot="1">
      <c r="A280" s="82">
        <v>945880</v>
      </c>
      <c r="B280" s="37">
        <v>45428</v>
      </c>
      <c r="C280" s="38">
        <v>0.65972222222222221</v>
      </c>
      <c r="D280" s="36">
        <v>113940</v>
      </c>
      <c r="E280" s="36">
        <v>18279</v>
      </c>
      <c r="F280" s="37">
        <v>45429</v>
      </c>
      <c r="G280" s="38">
        <v>0.47499999999999998</v>
      </c>
      <c r="H280" s="39" t="s">
        <v>8</v>
      </c>
      <c r="I280" s="36" t="s">
        <v>36</v>
      </c>
      <c r="J280" s="39" t="s">
        <v>99</v>
      </c>
      <c r="K280" s="36">
        <v>2</v>
      </c>
    </row>
    <row r="281" spans="1:11" ht="23.5" hidden="1" thickBot="1">
      <c r="A281" s="50">
        <v>945880</v>
      </c>
      <c r="B281" s="37">
        <v>45428</v>
      </c>
      <c r="C281" s="38">
        <v>0.65972222222222221</v>
      </c>
      <c r="D281" s="36">
        <v>113940</v>
      </c>
      <c r="E281" s="36">
        <v>18279</v>
      </c>
      <c r="F281" s="37">
        <v>45429</v>
      </c>
      <c r="G281" s="38">
        <v>0.47499999999999998</v>
      </c>
      <c r="H281" s="39" t="s">
        <v>8</v>
      </c>
      <c r="I281" s="36" t="s">
        <v>36</v>
      </c>
      <c r="J281" s="39" t="s">
        <v>68</v>
      </c>
      <c r="K281" s="36">
        <v>16</v>
      </c>
    </row>
    <row r="282" spans="1:11" ht="23.5" hidden="1" thickBot="1">
      <c r="A282" s="82">
        <v>4500069801</v>
      </c>
      <c r="B282" s="37">
        <v>45428</v>
      </c>
      <c r="C282" s="38">
        <v>0.70833333333333337</v>
      </c>
      <c r="D282" s="36">
        <v>113941</v>
      </c>
      <c r="E282" s="36">
        <v>18285</v>
      </c>
      <c r="F282" s="37">
        <v>45429</v>
      </c>
      <c r="G282" s="38">
        <v>0.47499999999999998</v>
      </c>
      <c r="H282" s="39" t="s">
        <v>20</v>
      </c>
      <c r="I282" s="36" t="s">
        <v>40</v>
      </c>
      <c r="J282" s="39" t="s">
        <v>176</v>
      </c>
      <c r="K282" s="36">
        <v>40</v>
      </c>
    </row>
    <row r="283" spans="1:11" ht="35" thickBot="1">
      <c r="A283" s="85">
        <v>19</v>
      </c>
      <c r="B283" s="37">
        <v>45428</v>
      </c>
      <c r="C283" s="38">
        <v>0.76597222222222228</v>
      </c>
      <c r="D283" s="36">
        <v>113942</v>
      </c>
      <c r="E283" s="36">
        <v>18273</v>
      </c>
      <c r="F283" s="37">
        <v>45429</v>
      </c>
      <c r="G283" s="38">
        <v>0.47499999999999998</v>
      </c>
      <c r="H283" s="39" t="s">
        <v>108</v>
      </c>
      <c r="I283" s="36" t="s">
        <v>32</v>
      </c>
      <c r="J283" s="39" t="s">
        <v>99</v>
      </c>
      <c r="K283" s="36">
        <v>4</v>
      </c>
    </row>
    <row r="284" spans="1:11" ht="35" hidden="1" thickBot="1">
      <c r="A284" s="82" t="s">
        <v>239</v>
      </c>
      <c r="B284" s="37">
        <v>45429</v>
      </c>
      <c r="C284" s="38">
        <v>0.31458333333333333</v>
      </c>
      <c r="D284" s="36">
        <v>113937</v>
      </c>
      <c r="E284" s="36">
        <v>18276</v>
      </c>
      <c r="F284" s="37">
        <v>45429</v>
      </c>
      <c r="G284" s="38">
        <v>0.33680555555555558</v>
      </c>
      <c r="H284" s="39" t="s">
        <v>116</v>
      </c>
      <c r="I284" s="36" t="s">
        <v>37</v>
      </c>
      <c r="J284" s="39" t="s">
        <v>163</v>
      </c>
      <c r="K284" s="36">
        <v>10</v>
      </c>
    </row>
    <row r="285" spans="1:11" ht="35" hidden="1" thickBot="1">
      <c r="A285" s="82" t="s">
        <v>240</v>
      </c>
      <c r="B285" s="37">
        <v>45429</v>
      </c>
      <c r="C285" s="38">
        <v>0.39305555555555555</v>
      </c>
      <c r="D285" s="36">
        <v>113938</v>
      </c>
      <c r="E285" s="36">
        <v>18275</v>
      </c>
      <c r="F285" s="37">
        <v>45429</v>
      </c>
      <c r="G285" s="38">
        <v>0.40347222222222223</v>
      </c>
      <c r="H285" s="39" t="s">
        <v>208</v>
      </c>
      <c r="I285" s="36" t="s">
        <v>43</v>
      </c>
      <c r="J285" s="39" t="s">
        <v>107</v>
      </c>
      <c r="K285" s="36">
        <v>1</v>
      </c>
    </row>
    <row r="286" spans="1:11" ht="35" hidden="1" thickBot="1">
      <c r="A286" s="82" t="s">
        <v>240</v>
      </c>
      <c r="B286" s="37">
        <v>45429</v>
      </c>
      <c r="C286" s="38">
        <v>0.39305555555555555</v>
      </c>
      <c r="D286" s="36">
        <v>113938</v>
      </c>
      <c r="E286" s="36">
        <v>18275</v>
      </c>
      <c r="F286" s="37">
        <v>45429</v>
      </c>
      <c r="G286" s="38">
        <v>0.40347222222222223</v>
      </c>
      <c r="H286" s="39" t="s">
        <v>208</v>
      </c>
      <c r="I286" s="36" t="s">
        <v>43</v>
      </c>
      <c r="J286" s="39" t="s">
        <v>158</v>
      </c>
      <c r="K286" s="36">
        <v>10</v>
      </c>
    </row>
    <row r="287" spans="1:11" ht="35" hidden="1" thickBot="1">
      <c r="A287" s="82" t="s">
        <v>240</v>
      </c>
      <c r="B287" s="37">
        <v>45429</v>
      </c>
      <c r="C287" s="38">
        <v>0.39305555555555555</v>
      </c>
      <c r="D287" s="36">
        <v>113938</v>
      </c>
      <c r="E287" s="36">
        <v>18275</v>
      </c>
      <c r="F287" s="37">
        <v>45429</v>
      </c>
      <c r="G287" s="38">
        <v>0.40347222222222223</v>
      </c>
      <c r="H287" s="39" t="s">
        <v>208</v>
      </c>
      <c r="I287" s="36" t="s">
        <v>43</v>
      </c>
      <c r="J287" s="39" t="s">
        <v>77</v>
      </c>
      <c r="K287" s="36">
        <v>2</v>
      </c>
    </row>
    <row r="288" spans="1:11" ht="35" hidden="1" thickBot="1">
      <c r="A288" s="82" t="s">
        <v>240</v>
      </c>
      <c r="B288" s="37">
        <v>45429</v>
      </c>
      <c r="C288" s="38">
        <v>0.39305555555555555</v>
      </c>
      <c r="D288" s="36">
        <v>113938</v>
      </c>
      <c r="E288" s="36">
        <v>18275</v>
      </c>
      <c r="F288" s="37">
        <v>45429</v>
      </c>
      <c r="G288" s="38">
        <v>0.40347222222222223</v>
      </c>
      <c r="H288" s="39" t="s">
        <v>208</v>
      </c>
      <c r="I288" s="36" t="s">
        <v>43</v>
      </c>
      <c r="J288" s="39" t="s">
        <v>186</v>
      </c>
      <c r="K288" s="36">
        <v>40</v>
      </c>
    </row>
    <row r="289" spans="1:11" ht="35" hidden="1" thickBot="1">
      <c r="A289" s="73">
        <v>21217</v>
      </c>
      <c r="B289" s="63">
        <v>45429</v>
      </c>
      <c r="C289" s="64">
        <v>0.35833333333333334</v>
      </c>
      <c r="D289" s="65">
        <v>113952</v>
      </c>
      <c r="E289" s="65">
        <v>18277</v>
      </c>
      <c r="F289" s="63">
        <v>45429</v>
      </c>
      <c r="G289" s="64">
        <v>0.65277777777777779</v>
      </c>
      <c r="H289" s="69" t="s">
        <v>104</v>
      </c>
      <c r="I289" s="65" t="s">
        <v>241</v>
      </c>
      <c r="J289" s="69" t="s">
        <v>177</v>
      </c>
      <c r="K289" s="65">
        <v>25</v>
      </c>
    </row>
    <row r="290" spans="1:11" ht="23.5" hidden="1" thickBot="1">
      <c r="A290" s="82">
        <v>106</v>
      </c>
      <c r="B290" s="37">
        <v>45429</v>
      </c>
      <c r="C290" s="38">
        <v>0.46111111111111114</v>
      </c>
      <c r="D290" s="36">
        <v>113948</v>
      </c>
      <c r="E290" s="36">
        <v>18359</v>
      </c>
      <c r="F290" s="37">
        <v>45429</v>
      </c>
      <c r="G290" s="38">
        <v>0.58194444444444449</v>
      </c>
      <c r="H290" s="39" t="s">
        <v>250</v>
      </c>
      <c r="I290" s="36" t="s">
        <v>35</v>
      </c>
      <c r="J290" s="39" t="s">
        <v>145</v>
      </c>
      <c r="K290" s="36">
        <v>2</v>
      </c>
    </row>
    <row r="291" spans="1:11" ht="46.5" hidden="1" thickBot="1">
      <c r="A291" s="82" t="s">
        <v>242</v>
      </c>
      <c r="B291" s="37">
        <v>45429</v>
      </c>
      <c r="C291" s="38">
        <v>0.46111111111111114</v>
      </c>
      <c r="D291" s="36">
        <v>113945</v>
      </c>
      <c r="E291" s="36">
        <v>18274</v>
      </c>
      <c r="F291" s="37">
        <v>45429</v>
      </c>
      <c r="G291" s="38">
        <v>0.58194444444444449</v>
      </c>
      <c r="H291" s="39" t="s">
        <v>4</v>
      </c>
      <c r="I291" s="36" t="s">
        <v>132</v>
      </c>
      <c r="J291" s="39" t="s">
        <v>186</v>
      </c>
      <c r="K291" s="36">
        <v>10</v>
      </c>
    </row>
    <row r="292" spans="1:11" ht="46.5" hidden="1" thickBot="1">
      <c r="A292" s="82" t="s">
        <v>242</v>
      </c>
      <c r="B292" s="37">
        <v>45429</v>
      </c>
      <c r="C292" s="38">
        <v>0.46111111111111114</v>
      </c>
      <c r="D292" s="36">
        <v>113945</v>
      </c>
      <c r="E292" s="36">
        <v>18274</v>
      </c>
      <c r="F292" s="37">
        <v>45429</v>
      </c>
      <c r="G292" s="38">
        <v>0.58194444444444449</v>
      </c>
      <c r="H292" s="39" t="s">
        <v>4</v>
      </c>
      <c r="I292" s="36" t="s">
        <v>132</v>
      </c>
      <c r="J292" s="39" t="s">
        <v>163</v>
      </c>
      <c r="K292" s="36">
        <v>10</v>
      </c>
    </row>
    <row r="293" spans="1:11" ht="23.5" hidden="1" thickBot="1">
      <c r="A293" s="82">
        <v>946469</v>
      </c>
      <c r="B293" s="37">
        <v>45429</v>
      </c>
      <c r="C293" s="38">
        <v>0.46944444444444444</v>
      </c>
      <c r="D293" s="36">
        <v>113946</v>
      </c>
      <c r="E293" s="36">
        <v>18292</v>
      </c>
      <c r="F293" s="37">
        <v>45429</v>
      </c>
      <c r="G293" s="38">
        <v>0.58194444444444449</v>
      </c>
      <c r="H293" s="39" t="s">
        <v>11</v>
      </c>
      <c r="I293" s="36" t="s">
        <v>42</v>
      </c>
      <c r="J293" s="39" t="s">
        <v>69</v>
      </c>
      <c r="K293" s="36">
        <v>4</v>
      </c>
    </row>
    <row r="294" spans="1:11" ht="23.5" thickBot="1">
      <c r="A294" s="85">
        <v>20</v>
      </c>
      <c r="B294" s="37">
        <v>45429</v>
      </c>
      <c r="C294" s="38">
        <v>0.47430555555555554</v>
      </c>
      <c r="D294" s="36">
        <v>113943</v>
      </c>
      <c r="E294" s="36">
        <v>18284</v>
      </c>
      <c r="F294" s="37">
        <v>45429</v>
      </c>
      <c r="G294" s="38">
        <v>0.47708333333333336</v>
      </c>
      <c r="H294" s="39" t="s">
        <v>243</v>
      </c>
      <c r="I294" s="36" t="s">
        <v>244</v>
      </c>
      <c r="J294" s="39" t="s">
        <v>145</v>
      </c>
      <c r="K294" s="36">
        <v>12</v>
      </c>
    </row>
    <row r="295" spans="1:11" ht="23.5" hidden="1" thickBot="1">
      <c r="A295" s="82">
        <v>631</v>
      </c>
      <c r="B295" s="37">
        <v>45429</v>
      </c>
      <c r="C295" s="38">
        <v>0.49652777777777779</v>
      </c>
      <c r="D295" s="36">
        <v>113947</v>
      </c>
      <c r="E295" s="36">
        <v>18283</v>
      </c>
      <c r="F295" s="37">
        <v>45429</v>
      </c>
      <c r="G295" s="38">
        <v>0.58194444444444449</v>
      </c>
      <c r="H295" s="39" t="s">
        <v>119</v>
      </c>
      <c r="I295" s="36" t="s">
        <v>37</v>
      </c>
      <c r="J295" s="39" t="s">
        <v>107</v>
      </c>
      <c r="K295" s="36">
        <v>1</v>
      </c>
    </row>
    <row r="296" spans="1:11" ht="35" thickBot="1">
      <c r="A296" s="85">
        <v>21</v>
      </c>
      <c r="B296" s="37">
        <v>45429</v>
      </c>
      <c r="C296" s="38">
        <v>0.54166666666666663</v>
      </c>
      <c r="D296" s="36">
        <v>113944</v>
      </c>
      <c r="E296" s="36">
        <v>18278</v>
      </c>
      <c r="F296" s="37">
        <v>45429</v>
      </c>
      <c r="G296" s="38">
        <v>0.58194444444444449</v>
      </c>
      <c r="H296" s="39" t="s">
        <v>140</v>
      </c>
      <c r="I296" s="36" t="s">
        <v>98</v>
      </c>
      <c r="J296" s="39" t="s">
        <v>127</v>
      </c>
      <c r="K296" s="36">
        <v>8</v>
      </c>
    </row>
    <row r="297" spans="1:11" ht="46.5" thickBot="1">
      <c r="A297" s="85">
        <v>22</v>
      </c>
      <c r="B297" s="37">
        <v>45429</v>
      </c>
      <c r="C297" s="38">
        <v>0.54166666666666663</v>
      </c>
      <c r="D297" s="36">
        <v>113944</v>
      </c>
      <c r="E297" s="36">
        <v>18278</v>
      </c>
      <c r="F297" s="37">
        <v>45429</v>
      </c>
      <c r="G297" s="38">
        <v>0.58194444444444449</v>
      </c>
      <c r="H297" s="39" t="s">
        <v>140</v>
      </c>
      <c r="I297" s="36" t="s">
        <v>98</v>
      </c>
      <c r="J297" s="39" t="s">
        <v>101</v>
      </c>
      <c r="K297" s="36">
        <v>5</v>
      </c>
    </row>
    <row r="298" spans="1:11" ht="35" hidden="1" thickBot="1">
      <c r="A298" s="82" t="s">
        <v>245</v>
      </c>
      <c r="B298" s="37">
        <v>45429</v>
      </c>
      <c r="C298" s="38">
        <v>0.59097222222222223</v>
      </c>
      <c r="D298" s="36">
        <v>113949</v>
      </c>
      <c r="E298" s="36">
        <v>18271</v>
      </c>
      <c r="F298" s="37">
        <v>45429</v>
      </c>
      <c r="G298" s="38">
        <v>0.60347222222222219</v>
      </c>
      <c r="H298" s="39" t="s">
        <v>75</v>
      </c>
      <c r="I298" s="36" t="s">
        <v>132</v>
      </c>
      <c r="J298" s="39" t="s">
        <v>162</v>
      </c>
      <c r="K298" s="36">
        <v>60</v>
      </c>
    </row>
    <row r="299" spans="1:11" ht="35" hidden="1" thickBot="1">
      <c r="A299" s="82" t="s">
        <v>245</v>
      </c>
      <c r="B299" s="37">
        <v>45429</v>
      </c>
      <c r="C299" s="38">
        <v>0.59861111111111109</v>
      </c>
      <c r="D299" s="36">
        <v>113949</v>
      </c>
      <c r="E299" s="36">
        <v>18271</v>
      </c>
      <c r="F299" s="37">
        <v>45429</v>
      </c>
      <c r="G299" s="38">
        <v>0.60347222222222219</v>
      </c>
      <c r="H299" s="39" t="s">
        <v>75</v>
      </c>
      <c r="I299" s="36" t="s">
        <v>132</v>
      </c>
      <c r="J299" s="39" t="s">
        <v>68</v>
      </c>
      <c r="K299" s="36">
        <v>4</v>
      </c>
    </row>
    <row r="300" spans="1:11" ht="35" hidden="1" thickBot="1">
      <c r="A300" s="82" t="s">
        <v>245</v>
      </c>
      <c r="B300" s="37">
        <v>45429</v>
      </c>
      <c r="C300" s="38">
        <v>0.59861111111111109</v>
      </c>
      <c r="D300" s="36">
        <v>113949</v>
      </c>
      <c r="E300" s="36">
        <v>18271</v>
      </c>
      <c r="F300" s="37">
        <v>45429</v>
      </c>
      <c r="G300" s="38">
        <v>0.60347222222222219</v>
      </c>
      <c r="H300" s="39" t="s">
        <v>75</v>
      </c>
      <c r="I300" s="36" t="s">
        <v>132</v>
      </c>
      <c r="J300" s="39" t="s">
        <v>217</v>
      </c>
      <c r="K300" s="36">
        <v>20</v>
      </c>
    </row>
    <row r="301" spans="1:11" ht="23.5" hidden="1" thickBot="1">
      <c r="A301" s="50">
        <v>946629</v>
      </c>
      <c r="B301" s="37">
        <v>45429</v>
      </c>
      <c r="C301" s="38">
        <v>0.59375</v>
      </c>
      <c r="D301" s="36">
        <v>113950</v>
      </c>
      <c r="E301" s="36">
        <v>18280</v>
      </c>
      <c r="F301" s="37">
        <v>45429</v>
      </c>
      <c r="G301" s="38">
        <v>0.60347222222222219</v>
      </c>
      <c r="H301" s="39" t="s">
        <v>8</v>
      </c>
      <c r="I301" s="36" t="s">
        <v>36</v>
      </c>
      <c r="J301" s="39" t="s">
        <v>67</v>
      </c>
      <c r="K301" s="36">
        <v>4</v>
      </c>
    </row>
    <row r="302" spans="1:11" ht="35" hidden="1" thickBot="1">
      <c r="A302" s="82">
        <v>633</v>
      </c>
      <c r="B302" s="37">
        <v>45429</v>
      </c>
      <c r="C302" s="38">
        <v>0.6</v>
      </c>
      <c r="D302" s="36">
        <v>113951</v>
      </c>
      <c r="E302" s="36">
        <v>18282</v>
      </c>
      <c r="F302" s="37">
        <v>45429</v>
      </c>
      <c r="G302" s="38">
        <v>0.60347222222222219</v>
      </c>
      <c r="H302" s="39" t="s">
        <v>119</v>
      </c>
      <c r="I302" s="36" t="s">
        <v>37</v>
      </c>
      <c r="J302" s="39" t="s">
        <v>186</v>
      </c>
      <c r="K302" s="36">
        <v>100</v>
      </c>
    </row>
    <row r="303" spans="1:11" ht="23.5" hidden="1" thickBot="1">
      <c r="A303" s="82">
        <v>633</v>
      </c>
      <c r="B303" s="37">
        <v>45429</v>
      </c>
      <c r="C303" s="38">
        <v>0.6</v>
      </c>
      <c r="D303" s="36">
        <v>113951</v>
      </c>
      <c r="E303" s="36">
        <v>18282</v>
      </c>
      <c r="F303" s="37">
        <v>45429</v>
      </c>
      <c r="G303" s="38">
        <v>0.60347222222222219</v>
      </c>
      <c r="H303" s="39" t="s">
        <v>119</v>
      </c>
      <c r="I303" s="36" t="s">
        <v>37</v>
      </c>
      <c r="J303" s="39" t="s">
        <v>107</v>
      </c>
      <c r="K303" s="36">
        <v>1</v>
      </c>
    </row>
    <row r="304" spans="1:11" ht="23.5" hidden="1" thickBot="1">
      <c r="A304" s="82">
        <v>633</v>
      </c>
      <c r="B304" s="37">
        <v>45429</v>
      </c>
      <c r="C304" s="38">
        <v>0.6</v>
      </c>
      <c r="D304" s="36">
        <v>113951</v>
      </c>
      <c r="E304" s="36">
        <v>18282</v>
      </c>
      <c r="F304" s="37">
        <v>45429</v>
      </c>
      <c r="G304" s="38">
        <v>0.60347222222222219</v>
      </c>
      <c r="H304" s="39" t="s">
        <v>119</v>
      </c>
      <c r="I304" s="36" t="s">
        <v>37</v>
      </c>
      <c r="J304" s="39" t="s">
        <v>114</v>
      </c>
      <c r="K304" s="36">
        <v>16</v>
      </c>
    </row>
    <row r="305" spans="1:11" ht="23.5" hidden="1" thickBot="1">
      <c r="A305" s="82">
        <v>633</v>
      </c>
      <c r="B305" s="37">
        <v>45429</v>
      </c>
      <c r="C305" s="38">
        <v>0.6</v>
      </c>
      <c r="D305" s="36">
        <v>113951</v>
      </c>
      <c r="E305" s="36">
        <v>18282</v>
      </c>
      <c r="F305" s="37">
        <v>45429</v>
      </c>
      <c r="G305" s="38">
        <v>0.60347222222222219</v>
      </c>
      <c r="H305" s="39" t="s">
        <v>119</v>
      </c>
      <c r="I305" s="36" t="s">
        <v>37</v>
      </c>
      <c r="J305" s="39" t="s">
        <v>68</v>
      </c>
      <c r="K305" s="36">
        <v>20</v>
      </c>
    </row>
    <row r="306" spans="1:11" ht="69.5" hidden="1" thickBot="1">
      <c r="A306" s="82" t="s">
        <v>246</v>
      </c>
      <c r="B306" s="37">
        <v>45429</v>
      </c>
      <c r="C306" s="38">
        <v>0.62152777777777779</v>
      </c>
      <c r="D306" s="36">
        <v>113961</v>
      </c>
      <c r="E306" s="36">
        <v>18291</v>
      </c>
      <c r="F306" s="37">
        <v>45432</v>
      </c>
      <c r="G306" s="38">
        <v>0.48680555555555555</v>
      </c>
      <c r="H306" s="39" t="s">
        <v>149</v>
      </c>
      <c r="I306" s="36" t="s">
        <v>36</v>
      </c>
      <c r="J306" s="39" t="s">
        <v>109</v>
      </c>
      <c r="K306" s="36">
        <v>8</v>
      </c>
    </row>
    <row r="307" spans="1:11" ht="69.5" hidden="1" thickBot="1">
      <c r="A307" s="82" t="s">
        <v>247</v>
      </c>
      <c r="B307" s="37">
        <v>45429</v>
      </c>
      <c r="C307" s="38">
        <v>0.6381944444444444</v>
      </c>
      <c r="D307" s="36">
        <v>113960</v>
      </c>
      <c r="E307" s="36">
        <v>18297</v>
      </c>
      <c r="F307" s="37">
        <v>45432</v>
      </c>
      <c r="G307" s="38">
        <v>0.48680555555555555</v>
      </c>
      <c r="H307" s="39" t="s">
        <v>149</v>
      </c>
      <c r="I307" s="36" t="s">
        <v>33</v>
      </c>
      <c r="J307" s="39" t="s">
        <v>69</v>
      </c>
      <c r="K307" s="36">
        <v>2</v>
      </c>
    </row>
    <row r="308" spans="1:11" ht="69.5" hidden="1" thickBot="1">
      <c r="A308" s="82" t="s">
        <v>247</v>
      </c>
      <c r="B308" s="37">
        <v>45429</v>
      </c>
      <c r="C308" s="38">
        <v>0.6381944444444444</v>
      </c>
      <c r="D308" s="36">
        <v>113960</v>
      </c>
      <c r="E308" s="36">
        <v>18297</v>
      </c>
      <c r="F308" s="37">
        <v>45432</v>
      </c>
      <c r="G308" s="38">
        <v>0.48680555555555555</v>
      </c>
      <c r="H308" s="39" t="s">
        <v>149</v>
      </c>
      <c r="I308" s="36" t="s">
        <v>33</v>
      </c>
      <c r="J308" s="39" t="s">
        <v>109</v>
      </c>
      <c r="K308" s="36">
        <v>20</v>
      </c>
    </row>
    <row r="309" spans="1:11" ht="69.5" hidden="1" thickBot="1">
      <c r="A309" s="82" t="s">
        <v>247</v>
      </c>
      <c r="B309" s="37">
        <v>45429</v>
      </c>
      <c r="C309" s="38">
        <v>0.6381944444444444</v>
      </c>
      <c r="D309" s="36">
        <v>113960</v>
      </c>
      <c r="E309" s="36">
        <v>18297</v>
      </c>
      <c r="F309" s="37">
        <v>45432</v>
      </c>
      <c r="G309" s="38">
        <v>0.48680555555555555</v>
      </c>
      <c r="H309" s="39" t="s">
        <v>149</v>
      </c>
      <c r="I309" s="36" t="s">
        <v>33</v>
      </c>
      <c r="J309" s="39" t="s">
        <v>219</v>
      </c>
      <c r="K309" s="36">
        <v>1</v>
      </c>
    </row>
    <row r="310" spans="1:11" ht="69.5" hidden="1" thickBot="1">
      <c r="A310" s="82" t="s">
        <v>247</v>
      </c>
      <c r="B310" s="37">
        <v>45429</v>
      </c>
      <c r="C310" s="38">
        <v>0.6381944444444444</v>
      </c>
      <c r="D310" s="36">
        <v>113960</v>
      </c>
      <c r="E310" s="36">
        <v>18297</v>
      </c>
      <c r="F310" s="37">
        <v>45432</v>
      </c>
      <c r="G310" s="38">
        <v>0.48680555555555555</v>
      </c>
      <c r="H310" s="39" t="s">
        <v>149</v>
      </c>
      <c r="I310" s="36" t="s">
        <v>33</v>
      </c>
      <c r="J310" s="39" t="s">
        <v>150</v>
      </c>
      <c r="K310" s="36">
        <v>20</v>
      </c>
    </row>
    <row r="311" spans="1:11" ht="35" hidden="1" thickBot="1">
      <c r="A311" s="82" t="s">
        <v>248</v>
      </c>
      <c r="B311" s="37">
        <v>45429</v>
      </c>
      <c r="C311" s="38">
        <v>0.69374999999999998</v>
      </c>
      <c r="D311" s="36">
        <v>113959</v>
      </c>
      <c r="E311" s="36">
        <v>18289</v>
      </c>
      <c r="F311" s="37">
        <v>45432</v>
      </c>
      <c r="G311" s="38">
        <v>0.48680555555555555</v>
      </c>
      <c r="H311" s="39" t="s">
        <v>75</v>
      </c>
      <c r="I311" s="36" t="s">
        <v>202</v>
      </c>
      <c r="J311" s="39" t="s">
        <v>109</v>
      </c>
      <c r="K311" s="36">
        <v>8</v>
      </c>
    </row>
    <row r="312" spans="1:11" ht="35" hidden="1" thickBot="1">
      <c r="A312" s="82" t="s">
        <v>248</v>
      </c>
      <c r="B312" s="37">
        <v>45429</v>
      </c>
      <c r="C312" s="38">
        <v>0.69374999999999998</v>
      </c>
      <c r="D312" s="36">
        <v>113959</v>
      </c>
      <c r="E312" s="36">
        <v>18289</v>
      </c>
      <c r="F312" s="37">
        <v>45432</v>
      </c>
      <c r="G312" s="38">
        <v>0.48680555555555555</v>
      </c>
      <c r="H312" s="39" t="s">
        <v>75</v>
      </c>
      <c r="I312" s="36" t="s">
        <v>202</v>
      </c>
      <c r="J312" s="39" t="s">
        <v>176</v>
      </c>
      <c r="K312" s="36">
        <v>8</v>
      </c>
    </row>
    <row r="313" spans="1:11" ht="35" hidden="1" thickBot="1">
      <c r="A313" s="82" t="s">
        <v>248</v>
      </c>
      <c r="B313" s="37">
        <v>45429</v>
      </c>
      <c r="C313" s="38">
        <v>0.69374999999999998</v>
      </c>
      <c r="D313" s="36">
        <v>113959</v>
      </c>
      <c r="E313" s="36" t="s">
        <v>277</v>
      </c>
      <c r="F313" s="37">
        <v>45432</v>
      </c>
      <c r="G313" s="38">
        <v>0.48680555555555555</v>
      </c>
      <c r="H313" s="39" t="s">
        <v>75</v>
      </c>
      <c r="I313" s="36" t="s">
        <v>202</v>
      </c>
      <c r="J313" s="39" t="s">
        <v>182</v>
      </c>
      <c r="K313" s="36">
        <v>4</v>
      </c>
    </row>
    <row r="314" spans="1:11" ht="46.5" hidden="1" thickBot="1">
      <c r="A314" s="82" t="s">
        <v>248</v>
      </c>
      <c r="B314" s="37">
        <v>45429</v>
      </c>
      <c r="C314" s="38">
        <v>0.69374999999999998</v>
      </c>
      <c r="D314" s="36">
        <v>113959</v>
      </c>
      <c r="E314" s="36">
        <v>18289</v>
      </c>
      <c r="F314" s="37">
        <v>45432</v>
      </c>
      <c r="G314" s="38">
        <v>0.48680555555555555</v>
      </c>
      <c r="H314" s="39" t="s">
        <v>75</v>
      </c>
      <c r="I314" s="36" t="s">
        <v>202</v>
      </c>
      <c r="J314" s="39" t="s">
        <v>101</v>
      </c>
      <c r="K314" s="36">
        <v>8</v>
      </c>
    </row>
    <row r="315" spans="1:11" ht="23.5" hidden="1" thickBot="1">
      <c r="A315" s="82">
        <v>4500067176</v>
      </c>
      <c r="B315" s="37">
        <v>45429</v>
      </c>
      <c r="C315" s="38">
        <v>0.70763888888888893</v>
      </c>
      <c r="D315" s="36">
        <v>113954</v>
      </c>
      <c r="E315" s="36">
        <v>18290</v>
      </c>
      <c r="F315" s="37">
        <v>45432</v>
      </c>
      <c r="G315" s="38">
        <v>0.3888888888888889</v>
      </c>
      <c r="H315" s="39" t="s">
        <v>137</v>
      </c>
      <c r="I315" s="36" t="s">
        <v>249</v>
      </c>
      <c r="J315" s="39" t="s">
        <v>165</v>
      </c>
      <c r="K315" s="36">
        <v>30</v>
      </c>
    </row>
    <row r="316" spans="1:11" ht="35" hidden="1" thickBot="1">
      <c r="A316" s="82">
        <v>947055</v>
      </c>
      <c r="B316" s="37">
        <v>45432</v>
      </c>
      <c r="C316" s="38">
        <v>0.3034722222222222</v>
      </c>
      <c r="D316" s="36">
        <v>113958</v>
      </c>
      <c r="E316" s="36">
        <v>18288</v>
      </c>
      <c r="F316" s="37">
        <v>45432</v>
      </c>
      <c r="G316" s="38">
        <v>0.48680555555555555</v>
      </c>
      <c r="H316" s="39" t="s">
        <v>8</v>
      </c>
      <c r="I316" s="36" t="s">
        <v>37</v>
      </c>
      <c r="J316" s="39" t="s">
        <v>168</v>
      </c>
      <c r="K316" s="36">
        <v>4</v>
      </c>
    </row>
    <row r="317" spans="1:11" ht="23.5" hidden="1" thickBot="1">
      <c r="A317" s="82">
        <v>5502346404</v>
      </c>
      <c r="B317" s="37">
        <v>45432</v>
      </c>
      <c r="C317" s="38">
        <v>0.37916666666666665</v>
      </c>
      <c r="D317" s="36">
        <v>113957</v>
      </c>
      <c r="E317" s="36">
        <v>18298</v>
      </c>
      <c r="F317" s="37">
        <v>45432</v>
      </c>
      <c r="G317" s="38">
        <v>0.48055555555555557</v>
      </c>
      <c r="H317" s="39" t="s">
        <v>17</v>
      </c>
      <c r="I317" s="36" t="s">
        <v>91</v>
      </c>
      <c r="J317" s="39" t="s">
        <v>150</v>
      </c>
      <c r="K317" s="36">
        <v>200</v>
      </c>
    </row>
    <row r="318" spans="1:11" ht="35" hidden="1" thickBot="1">
      <c r="A318" s="82">
        <v>107</v>
      </c>
      <c r="B318" s="37">
        <v>45432</v>
      </c>
      <c r="C318" s="38">
        <v>0.41180555555555554</v>
      </c>
      <c r="D318" s="36">
        <v>113956</v>
      </c>
      <c r="E318" s="36">
        <v>18360</v>
      </c>
      <c r="F318" s="37">
        <v>45432</v>
      </c>
      <c r="G318" s="38">
        <v>0.48055555555555557</v>
      </c>
      <c r="H318" s="39" t="s">
        <v>250</v>
      </c>
      <c r="I318" s="36" t="s">
        <v>35</v>
      </c>
      <c r="J318" s="39" t="s">
        <v>186</v>
      </c>
      <c r="K318" s="36">
        <v>15</v>
      </c>
    </row>
    <row r="319" spans="1:11" ht="23.5" hidden="1" thickBot="1">
      <c r="A319" s="82">
        <v>107</v>
      </c>
      <c r="B319" s="37">
        <v>45432</v>
      </c>
      <c r="C319" s="38">
        <v>0.41180555555555554</v>
      </c>
      <c r="D319" s="36">
        <v>113956</v>
      </c>
      <c r="E319" s="36">
        <v>18360</v>
      </c>
      <c r="F319" s="37">
        <v>45432</v>
      </c>
      <c r="G319" s="38">
        <v>0.48055555555555557</v>
      </c>
      <c r="H319" s="39" t="s">
        <v>250</v>
      </c>
      <c r="I319" s="36" t="s">
        <v>35</v>
      </c>
      <c r="J319" s="39" t="s">
        <v>251</v>
      </c>
      <c r="K319" s="36">
        <v>2</v>
      </c>
    </row>
    <row r="320" spans="1:11" ht="23.5" thickBot="1">
      <c r="A320" s="75">
        <v>23</v>
      </c>
      <c r="B320" s="63">
        <v>45432</v>
      </c>
      <c r="C320" s="64">
        <v>0.3972222222222222</v>
      </c>
      <c r="D320" s="65">
        <v>113984</v>
      </c>
      <c r="E320" s="65">
        <v>18323</v>
      </c>
      <c r="F320" s="63">
        <v>45434</v>
      </c>
      <c r="G320" s="64">
        <v>0.5180555555555556</v>
      </c>
      <c r="H320" s="69" t="s">
        <v>5</v>
      </c>
      <c r="I320" s="65" t="s">
        <v>34</v>
      </c>
      <c r="J320" s="69" t="s">
        <v>67</v>
      </c>
      <c r="K320" s="65">
        <v>20</v>
      </c>
    </row>
    <row r="321" spans="1:11" ht="23.5" hidden="1" thickBot="1">
      <c r="A321" s="82" t="s">
        <v>278</v>
      </c>
      <c r="B321" s="37">
        <v>45432</v>
      </c>
      <c r="C321" s="38">
        <v>0.40208333333333335</v>
      </c>
      <c r="D321" s="36">
        <v>113955</v>
      </c>
      <c r="E321" s="36">
        <v>18335</v>
      </c>
      <c r="F321" s="37">
        <v>45432</v>
      </c>
      <c r="G321" s="38">
        <v>0.47986111111111113</v>
      </c>
      <c r="H321" s="39" t="s">
        <v>252</v>
      </c>
      <c r="I321" s="36" t="s">
        <v>97</v>
      </c>
      <c r="J321" s="39" t="s">
        <v>176</v>
      </c>
      <c r="K321" s="36">
        <v>12</v>
      </c>
    </row>
    <row r="322" spans="1:11" ht="46.5" hidden="1" thickBot="1">
      <c r="A322" s="82" t="s">
        <v>253</v>
      </c>
      <c r="B322" s="37">
        <v>45432</v>
      </c>
      <c r="C322" s="38">
        <v>0.4236111111111111</v>
      </c>
      <c r="D322" s="36">
        <v>113964</v>
      </c>
      <c r="E322" s="36">
        <v>18293</v>
      </c>
      <c r="F322" s="37">
        <v>45432</v>
      </c>
      <c r="G322" s="38">
        <v>0.49444444444444446</v>
      </c>
      <c r="H322" s="39" t="s">
        <v>125</v>
      </c>
      <c r="I322" s="36" t="s">
        <v>103</v>
      </c>
      <c r="J322" s="39" t="s">
        <v>150</v>
      </c>
      <c r="K322" s="36">
        <v>12</v>
      </c>
    </row>
    <row r="323" spans="1:11" ht="13.5" hidden="1" thickBot="1">
      <c r="A323" s="82">
        <v>5158</v>
      </c>
      <c r="B323" s="37">
        <v>45432</v>
      </c>
      <c r="C323" s="38">
        <v>0.4465277777777778</v>
      </c>
      <c r="D323" s="36">
        <v>113963</v>
      </c>
      <c r="E323" s="36">
        <v>18295</v>
      </c>
      <c r="F323" s="37">
        <v>45432</v>
      </c>
      <c r="G323" s="38">
        <v>0.49444444444444446</v>
      </c>
      <c r="H323" s="39" t="s">
        <v>175</v>
      </c>
      <c r="I323" s="36" t="s">
        <v>38</v>
      </c>
      <c r="J323" s="39" t="s">
        <v>145</v>
      </c>
      <c r="K323" s="36">
        <v>84</v>
      </c>
    </row>
    <row r="324" spans="1:11" ht="35" thickBot="1">
      <c r="A324" s="85">
        <v>24</v>
      </c>
      <c r="B324" s="37">
        <v>45426</v>
      </c>
      <c r="C324" s="38">
        <v>0.64513888888888893</v>
      </c>
      <c r="D324" s="36">
        <v>113909</v>
      </c>
      <c r="E324" s="40"/>
      <c r="F324" s="37">
        <v>45426</v>
      </c>
      <c r="G324" s="38">
        <v>0.66041666666666665</v>
      </c>
      <c r="H324" s="39" t="s">
        <v>15</v>
      </c>
      <c r="I324" s="36" t="s">
        <v>35</v>
      </c>
      <c r="J324" s="39" t="s">
        <v>188</v>
      </c>
      <c r="K324" s="36">
        <v>9</v>
      </c>
    </row>
    <row r="325" spans="1:11" ht="35" thickBot="1">
      <c r="A325" s="85">
        <v>24</v>
      </c>
      <c r="B325" s="37">
        <v>45432</v>
      </c>
      <c r="C325" s="38">
        <v>0.44791666666666669</v>
      </c>
      <c r="D325" s="36">
        <v>113962</v>
      </c>
      <c r="E325" s="36">
        <v>18383</v>
      </c>
      <c r="F325" s="37">
        <v>45432</v>
      </c>
      <c r="G325" s="38">
        <v>0.49444444444444446</v>
      </c>
      <c r="H325" s="39" t="s">
        <v>15</v>
      </c>
      <c r="I325" s="36" t="s">
        <v>35</v>
      </c>
      <c r="J325" s="39" t="s">
        <v>144</v>
      </c>
      <c r="K325" s="36">
        <v>14</v>
      </c>
    </row>
    <row r="326" spans="1:11" ht="23.5" hidden="1" thickBot="1">
      <c r="A326" s="82">
        <v>947933</v>
      </c>
      <c r="B326" s="37">
        <v>45432</v>
      </c>
      <c r="C326" s="38">
        <v>0.51527777777777772</v>
      </c>
      <c r="D326" s="36">
        <v>113969</v>
      </c>
      <c r="E326" s="36">
        <v>18304</v>
      </c>
      <c r="F326" s="37">
        <v>45432</v>
      </c>
      <c r="G326" s="38">
        <v>0.62708333333333333</v>
      </c>
      <c r="H326" s="39" t="s">
        <v>8</v>
      </c>
      <c r="I326" s="36" t="s">
        <v>37</v>
      </c>
      <c r="J326" s="39" t="s">
        <v>96</v>
      </c>
      <c r="K326" s="36">
        <v>10</v>
      </c>
    </row>
    <row r="327" spans="1:11" ht="35" hidden="1" thickBot="1">
      <c r="A327" s="82" t="s">
        <v>254</v>
      </c>
      <c r="B327" s="37">
        <v>45432</v>
      </c>
      <c r="C327" s="38">
        <v>0.60624999999999996</v>
      </c>
      <c r="D327" s="36">
        <v>113968</v>
      </c>
      <c r="E327" s="36">
        <v>18294</v>
      </c>
      <c r="F327" s="37">
        <v>45432</v>
      </c>
      <c r="G327" s="38">
        <v>0.62708333333333333</v>
      </c>
      <c r="H327" s="39" t="s">
        <v>279</v>
      </c>
      <c r="I327" s="36" t="s">
        <v>126</v>
      </c>
      <c r="J327" s="39" t="s">
        <v>177</v>
      </c>
      <c r="K327" s="36">
        <v>53</v>
      </c>
    </row>
    <row r="328" spans="1:11" ht="35" hidden="1" thickBot="1">
      <c r="A328" s="82">
        <v>108</v>
      </c>
      <c r="B328" s="37">
        <v>45432</v>
      </c>
      <c r="C328" s="38">
        <v>0.66319444444444442</v>
      </c>
      <c r="D328" s="36">
        <v>113969</v>
      </c>
      <c r="E328" s="36">
        <v>18362</v>
      </c>
      <c r="F328" s="37">
        <v>45433</v>
      </c>
      <c r="G328" s="38">
        <v>0.43333333333333335</v>
      </c>
      <c r="H328" s="39" t="s">
        <v>250</v>
      </c>
      <c r="I328" s="36" t="s">
        <v>35</v>
      </c>
      <c r="J328" s="39" t="s">
        <v>163</v>
      </c>
      <c r="K328" s="36">
        <v>20</v>
      </c>
    </row>
    <row r="329" spans="1:11" ht="23.5" hidden="1" thickBot="1">
      <c r="A329" s="82">
        <v>4500069852</v>
      </c>
      <c r="B329" s="37">
        <v>45432</v>
      </c>
      <c r="C329" s="38">
        <v>0.52083333333333337</v>
      </c>
      <c r="D329" s="36">
        <v>113970</v>
      </c>
      <c r="E329" s="36">
        <v>18324</v>
      </c>
      <c r="F329" s="37">
        <v>45433</v>
      </c>
      <c r="G329" s="38">
        <v>0.43333333333333335</v>
      </c>
      <c r="H329" s="39" t="s">
        <v>20</v>
      </c>
      <c r="I329" s="36" t="s">
        <v>37</v>
      </c>
      <c r="J329" s="39" t="s">
        <v>121</v>
      </c>
      <c r="K329" s="36">
        <v>100</v>
      </c>
    </row>
    <row r="330" spans="1:11" ht="35" hidden="1" thickBot="1">
      <c r="A330" s="82">
        <v>4500069852</v>
      </c>
      <c r="B330" s="37">
        <v>45432</v>
      </c>
      <c r="C330" s="38">
        <v>0.52083333333333337</v>
      </c>
      <c r="D330" s="36">
        <v>113970</v>
      </c>
      <c r="E330" s="36">
        <v>18324</v>
      </c>
      <c r="F330" s="37">
        <v>45433</v>
      </c>
      <c r="G330" s="38">
        <v>0.43333333333333335</v>
      </c>
      <c r="H330" s="39" t="s">
        <v>20</v>
      </c>
      <c r="I330" s="36" t="s">
        <v>37</v>
      </c>
      <c r="J330" s="39" t="s">
        <v>112</v>
      </c>
      <c r="K330" s="36">
        <v>40</v>
      </c>
    </row>
    <row r="331" spans="1:11" ht="23.5" hidden="1" thickBot="1">
      <c r="A331" s="82">
        <v>4500069852</v>
      </c>
      <c r="B331" s="37">
        <v>45432</v>
      </c>
      <c r="C331" s="38">
        <v>0.52083333333333337</v>
      </c>
      <c r="D331" s="36">
        <v>113970</v>
      </c>
      <c r="E331" s="36">
        <v>18324</v>
      </c>
      <c r="F331" s="37">
        <v>45433</v>
      </c>
      <c r="G331" s="38">
        <v>0.43333333333333335</v>
      </c>
      <c r="H331" s="39" t="s">
        <v>20</v>
      </c>
      <c r="I331" s="36" t="s">
        <v>37</v>
      </c>
      <c r="J331" s="39" t="s">
        <v>71</v>
      </c>
      <c r="K331" s="36">
        <v>20</v>
      </c>
    </row>
    <row r="332" spans="1:11" ht="23.5" hidden="1" thickBot="1">
      <c r="A332" s="82">
        <v>4500069852</v>
      </c>
      <c r="B332" s="37">
        <v>45432</v>
      </c>
      <c r="C332" s="38">
        <v>0.52083333333333337</v>
      </c>
      <c r="D332" s="36">
        <v>113970</v>
      </c>
      <c r="E332" s="36">
        <v>18324</v>
      </c>
      <c r="F332" s="37">
        <v>45433</v>
      </c>
      <c r="G332" s="38">
        <v>0.43333333333333335</v>
      </c>
      <c r="H332" s="39" t="s">
        <v>20</v>
      </c>
      <c r="I332" s="36" t="s">
        <v>37</v>
      </c>
      <c r="J332" s="39" t="s">
        <v>165</v>
      </c>
      <c r="K332" s="36">
        <v>4</v>
      </c>
    </row>
    <row r="333" spans="1:11" ht="23.5" hidden="1" thickBot="1">
      <c r="A333" s="82">
        <v>4500069852</v>
      </c>
      <c r="B333" s="37">
        <v>45432</v>
      </c>
      <c r="C333" s="38">
        <v>0.52083333333333337</v>
      </c>
      <c r="D333" s="36">
        <v>113970</v>
      </c>
      <c r="E333" s="36">
        <v>18324</v>
      </c>
      <c r="F333" s="37">
        <v>45433</v>
      </c>
      <c r="G333" s="38">
        <v>0.43333333333333335</v>
      </c>
      <c r="H333" s="39" t="s">
        <v>20</v>
      </c>
      <c r="I333" s="36" t="s">
        <v>37</v>
      </c>
      <c r="J333" s="39" t="s">
        <v>176</v>
      </c>
      <c r="K333" s="36">
        <v>20</v>
      </c>
    </row>
    <row r="334" spans="1:11" ht="23.5" hidden="1" thickBot="1">
      <c r="A334" s="82">
        <v>4500069852</v>
      </c>
      <c r="B334" s="37">
        <v>45432</v>
      </c>
      <c r="C334" s="38">
        <v>0.52083333333333337</v>
      </c>
      <c r="D334" s="36">
        <v>113970</v>
      </c>
      <c r="E334" s="36">
        <v>18324</v>
      </c>
      <c r="F334" s="37">
        <v>45433</v>
      </c>
      <c r="G334" s="38">
        <v>0.43333333333333335</v>
      </c>
      <c r="H334" s="39" t="s">
        <v>20</v>
      </c>
      <c r="I334" s="36" t="s">
        <v>37</v>
      </c>
      <c r="J334" s="39" t="s">
        <v>74</v>
      </c>
      <c r="K334" s="36">
        <v>12</v>
      </c>
    </row>
    <row r="335" spans="1:11" ht="23.5" hidden="1" thickBot="1">
      <c r="A335" s="82">
        <v>4500069852</v>
      </c>
      <c r="B335" s="37">
        <v>45432</v>
      </c>
      <c r="C335" s="38">
        <v>0.52083333333333337</v>
      </c>
      <c r="D335" s="36">
        <v>113970</v>
      </c>
      <c r="E335" s="36">
        <v>18324</v>
      </c>
      <c r="F335" s="37">
        <v>45433</v>
      </c>
      <c r="G335" s="38">
        <v>0.43333333333333335</v>
      </c>
      <c r="H335" s="39" t="s">
        <v>20</v>
      </c>
      <c r="I335" s="36" t="s">
        <v>37</v>
      </c>
      <c r="J335" s="39" t="s">
        <v>118</v>
      </c>
      <c r="K335" s="36">
        <v>4</v>
      </c>
    </row>
    <row r="336" spans="1:11" ht="23.5" hidden="1" thickBot="1">
      <c r="A336" s="82">
        <v>4500069852</v>
      </c>
      <c r="B336" s="37">
        <v>45432</v>
      </c>
      <c r="C336" s="38">
        <v>0.52083333333333337</v>
      </c>
      <c r="D336" s="36">
        <v>113970</v>
      </c>
      <c r="E336" s="36">
        <v>18324</v>
      </c>
      <c r="F336" s="37">
        <v>45433</v>
      </c>
      <c r="G336" s="38">
        <v>0.43333333333333335</v>
      </c>
      <c r="H336" s="39" t="s">
        <v>20</v>
      </c>
      <c r="I336" s="36" t="s">
        <v>37</v>
      </c>
      <c r="J336" s="39" t="s">
        <v>67</v>
      </c>
      <c r="K336" s="36">
        <v>12</v>
      </c>
    </row>
    <row r="337" spans="1:11" ht="23.5" hidden="1" thickBot="1">
      <c r="A337" s="82">
        <v>4500069852</v>
      </c>
      <c r="B337" s="37">
        <v>45432</v>
      </c>
      <c r="C337" s="38">
        <v>0.52083333333333337</v>
      </c>
      <c r="D337" s="36">
        <v>113970</v>
      </c>
      <c r="E337" s="36">
        <v>18324</v>
      </c>
      <c r="F337" s="37">
        <v>45433</v>
      </c>
      <c r="G337" s="38">
        <v>0.43333333333333335</v>
      </c>
      <c r="H337" s="39" t="s">
        <v>20</v>
      </c>
      <c r="I337" s="36" t="s">
        <v>37</v>
      </c>
      <c r="J337" s="39" t="s">
        <v>66</v>
      </c>
      <c r="K337" s="36">
        <v>80</v>
      </c>
    </row>
    <row r="338" spans="1:11" ht="23.5" hidden="1" thickBot="1">
      <c r="A338" s="82">
        <v>49685</v>
      </c>
      <c r="B338" s="37">
        <v>45432</v>
      </c>
      <c r="C338" s="38">
        <v>0.62291666666666667</v>
      </c>
      <c r="D338" s="36">
        <v>113971</v>
      </c>
      <c r="E338" s="36">
        <v>18337</v>
      </c>
      <c r="F338" s="37">
        <v>45433</v>
      </c>
      <c r="G338" s="38">
        <v>0.43333333333333335</v>
      </c>
      <c r="H338" s="39" t="s">
        <v>113</v>
      </c>
      <c r="I338" s="36" t="s">
        <v>35</v>
      </c>
      <c r="J338" s="39" t="s">
        <v>171</v>
      </c>
      <c r="K338" s="36">
        <v>28</v>
      </c>
    </row>
    <row r="339" spans="1:11" ht="23.5" hidden="1" thickBot="1">
      <c r="A339" s="82">
        <v>948280</v>
      </c>
      <c r="B339" s="37">
        <v>45432</v>
      </c>
      <c r="C339" s="38">
        <v>0.65694444444444444</v>
      </c>
      <c r="D339" s="36">
        <v>113972</v>
      </c>
      <c r="E339" s="36">
        <v>18306</v>
      </c>
      <c r="F339" s="37">
        <v>45433</v>
      </c>
      <c r="G339" s="38">
        <v>0.43333333333333335</v>
      </c>
      <c r="H339" s="39" t="s">
        <v>11</v>
      </c>
      <c r="I339" s="36" t="s">
        <v>98</v>
      </c>
      <c r="J339" s="39" t="s">
        <v>69</v>
      </c>
      <c r="K339" s="36">
        <v>10</v>
      </c>
    </row>
    <row r="340" spans="1:11" ht="23.5" hidden="1" thickBot="1">
      <c r="A340" s="90">
        <v>68867</v>
      </c>
      <c r="B340" s="37">
        <v>45432</v>
      </c>
      <c r="C340" s="38">
        <v>0.65763888888888888</v>
      </c>
      <c r="D340" s="36">
        <v>113973</v>
      </c>
      <c r="E340" s="36">
        <v>18302</v>
      </c>
      <c r="F340" s="37">
        <v>45433</v>
      </c>
      <c r="G340" s="38">
        <v>0.43333333333333335</v>
      </c>
      <c r="H340" s="39" t="s">
        <v>187</v>
      </c>
      <c r="I340" s="36" t="s">
        <v>98</v>
      </c>
      <c r="J340" s="39" t="s">
        <v>177</v>
      </c>
      <c r="K340" s="36">
        <v>50</v>
      </c>
    </row>
    <row r="341" spans="1:11" ht="46.5" hidden="1" thickBot="1">
      <c r="A341" s="90">
        <v>68866</v>
      </c>
      <c r="B341" s="37">
        <v>45432</v>
      </c>
      <c r="C341" s="38">
        <v>0.65763888888888888</v>
      </c>
      <c r="D341" s="36">
        <v>113974</v>
      </c>
      <c r="E341" s="36">
        <v>18301</v>
      </c>
      <c r="F341" s="37">
        <v>45433</v>
      </c>
      <c r="G341" s="38">
        <v>0.43333333333333335</v>
      </c>
      <c r="H341" s="39" t="s">
        <v>187</v>
      </c>
      <c r="I341" s="36" t="s">
        <v>98</v>
      </c>
      <c r="J341" s="39" t="s">
        <v>101</v>
      </c>
      <c r="K341" s="36">
        <v>40</v>
      </c>
    </row>
    <row r="342" spans="1:11" ht="23.5" hidden="1" thickBot="1">
      <c r="A342" s="82" t="s">
        <v>280</v>
      </c>
      <c r="B342" s="37">
        <v>45432</v>
      </c>
      <c r="C342" s="38">
        <v>0.69652777777777775</v>
      </c>
      <c r="D342" s="36">
        <v>113975</v>
      </c>
      <c r="E342" s="36">
        <v>18300</v>
      </c>
      <c r="F342" s="37">
        <v>45433</v>
      </c>
      <c r="G342" s="38">
        <v>0.43333333333333335</v>
      </c>
      <c r="H342" s="39" t="s">
        <v>100</v>
      </c>
      <c r="I342" s="36" t="s">
        <v>45</v>
      </c>
      <c r="J342" s="39" t="s">
        <v>174</v>
      </c>
      <c r="K342" s="36">
        <v>10</v>
      </c>
    </row>
    <row r="343" spans="1:11" ht="69.5" hidden="1" thickBot="1">
      <c r="A343" s="82" t="s">
        <v>281</v>
      </c>
      <c r="B343" s="37">
        <v>45433</v>
      </c>
      <c r="C343" s="38">
        <v>0.3215277777777778</v>
      </c>
      <c r="D343" s="36">
        <v>113976</v>
      </c>
      <c r="E343" s="36">
        <v>18303</v>
      </c>
      <c r="F343" s="37">
        <v>45433</v>
      </c>
      <c r="G343" s="38">
        <v>0.43333333333333335</v>
      </c>
      <c r="H343" s="39" t="s">
        <v>149</v>
      </c>
      <c r="I343" s="36" t="s">
        <v>36</v>
      </c>
      <c r="J343" s="39" t="s">
        <v>107</v>
      </c>
      <c r="K343" s="36">
        <v>8</v>
      </c>
    </row>
    <row r="344" spans="1:11" ht="69.5" hidden="1" thickBot="1">
      <c r="A344" s="82" t="s">
        <v>281</v>
      </c>
      <c r="B344" s="37">
        <v>45433</v>
      </c>
      <c r="C344" s="38">
        <v>0.3215277777777778</v>
      </c>
      <c r="D344" s="36">
        <v>113976</v>
      </c>
      <c r="E344" s="36">
        <v>18303</v>
      </c>
      <c r="F344" s="37">
        <v>45433</v>
      </c>
      <c r="G344" s="38">
        <v>0.43333333333333335</v>
      </c>
      <c r="H344" s="39" t="s">
        <v>149</v>
      </c>
      <c r="I344" s="36" t="s">
        <v>36</v>
      </c>
      <c r="J344" s="39" t="s">
        <v>101</v>
      </c>
      <c r="K344" s="36">
        <v>40</v>
      </c>
    </row>
    <row r="345" spans="1:11" ht="69.5" hidden="1" thickBot="1">
      <c r="A345" s="82" t="s">
        <v>281</v>
      </c>
      <c r="B345" s="37">
        <v>45433</v>
      </c>
      <c r="C345" s="38">
        <v>0.3215277777777778</v>
      </c>
      <c r="D345" s="36">
        <v>113976</v>
      </c>
      <c r="E345" s="36">
        <v>18303</v>
      </c>
      <c r="F345" s="37">
        <v>45433</v>
      </c>
      <c r="G345" s="38">
        <v>0.43333333333333335</v>
      </c>
      <c r="H345" s="39" t="s">
        <v>149</v>
      </c>
      <c r="I345" s="36" t="s">
        <v>36</v>
      </c>
      <c r="J345" s="39" t="s">
        <v>150</v>
      </c>
      <c r="K345" s="36">
        <v>12</v>
      </c>
    </row>
    <row r="346" spans="1:11" ht="23.5" hidden="1" thickBot="1">
      <c r="A346" s="82">
        <v>4500069876</v>
      </c>
      <c r="B346" s="37">
        <v>45433</v>
      </c>
      <c r="C346" s="38">
        <v>0.36805555555555558</v>
      </c>
      <c r="D346" s="36">
        <v>113977</v>
      </c>
      <c r="E346" s="36">
        <v>18308</v>
      </c>
      <c r="F346" s="37">
        <v>45433</v>
      </c>
      <c r="G346" s="38">
        <v>0.43333333333333335</v>
      </c>
      <c r="H346" s="39" t="s">
        <v>20</v>
      </c>
      <c r="I346" s="36" t="s">
        <v>40</v>
      </c>
      <c r="J346" s="39" t="s">
        <v>96</v>
      </c>
      <c r="K346" s="36">
        <v>300</v>
      </c>
    </row>
    <row r="347" spans="1:11" ht="23.5" hidden="1" thickBot="1">
      <c r="A347" s="82">
        <v>4500069876</v>
      </c>
      <c r="B347" s="37">
        <v>45433</v>
      </c>
      <c r="C347" s="38">
        <v>0.36805555555555558</v>
      </c>
      <c r="D347" s="36">
        <v>113977</v>
      </c>
      <c r="E347" s="36">
        <v>18308</v>
      </c>
      <c r="F347" s="37">
        <v>45433</v>
      </c>
      <c r="G347" s="38">
        <v>0.43333333333333335</v>
      </c>
      <c r="H347" s="39" t="s">
        <v>20</v>
      </c>
      <c r="I347" s="36" t="s">
        <v>40</v>
      </c>
      <c r="J347" s="39" t="s">
        <v>69</v>
      </c>
      <c r="K347" s="36">
        <v>28</v>
      </c>
    </row>
    <row r="348" spans="1:11" ht="13.5" hidden="1" thickBot="1">
      <c r="A348" s="82">
        <v>4500069876</v>
      </c>
      <c r="B348" s="37">
        <v>45433</v>
      </c>
      <c r="C348" s="38">
        <v>0.36805555555555558</v>
      </c>
      <c r="D348" s="36">
        <v>113977</v>
      </c>
      <c r="E348" s="36">
        <v>18308</v>
      </c>
      <c r="F348" s="37">
        <v>45433</v>
      </c>
      <c r="G348" s="38">
        <v>0.43333333333333335</v>
      </c>
      <c r="H348" s="39" t="s">
        <v>20</v>
      </c>
      <c r="I348" s="36" t="s">
        <v>40</v>
      </c>
      <c r="J348" s="39" t="s">
        <v>90</v>
      </c>
      <c r="K348" s="36">
        <v>28</v>
      </c>
    </row>
    <row r="349" spans="1:11" ht="23.5" hidden="1" thickBot="1">
      <c r="A349" s="82">
        <v>4500069876</v>
      </c>
      <c r="B349" s="37">
        <v>45433</v>
      </c>
      <c r="C349" s="38">
        <v>0.36805555555555558</v>
      </c>
      <c r="D349" s="36">
        <v>113977</v>
      </c>
      <c r="E349" s="36">
        <v>18308</v>
      </c>
      <c r="F349" s="37">
        <v>45433</v>
      </c>
      <c r="G349" s="38">
        <v>0.43333333333333335</v>
      </c>
      <c r="H349" s="39" t="s">
        <v>20</v>
      </c>
      <c r="I349" s="36" t="s">
        <v>40</v>
      </c>
      <c r="J349" s="39" t="s">
        <v>165</v>
      </c>
      <c r="K349" s="36">
        <v>28</v>
      </c>
    </row>
    <row r="350" spans="1:11" ht="23.5" hidden="1" thickBot="1">
      <c r="A350" s="82">
        <v>4500069876</v>
      </c>
      <c r="B350" s="37">
        <v>45433</v>
      </c>
      <c r="C350" s="38">
        <v>0.36805555555555558</v>
      </c>
      <c r="D350" s="36">
        <v>113977</v>
      </c>
      <c r="E350" s="36">
        <v>18308</v>
      </c>
      <c r="F350" s="37">
        <v>45433</v>
      </c>
      <c r="G350" s="38">
        <v>0.43333333333333335</v>
      </c>
      <c r="H350" s="39" t="s">
        <v>20</v>
      </c>
      <c r="I350" s="36" t="s">
        <v>40</v>
      </c>
      <c r="J350" s="39" t="s">
        <v>71</v>
      </c>
      <c r="K350" s="36">
        <v>120</v>
      </c>
    </row>
    <row r="351" spans="1:11" ht="23.5" hidden="1" thickBot="1">
      <c r="A351" s="82">
        <v>4500069876</v>
      </c>
      <c r="B351" s="37">
        <v>45433</v>
      </c>
      <c r="C351" s="38">
        <v>0.36805555555555558</v>
      </c>
      <c r="D351" s="36">
        <v>113977</v>
      </c>
      <c r="E351" s="36">
        <v>18308</v>
      </c>
      <c r="F351" s="37">
        <v>45433</v>
      </c>
      <c r="G351" s="38">
        <v>0.43333333333333335</v>
      </c>
      <c r="H351" s="39" t="s">
        <v>20</v>
      </c>
      <c r="I351" s="36" t="s">
        <v>40</v>
      </c>
      <c r="J351" s="39" t="s">
        <v>107</v>
      </c>
      <c r="K351" s="36">
        <v>24</v>
      </c>
    </row>
    <row r="352" spans="1:11" ht="23.5" hidden="1" thickBot="1">
      <c r="A352" s="82">
        <v>4500069876</v>
      </c>
      <c r="B352" s="37">
        <v>45433</v>
      </c>
      <c r="C352" s="38">
        <v>0.36805555555555558</v>
      </c>
      <c r="D352" s="36">
        <v>113977</v>
      </c>
      <c r="E352" s="36">
        <v>18308</v>
      </c>
      <c r="F352" s="37">
        <v>45433</v>
      </c>
      <c r="G352" s="38">
        <v>0.43333333333333335</v>
      </c>
      <c r="H352" s="39" t="s">
        <v>20</v>
      </c>
      <c r="I352" s="36" t="s">
        <v>40</v>
      </c>
      <c r="J352" s="39" t="s">
        <v>162</v>
      </c>
      <c r="K352" s="36">
        <v>200</v>
      </c>
    </row>
    <row r="353" spans="1:11" ht="23.5" hidden="1" thickBot="1">
      <c r="A353" s="82">
        <v>4500069876</v>
      </c>
      <c r="B353" s="37">
        <v>45433</v>
      </c>
      <c r="C353" s="38">
        <v>0.36805555555555558</v>
      </c>
      <c r="D353" s="36">
        <v>113977</v>
      </c>
      <c r="E353" s="36">
        <v>18308</v>
      </c>
      <c r="F353" s="37">
        <v>45433</v>
      </c>
      <c r="G353" s="38">
        <v>0.43333333333333335</v>
      </c>
      <c r="H353" s="39" t="s">
        <v>20</v>
      </c>
      <c r="I353" s="36" t="s">
        <v>40</v>
      </c>
      <c r="J353" s="39" t="s">
        <v>174</v>
      </c>
      <c r="K353" s="36">
        <v>10</v>
      </c>
    </row>
    <row r="354" spans="1:11" ht="23.5" hidden="1" thickBot="1">
      <c r="A354" s="82">
        <v>4500069876</v>
      </c>
      <c r="B354" s="37">
        <v>45433</v>
      </c>
      <c r="C354" s="38">
        <v>0.36805555555555558</v>
      </c>
      <c r="D354" s="36">
        <v>113977</v>
      </c>
      <c r="E354" s="36">
        <v>18308</v>
      </c>
      <c r="F354" s="37">
        <v>45433</v>
      </c>
      <c r="G354" s="38">
        <v>0.43333333333333335</v>
      </c>
      <c r="H354" s="39" t="s">
        <v>20</v>
      </c>
      <c r="I354" s="36" t="s">
        <v>40</v>
      </c>
      <c r="J354" s="39" t="s">
        <v>235</v>
      </c>
      <c r="K354" s="36">
        <v>150</v>
      </c>
    </row>
    <row r="355" spans="1:11" ht="35" thickBot="1">
      <c r="A355" s="85">
        <v>25</v>
      </c>
      <c r="B355" s="37">
        <v>45433</v>
      </c>
      <c r="C355" s="38">
        <v>0.38194444444444442</v>
      </c>
      <c r="D355" s="36">
        <v>113979</v>
      </c>
      <c r="E355" s="36">
        <v>18299</v>
      </c>
      <c r="F355" s="37">
        <v>45433</v>
      </c>
      <c r="G355" s="38">
        <v>0.4826388888888889</v>
      </c>
      <c r="H355" s="39" t="s">
        <v>108</v>
      </c>
      <c r="I355" s="36" t="s">
        <v>32</v>
      </c>
      <c r="J355" s="39" t="s">
        <v>107</v>
      </c>
      <c r="K355" s="36">
        <v>6</v>
      </c>
    </row>
    <row r="356" spans="1:11" ht="23.5" hidden="1" thickBot="1">
      <c r="A356" s="82" t="s">
        <v>282</v>
      </c>
      <c r="B356" s="37">
        <v>45433</v>
      </c>
      <c r="C356" s="38">
        <v>0.40902777777777777</v>
      </c>
      <c r="D356" s="36">
        <v>113978</v>
      </c>
      <c r="E356" s="36">
        <v>18307</v>
      </c>
      <c r="F356" s="37">
        <v>45433</v>
      </c>
      <c r="G356" s="38">
        <v>0.43333333333333335</v>
      </c>
      <c r="H356" s="39" t="s">
        <v>19</v>
      </c>
      <c r="I356" s="36" t="s">
        <v>32</v>
      </c>
      <c r="J356" s="39" t="s">
        <v>171</v>
      </c>
      <c r="K356" s="36">
        <v>10</v>
      </c>
    </row>
    <row r="357" spans="1:11" ht="35" thickBot="1">
      <c r="A357" s="85">
        <v>26</v>
      </c>
      <c r="B357" s="37">
        <v>45433</v>
      </c>
      <c r="C357" s="38">
        <v>0.45208333333333334</v>
      </c>
      <c r="D357" s="36">
        <v>113980</v>
      </c>
      <c r="E357" s="36">
        <v>18309</v>
      </c>
      <c r="F357" s="37">
        <v>45433</v>
      </c>
      <c r="G357" s="38">
        <v>0.6</v>
      </c>
      <c r="H357" s="39" t="s">
        <v>283</v>
      </c>
      <c r="I357" s="36" t="s">
        <v>134</v>
      </c>
      <c r="J357" s="39" t="s">
        <v>163</v>
      </c>
      <c r="K357" s="36">
        <v>30</v>
      </c>
    </row>
    <row r="358" spans="1:11" ht="24" hidden="1" thickBot="1">
      <c r="A358" s="46" t="s">
        <v>284</v>
      </c>
      <c r="B358" s="37">
        <v>45433</v>
      </c>
      <c r="C358" s="38">
        <v>0.61527777777777781</v>
      </c>
      <c r="D358" s="36">
        <v>113981</v>
      </c>
      <c r="E358" s="36">
        <v>18311</v>
      </c>
      <c r="F358" s="37">
        <v>45433</v>
      </c>
      <c r="G358" s="38">
        <v>0.61944444444444446</v>
      </c>
      <c r="H358" s="39" t="s">
        <v>14</v>
      </c>
      <c r="I358" s="36" t="s">
        <v>93</v>
      </c>
      <c r="J358" s="39" t="s">
        <v>150</v>
      </c>
      <c r="K358" s="36">
        <v>12</v>
      </c>
    </row>
    <row r="359" spans="1:11" ht="69.5" hidden="1" thickBot="1">
      <c r="A359" s="82" t="s">
        <v>285</v>
      </c>
      <c r="B359" s="37">
        <v>45433</v>
      </c>
      <c r="C359" s="38">
        <v>0.69027777777777777</v>
      </c>
      <c r="D359" s="36">
        <v>113985</v>
      </c>
      <c r="E359" s="36">
        <v>18318</v>
      </c>
      <c r="F359" s="37">
        <v>45434</v>
      </c>
      <c r="G359" s="38">
        <v>0.51875000000000004</v>
      </c>
      <c r="H359" s="39" t="s">
        <v>149</v>
      </c>
      <c r="I359" s="36" t="s">
        <v>97</v>
      </c>
      <c r="J359" s="39" t="s">
        <v>107</v>
      </c>
      <c r="K359" s="36">
        <v>4</v>
      </c>
    </row>
    <row r="360" spans="1:11" ht="35" hidden="1" thickBot="1">
      <c r="A360" s="82" t="s">
        <v>286</v>
      </c>
      <c r="B360" s="37">
        <v>45433</v>
      </c>
      <c r="C360" s="38">
        <v>0.72083333333333333</v>
      </c>
      <c r="D360" s="36">
        <v>113986</v>
      </c>
      <c r="E360" s="36">
        <v>18315</v>
      </c>
      <c r="F360" s="37">
        <v>45434</v>
      </c>
      <c r="G360" s="38">
        <v>0.51944444444444449</v>
      </c>
      <c r="H360" s="39" t="s">
        <v>279</v>
      </c>
      <c r="I360" s="36" t="s">
        <v>35</v>
      </c>
      <c r="J360" s="39" t="s">
        <v>150</v>
      </c>
      <c r="K360" s="36">
        <v>100</v>
      </c>
    </row>
    <row r="361" spans="1:11" ht="35" hidden="1" thickBot="1">
      <c r="A361" s="82">
        <v>949357</v>
      </c>
      <c r="B361" s="37">
        <v>45433</v>
      </c>
      <c r="C361" s="38">
        <v>0.73055555555555551</v>
      </c>
      <c r="D361" s="36">
        <v>113982</v>
      </c>
      <c r="E361" s="36">
        <v>18344</v>
      </c>
      <c r="F361" s="37">
        <v>45434</v>
      </c>
      <c r="G361" s="38">
        <v>0.50555555555555554</v>
      </c>
      <c r="H361" s="39" t="s">
        <v>16</v>
      </c>
      <c r="I361" s="36" t="s">
        <v>287</v>
      </c>
      <c r="J361" s="39" t="s">
        <v>186</v>
      </c>
      <c r="K361" s="36">
        <v>160</v>
      </c>
    </row>
    <row r="362" spans="1:11" ht="23.5" hidden="1" thickBot="1">
      <c r="A362" s="73" t="s">
        <v>288</v>
      </c>
      <c r="B362" s="63">
        <v>45433</v>
      </c>
      <c r="C362" s="64">
        <v>0.73958333333333337</v>
      </c>
      <c r="D362" s="65">
        <v>113999</v>
      </c>
      <c r="E362" s="65">
        <v>18339</v>
      </c>
      <c r="F362" s="63">
        <v>45436</v>
      </c>
      <c r="G362" s="64">
        <v>0.63888888888888884</v>
      </c>
      <c r="H362" s="69" t="s">
        <v>70</v>
      </c>
      <c r="I362" s="65" t="s">
        <v>289</v>
      </c>
      <c r="J362" s="69" t="s">
        <v>71</v>
      </c>
      <c r="K362" s="65">
        <v>10</v>
      </c>
    </row>
    <row r="363" spans="1:11" ht="23.5" hidden="1" thickBot="1">
      <c r="A363" s="73" t="s">
        <v>288</v>
      </c>
      <c r="B363" s="63">
        <v>45433</v>
      </c>
      <c r="C363" s="64">
        <v>0.73958333333333337</v>
      </c>
      <c r="D363" s="65">
        <v>113999</v>
      </c>
      <c r="E363" s="65">
        <v>18339</v>
      </c>
      <c r="F363" s="63">
        <v>45436</v>
      </c>
      <c r="G363" s="64">
        <v>0.63888888888888884</v>
      </c>
      <c r="H363" s="69" t="s">
        <v>70</v>
      </c>
      <c r="I363" s="65" t="s">
        <v>289</v>
      </c>
      <c r="J363" s="69" t="s">
        <v>150</v>
      </c>
      <c r="K363" s="65">
        <v>2</v>
      </c>
    </row>
    <row r="364" spans="1:11" ht="23.5" hidden="1" thickBot="1">
      <c r="A364" s="73" t="s">
        <v>288</v>
      </c>
      <c r="B364" s="63">
        <v>45433</v>
      </c>
      <c r="C364" s="64">
        <v>0.73958333333333337</v>
      </c>
      <c r="D364" s="65">
        <v>113999</v>
      </c>
      <c r="E364" s="65">
        <v>18339</v>
      </c>
      <c r="F364" s="63">
        <v>45436</v>
      </c>
      <c r="G364" s="64">
        <v>0.63888888888888884</v>
      </c>
      <c r="H364" s="69" t="s">
        <v>70</v>
      </c>
      <c r="I364" s="65" t="s">
        <v>289</v>
      </c>
      <c r="J364" s="69" t="s">
        <v>67</v>
      </c>
      <c r="K364" s="65">
        <v>4</v>
      </c>
    </row>
    <row r="365" spans="1:11" ht="23.5" hidden="1" thickBot="1">
      <c r="A365" s="73" t="s">
        <v>288</v>
      </c>
      <c r="B365" s="63">
        <v>45433</v>
      </c>
      <c r="C365" s="64">
        <v>0.73958333333333337</v>
      </c>
      <c r="D365" s="65">
        <v>113999</v>
      </c>
      <c r="E365" s="65">
        <v>18339</v>
      </c>
      <c r="F365" s="63">
        <v>45436</v>
      </c>
      <c r="G365" s="64">
        <v>0.63888888888888884</v>
      </c>
      <c r="H365" s="69" t="s">
        <v>70</v>
      </c>
      <c r="I365" s="65" t="s">
        <v>289</v>
      </c>
      <c r="J365" s="69" t="s">
        <v>174</v>
      </c>
      <c r="K365" s="65">
        <v>1</v>
      </c>
    </row>
    <row r="366" spans="1:11" ht="46.5" hidden="1" thickBot="1">
      <c r="A366" s="82" t="s">
        <v>290</v>
      </c>
      <c r="B366" s="37">
        <v>45434</v>
      </c>
      <c r="C366" s="38">
        <v>0.41597222222222224</v>
      </c>
      <c r="D366" s="36">
        <v>113983</v>
      </c>
      <c r="E366" s="36">
        <v>18320</v>
      </c>
      <c r="F366" s="37">
        <v>45434</v>
      </c>
      <c r="G366" s="38">
        <v>0.51666666666666672</v>
      </c>
      <c r="H366" s="39" t="s">
        <v>125</v>
      </c>
      <c r="I366" s="36" t="s">
        <v>126</v>
      </c>
      <c r="J366" s="39" t="s">
        <v>68</v>
      </c>
      <c r="K366" s="36">
        <v>20</v>
      </c>
    </row>
    <row r="367" spans="1:11" ht="23.5" hidden="1" thickBot="1">
      <c r="A367" s="82" t="s">
        <v>291</v>
      </c>
      <c r="B367" s="37">
        <v>45434</v>
      </c>
      <c r="C367" s="38">
        <v>0.46180555555555558</v>
      </c>
      <c r="D367" s="36">
        <v>113987</v>
      </c>
      <c r="E367" s="36">
        <v>18317</v>
      </c>
      <c r="F367" s="37">
        <v>45434</v>
      </c>
      <c r="G367" s="38">
        <v>0.53402777777777777</v>
      </c>
      <c r="H367" s="39" t="s">
        <v>100</v>
      </c>
      <c r="I367" s="36" t="s">
        <v>45</v>
      </c>
      <c r="J367" s="39" t="s">
        <v>107</v>
      </c>
      <c r="K367" s="36">
        <v>2</v>
      </c>
    </row>
    <row r="368" spans="1:11" ht="23.5" thickBot="1">
      <c r="A368" s="85">
        <v>27</v>
      </c>
      <c r="B368" s="40"/>
      <c r="C368" s="40"/>
      <c r="D368" s="36">
        <v>113988</v>
      </c>
      <c r="E368" s="36">
        <v>18325</v>
      </c>
      <c r="F368" s="37">
        <v>45434</v>
      </c>
      <c r="G368" s="38">
        <v>0.64583333333333337</v>
      </c>
      <c r="H368" s="39" t="s">
        <v>292</v>
      </c>
      <c r="I368" s="36" t="s">
        <v>37</v>
      </c>
      <c r="J368" s="39" t="s">
        <v>117</v>
      </c>
      <c r="K368" s="36">
        <v>6</v>
      </c>
    </row>
    <row r="369" spans="1:11" ht="23.5" hidden="1" thickBot="1">
      <c r="A369" s="82" t="s">
        <v>293</v>
      </c>
      <c r="B369" s="37">
        <v>45434</v>
      </c>
      <c r="C369" s="38">
        <v>0.66874999999999996</v>
      </c>
      <c r="D369" s="36">
        <v>113989</v>
      </c>
      <c r="E369" s="36">
        <v>18333</v>
      </c>
      <c r="F369" s="37">
        <v>45434</v>
      </c>
      <c r="G369" s="38">
        <v>0.68055555555555558</v>
      </c>
      <c r="H369" s="39" t="s">
        <v>116</v>
      </c>
      <c r="I369" s="36" t="s">
        <v>37</v>
      </c>
      <c r="J369" s="39" t="s">
        <v>145</v>
      </c>
      <c r="K369" s="36">
        <v>24</v>
      </c>
    </row>
    <row r="370" spans="1:11" ht="35" hidden="1" thickBot="1">
      <c r="A370" s="82" t="s">
        <v>294</v>
      </c>
      <c r="B370" s="37">
        <v>45429</v>
      </c>
      <c r="C370" s="38">
        <v>0.6430555555555556</v>
      </c>
      <c r="D370" s="36">
        <v>113992</v>
      </c>
      <c r="E370" s="36">
        <v>18330</v>
      </c>
      <c r="F370" s="37">
        <v>45435</v>
      </c>
      <c r="G370" s="38">
        <v>0.37986111111111109</v>
      </c>
      <c r="H370" s="39" t="s">
        <v>208</v>
      </c>
      <c r="I370" s="36" t="s">
        <v>70</v>
      </c>
      <c r="J370" s="39" t="s">
        <v>67</v>
      </c>
      <c r="K370" s="36">
        <v>8</v>
      </c>
    </row>
    <row r="371" spans="1:11" ht="35" hidden="1" thickBot="1">
      <c r="A371" s="82" t="s">
        <v>294</v>
      </c>
      <c r="B371" s="37">
        <v>45429</v>
      </c>
      <c r="C371" s="38">
        <v>0.6430555555555556</v>
      </c>
      <c r="D371" s="36">
        <v>113992</v>
      </c>
      <c r="E371" s="36">
        <v>18330</v>
      </c>
      <c r="F371" s="37">
        <v>45435</v>
      </c>
      <c r="G371" s="38">
        <v>0.37986111111111109</v>
      </c>
      <c r="H371" s="39" t="s">
        <v>208</v>
      </c>
      <c r="I371" s="36" t="s">
        <v>70</v>
      </c>
      <c r="J371" s="39" t="s">
        <v>71</v>
      </c>
      <c r="K371" s="36">
        <v>1</v>
      </c>
    </row>
    <row r="372" spans="1:11" ht="35" hidden="1" thickBot="1">
      <c r="A372" s="50">
        <v>950011</v>
      </c>
      <c r="B372" s="37">
        <v>45434</v>
      </c>
      <c r="C372" s="38">
        <v>0.55347222222222225</v>
      </c>
      <c r="D372" s="36">
        <v>113991</v>
      </c>
      <c r="E372" s="36">
        <v>18345</v>
      </c>
      <c r="F372" s="37">
        <v>45435</v>
      </c>
      <c r="G372" s="38">
        <v>0.37222222222222223</v>
      </c>
      <c r="H372" s="39" t="s">
        <v>16</v>
      </c>
      <c r="I372" s="36" t="s">
        <v>35</v>
      </c>
      <c r="J372" s="39" t="s">
        <v>163</v>
      </c>
      <c r="K372" s="36">
        <v>20</v>
      </c>
    </row>
    <row r="373" spans="1:11" ht="23.5" hidden="1" thickBot="1">
      <c r="A373" s="82">
        <v>4500069918</v>
      </c>
      <c r="B373" s="37">
        <v>45434</v>
      </c>
      <c r="C373" s="38">
        <v>0.57638888888888884</v>
      </c>
      <c r="D373" s="36">
        <v>113992</v>
      </c>
      <c r="E373" s="36">
        <v>18340</v>
      </c>
      <c r="F373" s="37">
        <v>45435</v>
      </c>
      <c r="G373" s="38">
        <v>0.37986111111111109</v>
      </c>
      <c r="H373" s="39" t="s">
        <v>20</v>
      </c>
      <c r="I373" s="36" t="s">
        <v>40</v>
      </c>
      <c r="J373" s="39" t="s">
        <v>117</v>
      </c>
      <c r="K373" s="36">
        <v>70</v>
      </c>
    </row>
    <row r="374" spans="1:11" ht="23.5" hidden="1" thickBot="1">
      <c r="A374" s="82">
        <v>4500069918</v>
      </c>
      <c r="B374" s="37">
        <v>45434</v>
      </c>
      <c r="C374" s="38">
        <v>0.57638888888888884</v>
      </c>
      <c r="D374" s="36">
        <v>113992</v>
      </c>
      <c r="E374" s="36">
        <v>18340</v>
      </c>
      <c r="F374" s="37">
        <v>45435</v>
      </c>
      <c r="G374" s="38">
        <v>0.37986111111111109</v>
      </c>
      <c r="H374" s="39" t="s">
        <v>20</v>
      </c>
      <c r="I374" s="36" t="s">
        <v>40</v>
      </c>
      <c r="J374" s="39" t="s">
        <v>66</v>
      </c>
      <c r="K374" s="36">
        <v>120</v>
      </c>
    </row>
    <row r="375" spans="1:11" ht="23.5" hidden="1" thickBot="1">
      <c r="A375" s="82">
        <v>4500069918</v>
      </c>
      <c r="B375" s="37">
        <v>45434</v>
      </c>
      <c r="C375" s="38">
        <v>0.57638888888888884</v>
      </c>
      <c r="D375" s="36">
        <v>113992</v>
      </c>
      <c r="E375" s="36">
        <v>18340</v>
      </c>
      <c r="F375" s="37">
        <v>45435</v>
      </c>
      <c r="G375" s="38">
        <v>0.37986111111111109</v>
      </c>
      <c r="H375" s="39" t="s">
        <v>20</v>
      </c>
      <c r="I375" s="36" t="s">
        <v>40</v>
      </c>
      <c r="J375" s="39" t="s">
        <v>176</v>
      </c>
      <c r="K375" s="36">
        <v>80</v>
      </c>
    </row>
    <row r="376" spans="1:11" ht="23.5" hidden="1" thickBot="1">
      <c r="A376" s="82">
        <v>4500069918</v>
      </c>
      <c r="B376" s="37">
        <v>45434</v>
      </c>
      <c r="C376" s="38">
        <v>0.57638888888888884</v>
      </c>
      <c r="D376" s="36">
        <v>113992</v>
      </c>
      <c r="E376" s="36">
        <v>18340</v>
      </c>
      <c r="F376" s="37">
        <v>45435</v>
      </c>
      <c r="G376" s="38">
        <v>0.37986111111111109</v>
      </c>
      <c r="H376" s="39" t="s">
        <v>20</v>
      </c>
      <c r="I376" s="36" t="s">
        <v>40</v>
      </c>
      <c r="J376" s="39" t="s">
        <v>74</v>
      </c>
      <c r="K376" s="36">
        <v>16</v>
      </c>
    </row>
    <row r="377" spans="1:11" ht="35" hidden="1" thickBot="1">
      <c r="A377" s="82">
        <v>4500069918</v>
      </c>
      <c r="B377" s="37">
        <v>45434</v>
      </c>
      <c r="C377" s="38">
        <v>0.57638888888888884</v>
      </c>
      <c r="D377" s="36">
        <v>113992</v>
      </c>
      <c r="E377" s="36">
        <v>18340</v>
      </c>
      <c r="F377" s="37">
        <v>45435</v>
      </c>
      <c r="G377" s="38">
        <v>0.37986111111111109</v>
      </c>
      <c r="H377" s="39" t="s">
        <v>20</v>
      </c>
      <c r="I377" s="36" t="s">
        <v>40</v>
      </c>
      <c r="J377" s="39" t="s">
        <v>295</v>
      </c>
      <c r="K377" s="36">
        <v>4</v>
      </c>
    </row>
    <row r="378" spans="1:11" ht="23.5" hidden="1" thickBot="1">
      <c r="A378" s="82">
        <v>4500069918</v>
      </c>
      <c r="B378" s="37">
        <v>45434</v>
      </c>
      <c r="C378" s="38">
        <v>0.57638888888888884</v>
      </c>
      <c r="D378" s="36">
        <v>113992</v>
      </c>
      <c r="E378" s="36">
        <v>18340</v>
      </c>
      <c r="F378" s="37">
        <v>45435</v>
      </c>
      <c r="G378" s="38">
        <v>0.37986111111111109</v>
      </c>
      <c r="H378" s="39" t="s">
        <v>20</v>
      </c>
      <c r="I378" s="36" t="s">
        <v>40</v>
      </c>
      <c r="J378" s="39" t="s">
        <v>74</v>
      </c>
      <c r="K378" s="36">
        <v>80</v>
      </c>
    </row>
    <row r="379" spans="1:11" ht="23.5" hidden="1" thickBot="1">
      <c r="A379" s="82">
        <v>4500069918</v>
      </c>
      <c r="B379" s="37">
        <v>45434</v>
      </c>
      <c r="C379" s="38">
        <v>0.57638888888888884</v>
      </c>
      <c r="D379" s="36">
        <v>113992</v>
      </c>
      <c r="E379" s="36">
        <v>18340</v>
      </c>
      <c r="F379" s="37">
        <v>45435</v>
      </c>
      <c r="G379" s="38">
        <v>0.37986111111111109</v>
      </c>
      <c r="H379" s="39" t="s">
        <v>20</v>
      </c>
      <c r="I379" s="36" t="s">
        <v>40</v>
      </c>
      <c r="J379" s="39" t="s">
        <v>150</v>
      </c>
      <c r="K379" s="36">
        <v>20</v>
      </c>
    </row>
    <row r="380" spans="1:11" ht="35" hidden="1" thickBot="1">
      <c r="A380" s="82">
        <v>4500069918</v>
      </c>
      <c r="B380" s="37">
        <v>45434</v>
      </c>
      <c r="C380" s="38">
        <v>0.57638888888888884</v>
      </c>
      <c r="D380" s="36">
        <v>113992</v>
      </c>
      <c r="E380" s="36">
        <v>18340</v>
      </c>
      <c r="F380" s="37">
        <v>45435</v>
      </c>
      <c r="G380" s="38">
        <v>0.37986111111111109</v>
      </c>
      <c r="H380" s="39" t="s">
        <v>20</v>
      </c>
      <c r="I380" s="36" t="s">
        <v>40</v>
      </c>
      <c r="J380" s="39" t="s">
        <v>112</v>
      </c>
      <c r="K380" s="36">
        <v>40</v>
      </c>
    </row>
    <row r="381" spans="1:11" ht="35" hidden="1" thickBot="1">
      <c r="A381" s="82" t="s">
        <v>296</v>
      </c>
      <c r="B381" s="37">
        <v>45429</v>
      </c>
      <c r="C381" s="38">
        <v>0.6430555555555556</v>
      </c>
      <c r="D381" s="36">
        <v>113994</v>
      </c>
      <c r="E381" s="36">
        <v>18332</v>
      </c>
      <c r="F381" s="37">
        <v>45435</v>
      </c>
      <c r="G381" s="38">
        <v>0.46250000000000002</v>
      </c>
      <c r="H381" s="39" t="s">
        <v>208</v>
      </c>
      <c r="I381" s="36" t="s">
        <v>70</v>
      </c>
      <c r="J381" s="39" t="s">
        <v>67</v>
      </c>
      <c r="K381" s="36">
        <v>8</v>
      </c>
    </row>
    <row r="382" spans="1:11" ht="69.5" hidden="1" thickBot="1">
      <c r="A382" s="82" t="s">
        <v>297</v>
      </c>
      <c r="B382" s="37">
        <v>45434</v>
      </c>
      <c r="C382" s="38">
        <v>0.65625</v>
      </c>
      <c r="D382" s="36">
        <v>113997</v>
      </c>
      <c r="E382" s="36">
        <v>18367</v>
      </c>
      <c r="F382" s="37">
        <v>45435</v>
      </c>
      <c r="G382" s="38">
        <v>0.46250000000000002</v>
      </c>
      <c r="H382" s="39" t="s">
        <v>149</v>
      </c>
      <c r="I382" s="36" t="s">
        <v>33</v>
      </c>
      <c r="J382" s="39" t="s">
        <v>69</v>
      </c>
      <c r="K382" s="36">
        <v>2</v>
      </c>
    </row>
    <row r="383" spans="1:11" ht="69.5" hidden="1" thickBot="1">
      <c r="A383" s="82" t="s">
        <v>297</v>
      </c>
      <c r="B383" s="37">
        <v>45434</v>
      </c>
      <c r="C383" s="38">
        <v>0.65625</v>
      </c>
      <c r="D383" s="36">
        <v>113997</v>
      </c>
      <c r="E383" s="36">
        <v>18367</v>
      </c>
      <c r="F383" s="37">
        <v>45435</v>
      </c>
      <c r="G383" s="38">
        <v>0.46250000000000002</v>
      </c>
      <c r="H383" s="39" t="s">
        <v>149</v>
      </c>
      <c r="I383" s="36" t="s">
        <v>33</v>
      </c>
      <c r="J383" s="39" t="s">
        <v>68</v>
      </c>
      <c r="K383" s="36">
        <v>1</v>
      </c>
    </row>
    <row r="384" spans="1:11" ht="69.5" hidden="1" thickBot="1">
      <c r="A384" s="82" t="s">
        <v>297</v>
      </c>
      <c r="B384" s="37">
        <v>45434</v>
      </c>
      <c r="C384" s="38">
        <v>0.65625</v>
      </c>
      <c r="D384" s="36">
        <v>113997</v>
      </c>
      <c r="E384" s="36">
        <v>18367</v>
      </c>
      <c r="F384" s="37">
        <v>45435</v>
      </c>
      <c r="G384" s="38">
        <v>0.46250000000000002</v>
      </c>
      <c r="H384" s="39" t="s">
        <v>149</v>
      </c>
      <c r="I384" s="36" t="s">
        <v>33</v>
      </c>
      <c r="J384" s="39" t="s">
        <v>101</v>
      </c>
      <c r="K384" s="36">
        <v>40</v>
      </c>
    </row>
    <row r="385" spans="1:11" ht="23.5" hidden="1" thickBot="1">
      <c r="A385" s="82">
        <v>671</v>
      </c>
      <c r="B385" s="37">
        <v>45435</v>
      </c>
      <c r="C385" s="38">
        <v>0.3576388888888889</v>
      </c>
      <c r="D385" s="36">
        <v>113996</v>
      </c>
      <c r="E385" s="36">
        <v>18334</v>
      </c>
      <c r="F385" s="37">
        <v>45435</v>
      </c>
      <c r="G385" s="38">
        <v>0.46250000000000002</v>
      </c>
      <c r="H385" s="39" t="s">
        <v>119</v>
      </c>
      <c r="I385" s="36" t="s">
        <v>37</v>
      </c>
      <c r="J385" s="39" t="s">
        <v>107</v>
      </c>
      <c r="K385" s="36">
        <v>2</v>
      </c>
    </row>
    <row r="386" spans="1:11" ht="23.5" hidden="1" thickBot="1">
      <c r="A386" s="82">
        <v>671</v>
      </c>
      <c r="B386" s="37">
        <v>45435</v>
      </c>
      <c r="C386" s="38">
        <v>0.3576388888888889</v>
      </c>
      <c r="D386" s="36">
        <v>113996</v>
      </c>
      <c r="E386" s="36">
        <v>18334</v>
      </c>
      <c r="F386" s="37">
        <v>45435</v>
      </c>
      <c r="G386" s="38">
        <v>0.46250000000000002</v>
      </c>
      <c r="H386" s="39" t="s">
        <v>119</v>
      </c>
      <c r="I386" s="36" t="s">
        <v>37</v>
      </c>
      <c r="J386" s="39" t="s">
        <v>122</v>
      </c>
      <c r="K386" s="36">
        <v>15</v>
      </c>
    </row>
    <row r="387" spans="1:11" ht="35" hidden="1" thickBot="1">
      <c r="A387" s="82" t="s">
        <v>298</v>
      </c>
      <c r="B387" s="37">
        <v>45435</v>
      </c>
      <c r="C387" s="38">
        <v>0.44444444444444442</v>
      </c>
      <c r="D387" s="36">
        <v>113995</v>
      </c>
      <c r="E387" s="36">
        <v>18338</v>
      </c>
      <c r="F387" s="37">
        <v>45435</v>
      </c>
      <c r="G387" s="38">
        <v>0.46250000000000002</v>
      </c>
      <c r="H387" s="39" t="s">
        <v>208</v>
      </c>
      <c r="I387" s="36" t="s">
        <v>106</v>
      </c>
      <c r="J387" s="39" t="s">
        <v>76</v>
      </c>
      <c r="K387" s="36">
        <v>6</v>
      </c>
    </row>
    <row r="388" spans="1:11" ht="35" hidden="1" thickBot="1">
      <c r="A388" s="82" t="s">
        <v>298</v>
      </c>
      <c r="B388" s="37">
        <v>45435</v>
      </c>
      <c r="C388" s="38">
        <v>0.44444444444444442</v>
      </c>
      <c r="D388" s="36">
        <v>113995</v>
      </c>
      <c r="E388" s="36">
        <v>18338</v>
      </c>
      <c r="F388" s="37">
        <v>45435</v>
      </c>
      <c r="G388" s="38">
        <v>0.46250000000000002</v>
      </c>
      <c r="H388" s="39" t="s">
        <v>208</v>
      </c>
      <c r="I388" s="36" t="s">
        <v>106</v>
      </c>
      <c r="J388" s="39" t="s">
        <v>67</v>
      </c>
      <c r="K388" s="36">
        <v>1</v>
      </c>
    </row>
    <row r="389" spans="1:11" ht="23.5" hidden="1" thickBot="1">
      <c r="A389" s="82">
        <v>950769</v>
      </c>
      <c r="B389" s="37">
        <v>45435</v>
      </c>
      <c r="C389" s="38">
        <v>0.46527777777777779</v>
      </c>
      <c r="D389" s="36">
        <v>113998</v>
      </c>
      <c r="E389" s="36">
        <v>18346</v>
      </c>
      <c r="F389" s="37">
        <v>45435</v>
      </c>
      <c r="G389" s="38">
        <v>0.46250000000000002</v>
      </c>
      <c r="H389" s="39" t="s">
        <v>16</v>
      </c>
      <c r="I389" s="36" t="s">
        <v>299</v>
      </c>
      <c r="J389" s="39" t="s">
        <v>145</v>
      </c>
      <c r="K389" s="36">
        <v>84</v>
      </c>
    </row>
    <row r="390" spans="1:11" ht="35" hidden="1" thickBot="1">
      <c r="A390" s="82">
        <v>950769</v>
      </c>
      <c r="B390" s="37">
        <v>45435</v>
      </c>
      <c r="C390" s="38">
        <v>0.46527777777777779</v>
      </c>
      <c r="D390" s="36">
        <v>113998</v>
      </c>
      <c r="E390" s="36">
        <v>18346</v>
      </c>
      <c r="F390" s="37">
        <v>45435</v>
      </c>
      <c r="G390" s="38">
        <v>0.46250000000000002</v>
      </c>
      <c r="H390" s="39" t="s">
        <v>16</v>
      </c>
      <c r="I390" s="36" t="s">
        <v>299</v>
      </c>
      <c r="J390" s="39" t="s">
        <v>163</v>
      </c>
      <c r="K390" s="36">
        <v>80</v>
      </c>
    </row>
    <row r="391" spans="1:11" ht="23.5" hidden="1" thickBot="1">
      <c r="A391" s="82">
        <v>951278</v>
      </c>
      <c r="B391" s="37">
        <v>45435</v>
      </c>
      <c r="C391" s="38">
        <v>0.74097222222222225</v>
      </c>
      <c r="D391" s="36">
        <v>114000</v>
      </c>
      <c r="E391" s="36">
        <v>18348</v>
      </c>
      <c r="F391" s="37">
        <v>45436</v>
      </c>
      <c r="G391" s="38">
        <v>0.35416666666666669</v>
      </c>
      <c r="H391" s="39" t="s">
        <v>11</v>
      </c>
      <c r="I391" s="36" t="s">
        <v>97</v>
      </c>
      <c r="J391" s="39" t="s">
        <v>69</v>
      </c>
      <c r="K391" s="36">
        <v>6</v>
      </c>
    </row>
    <row r="392" spans="1:11" ht="23.5" hidden="1" thickBot="1">
      <c r="A392" s="82">
        <v>951277</v>
      </c>
      <c r="B392" s="37">
        <v>45435</v>
      </c>
      <c r="C392" s="38">
        <v>0.74097222222222225</v>
      </c>
      <c r="D392" s="36">
        <v>114001</v>
      </c>
      <c r="E392" s="36">
        <v>18341</v>
      </c>
      <c r="F392" s="37">
        <v>45436</v>
      </c>
      <c r="G392" s="38">
        <v>0.35416666666666669</v>
      </c>
      <c r="H392" s="39" t="s">
        <v>11</v>
      </c>
      <c r="I392" s="36" t="s">
        <v>97</v>
      </c>
      <c r="J392" s="39" t="s">
        <v>117</v>
      </c>
      <c r="K392" s="36">
        <v>5</v>
      </c>
    </row>
    <row r="393" spans="1:11" ht="23.5" hidden="1" thickBot="1">
      <c r="A393" s="82">
        <v>951550</v>
      </c>
      <c r="B393" s="37">
        <v>45436</v>
      </c>
      <c r="C393" s="38">
        <v>0.34513888888888888</v>
      </c>
      <c r="D393" s="36">
        <v>114007</v>
      </c>
      <c r="E393" s="36">
        <v>18349</v>
      </c>
      <c r="F393" s="37">
        <v>45436</v>
      </c>
      <c r="G393" s="38">
        <v>0.3923611111111111</v>
      </c>
      <c r="H393" s="39" t="s">
        <v>11</v>
      </c>
      <c r="I393" s="36" t="s">
        <v>98</v>
      </c>
      <c r="J393" s="39" t="s">
        <v>96</v>
      </c>
      <c r="K393" s="36">
        <v>5</v>
      </c>
    </row>
    <row r="394" spans="1:11" ht="69.5" hidden="1" thickBot="1">
      <c r="A394" s="82" t="s">
        <v>300</v>
      </c>
      <c r="B394" s="37">
        <v>45435</v>
      </c>
      <c r="C394" s="38">
        <v>0.625</v>
      </c>
      <c r="D394" s="36">
        <v>114008</v>
      </c>
      <c r="E394" s="36">
        <v>18351</v>
      </c>
      <c r="F394" s="37">
        <v>45436</v>
      </c>
      <c r="G394" s="38">
        <v>0.39374999999999999</v>
      </c>
      <c r="H394" s="39" t="s">
        <v>149</v>
      </c>
      <c r="I394" s="36" t="s">
        <v>36</v>
      </c>
      <c r="J394" s="39" t="s">
        <v>150</v>
      </c>
      <c r="K394" s="36">
        <v>10</v>
      </c>
    </row>
    <row r="395" spans="1:11" ht="23.5" hidden="1" thickBot="1">
      <c r="A395" s="82">
        <v>4500120640</v>
      </c>
      <c r="B395" s="37">
        <v>45436</v>
      </c>
      <c r="C395" s="38">
        <v>0.36805555555555558</v>
      </c>
      <c r="D395" s="36">
        <v>114006</v>
      </c>
      <c r="E395" s="36">
        <v>18347</v>
      </c>
      <c r="F395" s="37">
        <v>45436</v>
      </c>
      <c r="G395" s="38">
        <v>0.37083333333333335</v>
      </c>
      <c r="H395" s="39" t="s">
        <v>3</v>
      </c>
      <c r="I395" s="36" t="s">
        <v>42</v>
      </c>
      <c r="J395" s="39" t="s">
        <v>162</v>
      </c>
      <c r="K395" s="36">
        <v>10</v>
      </c>
    </row>
    <row r="396" spans="1:11" ht="46.5" hidden="1" thickBot="1">
      <c r="A396" s="82">
        <v>4500120640</v>
      </c>
      <c r="B396" s="37">
        <v>45436</v>
      </c>
      <c r="C396" s="38">
        <v>0.36805555555555558</v>
      </c>
      <c r="D396" s="36">
        <v>114006</v>
      </c>
      <c r="E396" s="36">
        <v>18347</v>
      </c>
      <c r="F396" s="37">
        <v>45436</v>
      </c>
      <c r="G396" s="38">
        <v>0.37083333333333335</v>
      </c>
      <c r="H396" s="39" t="s">
        <v>3</v>
      </c>
      <c r="I396" s="36" t="s">
        <v>42</v>
      </c>
      <c r="J396" s="39" t="s">
        <v>101</v>
      </c>
      <c r="K396" s="36">
        <v>20</v>
      </c>
    </row>
    <row r="397" spans="1:11" ht="23.5" thickBot="1">
      <c r="A397" s="75">
        <v>28</v>
      </c>
      <c r="B397" s="63">
        <v>45436</v>
      </c>
      <c r="C397" s="64">
        <v>0.40208333333333335</v>
      </c>
      <c r="D397" s="62"/>
      <c r="E397" s="62"/>
      <c r="F397" s="62"/>
      <c r="G397" s="62"/>
      <c r="H397" s="69" t="s">
        <v>301</v>
      </c>
      <c r="I397" s="65" t="s">
        <v>126</v>
      </c>
      <c r="J397" s="69" t="s">
        <v>177</v>
      </c>
      <c r="K397" s="65">
        <v>25</v>
      </c>
    </row>
    <row r="398" spans="1:11" ht="23.5" hidden="1" thickBot="1">
      <c r="A398" s="82">
        <v>4500069963</v>
      </c>
      <c r="B398" s="37">
        <v>45436</v>
      </c>
      <c r="C398" s="38">
        <v>0.40347222222222223</v>
      </c>
      <c r="D398" s="36">
        <v>114010</v>
      </c>
      <c r="E398" s="36">
        <v>18365</v>
      </c>
      <c r="F398" s="37">
        <v>45436</v>
      </c>
      <c r="G398" s="38">
        <v>0.59722222222222221</v>
      </c>
      <c r="H398" s="39" t="s">
        <v>20</v>
      </c>
      <c r="I398" s="36" t="s">
        <v>40</v>
      </c>
      <c r="J398" s="39" t="s">
        <v>96</v>
      </c>
      <c r="K398" s="36">
        <v>300</v>
      </c>
    </row>
    <row r="399" spans="1:11" ht="23.5" hidden="1" thickBot="1">
      <c r="A399" s="82">
        <v>4500069963</v>
      </c>
      <c r="B399" s="37">
        <v>45436</v>
      </c>
      <c r="C399" s="38">
        <v>0.40347222222222223</v>
      </c>
      <c r="D399" s="36">
        <v>114010</v>
      </c>
      <c r="E399" s="36">
        <v>18365</v>
      </c>
      <c r="F399" s="37">
        <v>45436</v>
      </c>
      <c r="G399" s="38">
        <v>0.59722222222222221</v>
      </c>
      <c r="H399" s="39" t="s">
        <v>20</v>
      </c>
      <c r="I399" s="36" t="s">
        <v>40</v>
      </c>
      <c r="J399" s="39" t="s">
        <v>72</v>
      </c>
      <c r="K399" s="36">
        <v>120</v>
      </c>
    </row>
    <row r="400" spans="1:11" ht="23.5" hidden="1" thickBot="1">
      <c r="A400" s="82">
        <v>4500069963</v>
      </c>
      <c r="B400" s="37">
        <v>45436</v>
      </c>
      <c r="C400" s="38">
        <v>0.40347222222222223</v>
      </c>
      <c r="D400" s="36">
        <v>114010</v>
      </c>
      <c r="E400" s="36">
        <v>18365</v>
      </c>
      <c r="F400" s="37">
        <v>45436</v>
      </c>
      <c r="G400" s="38">
        <v>0.59722222222222221</v>
      </c>
      <c r="H400" s="39" t="s">
        <v>20</v>
      </c>
      <c r="I400" s="36" t="s">
        <v>40</v>
      </c>
      <c r="J400" s="39" t="s">
        <v>71</v>
      </c>
      <c r="K400" s="36">
        <v>40</v>
      </c>
    </row>
    <row r="401" spans="1:11" ht="23.5" hidden="1" thickBot="1">
      <c r="A401" s="102">
        <v>4500069963</v>
      </c>
      <c r="B401" s="103">
        <v>45436</v>
      </c>
      <c r="C401" s="104">
        <v>0.40347222222222223</v>
      </c>
      <c r="D401" s="105">
        <v>114010</v>
      </c>
      <c r="E401" s="105">
        <v>18387</v>
      </c>
      <c r="F401" s="103">
        <v>45436</v>
      </c>
      <c r="G401" s="104">
        <v>0.59722222222222221</v>
      </c>
      <c r="H401" s="106" t="s">
        <v>20</v>
      </c>
      <c r="I401" s="105" t="s">
        <v>40</v>
      </c>
      <c r="J401" s="106" t="s">
        <v>71</v>
      </c>
      <c r="K401" s="105">
        <v>40</v>
      </c>
    </row>
    <row r="402" spans="1:11" ht="23.5" hidden="1" thickBot="1">
      <c r="A402" s="82">
        <v>4500069963</v>
      </c>
      <c r="B402" s="37">
        <v>45436</v>
      </c>
      <c r="C402" s="38">
        <v>0.40347222222222223</v>
      </c>
      <c r="D402" s="36">
        <v>114010</v>
      </c>
      <c r="E402" s="36">
        <v>18365</v>
      </c>
      <c r="F402" s="37">
        <v>45436</v>
      </c>
      <c r="G402" s="38">
        <v>0.59722222222222221</v>
      </c>
      <c r="H402" s="39" t="s">
        <v>20</v>
      </c>
      <c r="I402" s="36" t="s">
        <v>40</v>
      </c>
      <c r="J402" s="39" t="s">
        <v>165</v>
      </c>
      <c r="K402" s="36">
        <v>12</v>
      </c>
    </row>
    <row r="403" spans="1:11" ht="23.5" hidden="1" thickBot="1">
      <c r="A403" s="82">
        <v>4500069963</v>
      </c>
      <c r="B403" s="37">
        <v>45436</v>
      </c>
      <c r="C403" s="38">
        <v>0.40347222222222223</v>
      </c>
      <c r="D403" s="36">
        <v>114010</v>
      </c>
      <c r="E403" s="36">
        <v>18365</v>
      </c>
      <c r="F403" s="37">
        <v>45436</v>
      </c>
      <c r="G403" s="38">
        <v>0.59722222222222221</v>
      </c>
      <c r="H403" s="39" t="s">
        <v>20</v>
      </c>
      <c r="I403" s="36" t="s">
        <v>40</v>
      </c>
      <c r="J403" s="39" t="s">
        <v>162</v>
      </c>
      <c r="K403" s="36">
        <v>200</v>
      </c>
    </row>
    <row r="404" spans="1:11" ht="23.5" hidden="1" thickBot="1">
      <c r="A404" s="82">
        <v>4500069963</v>
      </c>
      <c r="B404" s="37">
        <v>45436</v>
      </c>
      <c r="C404" s="38">
        <v>0.40347222222222223</v>
      </c>
      <c r="D404" s="36">
        <v>114010</v>
      </c>
      <c r="E404" s="36">
        <v>18365</v>
      </c>
      <c r="F404" s="37">
        <v>45436</v>
      </c>
      <c r="G404" s="38">
        <v>0.59722222222222221</v>
      </c>
      <c r="H404" s="39" t="s">
        <v>20</v>
      </c>
      <c r="I404" s="36" t="s">
        <v>40</v>
      </c>
      <c r="J404" s="39" t="s">
        <v>150</v>
      </c>
      <c r="K404" s="36">
        <v>40</v>
      </c>
    </row>
    <row r="405" spans="1:11" ht="23.5" hidden="1" thickBot="1">
      <c r="A405" s="82">
        <v>4500069963</v>
      </c>
      <c r="B405" s="37">
        <v>45436</v>
      </c>
      <c r="C405" s="38">
        <v>0.40347222222222223</v>
      </c>
      <c r="D405" s="36">
        <v>114010</v>
      </c>
      <c r="E405" s="36">
        <v>18365</v>
      </c>
      <c r="F405" s="37">
        <v>45436</v>
      </c>
      <c r="G405" s="38">
        <v>0.59722222222222221</v>
      </c>
      <c r="H405" s="39" t="s">
        <v>20</v>
      </c>
      <c r="I405" s="36" t="s">
        <v>40</v>
      </c>
      <c r="J405" s="39" t="s">
        <v>74</v>
      </c>
      <c r="K405" s="36">
        <v>80</v>
      </c>
    </row>
    <row r="406" spans="1:11" ht="23.5" hidden="1" thickBot="1">
      <c r="A406" s="82">
        <v>4500069963</v>
      </c>
      <c r="B406" s="37">
        <v>45436</v>
      </c>
      <c r="C406" s="38">
        <v>0.40347222222222223</v>
      </c>
      <c r="D406" s="36">
        <v>114010</v>
      </c>
      <c r="E406" s="36">
        <v>18365</v>
      </c>
      <c r="F406" s="37">
        <v>45436</v>
      </c>
      <c r="G406" s="38">
        <v>0.59722222222222221</v>
      </c>
      <c r="H406" s="39" t="s">
        <v>20</v>
      </c>
      <c r="I406" s="36" t="s">
        <v>40</v>
      </c>
      <c r="J406" s="39" t="s">
        <v>107</v>
      </c>
      <c r="K406" s="36">
        <v>12</v>
      </c>
    </row>
    <row r="407" spans="1:11" ht="35" hidden="1" thickBot="1">
      <c r="A407" s="82">
        <v>951721</v>
      </c>
      <c r="B407" s="37">
        <v>45436</v>
      </c>
      <c r="C407" s="38">
        <v>0.44861111111111113</v>
      </c>
      <c r="D407" s="36">
        <v>114011</v>
      </c>
      <c r="E407" s="36">
        <v>18350</v>
      </c>
      <c r="F407" s="37">
        <v>45436</v>
      </c>
      <c r="G407" s="38">
        <v>0.59722222222222221</v>
      </c>
      <c r="H407" s="39" t="s">
        <v>11</v>
      </c>
      <c r="I407" s="36" t="s">
        <v>35</v>
      </c>
      <c r="J407" s="39" t="s">
        <v>168</v>
      </c>
      <c r="K407" s="36">
        <v>2</v>
      </c>
    </row>
    <row r="408" spans="1:11" ht="23.5" hidden="1" thickBot="1">
      <c r="A408" s="82" t="s">
        <v>302</v>
      </c>
      <c r="B408" s="37">
        <v>45436</v>
      </c>
      <c r="C408" s="38">
        <v>0.45</v>
      </c>
      <c r="D408" s="36">
        <v>114009</v>
      </c>
      <c r="E408" s="36">
        <v>18343</v>
      </c>
      <c r="F408" s="37">
        <v>45436</v>
      </c>
      <c r="G408" s="38">
        <v>0.52430555555555558</v>
      </c>
      <c r="H408" s="39" t="s">
        <v>303</v>
      </c>
      <c r="I408" s="36" t="s">
        <v>289</v>
      </c>
      <c r="J408" s="39" t="s">
        <v>145</v>
      </c>
      <c r="K408" s="36">
        <v>200</v>
      </c>
    </row>
    <row r="409" spans="1:11" ht="23.5" hidden="1" thickBot="1">
      <c r="A409" s="82">
        <v>41440</v>
      </c>
      <c r="B409" s="37">
        <v>45436</v>
      </c>
      <c r="C409" s="38">
        <v>0.59097222222222223</v>
      </c>
      <c r="D409" s="36">
        <v>114013</v>
      </c>
      <c r="E409" s="36">
        <v>18352</v>
      </c>
      <c r="F409" s="37">
        <v>45436</v>
      </c>
      <c r="G409" s="38">
        <v>0.625</v>
      </c>
      <c r="H409" s="39" t="s">
        <v>304</v>
      </c>
      <c r="I409" s="36" t="s">
        <v>39</v>
      </c>
      <c r="J409" s="39" t="s">
        <v>162</v>
      </c>
      <c r="K409" s="36">
        <v>24</v>
      </c>
    </row>
    <row r="410" spans="1:11" ht="35" hidden="1" thickBot="1">
      <c r="A410" s="82">
        <v>41440</v>
      </c>
      <c r="B410" s="37">
        <v>45436</v>
      </c>
      <c r="C410" s="38">
        <v>0.59097222222222223</v>
      </c>
      <c r="D410" s="36">
        <v>114013</v>
      </c>
      <c r="E410" s="36">
        <v>18352</v>
      </c>
      <c r="F410" s="37">
        <v>45436</v>
      </c>
      <c r="G410" s="38">
        <v>0.625</v>
      </c>
      <c r="H410" s="39" t="s">
        <v>304</v>
      </c>
      <c r="I410" s="36" t="s">
        <v>39</v>
      </c>
      <c r="J410" s="39" t="s">
        <v>186</v>
      </c>
      <c r="K410" s="36">
        <v>30</v>
      </c>
    </row>
    <row r="411" spans="1:11" ht="35" hidden="1" thickBot="1">
      <c r="A411" s="82">
        <v>41440</v>
      </c>
      <c r="B411" s="37">
        <v>45436</v>
      </c>
      <c r="C411" s="38">
        <v>0.59097222222222223</v>
      </c>
      <c r="D411" s="36">
        <v>114013</v>
      </c>
      <c r="E411" s="36">
        <v>18352</v>
      </c>
      <c r="F411" s="37">
        <v>45436</v>
      </c>
      <c r="G411" s="38">
        <v>0.625</v>
      </c>
      <c r="H411" s="39" t="s">
        <v>304</v>
      </c>
      <c r="I411" s="36" t="s">
        <v>39</v>
      </c>
      <c r="J411" s="39" t="s">
        <v>163</v>
      </c>
      <c r="K411" s="36">
        <v>60</v>
      </c>
    </row>
    <row r="412" spans="1:11" ht="23.5" hidden="1" thickBot="1">
      <c r="A412" s="82">
        <v>41440</v>
      </c>
      <c r="B412" s="37">
        <v>45436</v>
      </c>
      <c r="C412" s="38">
        <v>0.59097222222222223</v>
      </c>
      <c r="D412" s="36">
        <v>114013</v>
      </c>
      <c r="E412" s="36">
        <v>18352</v>
      </c>
      <c r="F412" s="37">
        <v>45436</v>
      </c>
      <c r="G412" s="38">
        <v>0.625</v>
      </c>
      <c r="H412" s="39" t="s">
        <v>304</v>
      </c>
      <c r="I412" s="36" t="s">
        <v>39</v>
      </c>
      <c r="J412" s="39" t="s">
        <v>251</v>
      </c>
      <c r="K412" s="36">
        <v>36</v>
      </c>
    </row>
    <row r="413" spans="1:11" ht="69.5" hidden="1" thickBot="1">
      <c r="A413" s="82" t="s">
        <v>305</v>
      </c>
      <c r="B413" s="37">
        <v>45436</v>
      </c>
      <c r="C413" s="38">
        <v>0.52777777777777779</v>
      </c>
      <c r="D413" s="36">
        <v>114014</v>
      </c>
      <c r="E413" s="36">
        <v>18366</v>
      </c>
      <c r="F413" s="37">
        <v>45439</v>
      </c>
      <c r="G413" s="38">
        <v>0.60833333333333328</v>
      </c>
      <c r="H413" s="39" t="s">
        <v>149</v>
      </c>
      <c r="I413" s="36" t="s">
        <v>33</v>
      </c>
      <c r="J413" s="39" t="s">
        <v>68</v>
      </c>
      <c r="K413" s="36">
        <v>2</v>
      </c>
    </row>
    <row r="414" spans="1:11" ht="69.5" hidden="1" thickBot="1">
      <c r="A414" s="82" t="s">
        <v>305</v>
      </c>
      <c r="B414" s="37">
        <v>45436</v>
      </c>
      <c r="C414" s="38">
        <v>0.52777777777777779</v>
      </c>
      <c r="D414" s="36">
        <v>114014</v>
      </c>
      <c r="E414" s="36">
        <v>18366</v>
      </c>
      <c r="F414" s="37">
        <v>45439</v>
      </c>
      <c r="G414" s="38">
        <v>0.60833333333333328</v>
      </c>
      <c r="H414" s="39" t="s">
        <v>149</v>
      </c>
      <c r="I414" s="36" t="s">
        <v>33</v>
      </c>
      <c r="J414" s="39" t="s">
        <v>150</v>
      </c>
      <c r="K414" s="36">
        <v>20</v>
      </c>
    </row>
    <row r="415" spans="1:11" ht="35" hidden="1" thickBot="1">
      <c r="A415" s="82" t="s">
        <v>306</v>
      </c>
      <c r="B415" s="37">
        <v>45436</v>
      </c>
      <c r="C415" s="38">
        <v>0.72361111111111109</v>
      </c>
      <c r="D415" s="36">
        <v>114015</v>
      </c>
      <c r="E415" s="36">
        <v>18368</v>
      </c>
      <c r="F415" s="37">
        <v>45439</v>
      </c>
      <c r="G415" s="38">
        <v>0.60833333333333328</v>
      </c>
      <c r="H415" s="39" t="s">
        <v>307</v>
      </c>
      <c r="I415" s="36" t="s">
        <v>191</v>
      </c>
      <c r="J415" s="39" t="s">
        <v>308</v>
      </c>
      <c r="K415" s="36">
        <v>94</v>
      </c>
    </row>
    <row r="416" spans="1:11" ht="23.5" hidden="1" thickBot="1">
      <c r="A416" s="90">
        <v>69199</v>
      </c>
      <c r="B416" s="37">
        <v>45439</v>
      </c>
      <c r="C416" s="38">
        <v>0.46319444444444446</v>
      </c>
      <c r="D416" s="36">
        <v>114019</v>
      </c>
      <c r="E416" s="36">
        <v>18369</v>
      </c>
      <c r="F416" s="37">
        <v>45439</v>
      </c>
      <c r="G416" s="38">
        <v>0.60833333333333328</v>
      </c>
      <c r="H416" s="39" t="s">
        <v>187</v>
      </c>
      <c r="I416" s="36" t="s">
        <v>98</v>
      </c>
      <c r="J416" s="39" t="s">
        <v>107</v>
      </c>
      <c r="K416" s="36">
        <v>4</v>
      </c>
    </row>
    <row r="417" spans="1:11" ht="23.5" hidden="1" thickBot="1">
      <c r="A417" s="82">
        <v>4500070015</v>
      </c>
      <c r="B417" s="37">
        <v>45439</v>
      </c>
      <c r="C417" s="38">
        <v>0.55625000000000002</v>
      </c>
      <c r="D417" s="36">
        <v>114018</v>
      </c>
      <c r="E417" s="36">
        <v>18377</v>
      </c>
      <c r="F417" s="37">
        <v>45439</v>
      </c>
      <c r="G417" s="38">
        <v>0.60833333333333328</v>
      </c>
      <c r="H417" s="39" t="s">
        <v>20</v>
      </c>
      <c r="I417" s="36" t="s">
        <v>37</v>
      </c>
      <c r="J417" s="39" t="s">
        <v>150</v>
      </c>
      <c r="K417" s="36">
        <v>8</v>
      </c>
    </row>
    <row r="418" spans="1:11" ht="23.5" hidden="1" thickBot="1">
      <c r="A418" s="82">
        <v>4500070015</v>
      </c>
      <c r="B418" s="37">
        <v>45439</v>
      </c>
      <c r="C418" s="38">
        <v>0.55625000000000002</v>
      </c>
      <c r="D418" s="36">
        <v>114018</v>
      </c>
      <c r="E418" s="36">
        <v>18377</v>
      </c>
      <c r="F418" s="37">
        <v>45439</v>
      </c>
      <c r="G418" s="38">
        <v>0.60833333333333328</v>
      </c>
      <c r="H418" s="39" t="s">
        <v>20</v>
      </c>
      <c r="I418" s="36" t="s">
        <v>37</v>
      </c>
      <c r="J418" s="39" t="s">
        <v>69</v>
      </c>
      <c r="K418" s="36">
        <v>4</v>
      </c>
    </row>
    <row r="419" spans="1:11" ht="23.5" hidden="1" thickBot="1">
      <c r="A419" s="102">
        <v>4500070015</v>
      </c>
      <c r="B419" s="103">
        <v>45439</v>
      </c>
      <c r="C419" s="104">
        <v>0.55625000000000002</v>
      </c>
      <c r="D419" s="105">
        <v>114018</v>
      </c>
      <c r="E419" s="105">
        <v>18385</v>
      </c>
      <c r="F419" s="103">
        <v>45439</v>
      </c>
      <c r="G419" s="104">
        <v>0.60833333333333328</v>
      </c>
      <c r="H419" s="106" t="s">
        <v>20</v>
      </c>
      <c r="I419" s="105" t="s">
        <v>37</v>
      </c>
      <c r="J419" s="106" t="s">
        <v>71</v>
      </c>
      <c r="K419" s="105">
        <v>40</v>
      </c>
    </row>
    <row r="420" spans="1:11" ht="23.5" hidden="1" thickBot="1">
      <c r="A420" s="82">
        <v>4500070015</v>
      </c>
      <c r="B420" s="37">
        <v>45439</v>
      </c>
      <c r="C420" s="38">
        <v>0.55625000000000002</v>
      </c>
      <c r="D420" s="36">
        <v>114018</v>
      </c>
      <c r="E420" s="36">
        <v>18377</v>
      </c>
      <c r="F420" s="37">
        <v>45439</v>
      </c>
      <c r="G420" s="38">
        <v>0.60833333333333328</v>
      </c>
      <c r="H420" s="39" t="s">
        <v>20</v>
      </c>
      <c r="I420" s="36" t="s">
        <v>37</v>
      </c>
      <c r="J420" s="39" t="s">
        <v>165</v>
      </c>
      <c r="K420" s="36">
        <v>8</v>
      </c>
    </row>
    <row r="421" spans="1:11" ht="35" hidden="1" thickBot="1">
      <c r="A421" s="82">
        <v>4500070015</v>
      </c>
      <c r="B421" s="37">
        <v>45439</v>
      </c>
      <c r="C421" s="38">
        <v>0.55625000000000002</v>
      </c>
      <c r="D421" s="36">
        <v>114018</v>
      </c>
      <c r="E421" s="36">
        <v>18377</v>
      </c>
      <c r="F421" s="37">
        <v>45439</v>
      </c>
      <c r="G421" s="38">
        <v>0.60833333333333328</v>
      </c>
      <c r="H421" s="39" t="s">
        <v>20</v>
      </c>
      <c r="I421" s="36" t="s">
        <v>37</v>
      </c>
      <c r="J421" s="39" t="s">
        <v>92</v>
      </c>
      <c r="K421" s="36">
        <v>8</v>
      </c>
    </row>
    <row r="422" spans="1:11" ht="23.5" hidden="1" thickBot="1">
      <c r="A422" s="82">
        <v>4500070015</v>
      </c>
      <c r="B422" s="37">
        <v>45439</v>
      </c>
      <c r="C422" s="38">
        <v>0.55625000000000002</v>
      </c>
      <c r="D422" s="36">
        <v>114018</v>
      </c>
      <c r="E422" s="36">
        <v>18377</v>
      </c>
      <c r="F422" s="37">
        <v>45439</v>
      </c>
      <c r="G422" s="38">
        <v>0.60833333333333328</v>
      </c>
      <c r="H422" s="39" t="s">
        <v>20</v>
      </c>
      <c r="I422" s="36" t="s">
        <v>37</v>
      </c>
      <c r="J422" s="39" t="s">
        <v>74</v>
      </c>
      <c r="K422" s="36">
        <v>16</v>
      </c>
    </row>
    <row r="423" spans="1:11" ht="23.5" hidden="1" thickBot="1">
      <c r="A423" s="90">
        <v>69225</v>
      </c>
      <c r="B423" s="37">
        <v>45439</v>
      </c>
      <c r="C423" s="38">
        <v>0.60416666666666663</v>
      </c>
      <c r="D423" s="36">
        <v>114019</v>
      </c>
      <c r="E423" s="36">
        <v>18370</v>
      </c>
      <c r="F423" s="37">
        <v>45439</v>
      </c>
      <c r="G423" s="38">
        <v>0.60833333333333328</v>
      </c>
      <c r="H423" s="39" t="s">
        <v>187</v>
      </c>
      <c r="I423" s="36" t="s">
        <v>98</v>
      </c>
      <c r="J423" s="39" t="s">
        <v>251</v>
      </c>
      <c r="K423" s="36">
        <v>7</v>
      </c>
    </row>
    <row r="424" spans="1:11" ht="23.5" hidden="1" thickBot="1">
      <c r="A424" s="90">
        <v>69225</v>
      </c>
      <c r="B424" s="37">
        <v>45439</v>
      </c>
      <c r="C424" s="38">
        <v>0.60416666666666663</v>
      </c>
      <c r="D424" s="36">
        <v>114019</v>
      </c>
      <c r="E424" s="36">
        <v>18370</v>
      </c>
      <c r="F424" s="37">
        <v>45439</v>
      </c>
      <c r="G424" s="38">
        <v>0.60833333333333328</v>
      </c>
      <c r="H424" s="39" t="s">
        <v>187</v>
      </c>
      <c r="I424" s="36" t="s">
        <v>98</v>
      </c>
      <c r="J424" s="39" t="s">
        <v>217</v>
      </c>
      <c r="K424" s="36">
        <v>7</v>
      </c>
    </row>
    <row r="425" spans="1:11" ht="23.5" hidden="1" thickBot="1">
      <c r="A425" s="82" t="s">
        <v>309</v>
      </c>
      <c r="B425" s="37">
        <v>45439</v>
      </c>
      <c r="C425" s="38">
        <v>0.67777777777777781</v>
      </c>
      <c r="D425" s="36">
        <v>114022</v>
      </c>
      <c r="E425" s="36">
        <v>18372</v>
      </c>
      <c r="F425" s="37">
        <v>45440</v>
      </c>
      <c r="G425" s="38">
        <v>0.37847222222222221</v>
      </c>
      <c r="H425" s="39" t="s">
        <v>19</v>
      </c>
      <c r="I425" s="36" t="s">
        <v>32</v>
      </c>
      <c r="J425" s="39" t="s">
        <v>68</v>
      </c>
      <c r="K425" s="36">
        <v>20</v>
      </c>
    </row>
    <row r="426" spans="1:11" ht="23.5" hidden="1" thickBot="1">
      <c r="A426" s="82" t="s">
        <v>309</v>
      </c>
      <c r="B426" s="37">
        <v>45439</v>
      </c>
      <c r="C426" s="38">
        <v>0.67777777777777781</v>
      </c>
      <c r="D426" s="36">
        <v>114022</v>
      </c>
      <c r="E426" s="36">
        <v>18372</v>
      </c>
      <c r="F426" s="37">
        <v>45440</v>
      </c>
      <c r="G426" s="38">
        <v>0.37847222222222221</v>
      </c>
      <c r="H426" s="39" t="s">
        <v>19</v>
      </c>
      <c r="I426" s="36" t="s">
        <v>32</v>
      </c>
      <c r="J426" s="39" t="s">
        <v>177</v>
      </c>
      <c r="K426" s="36">
        <v>20</v>
      </c>
    </row>
    <row r="427" spans="1:11" ht="23.5" hidden="1" thickBot="1">
      <c r="A427" s="82" t="s">
        <v>309</v>
      </c>
      <c r="B427" s="37">
        <v>45439</v>
      </c>
      <c r="C427" s="38">
        <v>0.67777777777777781</v>
      </c>
      <c r="D427" s="36">
        <v>114022</v>
      </c>
      <c r="E427" s="36">
        <v>18372</v>
      </c>
      <c r="F427" s="37">
        <v>45440</v>
      </c>
      <c r="G427" s="38">
        <v>0.37847222222222221</v>
      </c>
      <c r="H427" s="39" t="s">
        <v>19</v>
      </c>
      <c r="I427" s="36" t="s">
        <v>32</v>
      </c>
      <c r="J427" s="39" t="s">
        <v>171</v>
      </c>
      <c r="K427" s="36">
        <v>10</v>
      </c>
    </row>
    <row r="428" spans="1:11" ht="23.5" hidden="1" thickBot="1">
      <c r="A428" s="82" t="s">
        <v>309</v>
      </c>
      <c r="B428" s="37">
        <v>45439</v>
      </c>
      <c r="C428" s="38">
        <v>0.67777777777777781</v>
      </c>
      <c r="D428" s="36">
        <v>114022</v>
      </c>
      <c r="E428" s="36">
        <v>18372</v>
      </c>
      <c r="F428" s="37">
        <v>45440</v>
      </c>
      <c r="G428" s="38">
        <v>0.37847222222222221</v>
      </c>
      <c r="H428" s="39" t="s">
        <v>19</v>
      </c>
      <c r="I428" s="36" t="s">
        <v>32</v>
      </c>
      <c r="J428" s="39" t="s">
        <v>69</v>
      </c>
      <c r="K428" s="36">
        <v>2</v>
      </c>
    </row>
    <row r="429" spans="1:11" ht="23.5" hidden="1" thickBot="1">
      <c r="A429" s="82" t="s">
        <v>309</v>
      </c>
      <c r="B429" s="37">
        <v>45439</v>
      </c>
      <c r="C429" s="38">
        <v>0.67777777777777781</v>
      </c>
      <c r="D429" s="36">
        <v>114022</v>
      </c>
      <c r="E429" s="36">
        <v>18372</v>
      </c>
      <c r="F429" s="37">
        <v>45440</v>
      </c>
      <c r="G429" s="38">
        <v>0.37847222222222221</v>
      </c>
      <c r="H429" s="39" t="s">
        <v>19</v>
      </c>
      <c r="I429" s="36" t="s">
        <v>32</v>
      </c>
      <c r="J429" s="39" t="s">
        <v>109</v>
      </c>
      <c r="K429" s="36">
        <v>3</v>
      </c>
    </row>
    <row r="430" spans="1:11" ht="23.5" hidden="1" thickBot="1">
      <c r="A430" s="82" t="s">
        <v>309</v>
      </c>
      <c r="B430" s="37">
        <v>45439</v>
      </c>
      <c r="C430" s="38">
        <v>0.67777777777777781</v>
      </c>
      <c r="D430" s="36">
        <v>114022</v>
      </c>
      <c r="E430" s="36">
        <v>18372</v>
      </c>
      <c r="F430" s="37">
        <v>45440</v>
      </c>
      <c r="G430" s="38">
        <v>0.37847222222222221</v>
      </c>
      <c r="H430" s="39" t="s">
        <v>19</v>
      </c>
      <c r="I430" s="36" t="s">
        <v>32</v>
      </c>
      <c r="J430" s="39" t="s">
        <v>150</v>
      </c>
      <c r="K430" s="36">
        <v>10</v>
      </c>
    </row>
    <row r="431" spans="1:11" ht="35" hidden="1" thickBot="1">
      <c r="A431" s="82" t="s">
        <v>309</v>
      </c>
      <c r="B431" s="37">
        <v>45439</v>
      </c>
      <c r="C431" s="38">
        <v>0.67777777777777781</v>
      </c>
      <c r="D431" s="36">
        <v>114022</v>
      </c>
      <c r="E431" s="36">
        <v>18372</v>
      </c>
      <c r="F431" s="37">
        <v>45440</v>
      </c>
      <c r="G431" s="38">
        <v>0.37847222222222221</v>
      </c>
      <c r="H431" s="39" t="s">
        <v>19</v>
      </c>
      <c r="I431" s="36" t="s">
        <v>32</v>
      </c>
      <c r="J431" s="39" t="s">
        <v>170</v>
      </c>
      <c r="K431" s="36">
        <v>5</v>
      </c>
    </row>
    <row r="432" spans="1:11" ht="35" hidden="1" thickBot="1">
      <c r="A432" s="82">
        <v>4500070045</v>
      </c>
      <c r="B432" s="37">
        <v>45440</v>
      </c>
      <c r="C432" s="38">
        <v>0.38263888888888886</v>
      </c>
      <c r="D432" s="36">
        <v>114031</v>
      </c>
      <c r="E432" s="36">
        <v>18378</v>
      </c>
      <c r="F432" s="37">
        <v>45440</v>
      </c>
      <c r="G432" s="38">
        <v>0.39791666666666664</v>
      </c>
      <c r="H432" s="39" t="s">
        <v>20</v>
      </c>
      <c r="I432" s="36" t="s">
        <v>40</v>
      </c>
      <c r="J432" s="39" t="s">
        <v>99</v>
      </c>
      <c r="K432" s="36">
        <v>12</v>
      </c>
    </row>
    <row r="433" spans="1:11" ht="23.5" hidden="1" thickBot="1">
      <c r="A433" s="82">
        <v>4500070045</v>
      </c>
      <c r="B433" s="37">
        <v>45440</v>
      </c>
      <c r="C433" s="38">
        <v>0.38263888888888886</v>
      </c>
      <c r="D433" s="36">
        <v>114031</v>
      </c>
      <c r="E433" s="36">
        <v>18378</v>
      </c>
      <c r="F433" s="37">
        <v>45440</v>
      </c>
      <c r="G433" s="38">
        <v>0.39791666666666664</v>
      </c>
      <c r="H433" s="39" t="s">
        <v>20</v>
      </c>
      <c r="I433" s="36" t="s">
        <v>40</v>
      </c>
      <c r="J433" s="39" t="s">
        <v>67</v>
      </c>
      <c r="K433" s="36">
        <v>24</v>
      </c>
    </row>
    <row r="434" spans="1:11" ht="23.5" hidden="1" thickBot="1">
      <c r="A434" s="82">
        <v>4500070045</v>
      </c>
      <c r="B434" s="37">
        <v>45440</v>
      </c>
      <c r="C434" s="38">
        <v>0.38263888888888886</v>
      </c>
      <c r="D434" s="36">
        <v>114031</v>
      </c>
      <c r="E434" s="36">
        <v>18378</v>
      </c>
      <c r="F434" s="37">
        <v>45440</v>
      </c>
      <c r="G434" s="38">
        <v>0.39791666666666664</v>
      </c>
      <c r="H434" s="39" t="s">
        <v>20</v>
      </c>
      <c r="I434" s="36" t="s">
        <v>40</v>
      </c>
      <c r="J434" s="39" t="s">
        <v>72</v>
      </c>
      <c r="K434" s="36">
        <v>100</v>
      </c>
    </row>
    <row r="435" spans="1:11" ht="23.5" hidden="1" thickBot="1">
      <c r="A435" s="82">
        <v>4500070045</v>
      </c>
      <c r="B435" s="37">
        <v>45440</v>
      </c>
      <c r="C435" s="38">
        <v>0.38263888888888886</v>
      </c>
      <c r="D435" s="36">
        <v>114031</v>
      </c>
      <c r="E435" s="36">
        <v>18378</v>
      </c>
      <c r="F435" s="37">
        <v>45440</v>
      </c>
      <c r="G435" s="38">
        <v>0.39791666666666664</v>
      </c>
      <c r="H435" s="39" t="s">
        <v>20</v>
      </c>
      <c r="I435" s="36" t="s">
        <v>40</v>
      </c>
      <c r="J435" s="39" t="s">
        <v>176</v>
      </c>
      <c r="K435" s="36">
        <v>40</v>
      </c>
    </row>
    <row r="436" spans="1:11" ht="23.5" hidden="1" thickBot="1">
      <c r="A436" s="102">
        <v>4500070045</v>
      </c>
      <c r="B436" s="103">
        <v>45440</v>
      </c>
      <c r="C436" s="104">
        <v>0.38263888888888886</v>
      </c>
      <c r="D436" s="105">
        <v>114031</v>
      </c>
      <c r="E436" s="105">
        <v>18386</v>
      </c>
      <c r="F436" s="103">
        <v>45440</v>
      </c>
      <c r="G436" s="104">
        <v>0.39791666666666664</v>
      </c>
      <c r="H436" s="106" t="s">
        <v>20</v>
      </c>
      <c r="I436" s="105" t="s">
        <v>40</v>
      </c>
      <c r="J436" s="106" t="s">
        <v>71</v>
      </c>
      <c r="K436" s="105">
        <v>60</v>
      </c>
    </row>
    <row r="437" spans="1:11" ht="35" hidden="1" thickBot="1">
      <c r="A437" s="82">
        <v>4500070045</v>
      </c>
      <c r="B437" s="37">
        <v>45440</v>
      </c>
      <c r="C437" s="38">
        <v>0.38263888888888886</v>
      </c>
      <c r="D437" s="36">
        <v>114031</v>
      </c>
      <c r="E437" s="36">
        <v>18378</v>
      </c>
      <c r="F437" s="37">
        <v>45440</v>
      </c>
      <c r="G437" s="38">
        <v>0.39791666666666664</v>
      </c>
      <c r="H437" s="39" t="s">
        <v>20</v>
      </c>
      <c r="I437" s="36" t="s">
        <v>40</v>
      </c>
      <c r="J437" s="39" t="s">
        <v>92</v>
      </c>
      <c r="K437" s="36">
        <v>8</v>
      </c>
    </row>
    <row r="438" spans="1:11" ht="23.5" hidden="1" thickBot="1">
      <c r="A438" s="82">
        <v>4500070045</v>
      </c>
      <c r="B438" s="37">
        <v>45440</v>
      </c>
      <c r="C438" s="38">
        <v>0.38263888888888886</v>
      </c>
      <c r="D438" s="36">
        <v>114031</v>
      </c>
      <c r="E438" s="36">
        <v>18378</v>
      </c>
      <c r="F438" s="37">
        <v>45440</v>
      </c>
      <c r="G438" s="38">
        <v>0.39791666666666664</v>
      </c>
      <c r="H438" s="39" t="s">
        <v>20</v>
      </c>
      <c r="I438" s="36" t="s">
        <v>40</v>
      </c>
      <c r="J438" s="39" t="s">
        <v>165</v>
      </c>
      <c r="K438" s="36">
        <v>8</v>
      </c>
    </row>
    <row r="439" spans="1:11" ht="23.5" hidden="1" thickBot="1">
      <c r="A439" s="82">
        <v>4500070045</v>
      </c>
      <c r="B439" s="37">
        <v>45440</v>
      </c>
      <c r="C439" s="38">
        <v>0.38263888888888886</v>
      </c>
      <c r="D439" s="36">
        <v>114031</v>
      </c>
      <c r="E439" s="36">
        <v>18378</v>
      </c>
      <c r="F439" s="37">
        <v>45440</v>
      </c>
      <c r="G439" s="38">
        <v>0.39791666666666664</v>
      </c>
      <c r="H439" s="39" t="s">
        <v>20</v>
      </c>
      <c r="I439" s="36" t="s">
        <v>40</v>
      </c>
      <c r="J439" s="39" t="s">
        <v>74</v>
      </c>
      <c r="K439" s="36">
        <v>60</v>
      </c>
    </row>
    <row r="440" spans="1:11" ht="35" hidden="1" thickBot="1">
      <c r="A440" s="82" t="s">
        <v>310</v>
      </c>
      <c r="B440" s="37">
        <v>45440</v>
      </c>
      <c r="C440" s="38">
        <v>0.3840277777777778</v>
      </c>
      <c r="D440" s="36">
        <v>114032</v>
      </c>
      <c r="E440" s="36">
        <v>18373</v>
      </c>
      <c r="F440" s="37">
        <v>45440</v>
      </c>
      <c r="G440" s="38">
        <v>0.43194444444444446</v>
      </c>
      <c r="H440" s="39" t="s">
        <v>311</v>
      </c>
      <c r="I440" s="36" t="s">
        <v>43</v>
      </c>
      <c r="J440" s="39" t="s">
        <v>162</v>
      </c>
      <c r="K440" s="36">
        <v>40</v>
      </c>
    </row>
    <row r="441" spans="1:11" ht="35" hidden="1" thickBot="1">
      <c r="A441" s="82" t="s">
        <v>312</v>
      </c>
      <c r="B441" s="37">
        <v>45440</v>
      </c>
      <c r="C441" s="38">
        <v>0.42986111111111114</v>
      </c>
      <c r="D441" s="36">
        <v>114033</v>
      </c>
      <c r="E441" s="36">
        <v>18374</v>
      </c>
      <c r="F441" s="37">
        <v>45440</v>
      </c>
      <c r="G441" s="38">
        <v>0.43194444444444446</v>
      </c>
      <c r="H441" s="39" t="s">
        <v>311</v>
      </c>
      <c r="I441" s="36" t="s">
        <v>70</v>
      </c>
      <c r="J441" s="39" t="s">
        <v>76</v>
      </c>
      <c r="K441" s="36">
        <v>5</v>
      </c>
    </row>
    <row r="442" spans="1:11" ht="35" hidden="1" thickBot="1">
      <c r="A442" s="102" t="s">
        <v>312</v>
      </c>
      <c r="B442" s="103">
        <v>45440</v>
      </c>
      <c r="C442" s="104">
        <v>0.42986111111111114</v>
      </c>
      <c r="D442" s="105">
        <v>114033</v>
      </c>
      <c r="E442" s="105">
        <v>18374</v>
      </c>
      <c r="F442" s="103">
        <v>45440</v>
      </c>
      <c r="G442" s="104">
        <v>0.43194444444444446</v>
      </c>
      <c r="H442" s="106" t="s">
        <v>311</v>
      </c>
      <c r="I442" s="105" t="s">
        <v>70</v>
      </c>
      <c r="J442" s="106" t="s">
        <v>71</v>
      </c>
      <c r="K442" s="105">
        <v>2</v>
      </c>
    </row>
    <row r="443" spans="1:11" ht="35" hidden="1" thickBot="1">
      <c r="A443" s="82" t="s">
        <v>312</v>
      </c>
      <c r="B443" s="37">
        <v>45440</v>
      </c>
      <c r="C443" s="38">
        <v>0.42986111111111114</v>
      </c>
      <c r="D443" s="36">
        <v>114033</v>
      </c>
      <c r="E443" s="36">
        <v>18374</v>
      </c>
      <c r="F443" s="37">
        <v>45440</v>
      </c>
      <c r="G443" s="38">
        <v>0.43194444444444446</v>
      </c>
      <c r="H443" s="39" t="s">
        <v>311</v>
      </c>
      <c r="I443" s="36" t="s">
        <v>70</v>
      </c>
      <c r="J443" s="39" t="s">
        <v>67</v>
      </c>
      <c r="K443" s="36">
        <v>8</v>
      </c>
    </row>
    <row r="444" spans="1:11" ht="35" hidden="1" thickBot="1">
      <c r="A444" s="82" t="s">
        <v>312</v>
      </c>
      <c r="B444" s="37">
        <v>45440</v>
      </c>
      <c r="C444" s="38">
        <v>0.42986111111111114</v>
      </c>
      <c r="D444" s="36">
        <v>114033</v>
      </c>
      <c r="E444" s="36">
        <v>18374</v>
      </c>
      <c r="F444" s="37">
        <v>45440</v>
      </c>
      <c r="G444" s="38">
        <v>0.43194444444444446</v>
      </c>
      <c r="H444" s="39" t="s">
        <v>311</v>
      </c>
      <c r="I444" s="36" t="s">
        <v>70</v>
      </c>
      <c r="J444" s="39" t="s">
        <v>165</v>
      </c>
      <c r="K444" s="36">
        <v>1</v>
      </c>
    </row>
    <row r="445" spans="1:11" ht="46.5" hidden="1" thickBot="1">
      <c r="A445" s="82" t="s">
        <v>312</v>
      </c>
      <c r="B445" s="37">
        <v>45440</v>
      </c>
      <c r="C445" s="38">
        <v>0.42986111111111114</v>
      </c>
      <c r="D445" s="36">
        <v>114033</v>
      </c>
      <c r="E445" s="36">
        <v>18374</v>
      </c>
      <c r="F445" s="37">
        <v>45440</v>
      </c>
      <c r="G445" s="38">
        <v>0.43194444444444446</v>
      </c>
      <c r="H445" s="39" t="s">
        <v>311</v>
      </c>
      <c r="I445" s="36" t="s">
        <v>70</v>
      </c>
      <c r="J445" s="39" t="s">
        <v>101</v>
      </c>
      <c r="K445" s="36">
        <v>20</v>
      </c>
    </row>
    <row r="446" spans="1:11" ht="35" hidden="1" thickBot="1">
      <c r="A446" s="82" t="s">
        <v>312</v>
      </c>
      <c r="B446" s="37">
        <v>45440</v>
      </c>
      <c r="C446" s="38">
        <v>0.42986111111111114</v>
      </c>
      <c r="D446" s="36">
        <v>114033</v>
      </c>
      <c r="E446" s="36">
        <v>18374</v>
      </c>
      <c r="F446" s="37">
        <v>45440</v>
      </c>
      <c r="G446" s="38">
        <v>0.43194444444444446</v>
      </c>
      <c r="H446" s="39" t="s">
        <v>311</v>
      </c>
      <c r="I446" s="36" t="s">
        <v>70</v>
      </c>
      <c r="J446" s="39" t="s">
        <v>174</v>
      </c>
      <c r="K446" s="36">
        <v>5</v>
      </c>
    </row>
    <row r="447" spans="1:11" ht="35" hidden="1" thickBot="1">
      <c r="A447" s="82">
        <v>4631</v>
      </c>
      <c r="B447" s="37">
        <v>45370</v>
      </c>
      <c r="C447" s="38">
        <v>0.66597222222222219</v>
      </c>
      <c r="D447" s="36">
        <v>113528</v>
      </c>
      <c r="E447" s="36">
        <v>18357</v>
      </c>
      <c r="F447" s="37">
        <v>45371</v>
      </c>
      <c r="G447" s="38">
        <v>0.41041666666666665</v>
      </c>
      <c r="H447" s="39" t="s">
        <v>175</v>
      </c>
      <c r="I447" s="36" t="s">
        <v>38</v>
      </c>
      <c r="J447" s="39" t="s">
        <v>313</v>
      </c>
      <c r="K447" s="36">
        <v>31</v>
      </c>
    </row>
    <row r="448" spans="1:11" ht="35" hidden="1" thickBot="1">
      <c r="A448" s="82">
        <v>109</v>
      </c>
      <c r="B448" s="37">
        <v>45440</v>
      </c>
      <c r="C448" s="38">
        <v>0.5854166666666667</v>
      </c>
      <c r="D448" s="36">
        <v>114035</v>
      </c>
      <c r="E448" s="36">
        <v>18364</v>
      </c>
      <c r="F448" s="37">
        <v>45440</v>
      </c>
      <c r="G448" s="38">
        <v>0.60763888888888884</v>
      </c>
      <c r="H448" s="39" t="s">
        <v>250</v>
      </c>
      <c r="I448" s="36" t="s">
        <v>35</v>
      </c>
      <c r="J448" s="39" t="s">
        <v>163</v>
      </c>
      <c r="K448" s="36">
        <v>5</v>
      </c>
    </row>
    <row r="449" spans="1:11" ht="35" hidden="1" thickBot="1">
      <c r="A449" s="82">
        <v>955109</v>
      </c>
      <c r="B449" s="37">
        <v>45440</v>
      </c>
      <c r="C449" s="38">
        <v>0.63194444444444442</v>
      </c>
      <c r="D449" s="36">
        <v>114037</v>
      </c>
      <c r="E449" s="36">
        <v>18376</v>
      </c>
      <c r="F449" s="37">
        <v>45440</v>
      </c>
      <c r="G449" s="38">
        <v>0.63194444444444442</v>
      </c>
      <c r="H449" s="39" t="s">
        <v>16</v>
      </c>
      <c r="I449" s="36" t="s">
        <v>299</v>
      </c>
      <c r="J449" s="39" t="s">
        <v>313</v>
      </c>
      <c r="K449" s="36">
        <v>96</v>
      </c>
    </row>
    <row r="450" spans="1:11" ht="23.5" hidden="1" thickBot="1">
      <c r="A450" s="82">
        <v>110</v>
      </c>
      <c r="B450" s="37">
        <v>45440</v>
      </c>
      <c r="C450" s="38">
        <v>0.66666666666666663</v>
      </c>
      <c r="D450" s="36">
        <v>114038</v>
      </c>
      <c r="E450" s="36">
        <v>18375</v>
      </c>
      <c r="F450" s="37">
        <v>45440</v>
      </c>
      <c r="G450" s="38">
        <v>0.69722222222222219</v>
      </c>
      <c r="H450" s="39" t="s">
        <v>250</v>
      </c>
      <c r="I450" s="36" t="s">
        <v>35</v>
      </c>
      <c r="J450" s="39" t="s">
        <v>122</v>
      </c>
      <c r="K450" s="36">
        <v>1</v>
      </c>
    </row>
    <row r="451" spans="1:11" ht="51" hidden="1" thickBot="1">
      <c r="A451" s="82" t="s">
        <v>314</v>
      </c>
      <c r="B451" s="41">
        <v>45439</v>
      </c>
      <c r="C451" s="45">
        <v>0.40069444444444446</v>
      </c>
      <c r="D451" s="36">
        <v>114017</v>
      </c>
      <c r="E451" s="36">
        <v>18371</v>
      </c>
      <c r="F451" s="37">
        <v>45439</v>
      </c>
      <c r="G451" s="38">
        <v>0.57916666666666672</v>
      </c>
      <c r="H451" s="44" t="s">
        <v>315</v>
      </c>
      <c r="I451" s="46" t="s">
        <v>132</v>
      </c>
      <c r="J451" s="39" t="s">
        <v>316</v>
      </c>
      <c r="K451" s="36">
        <v>12</v>
      </c>
    </row>
    <row r="452" spans="1:11" ht="23.5" hidden="1" thickBot="1">
      <c r="A452" s="86">
        <v>4500070071</v>
      </c>
      <c r="B452" s="41">
        <v>45440</v>
      </c>
      <c r="C452" s="45">
        <v>0.70625000000000004</v>
      </c>
      <c r="D452" s="36">
        <v>114041</v>
      </c>
      <c r="E452" s="36">
        <v>18380</v>
      </c>
      <c r="F452" s="37">
        <v>45441</v>
      </c>
      <c r="G452" s="38">
        <v>0.53888888888888886</v>
      </c>
      <c r="H452" s="44" t="s">
        <v>20</v>
      </c>
      <c r="I452" s="46" t="s">
        <v>40</v>
      </c>
      <c r="J452" s="39" t="s">
        <v>317</v>
      </c>
      <c r="K452" s="36">
        <v>600</v>
      </c>
    </row>
    <row r="453" spans="1:11" ht="46.5" hidden="1" thickBot="1">
      <c r="A453" s="82">
        <v>4500070071</v>
      </c>
      <c r="B453" s="41">
        <v>45440</v>
      </c>
      <c r="C453" s="45">
        <v>0.70625000000000004</v>
      </c>
      <c r="D453" s="36">
        <v>114041</v>
      </c>
      <c r="E453" s="36">
        <v>18380</v>
      </c>
      <c r="F453" s="37">
        <v>45441</v>
      </c>
      <c r="G453" s="38">
        <v>0.53888888888888886</v>
      </c>
      <c r="H453" s="44" t="s">
        <v>20</v>
      </c>
      <c r="I453" s="46" t="s">
        <v>40</v>
      </c>
      <c r="J453" s="39" t="s">
        <v>318</v>
      </c>
      <c r="K453" s="36">
        <v>400</v>
      </c>
    </row>
    <row r="454" spans="1:11" ht="23.5" hidden="1" thickBot="1">
      <c r="A454" s="82">
        <v>4500070102</v>
      </c>
      <c r="B454" s="41">
        <v>45442</v>
      </c>
      <c r="C454" s="45">
        <v>0.41666666666666669</v>
      </c>
      <c r="D454" s="36">
        <v>114048</v>
      </c>
      <c r="E454" s="36">
        <v>18388</v>
      </c>
      <c r="F454" s="37">
        <v>45442</v>
      </c>
      <c r="G454" s="38">
        <v>0.42152777777777778</v>
      </c>
      <c r="H454" s="44" t="s">
        <v>20</v>
      </c>
      <c r="I454" s="46" t="s">
        <v>40</v>
      </c>
      <c r="J454" s="39" t="s">
        <v>66</v>
      </c>
      <c r="K454" s="36">
        <v>9</v>
      </c>
    </row>
    <row r="455" spans="1:11" ht="76" hidden="1" thickBot="1">
      <c r="A455" s="82" t="s">
        <v>319</v>
      </c>
      <c r="B455" s="41">
        <v>45442</v>
      </c>
      <c r="C455" s="45">
        <v>0.48749999999999999</v>
      </c>
      <c r="D455" s="36">
        <v>114056</v>
      </c>
      <c r="E455" s="36">
        <v>18392</v>
      </c>
      <c r="F455" s="37">
        <v>45442</v>
      </c>
      <c r="G455" s="38">
        <v>0.66319444444444442</v>
      </c>
      <c r="H455" s="44" t="s">
        <v>149</v>
      </c>
      <c r="I455" s="46" t="s">
        <v>97</v>
      </c>
      <c r="J455" s="39" t="s">
        <v>69</v>
      </c>
      <c r="K455" s="36">
        <v>15</v>
      </c>
    </row>
    <row r="456" spans="1:11" ht="76" hidden="1" thickBot="1">
      <c r="A456" s="82" t="s">
        <v>319</v>
      </c>
      <c r="B456" s="41">
        <v>45442</v>
      </c>
      <c r="C456" s="45">
        <v>0.48749999999999999</v>
      </c>
      <c r="D456" s="36">
        <v>114056</v>
      </c>
      <c r="E456" s="36">
        <v>18392</v>
      </c>
      <c r="F456" s="37">
        <v>45442</v>
      </c>
      <c r="G456" s="38">
        <v>0.66319444444444442</v>
      </c>
      <c r="H456" s="44" t="s">
        <v>149</v>
      </c>
      <c r="I456" s="46" t="s">
        <v>97</v>
      </c>
      <c r="J456" s="39" t="s">
        <v>101</v>
      </c>
      <c r="K456" s="36">
        <v>80</v>
      </c>
    </row>
    <row r="457" spans="1:11" ht="76" hidden="1" thickBot="1">
      <c r="A457" s="82" t="s">
        <v>320</v>
      </c>
      <c r="B457" s="41">
        <v>45442</v>
      </c>
      <c r="C457" s="45">
        <v>0.56388888888888888</v>
      </c>
      <c r="D457" s="36">
        <v>114055</v>
      </c>
      <c r="E457" s="36">
        <v>18391</v>
      </c>
      <c r="F457" s="37">
        <v>45442</v>
      </c>
      <c r="G457" s="38">
        <v>0.66249999999999998</v>
      </c>
      <c r="H457" s="44" t="s">
        <v>149</v>
      </c>
      <c r="I457" s="46" t="s">
        <v>97</v>
      </c>
      <c r="J457" s="39" t="s">
        <v>176</v>
      </c>
      <c r="K457" s="36">
        <v>4</v>
      </c>
    </row>
    <row r="458" spans="1:11" ht="26" hidden="1" thickBot="1">
      <c r="A458" s="82">
        <v>953474</v>
      </c>
      <c r="B458" s="37">
        <v>45439</v>
      </c>
      <c r="C458" s="38">
        <v>0.63680555555555551</v>
      </c>
      <c r="D458" s="36">
        <v>114027</v>
      </c>
      <c r="E458" s="36">
        <v>18390</v>
      </c>
      <c r="F458" s="37">
        <v>45440</v>
      </c>
      <c r="G458" s="38">
        <v>0.39305555555555555</v>
      </c>
      <c r="H458" s="44" t="s">
        <v>8</v>
      </c>
      <c r="I458" s="36" t="s">
        <v>37</v>
      </c>
      <c r="J458" s="39" t="s">
        <v>321</v>
      </c>
      <c r="K458" s="36">
        <v>8</v>
      </c>
    </row>
    <row r="459" spans="1:11" ht="26" hidden="1" thickBot="1">
      <c r="A459" s="82">
        <v>953474</v>
      </c>
      <c r="B459" s="37">
        <v>45439</v>
      </c>
      <c r="C459" s="38">
        <v>0.63680555555555551</v>
      </c>
      <c r="D459" s="36">
        <v>114027</v>
      </c>
      <c r="E459" s="36">
        <v>18390</v>
      </c>
      <c r="F459" s="37">
        <v>45440</v>
      </c>
      <c r="G459" s="38">
        <v>0.39305555555555555</v>
      </c>
      <c r="H459" s="44" t="s">
        <v>8</v>
      </c>
      <c r="I459" s="36" t="s">
        <v>37</v>
      </c>
      <c r="J459" s="39" t="s">
        <v>69</v>
      </c>
      <c r="K459" s="46">
        <v>6</v>
      </c>
    </row>
  </sheetData>
  <autoFilter ref="A1:K459" xr:uid="{00000000-0009-0000-0000-000004000000}">
    <filterColumn colId="0">
      <filters blank="1"/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182"/>
  <sheetViews>
    <sheetView topLeftCell="A161" workbookViewId="0">
      <selection activeCell="A4" sqref="A4:A181"/>
    </sheetView>
  </sheetViews>
  <sheetFormatPr baseColWidth="10" defaultRowHeight="13"/>
  <cols>
    <col min="1" max="1" width="16.69921875" bestFit="1" customWidth="1"/>
    <col min="2" max="2" width="13.59765625" bestFit="1" customWidth="1"/>
  </cols>
  <sheetData>
    <row r="3" spans="1:2">
      <c r="A3" s="72" t="s">
        <v>0</v>
      </c>
      <c r="B3" t="s">
        <v>2</v>
      </c>
    </row>
    <row r="4" spans="1:2">
      <c r="A4" s="35">
        <v>104</v>
      </c>
      <c r="B4">
        <v>227766</v>
      </c>
    </row>
    <row r="5" spans="1:2">
      <c r="A5" s="35">
        <v>105</v>
      </c>
      <c r="B5">
        <v>113917</v>
      </c>
    </row>
    <row r="6" spans="1:2">
      <c r="A6" s="35">
        <v>106</v>
      </c>
      <c r="B6">
        <v>113948</v>
      </c>
    </row>
    <row r="7" spans="1:2">
      <c r="A7" s="35">
        <v>107</v>
      </c>
      <c r="B7">
        <v>227912</v>
      </c>
    </row>
    <row r="8" spans="1:2">
      <c r="A8" s="35">
        <v>135</v>
      </c>
      <c r="B8">
        <v>341667</v>
      </c>
    </row>
    <row r="9" spans="1:2">
      <c r="A9" s="35">
        <v>320</v>
      </c>
      <c r="B9">
        <v>569330</v>
      </c>
    </row>
    <row r="10" spans="1:2">
      <c r="A10" s="35">
        <v>521</v>
      </c>
      <c r="B10">
        <v>113783</v>
      </c>
    </row>
    <row r="11" spans="1:2">
      <c r="A11" s="35">
        <v>523</v>
      </c>
      <c r="B11">
        <v>227578</v>
      </c>
    </row>
    <row r="12" spans="1:2">
      <c r="A12" s="35">
        <v>538</v>
      </c>
      <c r="B12">
        <v>341484</v>
      </c>
    </row>
    <row r="13" spans="1:2">
      <c r="A13" s="35">
        <v>549</v>
      </c>
      <c r="B13">
        <v>227686</v>
      </c>
    </row>
    <row r="14" spans="1:2">
      <c r="A14" s="35">
        <v>570</v>
      </c>
      <c r="B14">
        <v>227744</v>
      </c>
    </row>
    <row r="15" spans="1:2">
      <c r="A15" s="35">
        <v>607</v>
      </c>
      <c r="B15">
        <v>113922</v>
      </c>
    </row>
    <row r="16" spans="1:2">
      <c r="A16" s="35">
        <v>631</v>
      </c>
      <c r="B16">
        <v>113947</v>
      </c>
    </row>
    <row r="17" spans="1:2">
      <c r="A17" s="35">
        <v>633</v>
      </c>
      <c r="B17">
        <v>455804</v>
      </c>
    </row>
    <row r="18" spans="1:2">
      <c r="A18" s="35">
        <v>662</v>
      </c>
      <c r="B18">
        <v>113839</v>
      </c>
    </row>
    <row r="19" spans="1:2">
      <c r="A19" s="35">
        <v>21217</v>
      </c>
      <c r="B19">
        <v>113952</v>
      </c>
    </row>
    <row r="20" spans="1:2">
      <c r="A20" s="35">
        <v>41083</v>
      </c>
      <c r="B20">
        <v>341364</v>
      </c>
    </row>
    <row r="21" spans="1:2">
      <c r="A21" s="35">
        <v>49287</v>
      </c>
      <c r="B21">
        <v>113806</v>
      </c>
    </row>
    <row r="22" spans="1:2">
      <c r="A22" s="35">
        <v>68000</v>
      </c>
      <c r="B22">
        <v>682974</v>
      </c>
    </row>
    <row r="23" spans="1:2">
      <c r="A23" s="35">
        <v>68013</v>
      </c>
      <c r="B23">
        <v>113830</v>
      </c>
    </row>
    <row r="24" spans="1:2">
      <c r="A24" s="35">
        <v>68551</v>
      </c>
      <c r="B24">
        <v>113897</v>
      </c>
    </row>
    <row r="25" spans="1:2">
      <c r="A25" s="35">
        <v>317249</v>
      </c>
      <c r="B25">
        <v>227691</v>
      </c>
    </row>
    <row r="26" spans="1:2">
      <c r="A26" s="35">
        <v>933060</v>
      </c>
      <c r="B26">
        <v>113775</v>
      </c>
    </row>
    <row r="27" spans="1:2">
      <c r="A27" s="35">
        <v>934396</v>
      </c>
      <c r="B27">
        <v>113795</v>
      </c>
    </row>
    <row r="28" spans="1:2">
      <c r="A28" s="35">
        <v>935007</v>
      </c>
      <c r="B28">
        <v>227601</v>
      </c>
    </row>
    <row r="29" spans="1:2">
      <c r="A29" s="35">
        <v>935018</v>
      </c>
      <c r="B29">
        <v>113796</v>
      </c>
    </row>
    <row r="30" spans="1:2">
      <c r="A30" s="35">
        <v>935170</v>
      </c>
      <c r="B30">
        <v>113794</v>
      </c>
    </row>
    <row r="31" spans="1:2">
      <c r="A31" s="35">
        <v>935360</v>
      </c>
      <c r="B31">
        <v>113798</v>
      </c>
    </row>
    <row r="32" spans="1:2">
      <c r="A32" s="35">
        <v>935595</v>
      </c>
      <c r="B32">
        <v>113791</v>
      </c>
    </row>
    <row r="33" spans="1:2">
      <c r="A33" s="35">
        <v>936620</v>
      </c>
      <c r="B33">
        <v>113820</v>
      </c>
    </row>
    <row r="34" spans="1:2">
      <c r="A34" s="35">
        <v>937355</v>
      </c>
      <c r="B34">
        <v>113818</v>
      </c>
    </row>
    <row r="35" spans="1:2">
      <c r="A35" s="35">
        <v>937410</v>
      </c>
      <c r="B35">
        <v>113826</v>
      </c>
    </row>
    <row r="36" spans="1:2">
      <c r="A36" s="35">
        <v>937460</v>
      </c>
      <c r="B36">
        <v>113821</v>
      </c>
    </row>
    <row r="37" spans="1:2">
      <c r="A37" s="35">
        <v>937478</v>
      </c>
      <c r="B37">
        <v>113822</v>
      </c>
    </row>
    <row r="38" spans="1:2">
      <c r="A38" s="35">
        <v>937556</v>
      </c>
      <c r="B38">
        <v>113823</v>
      </c>
    </row>
    <row r="39" spans="1:2">
      <c r="A39" s="35">
        <v>937669</v>
      </c>
      <c r="B39">
        <v>113831</v>
      </c>
    </row>
    <row r="40" spans="1:2">
      <c r="A40" s="35">
        <v>937723</v>
      </c>
      <c r="B40">
        <v>227664</v>
      </c>
    </row>
    <row r="41" spans="1:2">
      <c r="A41" s="35">
        <v>939058</v>
      </c>
      <c r="B41">
        <v>227694</v>
      </c>
    </row>
    <row r="42" spans="1:2">
      <c r="A42" s="35">
        <v>939107</v>
      </c>
      <c r="B42">
        <v>113848</v>
      </c>
    </row>
    <row r="43" spans="1:2">
      <c r="A43" s="35">
        <v>940071</v>
      </c>
      <c r="B43">
        <v>113865</v>
      </c>
    </row>
    <row r="44" spans="1:2">
      <c r="A44" s="35">
        <v>940903</v>
      </c>
      <c r="B44">
        <v>113876</v>
      </c>
    </row>
    <row r="45" spans="1:2">
      <c r="A45" s="35">
        <v>940954</v>
      </c>
      <c r="B45">
        <v>113874</v>
      </c>
    </row>
    <row r="46" spans="1:2">
      <c r="A46" s="35">
        <v>941055</v>
      </c>
      <c r="B46">
        <v>113873</v>
      </c>
    </row>
    <row r="47" spans="1:2">
      <c r="A47" s="35">
        <v>941150</v>
      </c>
      <c r="B47">
        <v>113871</v>
      </c>
    </row>
    <row r="48" spans="1:2">
      <c r="A48" s="35">
        <v>941151</v>
      </c>
      <c r="B48">
        <v>113870</v>
      </c>
    </row>
    <row r="49" spans="1:2">
      <c r="A49" s="35">
        <v>941584</v>
      </c>
      <c r="B49">
        <v>113879</v>
      </c>
    </row>
    <row r="50" spans="1:2">
      <c r="A50" s="35">
        <v>941974</v>
      </c>
      <c r="B50">
        <v>113881</v>
      </c>
    </row>
    <row r="51" spans="1:2">
      <c r="A51" s="35">
        <v>942360</v>
      </c>
      <c r="B51">
        <v>113887</v>
      </c>
    </row>
    <row r="52" spans="1:2">
      <c r="A52" s="35">
        <v>943326</v>
      </c>
      <c r="B52">
        <v>113900</v>
      </c>
    </row>
    <row r="53" spans="1:2">
      <c r="A53" s="35">
        <v>944280</v>
      </c>
      <c r="B53">
        <v>227845</v>
      </c>
    </row>
    <row r="54" spans="1:2">
      <c r="A54" s="35">
        <v>944590</v>
      </c>
      <c r="B54">
        <v>113923</v>
      </c>
    </row>
    <row r="55" spans="1:2">
      <c r="A55" s="35">
        <v>944666</v>
      </c>
      <c r="B55">
        <v>227842</v>
      </c>
    </row>
    <row r="56" spans="1:2">
      <c r="A56" s="35">
        <v>944673</v>
      </c>
      <c r="B56">
        <v>113920</v>
      </c>
    </row>
    <row r="57" spans="1:2">
      <c r="A57" s="35">
        <v>944930</v>
      </c>
      <c r="B57">
        <v>113918</v>
      </c>
    </row>
    <row r="58" spans="1:2">
      <c r="A58" s="35">
        <v>945661</v>
      </c>
      <c r="B58">
        <v>113935</v>
      </c>
    </row>
    <row r="59" spans="1:2">
      <c r="A59" s="35">
        <v>945779</v>
      </c>
      <c r="B59">
        <v>113939</v>
      </c>
    </row>
    <row r="60" spans="1:2">
      <c r="A60" s="35">
        <v>945796</v>
      </c>
      <c r="B60">
        <v>113936</v>
      </c>
    </row>
    <row r="61" spans="1:2">
      <c r="A61" s="35">
        <v>945880</v>
      </c>
      <c r="B61">
        <v>227880</v>
      </c>
    </row>
    <row r="62" spans="1:2">
      <c r="A62" s="35">
        <v>946469</v>
      </c>
      <c r="B62">
        <v>113946</v>
      </c>
    </row>
    <row r="63" spans="1:2">
      <c r="A63" s="35">
        <v>946629</v>
      </c>
      <c r="B63">
        <v>113950</v>
      </c>
    </row>
    <row r="64" spans="1:2">
      <c r="A64" s="35">
        <v>947055</v>
      </c>
      <c r="B64">
        <v>113958</v>
      </c>
    </row>
    <row r="65" spans="1:2">
      <c r="A65" s="35">
        <v>947933</v>
      </c>
    </row>
    <row r="66" spans="1:2">
      <c r="A66" s="35">
        <v>1001451962</v>
      </c>
      <c r="B66">
        <v>113773</v>
      </c>
    </row>
    <row r="67" spans="1:2">
      <c r="A67" s="35">
        <v>1001459262</v>
      </c>
      <c r="B67">
        <v>113812</v>
      </c>
    </row>
    <row r="68" spans="1:2">
      <c r="A68" s="35">
        <v>4500064740</v>
      </c>
      <c r="B68">
        <v>113841</v>
      </c>
    </row>
    <row r="69" spans="1:2">
      <c r="A69" s="35">
        <v>4500067176</v>
      </c>
      <c r="B69">
        <v>113954</v>
      </c>
    </row>
    <row r="70" spans="1:2">
      <c r="A70" s="35">
        <v>4500069104</v>
      </c>
      <c r="B70">
        <v>227445</v>
      </c>
    </row>
    <row r="71" spans="1:2">
      <c r="A71" s="35">
        <v>4500069406</v>
      </c>
      <c r="B71">
        <v>1251910</v>
      </c>
    </row>
    <row r="72" spans="1:2">
      <c r="A72" s="35">
        <v>4500069407</v>
      </c>
      <c r="B72">
        <v>910512</v>
      </c>
    </row>
    <row r="73" spans="1:2">
      <c r="A73" s="35">
        <v>4500069408</v>
      </c>
      <c r="B73">
        <v>569065</v>
      </c>
    </row>
    <row r="74" spans="1:2">
      <c r="A74" s="35">
        <v>4500069455</v>
      </c>
      <c r="B74">
        <v>227672</v>
      </c>
    </row>
    <row r="75" spans="1:2">
      <c r="A75" s="35">
        <v>4500069546</v>
      </c>
      <c r="B75">
        <v>227718</v>
      </c>
    </row>
    <row r="76" spans="1:2">
      <c r="A76" s="35">
        <v>4500069587</v>
      </c>
      <c r="B76">
        <v>1480375</v>
      </c>
    </row>
    <row r="77" spans="1:2">
      <c r="A77" s="35">
        <v>4500069616</v>
      </c>
      <c r="B77">
        <v>341634</v>
      </c>
    </row>
    <row r="78" spans="1:2">
      <c r="A78" s="35">
        <v>4500069720</v>
      </c>
      <c r="B78">
        <v>911352</v>
      </c>
    </row>
    <row r="79" spans="1:2">
      <c r="A79" s="35">
        <v>4500069748</v>
      </c>
      <c r="B79">
        <v>1025343</v>
      </c>
    </row>
    <row r="80" spans="1:2">
      <c r="A80" s="35">
        <v>4500069750</v>
      </c>
      <c r="B80">
        <v>1025361</v>
      </c>
    </row>
    <row r="81" spans="1:2">
      <c r="A81" s="35">
        <v>4500069752</v>
      </c>
      <c r="B81">
        <v>113930</v>
      </c>
    </row>
    <row r="82" spans="1:2">
      <c r="A82" s="35">
        <v>4500069801</v>
      </c>
      <c r="B82">
        <v>113941</v>
      </c>
    </row>
    <row r="83" spans="1:2">
      <c r="A83" s="35">
        <v>4500119651</v>
      </c>
      <c r="B83">
        <v>113797</v>
      </c>
    </row>
    <row r="84" spans="1:2">
      <c r="A84" s="35">
        <v>4500119910</v>
      </c>
      <c r="B84">
        <v>227684</v>
      </c>
    </row>
    <row r="85" spans="1:2">
      <c r="A85" s="35">
        <v>4500120228</v>
      </c>
      <c r="B85">
        <v>113890</v>
      </c>
    </row>
    <row r="86" spans="1:2">
      <c r="A86" s="35">
        <v>4500306477</v>
      </c>
      <c r="B86">
        <v>113635</v>
      </c>
    </row>
    <row r="87" spans="1:2">
      <c r="A87" s="35">
        <v>4500309792</v>
      </c>
      <c r="B87">
        <v>113894</v>
      </c>
    </row>
    <row r="88" spans="1:2">
      <c r="A88" s="35">
        <v>4500309919</v>
      </c>
      <c r="B88">
        <v>113910</v>
      </c>
    </row>
    <row r="89" spans="1:2">
      <c r="A89" s="35">
        <v>4503305140</v>
      </c>
      <c r="B89">
        <v>113799</v>
      </c>
    </row>
    <row r="90" spans="1:2">
      <c r="A90" s="35">
        <v>5502137871</v>
      </c>
      <c r="B90">
        <v>113403</v>
      </c>
    </row>
    <row r="91" spans="1:2">
      <c r="A91" s="35">
        <v>5502282955</v>
      </c>
      <c r="B91">
        <v>113774</v>
      </c>
    </row>
    <row r="92" spans="1:2">
      <c r="A92" s="35">
        <v>5502346404</v>
      </c>
      <c r="B92">
        <v>113957</v>
      </c>
    </row>
    <row r="93" spans="1:2">
      <c r="A93" s="35">
        <v>7000371676</v>
      </c>
      <c r="B93">
        <v>113780</v>
      </c>
    </row>
    <row r="94" spans="1:2">
      <c r="A94" s="35" t="s">
        <v>213</v>
      </c>
      <c r="B94">
        <v>227736</v>
      </c>
    </row>
    <row r="95" spans="1:2">
      <c r="A95" s="35" t="s">
        <v>157</v>
      </c>
      <c r="B95">
        <v>113782</v>
      </c>
    </row>
    <row r="96" spans="1:2">
      <c r="A96" s="35" t="s">
        <v>160</v>
      </c>
      <c r="B96">
        <v>113786</v>
      </c>
    </row>
    <row r="97" spans="1:2">
      <c r="A97" s="35" t="s">
        <v>207</v>
      </c>
      <c r="B97">
        <v>113850</v>
      </c>
    </row>
    <row r="98" spans="1:2">
      <c r="A98" s="35" t="s">
        <v>229</v>
      </c>
      <c r="B98">
        <v>227830</v>
      </c>
    </row>
    <row r="99" spans="1:2">
      <c r="A99" s="35" t="s">
        <v>231</v>
      </c>
      <c r="B99">
        <v>113916</v>
      </c>
    </row>
    <row r="100" spans="1:2">
      <c r="A100" s="35" t="s">
        <v>245</v>
      </c>
      <c r="B100">
        <v>341847</v>
      </c>
    </row>
    <row r="101" spans="1:2">
      <c r="A101" s="35" t="s">
        <v>248</v>
      </c>
      <c r="B101">
        <v>455836</v>
      </c>
    </row>
    <row r="102" spans="1:2">
      <c r="A102" s="35" t="s">
        <v>254</v>
      </c>
    </row>
    <row r="103" spans="1:2">
      <c r="A103" s="35" t="s">
        <v>159</v>
      </c>
      <c r="B103">
        <v>113785</v>
      </c>
    </row>
    <row r="104" spans="1:2">
      <c r="A104" s="35" t="s">
        <v>184</v>
      </c>
      <c r="B104">
        <v>227654</v>
      </c>
    </row>
    <row r="105" spans="1:2">
      <c r="A105" s="35" t="s">
        <v>200</v>
      </c>
      <c r="B105">
        <v>113845</v>
      </c>
    </row>
    <row r="106" spans="1:2">
      <c r="A106" s="35" t="s">
        <v>222</v>
      </c>
      <c r="B106">
        <v>455584</v>
      </c>
    </row>
    <row r="107" spans="1:2">
      <c r="A107" s="35" t="s">
        <v>226</v>
      </c>
      <c r="B107">
        <v>113905</v>
      </c>
    </row>
    <row r="108" spans="1:2">
      <c r="A108" s="35" t="s">
        <v>247</v>
      </c>
      <c r="B108">
        <v>455840</v>
      </c>
    </row>
    <row r="109" spans="1:2">
      <c r="A109" s="35" t="s">
        <v>156</v>
      </c>
      <c r="B109">
        <v>113766</v>
      </c>
    </row>
    <row r="110" spans="1:2">
      <c r="A110" s="35" t="s">
        <v>154</v>
      </c>
      <c r="B110">
        <v>113768</v>
      </c>
    </row>
    <row r="111" spans="1:2">
      <c r="A111" s="35" t="s">
        <v>155</v>
      </c>
      <c r="B111">
        <v>113767</v>
      </c>
    </row>
    <row r="112" spans="1:2">
      <c r="A112" s="35" t="s">
        <v>180</v>
      </c>
      <c r="B112">
        <v>113817</v>
      </c>
    </row>
    <row r="113" spans="1:2">
      <c r="A113" s="35" t="s">
        <v>178</v>
      </c>
      <c r="B113">
        <v>113815</v>
      </c>
    </row>
    <row r="114" spans="1:2">
      <c r="A114" s="35" t="s">
        <v>179</v>
      </c>
      <c r="B114">
        <v>113816</v>
      </c>
    </row>
    <row r="115" spans="1:2">
      <c r="A115" s="35" t="s">
        <v>205</v>
      </c>
      <c r="B115">
        <v>227712</v>
      </c>
    </row>
    <row r="116" spans="1:2">
      <c r="A116" s="35" t="s">
        <v>233</v>
      </c>
      <c r="B116">
        <v>113924</v>
      </c>
    </row>
    <row r="117" spans="1:2">
      <c r="A117" s="35" t="s">
        <v>246</v>
      </c>
      <c r="B117">
        <v>113961</v>
      </c>
    </row>
    <row r="118" spans="1:2">
      <c r="A118" s="35" t="s">
        <v>148</v>
      </c>
      <c r="B118">
        <v>113744</v>
      </c>
    </row>
    <row r="119" spans="1:2">
      <c r="A119" s="35" t="s">
        <v>204</v>
      </c>
      <c r="B119">
        <v>227710</v>
      </c>
    </row>
    <row r="120" spans="1:2">
      <c r="A120" s="35" t="s">
        <v>215</v>
      </c>
      <c r="B120">
        <v>341664</v>
      </c>
    </row>
    <row r="121" spans="1:2">
      <c r="A121" s="35" t="s">
        <v>228</v>
      </c>
      <c r="B121">
        <v>113907</v>
      </c>
    </row>
    <row r="122" spans="1:2">
      <c r="A122" s="35" t="s">
        <v>197</v>
      </c>
    </row>
    <row r="123" spans="1:2">
      <c r="A123" s="35" t="s">
        <v>152</v>
      </c>
      <c r="B123">
        <v>341267</v>
      </c>
    </row>
    <row r="124" spans="1:2">
      <c r="A124" s="35" t="s">
        <v>216</v>
      </c>
      <c r="B124">
        <v>227768</v>
      </c>
    </row>
    <row r="125" spans="1:2">
      <c r="A125" s="35" t="s">
        <v>223</v>
      </c>
      <c r="B125">
        <v>227790</v>
      </c>
    </row>
    <row r="126" spans="1:2">
      <c r="A126" s="35" t="s">
        <v>172</v>
      </c>
      <c r="B126">
        <v>113805</v>
      </c>
    </row>
    <row r="127" spans="1:2">
      <c r="A127" s="35" t="s">
        <v>253</v>
      </c>
      <c r="B127">
        <v>113964</v>
      </c>
    </row>
    <row r="128" spans="1:2">
      <c r="A128" s="35" t="s">
        <v>189</v>
      </c>
      <c r="B128">
        <v>113825</v>
      </c>
    </row>
    <row r="129" spans="1:2">
      <c r="A129" s="35" t="s">
        <v>220</v>
      </c>
      <c r="B129">
        <v>113892</v>
      </c>
    </row>
    <row r="130" spans="1:2">
      <c r="A130" s="35" t="s">
        <v>185</v>
      </c>
      <c r="B130">
        <v>227648</v>
      </c>
    </row>
    <row r="131" spans="1:2">
      <c r="A131" s="35" t="s">
        <v>199</v>
      </c>
      <c r="B131">
        <v>113840</v>
      </c>
    </row>
    <row r="132" spans="1:2">
      <c r="A132" s="35" t="s">
        <v>210</v>
      </c>
      <c r="B132">
        <v>113862</v>
      </c>
    </row>
    <row r="133" spans="1:2">
      <c r="A133" s="35" t="s">
        <v>221</v>
      </c>
      <c r="B133">
        <v>113891</v>
      </c>
    </row>
    <row r="134" spans="1:2">
      <c r="A134" s="35" t="s">
        <v>242</v>
      </c>
      <c r="B134">
        <v>227890</v>
      </c>
    </row>
    <row r="135" spans="1:2">
      <c r="A135" s="35" t="s">
        <v>183</v>
      </c>
      <c r="B135">
        <v>113710</v>
      </c>
    </row>
    <row r="136" spans="1:2">
      <c r="A136" s="35" t="s">
        <v>164</v>
      </c>
      <c r="B136">
        <v>113790</v>
      </c>
    </row>
    <row r="137" spans="1:2">
      <c r="A137" s="35" t="s">
        <v>218</v>
      </c>
      <c r="B137">
        <v>569430</v>
      </c>
    </row>
    <row r="138" spans="1:2">
      <c r="A138" s="35" t="s">
        <v>230</v>
      </c>
      <c r="B138">
        <v>113911</v>
      </c>
    </row>
    <row r="139" spans="1:2">
      <c r="A139" s="35" t="s">
        <v>195</v>
      </c>
      <c r="B139">
        <v>113837</v>
      </c>
    </row>
    <row r="140" spans="1:2">
      <c r="A140" s="35" t="s">
        <v>236</v>
      </c>
      <c r="B140">
        <v>227866</v>
      </c>
    </row>
    <row r="141" spans="1:2">
      <c r="A141" s="35" t="s">
        <v>192</v>
      </c>
      <c r="B141">
        <v>113834</v>
      </c>
    </row>
    <row r="142" spans="1:2">
      <c r="A142" s="35" t="s">
        <v>194</v>
      </c>
      <c r="B142">
        <v>227670</v>
      </c>
    </row>
    <row r="143" spans="1:2">
      <c r="A143" s="35" t="s">
        <v>79</v>
      </c>
      <c r="B143">
        <v>797269</v>
      </c>
    </row>
    <row r="144" spans="1:2">
      <c r="A144" s="35" t="s">
        <v>173</v>
      </c>
      <c r="B144">
        <v>227616</v>
      </c>
    </row>
    <row r="145" spans="1:2">
      <c r="A145" s="35" t="s">
        <v>232</v>
      </c>
      <c r="B145">
        <v>113912</v>
      </c>
    </row>
    <row r="146" spans="1:2">
      <c r="A146" s="35" t="s">
        <v>203</v>
      </c>
      <c r="B146">
        <v>113851</v>
      </c>
    </row>
    <row r="147" spans="1:2">
      <c r="A147" s="35" t="s">
        <v>240</v>
      </c>
      <c r="B147">
        <v>455752</v>
      </c>
    </row>
    <row r="148" spans="1:2">
      <c r="A148" s="35" t="s">
        <v>169</v>
      </c>
      <c r="B148">
        <v>341409</v>
      </c>
    </row>
    <row r="149" spans="1:2">
      <c r="A149" s="35" t="s">
        <v>209</v>
      </c>
      <c r="B149">
        <v>455440</v>
      </c>
    </row>
    <row r="150" spans="1:2">
      <c r="A150" s="35" t="s">
        <v>225</v>
      </c>
      <c r="B150">
        <v>455608</v>
      </c>
    </row>
    <row r="151" spans="1:2">
      <c r="A151" s="35" t="s">
        <v>167</v>
      </c>
      <c r="B151">
        <v>113793</v>
      </c>
    </row>
    <row r="152" spans="1:2">
      <c r="A152" s="35" t="s">
        <v>234</v>
      </c>
      <c r="B152">
        <v>113913</v>
      </c>
    </row>
    <row r="153" spans="1:2">
      <c r="A153" s="35" t="s">
        <v>238</v>
      </c>
      <c r="B153">
        <v>113934</v>
      </c>
    </row>
    <row r="154" spans="1:2">
      <c r="A154" s="35" t="s">
        <v>201</v>
      </c>
      <c r="B154">
        <v>113846</v>
      </c>
    </row>
    <row r="155" spans="1:2">
      <c r="A155" s="35" t="s">
        <v>239</v>
      </c>
      <c r="B155">
        <v>113937</v>
      </c>
    </row>
    <row r="156" spans="1:2">
      <c r="A156" s="35" t="s">
        <v>255</v>
      </c>
    </row>
    <row r="157" spans="1:2">
      <c r="A157" s="35" t="s">
        <v>256</v>
      </c>
      <c r="B157">
        <v>113792</v>
      </c>
    </row>
    <row r="158" spans="1:2">
      <c r="A158" s="35" t="s">
        <v>78</v>
      </c>
      <c r="B158">
        <v>113807</v>
      </c>
    </row>
    <row r="159" spans="1:2">
      <c r="A159" s="35" t="s">
        <v>257</v>
      </c>
      <c r="B159">
        <v>113819</v>
      </c>
    </row>
    <row r="160" spans="1:2">
      <c r="A160" s="35" t="s">
        <v>84</v>
      </c>
      <c r="B160">
        <v>113819</v>
      </c>
    </row>
    <row r="161" spans="1:2">
      <c r="A161" s="35" t="s">
        <v>258</v>
      </c>
      <c r="B161">
        <v>113857</v>
      </c>
    </row>
    <row r="162" spans="1:2">
      <c r="A162" s="35" t="s">
        <v>80</v>
      </c>
      <c r="B162">
        <v>113849</v>
      </c>
    </row>
    <row r="163" spans="1:2">
      <c r="A163" s="35" t="s">
        <v>81</v>
      </c>
      <c r="B163">
        <v>113852</v>
      </c>
    </row>
    <row r="164" spans="1:2">
      <c r="A164" s="35" t="s">
        <v>82</v>
      </c>
      <c r="B164">
        <v>341559</v>
      </c>
    </row>
    <row r="165" spans="1:2">
      <c r="A165" s="35" t="s">
        <v>259</v>
      </c>
      <c r="B165">
        <v>113864</v>
      </c>
    </row>
    <row r="166" spans="1:2">
      <c r="A166" s="35" t="s">
        <v>83</v>
      </c>
      <c r="B166">
        <v>113861</v>
      </c>
    </row>
    <row r="167" spans="1:2">
      <c r="A167" s="35" t="s">
        <v>260</v>
      </c>
      <c r="B167">
        <v>341605</v>
      </c>
    </row>
    <row r="168" spans="1:2">
      <c r="A168" s="35" t="s">
        <v>44</v>
      </c>
      <c r="B168">
        <v>113877</v>
      </c>
    </row>
    <row r="169" spans="1:2">
      <c r="A169" s="35" t="s">
        <v>261</v>
      </c>
      <c r="B169">
        <v>113880</v>
      </c>
    </row>
    <row r="170" spans="1:2">
      <c r="A170" s="35" t="s">
        <v>262</v>
      </c>
      <c r="B170">
        <v>227764</v>
      </c>
    </row>
    <row r="171" spans="1:2">
      <c r="A171" s="35" t="s">
        <v>85</v>
      </c>
      <c r="B171">
        <v>113899</v>
      </c>
    </row>
    <row r="172" spans="1:2">
      <c r="A172" s="35" t="s">
        <v>263</v>
      </c>
      <c r="B172">
        <v>227816</v>
      </c>
    </row>
    <row r="173" spans="1:2">
      <c r="A173" s="35" t="s">
        <v>264</v>
      </c>
      <c r="B173">
        <v>113904</v>
      </c>
    </row>
    <row r="174" spans="1:2">
      <c r="A174" s="35" t="s">
        <v>265</v>
      </c>
      <c r="B174">
        <v>113906</v>
      </c>
    </row>
    <row r="175" spans="1:2">
      <c r="A175" s="35" t="s">
        <v>267</v>
      </c>
      <c r="B175">
        <v>455723</v>
      </c>
    </row>
    <row r="176" spans="1:2">
      <c r="A176" s="35" t="s">
        <v>266</v>
      </c>
      <c r="B176">
        <v>113926</v>
      </c>
    </row>
    <row r="177" spans="1:2">
      <c r="A177" s="35" t="s">
        <v>269</v>
      </c>
      <c r="B177">
        <v>113925</v>
      </c>
    </row>
    <row r="178" spans="1:2">
      <c r="A178" s="35" t="s">
        <v>272</v>
      </c>
      <c r="B178">
        <v>113942</v>
      </c>
    </row>
    <row r="179" spans="1:2">
      <c r="A179" s="35" t="s">
        <v>268</v>
      </c>
      <c r="B179">
        <v>113944</v>
      </c>
    </row>
    <row r="180" spans="1:2">
      <c r="A180" s="35" t="s">
        <v>270</v>
      </c>
      <c r="B180">
        <v>113944</v>
      </c>
    </row>
    <row r="181" spans="1:2">
      <c r="A181" s="35" t="s">
        <v>271</v>
      </c>
    </row>
    <row r="182" spans="1:2">
      <c r="A182" s="35" t="s">
        <v>24</v>
      </c>
      <c r="B182">
        <v>36665558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Hoja3</vt:lpstr>
      <vt:lpstr>Resumén Mayo 2026</vt:lpstr>
      <vt:lpstr>Hoja6</vt:lpstr>
      <vt:lpstr>Hoja5</vt:lpstr>
      <vt:lpstr>Base</vt:lpstr>
      <vt:lpstr>Pedidos1</vt:lpstr>
      <vt:lpstr>Novedades</vt:lpstr>
      <vt:lpstr>Hoja4</vt:lpstr>
      <vt:lpstr>Hoja2</vt:lpstr>
      <vt:lpstr>Entregas a tiempo</vt:lpstr>
      <vt:lpstr>Hoja1</vt:lpstr>
      <vt:lpstr>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Catherin Castro Andrade</dc:creator>
  <cp:lastModifiedBy>lina castro</cp:lastModifiedBy>
  <dcterms:created xsi:type="dcterms:W3CDTF">2024-01-30T13:37:00Z</dcterms:created>
  <dcterms:modified xsi:type="dcterms:W3CDTF">2026-05-08T20:57:29Z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286E78D7EA28445CA09D2E92B725E85E_12</vt:lpwstr>
  </property>
  <property fmtid="{D5CDD505-2E9C-101B-9397-08002B2CF9AE}" pid="3" name="KSOProductBuildVer">
    <vt:lpwstr>1033-12.2.0.16909</vt:lpwstr>
  </property>
</Properties>
</file>