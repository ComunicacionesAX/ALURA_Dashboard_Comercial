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CASTROA\Desktop\SAC\OTIF\2026\"/>
    </mc:Choice>
  </mc:AlternateContent>
  <xr:revisionPtr revIDLastSave="0" documentId="13_ncr:1_{54B03CC9-A614-4469-A1CA-8F658ACB40ED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Hoja3" sheetId="5" state="hidden" r:id="rId1"/>
    <sheet name="Resumén Marzo 2026" sheetId="17" r:id="rId2"/>
    <sheet name="Base" sheetId="25" r:id="rId3"/>
    <sheet name="Pedidos1" sheetId="23" state="hidden" r:id="rId4"/>
    <sheet name="Novedades" sheetId="28" state="hidden" r:id="rId5"/>
    <sheet name="Entregas a tiempo" sheetId="29" state="hidden" r:id="rId6"/>
    <sheet name="Hoja1" sheetId="21" state="hidden" r:id="rId7"/>
    <sheet name="Pedidos" sheetId="20" state="hidden" r:id="rId8"/>
  </sheets>
  <definedNames>
    <definedName name="_xlnm._FilterDatabase" localSheetId="2" hidden="1">Base!$A$1:$P$527</definedName>
    <definedName name="_xlnm._FilterDatabase" localSheetId="6" hidden="1">Hoja1!$A$1:$K$459</definedName>
    <definedName name="_xlnm._FilterDatabase" localSheetId="1" hidden="1">'Resumén Marzo 2026'!$B$39:$O$39</definedName>
  </definedName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7" l="1"/>
  <c r="J41" i="17"/>
  <c r="D18" i="17"/>
  <c r="D17" i="17"/>
  <c r="D29" i="17" l="1"/>
  <c r="D20" i="17"/>
  <c r="D28" i="17"/>
  <c r="D26" i="17"/>
  <c r="D21" i="17"/>
  <c r="D22" i="17"/>
  <c r="D31" i="17" l="1"/>
  <c r="C8" i="17" l="1"/>
  <c r="C31" i="17"/>
  <c r="D30" i="17" l="1"/>
  <c r="D34" i="17"/>
  <c r="G9" i="29" l="1"/>
  <c r="G7" i="29"/>
  <c r="E8" i="29"/>
  <c r="G8" i="29" l="1"/>
  <c r="C10" i="17" l="1"/>
  <c r="D7" i="17" l="1"/>
  <c r="D8" i="17" l="1"/>
  <c r="D9" i="17"/>
</calcChain>
</file>

<file path=xl/sharedStrings.xml><?xml version="1.0" encoding="utf-8"?>
<sst xmlns="http://schemas.openxmlformats.org/spreadsheetml/2006/main" count="6317" uniqueCount="1701">
  <si>
    <t>Etiquetas de fila</t>
  </si>
  <si>
    <t>Cuenta de O.C.</t>
  </si>
  <si>
    <t>Suma de Pedido</t>
  </si>
  <si>
    <t>ACEBEDO SILVA S.A.</t>
  </si>
  <si>
    <t>ADITIVOS Y QUIMICOS SAS</t>
  </si>
  <si>
    <t>AGRICOLA COLOMBIANA S.A.</t>
  </si>
  <si>
    <t>AGRIFEED</t>
  </si>
  <si>
    <t>AGRIFEED SAS</t>
  </si>
  <si>
    <t>AGROAVICOLA SAN MARINO S A</t>
  </si>
  <si>
    <t>AGROINDUSTRIAL SAN JOSE SA</t>
  </si>
  <si>
    <t>AGROPECARIA DE OCCIDENTE S.A.</t>
  </si>
  <si>
    <t>AGROPECUARIA ALFA SAS</t>
  </si>
  <si>
    <t>AGROPECUARIA DE OCCIDENTE</t>
  </si>
  <si>
    <t>AGROPECUARIA DE OCCIDENTE S.A.</t>
  </si>
  <si>
    <t>AGROPECUARIA GOLOSO DEL VALLE S.A.</t>
  </si>
  <si>
    <t>ALIMENTOS ALDUQUE S.A.S.</t>
  </si>
  <si>
    <t>ALIMENTOS CONCENTRADOS DEL CARIBE S.A.</t>
  </si>
  <si>
    <t>AVECER S.A.S.</t>
  </si>
  <si>
    <t>AVICOLA LA DOMINGA</t>
  </si>
  <si>
    <t>AVICOLA LA DOMINGA S.A.S.</t>
  </si>
  <si>
    <t>AVICOLA LOS CAMBULOS SA</t>
  </si>
  <si>
    <t>AVIDESA DE OCCIDENTE S.A.</t>
  </si>
  <si>
    <t>AVIMOL S.A.S.</t>
  </si>
  <si>
    <t>AYORA PEREZ CARLOS AUGUSTO</t>
  </si>
  <si>
    <t>BALANCEADOS ALIANZA</t>
  </si>
  <si>
    <t>CARDONA RESTREPO JAIME DE JESUS</t>
  </si>
  <si>
    <t>CERDOS DEL VALLE SA</t>
  </si>
  <si>
    <t>COLOMBIANA DE INCUBACION SAS INCUBACOL</t>
  </si>
  <si>
    <t>COMPAÑIA INDUSTRIAL DE PRODUCTOS AGROPECUARIOS S.A.</t>
  </si>
  <si>
    <t>CONCENTRADOS ESPARTACO</t>
  </si>
  <si>
    <t>CONTEGRAL</t>
  </si>
  <si>
    <t>COOPERATIVA COLANTA</t>
  </si>
  <si>
    <t>COOPERATIVA DE PORCICULTORES DEL EJE CAFETERO</t>
  </si>
  <si>
    <t>CUERVO &amp; CIA SAS</t>
  </si>
  <si>
    <t>DISTRIBUCIONES AGRALBA S.A.</t>
  </si>
  <si>
    <t>DISTRIBUIDORA AVICOLA S.A.S.</t>
  </si>
  <si>
    <t>DON POLLO</t>
  </si>
  <si>
    <t>EMPOLLADORA COLOMBIANA S.A.</t>
  </si>
  <si>
    <t>FINCA</t>
  </si>
  <si>
    <t>GVM CORPORATION GLOBAL VETERINARY MEDICINE S A S</t>
  </si>
  <si>
    <t>INCUBADORA SANTANDER S.A.</t>
  </si>
  <si>
    <t>INSUMOS AGROPECUARIOS DEL CAFE S.A.S</t>
  </si>
  <si>
    <t>INVERSIONES J.V. S.A.S.</t>
  </si>
  <si>
    <t>ITALCOL DE OCCIDENTE S.A.</t>
  </si>
  <si>
    <t>ITALCOL S.A.</t>
  </si>
  <si>
    <t>MARIA JOSE ORTIZ</t>
  </si>
  <si>
    <t>MEJIA &amp; CIA. S.A.</t>
  </si>
  <si>
    <t>NUTRICION EXPERTA DE COLOMBIA S.A.S</t>
  </si>
  <si>
    <t>NUTRITEC SAS</t>
  </si>
  <si>
    <t>O TAFUR Z Y CIA S EN C</t>
  </si>
  <si>
    <t>OMAR CHICAIZA</t>
  </si>
  <si>
    <t>OPERADORA AVICOLA</t>
  </si>
  <si>
    <t>POLLOS EL BUCANERO</t>
  </si>
  <si>
    <t>PORCICOLA EMMANUEL</t>
  </si>
  <si>
    <t>PORCICOLA PRADERA</t>
  </si>
  <si>
    <t>PORCICULTORES APA S.A.S.</t>
  </si>
  <si>
    <t>PORICOLA EMMANUEL</t>
  </si>
  <si>
    <t>PREMEX</t>
  </si>
  <si>
    <t>PREMEX S.A.S</t>
  </si>
  <si>
    <t>PRO FARM DE LOS ANDES SAS</t>
  </si>
  <si>
    <t>PROVIMI S.A.</t>
  </si>
  <si>
    <t>PROVIMI SA</t>
  </si>
  <si>
    <t>REVEEX NUTRICION SAS</t>
  </si>
  <si>
    <t>SOCIEDAD AVICOLA EL TABACAL SAS</t>
  </si>
  <si>
    <t>SOLLA S.A.</t>
  </si>
  <si>
    <t>VITAOVO S.A.S.</t>
  </si>
  <si>
    <t>PORCICOLA PRADERA S.A.</t>
  </si>
  <si>
    <t>Total general</t>
  </si>
  <si>
    <t>O.C.</t>
  </si>
  <si>
    <t>Hora recepción</t>
  </si>
  <si>
    <t>Pedido</t>
  </si>
  <si>
    <t>N° de Factura</t>
  </si>
  <si>
    <t>Fecha de generación del pedido</t>
  </si>
  <si>
    <t>Hora generación</t>
  </si>
  <si>
    <t>Ciudad</t>
  </si>
  <si>
    <t>MANIZALES</t>
  </si>
  <si>
    <t>BELLO</t>
  </si>
  <si>
    <t>NEIVA</t>
  </si>
  <si>
    <t>BUCARAMANGA</t>
  </si>
  <si>
    <t>CARTAGO</t>
  </si>
  <si>
    <t>BOGOTA</t>
  </si>
  <si>
    <t>LEBRIJA</t>
  </si>
  <si>
    <t>ITAGUI</t>
  </si>
  <si>
    <t>MEDELLIN</t>
  </si>
  <si>
    <t>ENVIGADO</t>
  </si>
  <si>
    <t>CIENAGA</t>
  </si>
  <si>
    <t>TULUA</t>
  </si>
  <si>
    <t>N.A. 11</t>
  </si>
  <si>
    <t>RICAURTE</t>
  </si>
  <si>
    <t>Informe de despachos</t>
  </si>
  <si>
    <t>PRODUCTO</t>
  </si>
  <si>
    <t>KILOS AUT</t>
  </si>
  <si>
    <t>VALOR</t>
  </si>
  <si>
    <t>Item</t>
  </si>
  <si>
    <t>Cantidad</t>
  </si>
  <si>
    <t>Part. %</t>
  </si>
  <si>
    <t>Inventario disponible sin FC</t>
  </si>
  <si>
    <t>NUMERO DE PEDIDOS</t>
  </si>
  <si>
    <t>HITS</t>
  </si>
  <si>
    <t>MISSES</t>
  </si>
  <si>
    <t>TOTAL LINEAS</t>
  </si>
  <si>
    <t>CAUSAL MISSES**</t>
  </si>
  <si>
    <t>Valor</t>
  </si>
  <si>
    <t>Cartera (Demoras por gestion comercial de cartera)</t>
  </si>
  <si>
    <t>Cancelado</t>
  </si>
  <si>
    <t>Total misses</t>
  </si>
  <si>
    <t>DETALLE MISSES:</t>
  </si>
  <si>
    <t>Nombre del producto</t>
  </si>
  <si>
    <t>Fecha Requerida Por el Cliente</t>
  </si>
  <si>
    <t>CANCELADO</t>
  </si>
  <si>
    <t>VIVET X 25 KG</t>
  </si>
  <si>
    <t>FRACTAL P X 25 KG</t>
  </si>
  <si>
    <t>CIPROFLOX X 5 KG</t>
  </si>
  <si>
    <t>ACCUREMAX X 25 KG</t>
  </si>
  <si>
    <t>NUTRITEC</t>
  </si>
  <si>
    <t>HALQUINOX 800 X 25 KG</t>
  </si>
  <si>
    <t>MONECYL X 25 KG</t>
  </si>
  <si>
    <t>INVENTARIO</t>
  </si>
  <si>
    <t>CELERITY NP X 25KG</t>
  </si>
  <si>
    <t>AGRICOLA COLOMBIANA</t>
  </si>
  <si>
    <t>TILCOMIX PREMIX S X 5 KG</t>
  </si>
  <si>
    <t>FRACTAL H X 20 KG</t>
  </si>
  <si>
    <t>N.A. 2</t>
  </si>
  <si>
    <t>OC PENDIENTE</t>
  </si>
  <si>
    <t>N.A.5</t>
  </si>
  <si>
    <t>N.A.6</t>
  </si>
  <si>
    <t>N.A.7</t>
  </si>
  <si>
    <t>N.A.9</t>
  </si>
  <si>
    <t>N.A. 3</t>
  </si>
  <si>
    <t>N.A.14</t>
  </si>
  <si>
    <t>Fecha recepción O.C.</t>
  </si>
  <si>
    <t>Cantidad Requerida</t>
  </si>
  <si>
    <t>Valor total</t>
  </si>
  <si>
    <t>ALIMENTOS POLAR COLOMBIA SAS</t>
  </si>
  <si>
    <t>MICRO AID</t>
  </si>
  <si>
    <t>CAVASA</t>
  </si>
  <si>
    <t>TILOMIX 250 PREMIX X 25 KG</t>
  </si>
  <si>
    <t>GIRON</t>
  </si>
  <si>
    <t>ADITIVOS Y QUIMICOS</t>
  </si>
  <si>
    <t>GUARNE</t>
  </si>
  <si>
    <t>EXOLUTION X 10 KG</t>
  </si>
  <si>
    <t>MOSQUERA</t>
  </si>
  <si>
    <t>BUGA</t>
  </si>
  <si>
    <t>FENIFLOR PREMIX X 25 KG</t>
  </si>
  <si>
    <t>AGROPECUARIA ALFA</t>
  </si>
  <si>
    <t>CLORTETRAX 20% x 25Kg Granular</t>
  </si>
  <si>
    <t>PORCICULTORES APA</t>
  </si>
  <si>
    <t>GIRARDOTA</t>
  </si>
  <si>
    <t>AVICOLA LOS CAMBULOS</t>
  </si>
  <si>
    <t>AVICOLA SAN MARTIN</t>
  </si>
  <si>
    <t>NUTREXCOL</t>
  </si>
  <si>
    <t>NEOCYN X 25 KG</t>
  </si>
  <si>
    <t>AGROINDUSTRIAL SAN JOSE</t>
  </si>
  <si>
    <t>HALQUINOX 500 X 25 KG</t>
  </si>
  <si>
    <t>NUTRICION EXPERTA DE COLOMBIA</t>
  </si>
  <si>
    <t>ARMENIA</t>
  </si>
  <si>
    <t>SALINOMIX 12% X 25 KG</t>
  </si>
  <si>
    <t>INVERSIONES J.V.</t>
  </si>
  <si>
    <t>ESPELIN 88 X 25 KG</t>
  </si>
  <si>
    <t>SOLLA</t>
  </si>
  <si>
    <t>AVECER</t>
  </si>
  <si>
    <t>TRIMBAC X 5 KG</t>
  </si>
  <si>
    <t>AVINOVA X 25 KG</t>
  </si>
  <si>
    <t>GVM</t>
  </si>
  <si>
    <t>PUERTO GAITAN</t>
  </si>
  <si>
    <t>NICARBAZINA</t>
  </si>
  <si>
    <t>NEOCYN X 1 KG</t>
  </si>
  <si>
    <t>MEZCLAS BIOMIX</t>
  </si>
  <si>
    <t>SABANETA</t>
  </si>
  <si>
    <t>ITALCOL DE OCCIDENTE</t>
  </si>
  <si>
    <t>PALMIRA</t>
  </si>
  <si>
    <t>DINAMIX 200 PREMIX X 25</t>
  </si>
  <si>
    <t>CERCALDAS</t>
  </si>
  <si>
    <t>ALIMENTOS ALDUQUE</t>
  </si>
  <si>
    <t>AVIDESA DE OCCIDENTE</t>
  </si>
  <si>
    <t>RIVERA</t>
  </si>
  <si>
    <t>CALI</t>
  </si>
  <si>
    <t>REVEEX</t>
  </si>
  <si>
    <t>CUCUTA</t>
  </si>
  <si>
    <t>INCUBADORA SANTANDER</t>
  </si>
  <si>
    <t>CALOTO</t>
  </si>
  <si>
    <t>AGROPECUARIA ALIAR</t>
  </si>
  <si>
    <t>AGROBOX</t>
  </si>
  <si>
    <t>INVERSIONES TRIBILIN</t>
  </si>
  <si>
    <t>CARLOS AYORA</t>
  </si>
  <si>
    <t>ACEBEDO SILVA</t>
  </si>
  <si>
    <t>DISTRIBUIDORA AVICOLA</t>
  </si>
  <si>
    <t>PIEDECUESTA</t>
  </si>
  <si>
    <t>CIPROFLOX X 1 KG</t>
  </si>
  <si>
    <t>ROFLOX</t>
  </si>
  <si>
    <t>11;38</t>
  </si>
  <si>
    <t>REFRILOGISTICA</t>
  </si>
  <si>
    <t>005-OSC-00007264</t>
  </si>
  <si>
    <t>COMPAÑIA DE PRODUCTOS INDUSTRIALES</t>
  </si>
  <si>
    <t>DMB 11 X 25 KG</t>
  </si>
  <si>
    <t>PROVIMI</t>
  </si>
  <si>
    <t>100-CON-00016615</t>
  </si>
  <si>
    <t>24/4/20324</t>
  </si>
  <si>
    <t>001-SC-014115</t>
  </si>
  <si>
    <t>001-SC-014136</t>
  </si>
  <si>
    <t>001-SC-014112</t>
  </si>
  <si>
    <t>001-OC -00037148</t>
  </si>
  <si>
    <t>FRACTAL L X 20 KG</t>
  </si>
  <si>
    <t>001-OSC-00057930</t>
  </si>
  <si>
    <t>001-OC -00037195</t>
  </si>
  <si>
    <t>DISTRIBUCIONES AGRALBA</t>
  </si>
  <si>
    <t>AMOXIN 600 X 1 KG</t>
  </si>
  <si>
    <t>FOSMYCINA 90 X 500 GR</t>
  </si>
  <si>
    <t>A02-COC-193389</t>
  </si>
  <si>
    <t>DINAMIX 800 X 25 KG</t>
  </si>
  <si>
    <t>TECNOCAMPO</t>
  </si>
  <si>
    <t>PC-022943</t>
  </si>
  <si>
    <t>DINAMIX PREMIX X 25 KG</t>
  </si>
  <si>
    <t>ORC-2404038</t>
  </si>
  <si>
    <t>FENIFLOR PREMIX X 5 KG</t>
  </si>
  <si>
    <t>CELMANAX X 25 KG</t>
  </si>
  <si>
    <t>103-OCC-31377</t>
  </si>
  <si>
    <t>OC-COMPR-10096</t>
  </si>
  <si>
    <t>CIGNUS X 20 KILOS</t>
  </si>
  <si>
    <t>AVIMOL</t>
  </si>
  <si>
    <t>SAGAH X 25 KG</t>
  </si>
  <si>
    <t>DQCICLIN X 1 KG</t>
  </si>
  <si>
    <t>004-OSC-00045286</t>
  </si>
  <si>
    <t>004-OSC-00045306</t>
  </si>
  <si>
    <t>004-OSC-00045230</t>
  </si>
  <si>
    <t>IBAGUE</t>
  </si>
  <si>
    <t>DINAMIX 200 PREMIX X 25 KG</t>
  </si>
  <si>
    <t>999-OCN-00010148</t>
  </si>
  <si>
    <t>001-OSC-00057997</t>
  </si>
  <si>
    <t>670 P</t>
  </si>
  <si>
    <t>FENIFLOR ORAL X 500 GR</t>
  </si>
  <si>
    <t>CERDOS DEL VALLE</t>
  </si>
  <si>
    <t>NORFLOX 20 X 1 L</t>
  </si>
  <si>
    <t>484-R</t>
  </si>
  <si>
    <t>INDUSTRIA NUTRICIONAL AVICOLA S.A.S.</t>
  </si>
  <si>
    <t>FRESNO</t>
  </si>
  <si>
    <t>MPN-4,707</t>
  </si>
  <si>
    <t>COOPERATIVA DE PORCICULTORES</t>
  </si>
  <si>
    <t>MPN-4,708</t>
  </si>
  <si>
    <t>MED-5750</t>
  </si>
  <si>
    <t>MERCASA</t>
  </si>
  <si>
    <t>0532-A</t>
  </si>
  <si>
    <t>UBAQUE</t>
  </si>
  <si>
    <t>679 P</t>
  </si>
  <si>
    <t>001-OSC-00058026</t>
  </si>
  <si>
    <t>Y - 001 - 2258</t>
  </si>
  <si>
    <t>PUERTO TEJADA</t>
  </si>
  <si>
    <t>OCO-35432</t>
  </si>
  <si>
    <t>005-OSC-00007317</t>
  </si>
  <si>
    <t>004-OSC-00045350</t>
  </si>
  <si>
    <t>META</t>
  </si>
  <si>
    <t>001-OC -00037333</t>
  </si>
  <si>
    <t>AGROPECURIA GOLOSO</t>
  </si>
  <si>
    <t>ORC-2405005</t>
  </si>
  <si>
    <t>681 P</t>
  </si>
  <si>
    <t>LA SORIA</t>
  </si>
  <si>
    <t>ESPELIN X 5 KG</t>
  </si>
  <si>
    <t>001-OC -00006364</t>
  </si>
  <si>
    <t>PROFARM</t>
  </si>
  <si>
    <t>005-OSC-00007340</t>
  </si>
  <si>
    <t>101-OCC-00030468</t>
  </si>
  <si>
    <t>SMOOT SWEET</t>
  </si>
  <si>
    <t>A02-COC-195500</t>
  </si>
  <si>
    <t>CTCZYME X 20 KILOS</t>
  </si>
  <si>
    <t>498-R</t>
  </si>
  <si>
    <t>686-P</t>
  </si>
  <si>
    <t>001-OSC-00058085</t>
  </si>
  <si>
    <t>101-OCC-30485</t>
  </si>
  <si>
    <t>O TAFUR</t>
  </si>
  <si>
    <t>ORC-2405012</t>
  </si>
  <si>
    <t>001-OSC-00058106</t>
  </si>
  <si>
    <t>BRUJAL</t>
  </si>
  <si>
    <t>005-OSC-00007358</t>
  </si>
  <si>
    <t>001-OC -00037474</t>
  </si>
  <si>
    <t>COC-00000206</t>
  </si>
  <si>
    <t>001-OC -00037478</t>
  </si>
  <si>
    <t>OC-COMPR-10292</t>
  </si>
  <si>
    <t>004-OSC-00045406</t>
  </si>
  <si>
    <t>PC-022998</t>
  </si>
  <si>
    <t>ESPECIAL EXOLUTION</t>
  </si>
  <si>
    <t>MPN - 4,734</t>
  </si>
  <si>
    <t>NEOCYX X 1 KG</t>
  </si>
  <si>
    <t>PC-023003</t>
  </si>
  <si>
    <t>Y - 001 - 2272</t>
  </si>
  <si>
    <t>OCO-35602</t>
  </si>
  <si>
    <t>MESA</t>
  </si>
  <si>
    <t>696 P</t>
  </si>
  <si>
    <t>CESAR PATIÑO</t>
  </si>
  <si>
    <t>DOVIO</t>
  </si>
  <si>
    <t>001-OC -00037555</t>
  </si>
  <si>
    <t>004-OSC-00045436</t>
  </si>
  <si>
    <t>001-OSC-00058148</t>
  </si>
  <si>
    <t>001-OC -00037570</t>
  </si>
  <si>
    <t>PUERTO LOPEZ</t>
  </si>
  <si>
    <t>PRO FARM</t>
  </si>
  <si>
    <t>TILCOMIX ORAL</t>
  </si>
  <si>
    <t>MEJIA Y CIA</t>
  </si>
  <si>
    <t>103-OCC-31579</t>
  </si>
  <si>
    <t>001-OC-067042</t>
  </si>
  <si>
    <t>(en blanco)</t>
  </si>
  <si>
    <t>N.A. 1</t>
  </si>
  <si>
    <t>N.A.3</t>
  </si>
  <si>
    <t>N.A. 4</t>
  </si>
  <si>
    <t>N.A. 8</t>
  </si>
  <si>
    <t>N.A. 10</t>
  </si>
  <si>
    <t>N.A. 12</t>
  </si>
  <si>
    <t>N.A.13</t>
  </si>
  <si>
    <t>N.A. 15</t>
  </si>
  <si>
    <t>N.A. 16</t>
  </si>
  <si>
    <t>N.E. 17</t>
  </si>
  <si>
    <t>N,A 18</t>
  </si>
  <si>
    <t>N.A. 20</t>
  </si>
  <si>
    <t>N,A 21</t>
  </si>
  <si>
    <t>N,T 21</t>
  </si>
  <si>
    <t>N.A. 21</t>
  </si>
  <si>
    <t>N.A. 22</t>
  </si>
  <si>
    <t>N.E. 21</t>
  </si>
  <si>
    <t>Nombre del Cliente.</t>
  </si>
  <si>
    <t>999-OCN-00010637</t>
  </si>
  <si>
    <t>AVICOLA EL GUAMITO</t>
  </si>
  <si>
    <t xml:space="preserve">999-OCN-00010639 
</t>
  </si>
  <si>
    <t>18289 -18331</t>
  </si>
  <si>
    <t>001-OCN-00011872</t>
  </si>
  <si>
    <t>AGROAVICOLA SAN MARINO</t>
  </si>
  <si>
    <t>OC-COMP-10356</t>
  </si>
  <si>
    <t>004-OSC-00045465</t>
  </si>
  <si>
    <t>ORC-2405023</t>
  </si>
  <si>
    <t>G&amp;M</t>
  </si>
  <si>
    <t>002-OCC-59178</t>
  </si>
  <si>
    <t>005-OSC-00007390</t>
  </si>
  <si>
    <t>007-OM-000469</t>
  </si>
  <si>
    <t>PEREIRA</t>
  </si>
  <si>
    <t>001-OC -00006395</t>
  </si>
  <si>
    <t>YUMBO</t>
  </si>
  <si>
    <t>101-OCC-30540</t>
  </si>
  <si>
    <t>OC-COMPR-10406</t>
  </si>
  <si>
    <t>TABACAL</t>
  </si>
  <si>
    <t>Y - 001 - 2283</t>
  </si>
  <si>
    <t>CFMP-270</t>
  </si>
  <si>
    <t>CELMANAX SCP X 25 KG</t>
  </si>
  <si>
    <t>CFMP-277</t>
  </si>
  <si>
    <t>001-OSC-00058205</t>
  </si>
  <si>
    <t>CFMP-280</t>
  </si>
  <si>
    <t>CALDAS ANTIOQUIA</t>
  </si>
  <si>
    <t>004-OSC-00045501</t>
  </si>
  <si>
    <t>GRANJAS PARAISO</t>
  </si>
  <si>
    <t>No. OC-1-133</t>
  </si>
  <si>
    <t>CUERVO Y CIA</t>
  </si>
  <si>
    <t>AGRALBA</t>
  </si>
  <si>
    <t>001-OSC-00058228</t>
  </si>
  <si>
    <t>525-R</t>
  </si>
  <si>
    <t>INDUSTRIA NUTRICIONAL AVICOLA</t>
  </si>
  <si>
    <t>FENIFLOR ORAL X 500G</t>
  </si>
  <si>
    <t>ORC-2405031</t>
  </si>
  <si>
    <t>OCO-35757</t>
  </si>
  <si>
    <t>AGROPECUARIA GOLOSO</t>
  </si>
  <si>
    <t>CFMP-285</t>
  </si>
  <si>
    <t>ROFLOX 20 X 1L DECNO</t>
  </si>
  <si>
    <t>711 P</t>
  </si>
  <si>
    <t>AGROPECURIA DE OCCIDENTE</t>
  </si>
  <si>
    <t>FOSMYCINA 90 X 500 G</t>
  </si>
  <si>
    <t>CLORURO DE COLINA</t>
  </si>
  <si>
    <t>CLORTETRAX 200 x 25Kg Granular</t>
  </si>
  <si>
    <t>005-OSC-00007433</t>
  </si>
  <si>
    <t>005-OSC-00007436</t>
  </si>
  <si>
    <t>EXOLUTION 10 KG</t>
  </si>
  <si>
    <t>DON MATIAS</t>
  </si>
  <si>
    <t>SERVICIO AL CLIENTE</t>
  </si>
  <si>
    <t>ALCON DE COLOMBIA</t>
  </si>
  <si>
    <t>POLLO FIESTA</t>
  </si>
  <si>
    <t>PRO FARM DE LOS ANDES</t>
  </si>
  <si>
    <t>INSUMOS Y ADITIVOS VETERINARIOS</t>
  </si>
  <si>
    <t>DISTRAVES</t>
  </si>
  <si>
    <t>Cuenta de N° de Factura</t>
  </si>
  <si>
    <t>SAC</t>
  </si>
  <si>
    <t>CELTA</t>
  </si>
  <si>
    <t>CERDON</t>
  </si>
  <si>
    <t>RECOGE EN BODEGA</t>
  </si>
  <si>
    <t>AVICOLA LA AURORA</t>
  </si>
  <si>
    <t>PREMEX MEDELLIN</t>
  </si>
  <si>
    <t>AVSA</t>
  </si>
  <si>
    <t>INVERSIONES ESCALA</t>
  </si>
  <si>
    <t>Kg. Solicitados</t>
  </si>
  <si>
    <t>GRUPO AGROBOX</t>
  </si>
  <si>
    <t>** Datos tomados del OTIF</t>
  </si>
  <si>
    <t>MESAGE</t>
  </si>
  <si>
    <t>COMPAÑIA INDUSTRIAL DE PRODUCTOS AGROPECUARIOS</t>
  </si>
  <si>
    <t>S07257</t>
  </si>
  <si>
    <t>MICRO AID X 25 KG</t>
  </si>
  <si>
    <t>S07292</t>
  </si>
  <si>
    <t>POLLOS SAVICOL</t>
  </si>
  <si>
    <t>AVICOLA TRIPLE A</t>
  </si>
  <si>
    <t>JAIME CARDONA</t>
  </si>
  <si>
    <t>COMERCIALIZADORA G&amp;M</t>
  </si>
  <si>
    <t>VITALESCO</t>
  </si>
  <si>
    <t>ECUADPREMEX</t>
  </si>
  <si>
    <t>ECUADOR</t>
  </si>
  <si>
    <t>PLANTA</t>
  </si>
  <si>
    <t>PREMEZCLAS LATINOAMERICANAS PRALSA</t>
  </si>
  <si>
    <t>GUATEMALA</t>
  </si>
  <si>
    <t>AGROSIGO</t>
  </si>
  <si>
    <t>S07203</t>
  </si>
  <si>
    <t>S08172</t>
  </si>
  <si>
    <t>AGROINDUSTRIA BIOMANANTIALES</t>
  </si>
  <si>
    <t>Observaciones</t>
  </si>
  <si>
    <t>Hora reQ</t>
  </si>
  <si>
    <t>Cliente</t>
  </si>
  <si>
    <t>S08516</t>
  </si>
  <si>
    <t xml:space="preserve">PREMEX S.A. </t>
  </si>
  <si>
    <t>S08929</t>
  </si>
  <si>
    <t>S08928</t>
  </si>
  <si>
    <t>S08358</t>
  </si>
  <si>
    <t>ALIMENTOS POLAR</t>
  </si>
  <si>
    <t>S07503</t>
  </si>
  <si>
    <t>S07893</t>
  </si>
  <si>
    <t>S07931</t>
  </si>
  <si>
    <t>S07990</t>
  </si>
  <si>
    <t>S07958</t>
  </si>
  <si>
    <t>S08000</t>
  </si>
  <si>
    <t>S08061</t>
  </si>
  <si>
    <t>S08084</t>
  </si>
  <si>
    <t>S08085</t>
  </si>
  <si>
    <t>S08086</t>
  </si>
  <si>
    <t>S08087</t>
  </si>
  <si>
    <t>S08092</t>
  </si>
  <si>
    <t>S07770</t>
  </si>
  <si>
    <t>S07774</t>
  </si>
  <si>
    <t>S08047</t>
  </si>
  <si>
    <t>S08109</t>
  </si>
  <si>
    <t>S08120</t>
  </si>
  <si>
    <t>S08119</t>
  </si>
  <si>
    <t>S08124</t>
  </si>
  <si>
    <t>S08125</t>
  </si>
  <si>
    <t>S08127</t>
  </si>
  <si>
    <t>S08128</t>
  </si>
  <si>
    <t>S08129</t>
  </si>
  <si>
    <t>S08144</t>
  </si>
  <si>
    <t>PROCESADORA  NACIONAL DE ALIMENTOS (PRONACA)</t>
  </si>
  <si>
    <t>S08145</t>
  </si>
  <si>
    <t>S08158</t>
  </si>
  <si>
    <t>S08160</t>
  </si>
  <si>
    <t>S08161</t>
  </si>
  <si>
    <t>S08162</t>
  </si>
  <si>
    <t>S08163</t>
  </si>
  <si>
    <t>S08165</t>
  </si>
  <si>
    <t>S08164</t>
  </si>
  <si>
    <t xml:space="preserve"> S08170</t>
  </si>
  <si>
    <t>S08191</t>
  </si>
  <si>
    <t>S08192</t>
  </si>
  <si>
    <t>S08195</t>
  </si>
  <si>
    <t>S08194</t>
  </si>
  <si>
    <t>INVERSIONES FEED</t>
  </si>
  <si>
    <t>S08196</t>
  </si>
  <si>
    <t>S08198</t>
  </si>
  <si>
    <t>S08199</t>
  </si>
  <si>
    <t>S08210</t>
  </si>
  <si>
    <t>LERIDA</t>
  </si>
  <si>
    <t>S08214</t>
  </si>
  <si>
    <t>S08201</t>
  </si>
  <si>
    <t>S08213</t>
  </si>
  <si>
    <t>S08230</t>
  </si>
  <si>
    <t>S08231</t>
  </si>
  <si>
    <t>S08233</t>
  </si>
  <si>
    <t>S08235</t>
  </si>
  <si>
    <t>S08236</t>
  </si>
  <si>
    <t>S08237</t>
  </si>
  <si>
    <t>S08239</t>
  </si>
  <si>
    <t>S08240</t>
  </si>
  <si>
    <t>S08241</t>
  </si>
  <si>
    <t>COMERCIALIZADORA CAMPO FERTIL</t>
  </si>
  <si>
    <t>S08242</t>
  </si>
  <si>
    <t>S08243</t>
  </si>
  <si>
    <t>S08193</t>
  </si>
  <si>
    <t>S08244</t>
  </si>
  <si>
    <t>S08250</t>
  </si>
  <si>
    <t>S08251</t>
  </si>
  <si>
    <t>S08253</t>
  </si>
  <si>
    <t>S08259</t>
  </si>
  <si>
    <t>S08270</t>
  </si>
  <si>
    <t>DISTRIBUIDORA AGRO-PLUS</t>
  </si>
  <si>
    <t>S08272</t>
  </si>
  <si>
    <t>S08273</t>
  </si>
  <si>
    <t>S08274</t>
  </si>
  <si>
    <t>CONCENTRADOS CONSUIZA</t>
  </si>
  <si>
    <t>S08275</t>
  </si>
  <si>
    <t>S08276</t>
  </si>
  <si>
    <t>-</t>
  </si>
  <si>
    <t>S08101</t>
  </si>
  <si>
    <t>S08278</t>
  </si>
  <si>
    <t>S08283</t>
  </si>
  <si>
    <t>S08284</t>
  </si>
  <si>
    <t>S08286</t>
  </si>
  <si>
    <t>S08288</t>
  </si>
  <si>
    <t>S08289</t>
  </si>
  <si>
    <t>S08290</t>
  </si>
  <si>
    <t>S08291</t>
  </si>
  <si>
    <t>S08292</t>
  </si>
  <si>
    <t>S08293</t>
  </si>
  <si>
    <t>S08294</t>
  </si>
  <si>
    <t>S08298</t>
  </si>
  <si>
    <t>S08303</t>
  </si>
  <si>
    <t>S08306</t>
  </si>
  <si>
    <t>S08308</t>
  </si>
  <si>
    <t>S08312</t>
  </si>
  <si>
    <t>S08314</t>
  </si>
  <si>
    <t>S08315</t>
  </si>
  <si>
    <t>S08316</t>
  </si>
  <si>
    <t>S08318</t>
  </si>
  <si>
    <t>S08319</t>
  </si>
  <si>
    <t>S08321</t>
  </si>
  <si>
    <t>S08322</t>
  </si>
  <si>
    <t>S08323</t>
  </si>
  <si>
    <t>S08325</t>
  </si>
  <si>
    <t>S08326</t>
  </si>
  <si>
    <t>S08327</t>
  </si>
  <si>
    <t>IMP- AGRO</t>
  </si>
  <si>
    <t>S08328</t>
  </si>
  <si>
    <t>S08329</t>
  </si>
  <si>
    <t xml:space="preserve">GARCIA GOMEZ AGROINVERSIONES </t>
  </si>
  <si>
    <t>S08331</t>
  </si>
  <si>
    <t>INTEGRACIONES PORCINAS</t>
  </si>
  <si>
    <t>S08332</t>
  </si>
  <si>
    <t>S08333</t>
  </si>
  <si>
    <t>S08334</t>
  </si>
  <si>
    <t>S08335</t>
  </si>
  <si>
    <t>COLOMBIANA DE INCUBACION</t>
  </si>
  <si>
    <t>S08337</t>
  </si>
  <si>
    <t>S08353</t>
  </si>
  <si>
    <t>S08354</t>
  </si>
  <si>
    <t>S08355</t>
  </si>
  <si>
    <t>S08359</t>
  </si>
  <si>
    <t>S08360</t>
  </si>
  <si>
    <t>S08361</t>
  </si>
  <si>
    <t>S08363</t>
  </si>
  <si>
    <t>S08364</t>
  </si>
  <si>
    <t>S08367</t>
  </si>
  <si>
    <t>EMPOLLADORA COLOMBIANA</t>
  </si>
  <si>
    <t>S08371</t>
  </si>
  <si>
    <t>S08382</t>
  </si>
  <si>
    <t>S08383</t>
  </si>
  <si>
    <t>ALIMENTOS NUTRAL</t>
  </si>
  <si>
    <t>S08384</t>
  </si>
  <si>
    <t>S08386</t>
  </si>
  <si>
    <t>S08387</t>
  </si>
  <si>
    <t>S08392</t>
  </si>
  <si>
    <t>S08317</t>
  </si>
  <si>
    <t>S08399</t>
  </si>
  <si>
    <t>S08402</t>
  </si>
  <si>
    <t>S08324</t>
  </si>
  <si>
    <t>S08404</t>
  </si>
  <si>
    <t>S08406</t>
  </si>
  <si>
    <t>S08389</t>
  </si>
  <si>
    <t>S08407</t>
  </si>
  <si>
    <t>S08405</t>
  </si>
  <si>
    <t>S08409</t>
  </si>
  <si>
    <t>S08410</t>
  </si>
  <si>
    <t>S08411</t>
  </si>
  <si>
    <t>S08412</t>
  </si>
  <si>
    <t>ELKIN NORIEL SANCHEZ</t>
  </si>
  <si>
    <t>S08414</t>
  </si>
  <si>
    <t>S08445</t>
  </si>
  <si>
    <t>S08446</t>
  </si>
  <si>
    <t>S08447</t>
  </si>
  <si>
    <t>S08448</t>
  </si>
  <si>
    <t>S08450</t>
  </si>
  <si>
    <t>S08451</t>
  </si>
  <si>
    <t>S08452</t>
  </si>
  <si>
    <t>S08462</t>
  </si>
  <si>
    <t>S08463</t>
  </si>
  <si>
    <t>S08464</t>
  </si>
  <si>
    <t>S08465</t>
  </si>
  <si>
    <t>S08466</t>
  </si>
  <si>
    <t>S08475</t>
  </si>
  <si>
    <t>S08476</t>
  </si>
  <si>
    <t>S08482</t>
  </si>
  <si>
    <t>S08483</t>
  </si>
  <si>
    <t>S08485</t>
  </si>
  <si>
    <t>S08486</t>
  </si>
  <si>
    <t>S08487</t>
  </si>
  <si>
    <t>S08488</t>
  </si>
  <si>
    <t>S08489</t>
  </si>
  <si>
    <t>S08490</t>
  </si>
  <si>
    <t>S08491</t>
  </si>
  <si>
    <t>S08495</t>
  </si>
  <si>
    <t>S08496</t>
  </si>
  <si>
    <t>S08497</t>
  </si>
  <si>
    <t>S08498</t>
  </si>
  <si>
    <t>S08499</t>
  </si>
  <si>
    <t>S08500</t>
  </si>
  <si>
    <t>INVERSIONES AGROPORC</t>
  </si>
  <si>
    <t>ROFLOX X 1 LITRO</t>
  </si>
  <si>
    <t>S08501</t>
  </si>
  <si>
    <t>S08504</t>
  </si>
  <si>
    <t>S08505</t>
  </si>
  <si>
    <t>S08506</t>
  </si>
  <si>
    <t>S08507</t>
  </si>
  <si>
    <t>S08509</t>
  </si>
  <si>
    <t>S08515</t>
  </si>
  <si>
    <t>S08523</t>
  </si>
  <si>
    <t>S08528</t>
  </si>
  <si>
    <t>S08529</t>
  </si>
  <si>
    <t>S08530</t>
  </si>
  <si>
    <t>S08531</t>
  </si>
  <si>
    <t>S08532</t>
  </si>
  <si>
    <t>S08538</t>
  </si>
  <si>
    <t>S08540</t>
  </si>
  <si>
    <t>S08541</t>
  </si>
  <si>
    <t>S08543</t>
  </si>
  <si>
    <t>S08546</t>
  </si>
  <si>
    <t>S08565</t>
  </si>
  <si>
    <t>S08566</t>
  </si>
  <si>
    <t>S08632</t>
  </si>
  <si>
    <t>S08605</t>
  </si>
  <si>
    <t>S08576</t>
  </si>
  <si>
    <t>S08577</t>
  </si>
  <si>
    <t>S08578</t>
  </si>
  <si>
    <t>S08580</t>
  </si>
  <si>
    <t>S08584</t>
  </si>
  <si>
    <t>S08585</t>
  </si>
  <si>
    <t>S08592</t>
  </si>
  <si>
    <t>S08593</t>
  </si>
  <si>
    <t>S08595</t>
  </si>
  <si>
    <t>S08596</t>
  </si>
  <si>
    <t>S08603</t>
  </si>
  <si>
    <t>S08601</t>
  </si>
  <si>
    <t>S08762</t>
  </si>
  <si>
    <t>S08780</t>
  </si>
  <si>
    <t>S08614</t>
  </si>
  <si>
    <t>S08615</t>
  </si>
  <si>
    <t>S08616</t>
  </si>
  <si>
    <t>S08618</t>
  </si>
  <si>
    <t>S08622</t>
  </si>
  <si>
    <t>S08608</t>
  </si>
  <si>
    <t>S08624</t>
  </si>
  <si>
    <t>S08612</t>
  </si>
  <si>
    <t>S08647</t>
  </si>
  <si>
    <t>S08653</t>
  </si>
  <si>
    <t>S08655</t>
  </si>
  <si>
    <t>S08662</t>
  </si>
  <si>
    <t>S08663</t>
  </si>
  <si>
    <t>S08665</t>
  </si>
  <si>
    <t>S08667</t>
  </si>
  <si>
    <t>S08668</t>
  </si>
  <si>
    <t>S08669</t>
  </si>
  <si>
    <t>S08670</t>
  </si>
  <si>
    <t>S08671</t>
  </si>
  <si>
    <t>S08673</t>
  </si>
  <si>
    <t>S08675</t>
  </si>
  <si>
    <t>S08685</t>
  </si>
  <si>
    <t>INSUMOS AGROPECUARIOS</t>
  </si>
  <si>
    <t>S08713</t>
  </si>
  <si>
    <t>S08714</t>
  </si>
  <si>
    <t>S08715</t>
  </si>
  <si>
    <t>S08720</t>
  </si>
  <si>
    <t>S08721</t>
  </si>
  <si>
    <t>S08722</t>
  </si>
  <si>
    <t>S08716</t>
  </si>
  <si>
    <t>S08726</t>
  </si>
  <si>
    <t>S08727</t>
  </si>
  <si>
    <t>S08728</t>
  </si>
  <si>
    <t>S08729</t>
  </si>
  <si>
    <t>VIVIANA CARMONA</t>
  </si>
  <si>
    <t>S08730</t>
  </si>
  <si>
    <t>S08732</t>
  </si>
  <si>
    <t>S08734</t>
  </si>
  <si>
    <t>HERMANOS ARANGO</t>
  </si>
  <si>
    <t>S08735</t>
  </si>
  <si>
    <t>S08736</t>
  </si>
  <si>
    <t>PECUARY SUPPLIER SAS</t>
  </si>
  <si>
    <t>S08738</t>
  </si>
  <si>
    <t>S08741</t>
  </si>
  <si>
    <t>PORCICOLA EMMMANUEL</t>
  </si>
  <si>
    <t>S08742</t>
  </si>
  <si>
    <t>S08743</t>
  </si>
  <si>
    <t>S08744</t>
  </si>
  <si>
    <t>S08748</t>
  </si>
  <si>
    <t>LOTUS X 25 KG</t>
  </si>
  <si>
    <t>S08752</t>
  </si>
  <si>
    <t>S08757</t>
  </si>
  <si>
    <t>S08827</t>
  </si>
  <si>
    <t>S08733</t>
  </si>
  <si>
    <t>S08763</t>
  </si>
  <si>
    <t>S08764</t>
  </si>
  <si>
    <t>S08756</t>
  </si>
  <si>
    <t>SUPERCERDO PAISA</t>
  </si>
  <si>
    <t>S08770</t>
  </si>
  <si>
    <t>S08771</t>
  </si>
  <si>
    <t>S08772</t>
  </si>
  <si>
    <t>S08775</t>
  </si>
  <si>
    <t>S08776</t>
  </si>
  <si>
    <t>S08785</t>
  </si>
  <si>
    <t>S08786</t>
  </si>
  <si>
    <t>S08787</t>
  </si>
  <si>
    <t>S08788</t>
  </si>
  <si>
    <t>S08789</t>
  </si>
  <si>
    <t>S08597</t>
  </si>
  <si>
    <t>S08790</t>
  </si>
  <si>
    <t>S08791</t>
  </si>
  <si>
    <t>S08796</t>
  </si>
  <si>
    <t>S08797</t>
  </si>
  <si>
    <t>S08798</t>
  </si>
  <si>
    <t>S08811</t>
  </si>
  <si>
    <t>S08819</t>
  </si>
  <si>
    <t>S08820</t>
  </si>
  <si>
    <t>S08866</t>
  </si>
  <si>
    <t>S08821</t>
  </si>
  <si>
    <t>S08822</t>
  </si>
  <si>
    <t>S08823</t>
  </si>
  <si>
    <t>S08824</t>
  </si>
  <si>
    <t>S08828</t>
  </si>
  <si>
    <t>S08831</t>
  </si>
  <si>
    <t>VITAOVO</t>
  </si>
  <si>
    <t>S08832</t>
  </si>
  <si>
    <t>S08833</t>
  </si>
  <si>
    <t>S08849</t>
  </si>
  <si>
    <t>BIOINDUSTRIA MANANTIALES</t>
  </si>
  <si>
    <t>S08865</t>
  </si>
  <si>
    <t>S08856</t>
  </si>
  <si>
    <t>S08868</t>
  </si>
  <si>
    <t>S08870</t>
  </si>
  <si>
    <t>S08871</t>
  </si>
  <si>
    <t>S08873</t>
  </si>
  <si>
    <t>S08887</t>
  </si>
  <si>
    <t>S08888</t>
  </si>
  <si>
    <t>S08895</t>
  </si>
  <si>
    <t>CARTERA</t>
  </si>
  <si>
    <t>S08897</t>
  </si>
  <si>
    <t>S08898</t>
  </si>
  <si>
    <t>S08901</t>
  </si>
  <si>
    <t>S08902</t>
  </si>
  <si>
    <t>S08906</t>
  </si>
  <si>
    <t>PROFARM DE LOS ANDES</t>
  </si>
  <si>
    <t>S08908</t>
  </si>
  <si>
    <t>S08915</t>
  </si>
  <si>
    <t>S08926</t>
  </si>
  <si>
    <t>S08931</t>
  </si>
  <si>
    <t>S08938</t>
  </si>
  <si>
    <t>S08932</t>
  </si>
  <si>
    <t>S08944</t>
  </si>
  <si>
    <t>S08949</t>
  </si>
  <si>
    <t>S08980</t>
  </si>
  <si>
    <t>INVERSIONES AGROPECUARIAS FC SAS</t>
  </si>
  <si>
    <t>S08981</t>
  </si>
  <si>
    <t>S08985</t>
  </si>
  <si>
    <t>P&amp;P INVERSIONES SAS</t>
  </si>
  <si>
    <t>S08964</t>
  </si>
  <si>
    <t>S08953</t>
  </si>
  <si>
    <t>S08930</t>
  </si>
  <si>
    <t>CONTEGRAL S.A.S.</t>
  </si>
  <si>
    <t>S08896</t>
  </si>
  <si>
    <t>Suma de Valor total</t>
  </si>
  <si>
    <t>Cuenta de Cliente</t>
  </si>
  <si>
    <t>Antes de la fecha</t>
  </si>
  <si>
    <t>a tiempo</t>
  </si>
  <si>
    <t>Fuera de tiempo</t>
  </si>
  <si>
    <t>Lineas</t>
  </si>
  <si>
    <t>Total Lineas</t>
  </si>
  <si>
    <t>%</t>
  </si>
  <si>
    <t>ESTATUS DE ENTREGA</t>
  </si>
  <si>
    <t>PREMEX S.A.S.</t>
  </si>
  <si>
    <t>ACCUREMAX 10% X 25 KG</t>
  </si>
  <si>
    <t>MEJIA &amp; CIA</t>
  </si>
  <si>
    <t>FENIFLOR PREMIX X 25 Kg</t>
  </si>
  <si>
    <t>DINAMIX 600 X 250 GR</t>
  </si>
  <si>
    <t>NORFLOX X 1 LITRO</t>
  </si>
  <si>
    <t>TRANSPORTE</t>
  </si>
  <si>
    <t>N/A</t>
  </si>
  <si>
    <t>GRUPO PORCINO</t>
  </si>
  <si>
    <t>TILVASYYN x 25 KG</t>
  </si>
  <si>
    <t>ARANGO HERMANOS</t>
  </si>
  <si>
    <t>BIMMU X 25 KG</t>
  </si>
  <si>
    <t>PROMOTORA PORCINA</t>
  </si>
  <si>
    <t>CONCENTRADOS JUDEVAL</t>
  </si>
  <si>
    <t>CLORTETRAX 20 X 25 KG</t>
  </si>
  <si>
    <t>SMOOT SWEET X 75 GR</t>
  </si>
  <si>
    <t>MAICAO</t>
  </si>
  <si>
    <t>LA CASA MAYOR</t>
  </si>
  <si>
    <t>CONCENTRADOS DEL CAMPO</t>
  </si>
  <si>
    <t>CARLOS AUGUSTO AYORA</t>
  </si>
  <si>
    <t>ACCUREMAX 20% X 25 KG</t>
  </si>
  <si>
    <t>FRACTAL L X 20 LITROS</t>
  </si>
  <si>
    <t>TILOMIX ORAL X 1 KG</t>
  </si>
  <si>
    <t>PERU</t>
  </si>
  <si>
    <t>AVICOLA SINAIN</t>
  </si>
  <si>
    <t>CALDAS - ANTIOQUIA</t>
  </si>
  <si>
    <t>ANTIOQUEÑA DE PORCINOS</t>
  </si>
  <si>
    <t>PROYECTO TILVASYN X 5 KG</t>
  </si>
  <si>
    <t>TERRAZAS AGROPECUARIAS</t>
  </si>
  <si>
    <t>PREMEX CELTA</t>
  </si>
  <si>
    <t>ALISTAMIENTO</t>
  </si>
  <si>
    <t>Suma de Kg. Solicitados</t>
  </si>
  <si>
    <t>asignado</t>
  </si>
  <si>
    <t>clasificación</t>
  </si>
  <si>
    <t>MANUFACTURA</t>
  </si>
  <si>
    <t>Manufactura (on time)</t>
  </si>
  <si>
    <t>Backorder abastecimiento ( No inventario)</t>
  </si>
  <si>
    <t>Backorder decision comercial ( Manejo de inventario)</t>
  </si>
  <si>
    <t>Manufactura ( Proceso productivo// planificación de produccion o acondicionamiento)</t>
  </si>
  <si>
    <t>Transporte (entregas fuera de la fecha del cliente // averias // certificados // novedades transportadora)</t>
  </si>
  <si>
    <t>Inventario y alistamiento de productos</t>
  </si>
  <si>
    <t>ASC ( Queja de calidad // concentracion del producto)</t>
  </si>
  <si>
    <t>Gestión comercial (producto con sobre abastecimiento sin venta)</t>
  </si>
  <si>
    <t>Recepcion de producción ( averia // devoluciones)</t>
  </si>
  <si>
    <t>Logistica de entrada</t>
  </si>
  <si>
    <t>NO</t>
  </si>
  <si>
    <t>Inventario que no se entrego en el mes sin forecast ( Producto no disponible o falta de  certificados u otro)</t>
  </si>
  <si>
    <t>Inventario que no se entrego en el mes con forecast ( Producto no disponible o falta de  certificados u otro)</t>
  </si>
  <si>
    <t>NOVEDADES REPORTADAS</t>
  </si>
  <si>
    <t>3700 USD</t>
  </si>
  <si>
    <t>FUSAGASUGA</t>
  </si>
  <si>
    <t>LOMA DEL ESCOBERO</t>
  </si>
  <si>
    <t>ITALCOL GIRON</t>
  </si>
  <si>
    <t>FUSA</t>
  </si>
  <si>
    <t>ROVIRA</t>
  </si>
  <si>
    <t>BARCON</t>
  </si>
  <si>
    <t>TILCOMIX ORAL X 1 LITRO</t>
  </si>
  <si>
    <t>GRANADA</t>
  </si>
  <si>
    <t>VEREDA EL ROBLE</t>
  </si>
  <si>
    <t>BODEGA CONSIGNACION</t>
  </si>
  <si>
    <t>C&amp;J PORK</t>
  </si>
  <si>
    <t>NUTRIPIENSOS</t>
  </si>
  <si>
    <t>SAN PEDRO</t>
  </si>
  <si>
    <t>S13953</t>
  </si>
  <si>
    <t>MANANTIALES</t>
  </si>
  <si>
    <t>OC-1203</t>
  </si>
  <si>
    <t>S14182</t>
  </si>
  <si>
    <t>S14265</t>
  </si>
  <si>
    <t>S14266</t>
  </si>
  <si>
    <t>ESMERALDA</t>
  </si>
  <si>
    <t>S14292</t>
  </si>
  <si>
    <t>12790 USD</t>
  </si>
  <si>
    <t>01-OC -00004093</t>
  </si>
  <si>
    <t>S14323</t>
  </si>
  <si>
    <t>S14346</t>
  </si>
  <si>
    <t>S14347</t>
  </si>
  <si>
    <t>S14324</t>
  </si>
  <si>
    <t>Observaciones S.C.</t>
  </si>
  <si>
    <t>SI</t>
  </si>
  <si>
    <t>Asignado a</t>
  </si>
  <si>
    <t>FORECAST</t>
  </si>
  <si>
    <t>S15197</t>
  </si>
  <si>
    <t>BG25544</t>
  </si>
  <si>
    <t>S15195</t>
  </si>
  <si>
    <t>BG25545</t>
  </si>
  <si>
    <t>25-413-PD</t>
  </si>
  <si>
    <t>S15463</t>
  </si>
  <si>
    <t>BG25630</t>
  </si>
  <si>
    <t>PROCESADORA NACIONAL DE ALIMENTOS - PRONACA</t>
  </si>
  <si>
    <t>S12661</t>
  </si>
  <si>
    <t>BG25374</t>
  </si>
  <si>
    <t>S14583</t>
  </si>
  <si>
    <t>BG25448</t>
  </si>
  <si>
    <t>S14160</t>
  </si>
  <si>
    <t>BG25393</t>
  </si>
  <si>
    <t>LOTUS X 10 KG</t>
  </si>
  <si>
    <t>S14164</t>
  </si>
  <si>
    <t>BG25230</t>
  </si>
  <si>
    <t>OC00003147BX</t>
  </si>
  <si>
    <t>S14180</t>
  </si>
  <si>
    <t>BG25363</t>
  </si>
  <si>
    <t>S14303</t>
  </si>
  <si>
    <t>BG25360</t>
  </si>
  <si>
    <t>S14306</t>
  </si>
  <si>
    <t>BG25379</t>
  </si>
  <si>
    <t>100-CON-00024529</t>
  </si>
  <si>
    <t>S14307</t>
  </si>
  <si>
    <t>BG25300</t>
  </si>
  <si>
    <t>100-CON-00024530</t>
  </si>
  <si>
    <t>S14312</t>
  </si>
  <si>
    <t>BG25299</t>
  </si>
  <si>
    <t>S14313</t>
  </si>
  <si>
    <t>BG25359</t>
  </si>
  <si>
    <t>HATILLO</t>
  </si>
  <si>
    <t>S14317</t>
  </si>
  <si>
    <t>BG25407</t>
  </si>
  <si>
    <t>PREMEZCLAS LATINOAMERICANAS</t>
  </si>
  <si>
    <t>900 USD</t>
  </si>
  <si>
    <t xml:space="preserve">006-OC-029221
</t>
  </si>
  <si>
    <t>S14321</t>
  </si>
  <si>
    <t>BG25358</t>
  </si>
  <si>
    <t>ITALCOL IBAGUE</t>
  </si>
  <si>
    <t>001-OC -00008932</t>
  </si>
  <si>
    <t>S14322</t>
  </si>
  <si>
    <t>BG25357</t>
  </si>
  <si>
    <t>KIRA X 25 KG</t>
  </si>
  <si>
    <t>999-OCN-00021847</t>
  </si>
  <si>
    <t>S14367</t>
  </si>
  <si>
    <t>BG25353</t>
  </si>
  <si>
    <t>EL BRUJAL</t>
  </si>
  <si>
    <t>999-OCN-00021846</t>
  </si>
  <si>
    <t>S14368</t>
  </si>
  <si>
    <t>BG25352</t>
  </si>
  <si>
    <t>103-occ-38294</t>
  </si>
  <si>
    <t>S14369</t>
  </si>
  <si>
    <t>BG25351</t>
  </si>
  <si>
    <t>S14370</t>
  </si>
  <si>
    <t>BG25350</t>
  </si>
  <si>
    <t>S14371</t>
  </si>
  <si>
    <t>BG25349</t>
  </si>
  <si>
    <t>BG25400</t>
  </si>
  <si>
    <t xml:space="preserve">4500087191
</t>
  </si>
  <si>
    <t>S14373</t>
  </si>
  <si>
    <t>BG25468</t>
  </si>
  <si>
    <t>S14392</t>
  </si>
  <si>
    <t>BG25369</t>
  </si>
  <si>
    <t>SAN ANTONIO DE PRADO</t>
  </si>
  <si>
    <t>S14395</t>
  </si>
  <si>
    <t>BG25348</t>
  </si>
  <si>
    <t>S14396</t>
  </si>
  <si>
    <t>BG25347</t>
  </si>
  <si>
    <t>S14398</t>
  </si>
  <si>
    <t>BG25346</t>
  </si>
  <si>
    <t>SMOOTH SWEET X 75 GR</t>
  </si>
  <si>
    <t>S14400</t>
  </si>
  <si>
    <t>BG25345</t>
  </si>
  <si>
    <t>A02-COC-317127</t>
  </si>
  <si>
    <t>S14402</t>
  </si>
  <si>
    <t>BG25343</t>
  </si>
  <si>
    <t>CIGNUS</t>
  </si>
  <si>
    <t>S14404</t>
  </si>
  <si>
    <t>BIOINDUSTRIAS MANANTIAL</t>
  </si>
  <si>
    <t>S14405</t>
  </si>
  <si>
    <t>BG25342</t>
  </si>
  <si>
    <t>S14407</t>
  </si>
  <si>
    <t>BG25453</t>
  </si>
  <si>
    <t>CARTERA / ALISAMIENTO</t>
  </si>
  <si>
    <t>S14477</t>
  </si>
  <si>
    <t>BG25452</t>
  </si>
  <si>
    <t>S14408</t>
  </si>
  <si>
    <t>Y-001-3044</t>
  </si>
  <si>
    <t>S14410</t>
  </si>
  <si>
    <t>BG25294</t>
  </si>
  <si>
    <t>PC-INS-00487</t>
  </si>
  <si>
    <t>S14411</t>
  </si>
  <si>
    <t>BG25341</t>
  </si>
  <si>
    <t>006-OC-029224</t>
  </si>
  <si>
    <t>S14416</t>
  </si>
  <si>
    <t>BG25340</t>
  </si>
  <si>
    <t>GIRARDOT</t>
  </si>
  <si>
    <t>006-OC-029226</t>
  </si>
  <si>
    <t>S14417</t>
  </si>
  <si>
    <t>BG25339</t>
  </si>
  <si>
    <t>PEDREJALES</t>
  </si>
  <si>
    <t>S14419</t>
  </si>
  <si>
    <t>BG25338</t>
  </si>
  <si>
    <t>JHON RIZO</t>
  </si>
  <si>
    <t>S14424</t>
  </si>
  <si>
    <t>BG25337</t>
  </si>
  <si>
    <t>001-SC-015897</t>
  </si>
  <si>
    <t>S14446</t>
  </si>
  <si>
    <t>BG25336</t>
  </si>
  <si>
    <t>S14454</t>
  </si>
  <si>
    <t>BG25399</t>
  </si>
  <si>
    <t>25580 USD</t>
  </si>
  <si>
    <t>001-SC-015896</t>
  </si>
  <si>
    <t>S14447</t>
  </si>
  <si>
    <t>BG25335</t>
  </si>
  <si>
    <t>S14450</t>
  </si>
  <si>
    <t>BG25334</t>
  </si>
  <si>
    <t>S14466</t>
  </si>
  <si>
    <t>BG25333</t>
  </si>
  <si>
    <t>S14467</t>
  </si>
  <si>
    <t>BG25332</t>
  </si>
  <si>
    <t>001-OSC-00071837</t>
  </si>
  <si>
    <t>S14468</t>
  </si>
  <si>
    <t>BG25331</t>
  </si>
  <si>
    <t>007-OC-051524</t>
  </si>
  <si>
    <t>S14469</t>
  </si>
  <si>
    <t>BG25330</t>
  </si>
  <si>
    <t>S14470</t>
  </si>
  <si>
    <t>BG25329</t>
  </si>
  <si>
    <t>S14471</t>
  </si>
  <si>
    <t>BG25328</t>
  </si>
  <si>
    <t>COLOMBIANA DE INCUBACION INCUBACOL</t>
  </si>
  <si>
    <t>S14472</t>
  </si>
  <si>
    <t>BG25327</t>
  </si>
  <si>
    <t>AMOXIN X 1 KILO</t>
  </si>
  <si>
    <t>S14473</t>
  </si>
  <si>
    <t>BG25298</t>
  </si>
  <si>
    <t>ASC</t>
  </si>
  <si>
    <t>S14475</t>
  </si>
  <si>
    <t>BG25470</t>
  </si>
  <si>
    <t>BG25361</t>
  </si>
  <si>
    <t>S14491</t>
  </si>
  <si>
    <t>BG25326</t>
  </si>
  <si>
    <t>S14492</t>
  </si>
  <si>
    <t>BG25325</t>
  </si>
  <si>
    <t>BG25370</t>
  </si>
  <si>
    <t>S14493</t>
  </si>
  <si>
    <t>BG25324</t>
  </si>
  <si>
    <t>10 kg SMOOTH SWEET</t>
  </si>
  <si>
    <t>S14495</t>
  </si>
  <si>
    <t>BG25293</t>
  </si>
  <si>
    <t>S14497</t>
  </si>
  <si>
    <t>BG25323</t>
  </si>
  <si>
    <t>001-SC-015906</t>
  </si>
  <si>
    <t>S14498 (S14929)</t>
  </si>
  <si>
    <t>001-SC-015907</t>
  </si>
  <si>
    <t>S14501</t>
  </si>
  <si>
    <t>BG25321</t>
  </si>
  <si>
    <t>S14503</t>
  </si>
  <si>
    <t>BG25320</t>
  </si>
  <si>
    <t>S14504</t>
  </si>
  <si>
    <t>BG25317</t>
  </si>
  <si>
    <t>CONFIRMAR CANTIDAD DADO QUE EL CLIENTE REQUIERE PRESENTACION X 5 KG</t>
  </si>
  <si>
    <t>S14558</t>
  </si>
  <si>
    <t>BG25304</t>
  </si>
  <si>
    <t>S14505</t>
  </si>
  <si>
    <t>ORC-2603001</t>
  </si>
  <si>
    <t>S14508</t>
  </si>
  <si>
    <t>BG25319</t>
  </si>
  <si>
    <t>OC-030008</t>
  </si>
  <si>
    <t>BG25318</t>
  </si>
  <si>
    <t>OCO-0045149</t>
  </si>
  <si>
    <t>S14509</t>
  </si>
  <si>
    <t>BG25316</t>
  </si>
  <si>
    <t>S14513</t>
  </si>
  <si>
    <t>BG25314</t>
  </si>
  <si>
    <t>GRUPO TECNOCAMPO</t>
  </si>
  <si>
    <t>S14514</t>
  </si>
  <si>
    <t>BG25295</t>
  </si>
  <si>
    <t xml:space="preserve">S14536
</t>
  </si>
  <si>
    <t>BG25309</t>
  </si>
  <si>
    <t>3016-1269</t>
  </si>
  <si>
    <t>S14515</t>
  </si>
  <si>
    <t>BG25313</t>
  </si>
  <si>
    <t>S14516</t>
  </si>
  <si>
    <t>BG25312</t>
  </si>
  <si>
    <t>S14512</t>
  </si>
  <si>
    <t>BG25297</t>
  </si>
  <si>
    <t>BETANAGRO</t>
  </si>
  <si>
    <t>004-OSC-00051146</t>
  </si>
  <si>
    <t>S14522</t>
  </si>
  <si>
    <t>BG25311</t>
  </si>
  <si>
    <t>103-OCC-38380</t>
  </si>
  <si>
    <t>S14523</t>
  </si>
  <si>
    <t>BG25296</t>
  </si>
  <si>
    <t>S14526</t>
  </si>
  <si>
    <t>BG25310</t>
  </si>
  <si>
    <t>S14537</t>
  </si>
  <si>
    <t>BG25307</t>
  </si>
  <si>
    <t>020-CAL</t>
  </si>
  <si>
    <t>S14538</t>
  </si>
  <si>
    <t>BG25308</t>
  </si>
  <si>
    <t>S14539</t>
  </si>
  <si>
    <t>BG25378</t>
  </si>
  <si>
    <t>AGROPECURIA ALIAR</t>
  </si>
  <si>
    <t>S14541</t>
  </si>
  <si>
    <t>BG25377</t>
  </si>
  <si>
    <t>0024</t>
  </si>
  <si>
    <t>S14544</t>
  </si>
  <si>
    <t>BG25306</t>
  </si>
  <si>
    <t>OC-COMPR-22004</t>
  </si>
  <si>
    <t>S14518</t>
  </si>
  <si>
    <t>BG25373</t>
  </si>
  <si>
    <t>COC-00000388</t>
  </si>
  <si>
    <t>S14547</t>
  </si>
  <si>
    <t>BG25395</t>
  </si>
  <si>
    <t>S14553</t>
  </si>
  <si>
    <t>BG25305</t>
  </si>
  <si>
    <t>S14556</t>
  </si>
  <si>
    <t>BG25462</t>
  </si>
  <si>
    <t>S14557</t>
  </si>
  <si>
    <t>BG25450</t>
  </si>
  <si>
    <t>S14560</t>
  </si>
  <si>
    <t>BG25303</t>
  </si>
  <si>
    <t>S14561</t>
  </si>
  <si>
    <t>BG25302</t>
  </si>
  <si>
    <t>S14568</t>
  </si>
  <si>
    <t>BG25376</t>
  </si>
  <si>
    <t>S14570</t>
  </si>
  <si>
    <t>BG25301</t>
  </si>
  <si>
    <t>S14575</t>
  </si>
  <si>
    <t>BG25368</t>
  </si>
  <si>
    <t>S14578</t>
  </si>
  <si>
    <t>BG25367</t>
  </si>
  <si>
    <t>S14579</t>
  </si>
  <si>
    <t>BG25449</t>
  </si>
  <si>
    <t>S14580</t>
  </si>
  <si>
    <t>BG25366</t>
  </si>
  <si>
    <t>S14596</t>
  </si>
  <si>
    <t>BG25365</t>
  </si>
  <si>
    <t>S14602</t>
  </si>
  <si>
    <t>BG25364</t>
  </si>
  <si>
    <t>001-OCN-00013796</t>
  </si>
  <si>
    <t>S14606</t>
  </si>
  <si>
    <t>BG25484</t>
  </si>
  <si>
    <t>S14608</t>
  </si>
  <si>
    <t>BG25372</t>
  </si>
  <si>
    <t>S14610</t>
  </si>
  <si>
    <t>BG25483</t>
  </si>
  <si>
    <t>S14611</t>
  </si>
  <si>
    <t>BG25482</t>
  </si>
  <si>
    <t>S14613</t>
  </si>
  <si>
    <t>BG25422</t>
  </si>
  <si>
    <t>S14614</t>
  </si>
  <si>
    <t>BG25574</t>
  </si>
  <si>
    <t>S14615</t>
  </si>
  <si>
    <t>BG25628</t>
  </si>
  <si>
    <t>S14616</t>
  </si>
  <si>
    <t>BG25421</t>
  </si>
  <si>
    <t>OC 043</t>
  </si>
  <si>
    <t>S14620</t>
  </si>
  <si>
    <t>BG25371</t>
  </si>
  <si>
    <t>S14621</t>
  </si>
  <si>
    <t>BG25588</t>
  </si>
  <si>
    <t>BG25355</t>
  </si>
  <si>
    <t>BG25354</t>
  </si>
  <si>
    <t>BG25362</t>
  </si>
  <si>
    <t>BG25356</t>
  </si>
  <si>
    <t>DESPACHO ERRONEO // ENVIADO SOLO 1 SACO DE LOS 10 SOLICITADOS</t>
  </si>
  <si>
    <t>S14656</t>
  </si>
  <si>
    <t>BG25375</t>
  </si>
  <si>
    <t>S14657</t>
  </si>
  <si>
    <t>BG25380</t>
  </si>
  <si>
    <t>S14658</t>
  </si>
  <si>
    <t>BG25479</t>
  </si>
  <si>
    <t>S14660</t>
  </si>
  <si>
    <t>BG25385</t>
  </si>
  <si>
    <t>S14694</t>
  </si>
  <si>
    <t>BG25582</t>
  </si>
  <si>
    <t>S14668</t>
  </si>
  <si>
    <t>BG25583</t>
  </si>
  <si>
    <t>S14671</t>
  </si>
  <si>
    <t>BG25382</t>
  </si>
  <si>
    <t>S14673</t>
  </si>
  <si>
    <t>BG25480</t>
  </si>
  <si>
    <t>004-OSC-00051198</t>
  </si>
  <si>
    <t>S14675</t>
  </si>
  <si>
    <t>BG25447</t>
  </si>
  <si>
    <t>S14691</t>
  </si>
  <si>
    <t>BG25387</t>
  </si>
  <si>
    <t>BG25387 - BG25406</t>
  </si>
  <si>
    <t>BG25406</t>
  </si>
  <si>
    <t>S14693</t>
  </si>
  <si>
    <t>BG25386</t>
  </si>
  <si>
    <t>COC-00000001</t>
  </si>
  <si>
    <t>S14696</t>
  </si>
  <si>
    <t>BG25446</t>
  </si>
  <si>
    <t>PEDIDO NO SE ENTREGO EN LA FECHA SOLICITADA, DADO QUE SE PRESENTO DESPUES DE QUE EL CLIENTE CERRO (SABADO SOBRE LAS 12:15 P.M.)</t>
  </si>
  <si>
    <t>S14697</t>
  </si>
  <si>
    <t>BG25445</t>
  </si>
  <si>
    <t>005-OCC-10838</t>
  </si>
  <si>
    <t>S14698</t>
  </si>
  <si>
    <t>BG25444</t>
  </si>
  <si>
    <t>S14721</t>
  </si>
  <si>
    <t>BG25443</t>
  </si>
  <si>
    <t>S14722</t>
  </si>
  <si>
    <t>BG25467</t>
  </si>
  <si>
    <t>S14733</t>
  </si>
  <si>
    <t>BG25420</t>
  </si>
  <si>
    <t>INVERSIONES RICARPI</t>
  </si>
  <si>
    <t>S14734</t>
  </si>
  <si>
    <t>BG25391</t>
  </si>
  <si>
    <t>S14735</t>
  </si>
  <si>
    <t>BG25390</t>
  </si>
  <si>
    <t>S14738</t>
  </si>
  <si>
    <t>BG25670</t>
  </si>
  <si>
    <t>S15529</t>
  </si>
  <si>
    <t>BG25673</t>
  </si>
  <si>
    <t>S14740</t>
  </si>
  <si>
    <t>BG25394</t>
  </si>
  <si>
    <t>S14754</t>
  </si>
  <si>
    <t>BG25398</t>
  </si>
  <si>
    <t>S14768</t>
  </si>
  <si>
    <t>BG25442</t>
  </si>
  <si>
    <t>S14769</t>
  </si>
  <si>
    <t>BG25419</t>
  </si>
  <si>
    <t>S14770</t>
  </si>
  <si>
    <t>BG25418</t>
  </si>
  <si>
    <t>S14765</t>
  </si>
  <si>
    <t>BG25417</t>
  </si>
  <si>
    <t>200 R MONECYL X 25 KG</t>
  </si>
  <si>
    <t>S14771</t>
  </si>
  <si>
    <t>BG25416</t>
  </si>
  <si>
    <t>S14773</t>
  </si>
  <si>
    <t>BG25405</t>
  </si>
  <si>
    <t>S14774</t>
  </si>
  <si>
    <t>BG25404</t>
  </si>
  <si>
    <t>CFMP-1860</t>
  </si>
  <si>
    <t>S14511</t>
  </si>
  <si>
    <t>BG25315</t>
  </si>
  <si>
    <t>105-OCC-00017435</t>
  </si>
  <si>
    <t>S14780</t>
  </si>
  <si>
    <t>BG25403</t>
  </si>
  <si>
    <t xml:space="preserve">S14781
</t>
  </si>
  <si>
    <t>BG25414</t>
  </si>
  <si>
    <t>S14784</t>
  </si>
  <si>
    <t>BG25402</t>
  </si>
  <si>
    <t>S14785</t>
  </si>
  <si>
    <t>BG25401</t>
  </si>
  <si>
    <t xml:space="preserve">S14786 
</t>
  </si>
  <si>
    <t>BG25441</t>
  </si>
  <si>
    <t>BG25392</t>
  </si>
  <si>
    <t>BG25548</t>
  </si>
  <si>
    <t>022-OC-005763</t>
  </si>
  <si>
    <t>S14794</t>
  </si>
  <si>
    <t>BG25413</t>
  </si>
  <si>
    <t>S14795</t>
  </si>
  <si>
    <t>BG25440</t>
  </si>
  <si>
    <t>S14797</t>
  </si>
  <si>
    <t>BG25412</t>
  </si>
  <si>
    <t>S14800</t>
  </si>
  <si>
    <t>BG25411</t>
  </si>
  <si>
    <t>S14803</t>
  </si>
  <si>
    <t>BG25410</t>
  </si>
  <si>
    <t>103-OCC-38469</t>
  </si>
  <si>
    <t>S14804</t>
  </si>
  <si>
    <t>BG25439</t>
  </si>
  <si>
    <t>S14809</t>
  </si>
  <si>
    <t>BG25409</t>
  </si>
  <si>
    <t>S14810</t>
  </si>
  <si>
    <t>BG25481</t>
  </si>
  <si>
    <t>S14811</t>
  </si>
  <si>
    <t>S14812</t>
  </si>
  <si>
    <t>BG25437</t>
  </si>
  <si>
    <t>S14814</t>
  </si>
  <si>
    <t>BG25438</t>
  </si>
  <si>
    <t>S14816</t>
  </si>
  <si>
    <t>BG25436</t>
  </si>
  <si>
    <t>S14817</t>
  </si>
  <si>
    <t>SANTA ROSA DE OSOS</t>
  </si>
  <si>
    <t>BG25460</t>
  </si>
  <si>
    <t>S14819</t>
  </si>
  <si>
    <t>BG25514</t>
  </si>
  <si>
    <t>S14820</t>
  </si>
  <si>
    <t>BG25595</t>
  </si>
  <si>
    <t>TRANSBORDO EN LA MADRUGADA</t>
  </si>
  <si>
    <t>S14821</t>
  </si>
  <si>
    <t>BG25594</t>
  </si>
  <si>
    <t>S14825</t>
  </si>
  <si>
    <t>BG25435</t>
  </si>
  <si>
    <t>ENTREGA DESPUES DE LA FECHA SOLICITADA, EN LA DECHA SOLICITADA SE PRESENTO LUEGO DEL HORARIO DE RECEPCION</t>
  </si>
  <si>
    <t>S14818</t>
  </si>
  <si>
    <t>BG25408</t>
  </si>
  <si>
    <t>ENTREGA EN AGRO-PLUS Y NO EN LA DIRECCION SOLICITADA DEPOSITO LOS ALBAÑILES</t>
  </si>
  <si>
    <t>S14830</t>
  </si>
  <si>
    <t>BG25596</t>
  </si>
  <si>
    <t>AG-0009-26</t>
  </si>
  <si>
    <t>S14833</t>
  </si>
  <si>
    <t>BG25513</t>
  </si>
  <si>
    <t>S14834</t>
  </si>
  <si>
    <t>BG25512</t>
  </si>
  <si>
    <t>S14837</t>
  </si>
  <si>
    <t>BG25511</t>
  </si>
  <si>
    <t xml:space="preserve">4500087472 
</t>
  </si>
  <si>
    <t>S14840</t>
  </si>
  <si>
    <t>BG25433</t>
  </si>
  <si>
    <t>CALIDAD</t>
  </si>
  <si>
    <t>S14841</t>
  </si>
  <si>
    <t>BG25432</t>
  </si>
  <si>
    <t>S14842</t>
  </si>
  <si>
    <t>BG25466</t>
  </si>
  <si>
    <t xml:space="preserve">4500087472
</t>
  </si>
  <si>
    <t>S14843</t>
  </si>
  <si>
    <t>BG25431</t>
  </si>
  <si>
    <t>S14845</t>
  </si>
  <si>
    <t>BG25430</t>
  </si>
  <si>
    <t>GARAGOA</t>
  </si>
  <si>
    <t>S15092</t>
  </si>
  <si>
    <t>CACHIPAY</t>
  </si>
  <si>
    <t>S14846</t>
  </si>
  <si>
    <t>BG25429</t>
  </si>
  <si>
    <t>S14849</t>
  </si>
  <si>
    <t>BG25428</t>
  </si>
  <si>
    <t>ORC-2603006</t>
  </si>
  <si>
    <t>S14850</t>
  </si>
  <si>
    <t>BG25427</t>
  </si>
  <si>
    <t>S14858</t>
  </si>
  <si>
    <t>BG25426</t>
  </si>
  <si>
    <t>S14859</t>
  </si>
  <si>
    <t>BG25425</t>
  </si>
  <si>
    <t>MD DISTRIBUCIONES Y REPRESENTACIONES</t>
  </si>
  <si>
    <t>S14787</t>
  </si>
  <si>
    <t>BG25424</t>
  </si>
  <si>
    <t>ODC-00008420</t>
  </si>
  <si>
    <t>S14899</t>
  </si>
  <si>
    <t>BG25477</t>
  </si>
  <si>
    <t>INVERSIONES EL DORADO</t>
  </si>
  <si>
    <t>OIBA</t>
  </si>
  <si>
    <t>TAS-OC-004834</t>
  </si>
  <si>
    <t>S14905</t>
  </si>
  <si>
    <t>BG25456</t>
  </si>
  <si>
    <t>Y - 001 - 4515</t>
  </si>
  <si>
    <t>S14911</t>
  </si>
  <si>
    <t>BG25455</t>
  </si>
  <si>
    <t>UNIVERSAL AVICOLA</t>
  </si>
  <si>
    <t>S14914</t>
  </si>
  <si>
    <t>BG25423</t>
  </si>
  <si>
    <t>COC-00000392</t>
  </si>
  <si>
    <t>S14903</t>
  </si>
  <si>
    <t>BG25537</t>
  </si>
  <si>
    <t>S15115</t>
  </si>
  <si>
    <t>BG25532</t>
  </si>
  <si>
    <t>S14916</t>
  </si>
  <si>
    <t>S14906</t>
  </si>
  <si>
    <t>BG25454</t>
  </si>
  <si>
    <t>PAULANDIA</t>
  </si>
  <si>
    <t>S14925</t>
  </si>
  <si>
    <t>BG25459</t>
  </si>
  <si>
    <t>HUEVOS LA GRANJA DE MAO</t>
  </si>
  <si>
    <t>S14927</t>
  </si>
  <si>
    <t>BG25510</t>
  </si>
  <si>
    <t>O.C. 47807</t>
  </si>
  <si>
    <t>S14934</t>
  </si>
  <si>
    <t>BG25476</t>
  </si>
  <si>
    <t>S14935</t>
  </si>
  <si>
    <t>BG25475</t>
  </si>
  <si>
    <t>S14937</t>
  </si>
  <si>
    <t>BG25458</t>
  </si>
  <si>
    <t>S14938</t>
  </si>
  <si>
    <t>BG25457</t>
  </si>
  <si>
    <t>S14939</t>
  </si>
  <si>
    <t>BG25509</t>
  </si>
  <si>
    <t>S14940</t>
  </si>
  <si>
    <t>BG25508</t>
  </si>
  <si>
    <t>S14956</t>
  </si>
  <si>
    <t>BG25465</t>
  </si>
  <si>
    <t>S14968</t>
  </si>
  <si>
    <t>BG25489</t>
  </si>
  <si>
    <t>S14971</t>
  </si>
  <si>
    <t>BG25536</t>
  </si>
  <si>
    <t>S14972</t>
  </si>
  <si>
    <t>BG25535</t>
  </si>
  <si>
    <t>S14973</t>
  </si>
  <si>
    <t>BG25671</t>
  </si>
  <si>
    <t>S14974</t>
  </si>
  <si>
    <t>BG25464</t>
  </si>
  <si>
    <t>S14975</t>
  </si>
  <si>
    <t>BG25507</t>
  </si>
  <si>
    <t>OCO-0045283</t>
  </si>
  <si>
    <t>S14977</t>
  </si>
  <si>
    <t>BG25474</t>
  </si>
  <si>
    <t>S14980</t>
  </si>
  <si>
    <t>BG25473</t>
  </si>
  <si>
    <t>SITIO NUEVO</t>
  </si>
  <si>
    <t>OCP-1247</t>
  </si>
  <si>
    <t>S14982</t>
  </si>
  <si>
    <t>BG25506</t>
  </si>
  <si>
    <t>BG25463</t>
  </si>
  <si>
    <t>A02-COC-320256</t>
  </si>
  <si>
    <t>S14983</t>
  </si>
  <si>
    <t>BG25505</t>
  </si>
  <si>
    <t>S14984</t>
  </si>
  <si>
    <t>BG25472</t>
  </si>
  <si>
    <t>100-CON-00024760</t>
  </si>
  <si>
    <t>S14985</t>
  </si>
  <si>
    <t>BG25534</t>
  </si>
  <si>
    <t>S14989</t>
  </si>
  <si>
    <t>BG25575</t>
  </si>
  <si>
    <t>S15000</t>
  </si>
  <si>
    <t>BG25576</t>
  </si>
  <si>
    <t>S15001</t>
  </si>
  <si>
    <t>BG25485</t>
  </si>
  <si>
    <t>S15002</t>
  </si>
  <si>
    <t>BG25469</t>
  </si>
  <si>
    <t>1931-R</t>
  </si>
  <si>
    <t>S15003</t>
  </si>
  <si>
    <t>BG25471</t>
  </si>
  <si>
    <t>001-OSC-72436</t>
  </si>
  <si>
    <t>S15004</t>
  </si>
  <si>
    <t>BG25504</t>
  </si>
  <si>
    <t>S14685</t>
  </si>
  <si>
    <t>BG25384</t>
  </si>
  <si>
    <t>S14687</t>
  </si>
  <si>
    <t>BG25383</t>
  </si>
  <si>
    <t>0.9</t>
  </si>
  <si>
    <t>CFMP-1877</t>
  </si>
  <si>
    <t>S14777</t>
  </si>
  <si>
    <t>BG25415</t>
  </si>
  <si>
    <t>S14831</t>
  </si>
  <si>
    <t>BG25434</t>
  </si>
  <si>
    <t>S15018</t>
  </si>
  <si>
    <t>BG25487</t>
  </si>
  <si>
    <t>S15019</t>
  </si>
  <si>
    <t>BG25486</t>
  </si>
  <si>
    <t>COC-00000581</t>
  </si>
  <si>
    <t>S15020</t>
  </si>
  <si>
    <t>BG25521</t>
  </si>
  <si>
    <t>YOLOMBO</t>
  </si>
  <si>
    <t>004-OCS-51273</t>
  </si>
  <si>
    <t>S15024</t>
  </si>
  <si>
    <t>BG25490</t>
  </si>
  <si>
    <t>S15021</t>
  </si>
  <si>
    <t>BG25491</t>
  </si>
  <si>
    <t>S15054</t>
  </si>
  <si>
    <t>BG25503</t>
  </si>
  <si>
    <t>S15061</t>
  </si>
  <si>
    <t>BG25587</t>
  </si>
  <si>
    <t>007-OC-051769</t>
  </si>
  <si>
    <t>11:!2</t>
  </si>
  <si>
    <t>S15064</t>
  </si>
  <si>
    <t>BG25502</t>
  </si>
  <si>
    <t>S15071</t>
  </si>
  <si>
    <t>BG25501</t>
  </si>
  <si>
    <t>BG25492</t>
  </si>
  <si>
    <t>AVICOLA TORCOROMA</t>
  </si>
  <si>
    <t>001-OSC-00072300</t>
  </si>
  <si>
    <t>S15078</t>
  </si>
  <si>
    <t>BG25500</t>
  </si>
  <si>
    <t>001-SC-015961</t>
  </si>
  <si>
    <t>S15083</t>
  </si>
  <si>
    <t>BG25499</t>
  </si>
  <si>
    <t>S15088</t>
  </si>
  <si>
    <t>BG25498</t>
  </si>
  <si>
    <t>S15095</t>
  </si>
  <si>
    <t>BG25515</t>
  </si>
  <si>
    <t>S15097</t>
  </si>
  <si>
    <t>BG25497</t>
  </si>
  <si>
    <t>GUADUAS</t>
  </si>
  <si>
    <t>103-OCC-38548</t>
  </si>
  <si>
    <t>S15106</t>
  </si>
  <si>
    <t>BG25520</t>
  </si>
  <si>
    <t>S15109</t>
  </si>
  <si>
    <t>BG25517</t>
  </si>
  <si>
    <t>S15110</t>
  </si>
  <si>
    <t>BG25533</t>
  </si>
  <si>
    <t>ORC-2603013</t>
  </si>
  <si>
    <t>S15112</t>
  </si>
  <si>
    <t>BG25519</t>
  </si>
  <si>
    <t>3016-1309</t>
  </si>
  <si>
    <t>S15113</t>
  </si>
  <si>
    <t>BG25496</t>
  </si>
  <si>
    <t>ALIMENTOS ALDQUE</t>
  </si>
  <si>
    <t>S15114</t>
  </si>
  <si>
    <t>BG25495</t>
  </si>
  <si>
    <t>3016-1312</t>
  </si>
  <si>
    <t>S15121</t>
  </si>
  <si>
    <t>BG25494</t>
  </si>
  <si>
    <t>S15122</t>
  </si>
  <si>
    <t>BG25577</t>
  </si>
  <si>
    <t>RIO FRIO</t>
  </si>
  <si>
    <t>S15123</t>
  </si>
  <si>
    <t>BG25531</t>
  </si>
  <si>
    <t>OC.COMPR-2243</t>
  </si>
  <si>
    <t>S15136</t>
  </si>
  <si>
    <t>BG25524</t>
  </si>
  <si>
    <t>S15141</t>
  </si>
  <si>
    <t>BG25530</t>
  </si>
  <si>
    <t>S15143</t>
  </si>
  <si>
    <t>BG25552</t>
  </si>
  <si>
    <t>S15149</t>
  </si>
  <si>
    <t>BG25523</t>
  </si>
  <si>
    <t>BIO CONCENTRADOS</t>
  </si>
  <si>
    <t>OC-COMPR-22243</t>
  </si>
  <si>
    <t>S15145</t>
  </si>
  <si>
    <t>BG25518</t>
  </si>
  <si>
    <t>S15151</t>
  </si>
  <si>
    <t>BG25516</t>
  </si>
  <si>
    <t>S15159</t>
  </si>
  <si>
    <t>BG25522</t>
  </si>
  <si>
    <t>VALLE</t>
  </si>
  <si>
    <t>S15166</t>
  </si>
  <si>
    <t>BG25578</t>
  </si>
  <si>
    <t>S15167</t>
  </si>
  <si>
    <t>BG25529</t>
  </si>
  <si>
    <t>DISTRIBUCIONES AGRO-PLUS</t>
  </si>
  <si>
    <t>S15172</t>
  </si>
  <si>
    <t>BG25528</t>
  </si>
  <si>
    <t>S15193</t>
  </si>
  <si>
    <t>BG25614</t>
  </si>
  <si>
    <t>S15194</t>
  </si>
  <si>
    <t>BG25527</t>
  </si>
  <si>
    <t>S15190</t>
  </si>
  <si>
    <t>BG25549</t>
  </si>
  <si>
    <t>S15198</t>
  </si>
  <si>
    <t>BG25526</t>
  </si>
  <si>
    <t>006-OC-029401</t>
  </si>
  <si>
    <t>S15203</t>
  </si>
  <si>
    <t>BG25543</t>
  </si>
  <si>
    <t>COC-00000403</t>
  </si>
  <si>
    <t>S15205</t>
  </si>
  <si>
    <t>BG25622</t>
  </si>
  <si>
    <t>OC-030031</t>
  </si>
  <si>
    <t>S15206</t>
  </si>
  <si>
    <t>BG25613</t>
  </si>
  <si>
    <t>S15216</t>
  </si>
  <si>
    <t>BG25542</t>
  </si>
  <si>
    <t>S15217</t>
  </si>
  <si>
    <t>BG25541</t>
  </si>
  <si>
    <t>S15218</t>
  </si>
  <si>
    <t>BG25540</t>
  </si>
  <si>
    <t>S15219</t>
  </si>
  <si>
    <t>BG25539</t>
  </si>
  <si>
    <t>040 CAL</t>
  </si>
  <si>
    <t>S15220</t>
  </si>
  <si>
    <t>BG25538</t>
  </si>
  <si>
    <t>S15228</t>
  </si>
  <si>
    <t>BG25547</t>
  </si>
  <si>
    <t>INVERSIONES FC</t>
  </si>
  <si>
    <t>S15229</t>
  </si>
  <si>
    <t>BG25546</t>
  </si>
  <si>
    <t>S15230</t>
  </si>
  <si>
    <t>BG25627</t>
  </si>
  <si>
    <t>INVERSIONES CARDONA RIOS</t>
  </si>
  <si>
    <t>LA CEJA</t>
  </si>
  <si>
    <t>S15550</t>
  </si>
  <si>
    <t>BG25667</t>
  </si>
  <si>
    <t>S15238</t>
  </si>
  <si>
    <t>BG25658</t>
  </si>
  <si>
    <t>ROFLOX 20 X 1L</t>
  </si>
  <si>
    <t>004-OSC-00051354</t>
  </si>
  <si>
    <t>S15240</t>
  </si>
  <si>
    <t>BG25586</t>
  </si>
  <si>
    <t>S15245</t>
  </si>
  <si>
    <t>BG25581</t>
  </si>
  <si>
    <t>16;50</t>
  </si>
  <si>
    <t>S15246</t>
  </si>
  <si>
    <t>BG25660</t>
  </si>
  <si>
    <t>S15247</t>
  </si>
  <si>
    <t>BG25663</t>
  </si>
  <si>
    <t>CFMP-1904</t>
  </si>
  <si>
    <t>S15262</t>
  </si>
  <si>
    <t>BG25585</t>
  </si>
  <si>
    <t>005-OSC-00010912</t>
  </si>
  <si>
    <t>S15263</t>
  </si>
  <si>
    <t>BG25642</t>
  </si>
  <si>
    <t>S15264</t>
  </si>
  <si>
    <t>BG25580</t>
  </si>
  <si>
    <t>S15265</t>
  </si>
  <si>
    <t>BG25612</t>
  </si>
  <si>
    <t>S15266</t>
  </si>
  <si>
    <t>BG25611</t>
  </si>
  <si>
    <t>5 KG X FENIFLOR PREMIX</t>
  </si>
  <si>
    <t>S15268</t>
  </si>
  <si>
    <t>BG25669</t>
  </si>
  <si>
    <t>S15278</t>
  </si>
  <si>
    <t>BG25610</t>
  </si>
  <si>
    <t>AL-260320</t>
  </si>
  <si>
    <t>S15280</t>
  </si>
  <si>
    <t>BG25579</t>
  </si>
  <si>
    <t>INUSMOS AGROPECUARIOS DEL CAFE</t>
  </si>
  <si>
    <t>S15307</t>
  </si>
  <si>
    <t>BG25584</t>
  </si>
  <si>
    <t>S15325</t>
  </si>
  <si>
    <t>001-OSC-00072759</t>
  </si>
  <si>
    <t>S15329</t>
  </si>
  <si>
    <t>BG25593</t>
  </si>
  <si>
    <t>CFMP-1911</t>
  </si>
  <si>
    <t>S15335</t>
  </si>
  <si>
    <t>BG25609</t>
  </si>
  <si>
    <t>S15338</t>
  </si>
  <si>
    <t>BG25590</t>
  </si>
  <si>
    <t>S15340</t>
  </si>
  <si>
    <t>BG25589</t>
  </si>
  <si>
    <t>EN ESPERA DE AUTORIZACION DE ENVIO</t>
  </si>
  <si>
    <t>P-1677</t>
  </si>
  <si>
    <t>S15343</t>
  </si>
  <si>
    <t>BG25626</t>
  </si>
  <si>
    <t>ORC-2603028</t>
  </si>
  <si>
    <t>S15345</t>
  </si>
  <si>
    <t>BG25608</t>
  </si>
  <si>
    <t>S15349</t>
  </si>
  <si>
    <t>BG25607</t>
  </si>
  <si>
    <t>S15350</t>
  </si>
  <si>
    <t>BG25606</t>
  </si>
  <si>
    <t>BIOPRESS S.A.</t>
  </si>
  <si>
    <t>S15451</t>
  </si>
  <si>
    <t>BG25637</t>
  </si>
  <si>
    <t>BG25641</t>
  </si>
  <si>
    <t>S15351</t>
  </si>
  <si>
    <t>022-OC-005800</t>
  </si>
  <si>
    <t>S15354</t>
  </si>
  <si>
    <t>BG25605</t>
  </si>
  <si>
    <t>S15355</t>
  </si>
  <si>
    <t>BG25604</t>
  </si>
  <si>
    <t>S15357</t>
  </si>
  <si>
    <t>BG25591</t>
  </si>
  <si>
    <t>S15358</t>
  </si>
  <si>
    <t>BG25644</t>
  </si>
  <si>
    <t>S15359</t>
  </si>
  <si>
    <t>BG25603</t>
  </si>
  <si>
    <t>S15360</t>
  </si>
  <si>
    <t>BG25602</t>
  </si>
  <si>
    <t>020-OC-003780</t>
  </si>
  <si>
    <t>S15362</t>
  </si>
  <si>
    <t>BG25601</t>
  </si>
  <si>
    <t>S15365</t>
  </si>
  <si>
    <t>BG25621</t>
  </si>
  <si>
    <t>020-OC-003781</t>
  </si>
  <si>
    <t>S15363</t>
  </si>
  <si>
    <t>BG25625</t>
  </si>
  <si>
    <t>S15430</t>
  </si>
  <si>
    <t>BG25623</t>
  </si>
  <si>
    <t>S15378</t>
  </si>
  <si>
    <t>BG25620</t>
  </si>
  <si>
    <t>S15379</t>
  </si>
  <si>
    <t>BG25619</t>
  </si>
  <si>
    <t>S15380</t>
  </si>
  <si>
    <t>BG25677</t>
  </si>
  <si>
    <t>S15381</t>
  </si>
  <si>
    <t>BG25600</t>
  </si>
  <si>
    <t>S15382</t>
  </si>
  <si>
    <t>BG25662</t>
  </si>
  <si>
    <t>S15383</t>
  </si>
  <si>
    <t>BG25624</t>
  </si>
  <si>
    <t>S15385</t>
  </si>
  <si>
    <t>BG25599</t>
  </si>
  <si>
    <t>S15389</t>
  </si>
  <si>
    <t>BG25661</t>
  </si>
  <si>
    <t>001-OSC-00072854</t>
  </si>
  <si>
    <t>S15393</t>
  </si>
  <si>
    <t>BG25640</t>
  </si>
  <si>
    <t>BODEGA EN CONSIGNACION</t>
  </si>
  <si>
    <t>S15411</t>
  </si>
  <si>
    <t>BG25598</t>
  </si>
  <si>
    <t>S15412</t>
  </si>
  <si>
    <t>BG25597</t>
  </si>
  <si>
    <t>S15415</t>
  </si>
  <si>
    <t>BG25639</t>
  </si>
  <si>
    <t>S15416</t>
  </si>
  <si>
    <t>BG25638</t>
  </si>
  <si>
    <t>S15419</t>
  </si>
  <si>
    <t>BG25618</t>
  </si>
  <si>
    <t>DISTRIBUIDORA AGRO-PLUS SAS</t>
  </si>
  <si>
    <t>S15420</t>
  </si>
  <si>
    <t>BG25617</t>
  </si>
  <si>
    <t>S15421</t>
  </si>
  <si>
    <t>BG25616</t>
  </si>
  <si>
    <t>S15423</t>
  </si>
  <si>
    <t>BG25615</t>
  </si>
  <si>
    <t>103-OCC-38640</t>
  </si>
  <si>
    <t>S15394</t>
  </si>
  <si>
    <t>BG25652</t>
  </si>
  <si>
    <t>S15530</t>
  </si>
  <si>
    <t>BG25668</t>
  </si>
  <si>
    <t>S15434</t>
  </si>
  <si>
    <t>BG25629</t>
  </si>
  <si>
    <t>S15450</t>
  </si>
  <si>
    <t>BG25657</t>
  </si>
  <si>
    <t>BG25651</t>
  </si>
  <si>
    <t>COC-00000412</t>
  </si>
  <si>
    <t>S15477</t>
  </si>
  <si>
    <t>BG25650</t>
  </si>
  <si>
    <t>S15480</t>
  </si>
  <si>
    <t>BG25634</t>
  </si>
  <si>
    <t>S15481</t>
  </si>
  <si>
    <t>BG25632</t>
  </si>
  <si>
    <t>S15482</t>
  </si>
  <si>
    <t>BG25631</t>
  </si>
  <si>
    <t>S15483</t>
  </si>
  <si>
    <t>BG25633</t>
  </si>
  <si>
    <t>S15504</t>
  </si>
  <si>
    <t>BG25643</t>
  </si>
  <si>
    <t>13;34</t>
  </si>
  <si>
    <t>S15484</t>
  </si>
  <si>
    <t>BG25649</t>
  </si>
  <si>
    <t>005-OSC-00010941</t>
  </si>
  <si>
    <t>S15485</t>
  </si>
  <si>
    <t>BG25656</t>
  </si>
  <si>
    <t>S15492</t>
  </si>
  <si>
    <t>BG25648</t>
  </si>
  <si>
    <t>S15493</t>
  </si>
  <si>
    <t>BG25647</t>
  </si>
  <si>
    <t>S15494</t>
  </si>
  <si>
    <t>BG25646</t>
  </si>
  <si>
    <t>S15495</t>
  </si>
  <si>
    <t>S15498</t>
  </si>
  <si>
    <t>BG25655</t>
  </si>
  <si>
    <t>S14822</t>
  </si>
  <si>
    <t>BG25672</t>
  </si>
  <si>
    <t>S15387</t>
  </si>
  <si>
    <t>BG25664</t>
  </si>
  <si>
    <t>S15418</t>
  </si>
  <si>
    <t>BG25683</t>
  </si>
  <si>
    <t>004-OSC-00051424</t>
  </si>
  <si>
    <t>S15561</t>
  </si>
  <si>
    <t>BG25676</t>
  </si>
  <si>
    <t>001-OSC-00073092</t>
  </si>
  <si>
    <t>S15567</t>
  </si>
  <si>
    <t>BG25675</t>
  </si>
  <si>
    <t>S15581</t>
  </si>
  <si>
    <t>BG25665</t>
  </si>
  <si>
    <t>S15594</t>
  </si>
  <si>
    <t>BG25666</t>
  </si>
  <si>
    <t>S15617</t>
  </si>
  <si>
    <t>BG25678</t>
  </si>
  <si>
    <t>S15629</t>
  </si>
  <si>
    <t>BG25684</t>
  </si>
  <si>
    <t>ERNESTO OSPINA</t>
  </si>
  <si>
    <t>S15502</t>
  </si>
  <si>
    <t>FENIFLOR PREMIX X 5Kg</t>
  </si>
  <si>
    <t>OC-030038</t>
  </si>
  <si>
    <t>S15524</t>
  </si>
  <si>
    <t xml:space="preserve">INVENTARIO </t>
  </si>
  <si>
    <t>( CAMBIO POR DISPOBIBILIDAD DE PRODUCTO)</t>
  </si>
  <si>
    <t>PEDIDO ENVIADO ERRONEAMENTE AL MOMENTO DE LA ENTREGA EN SERVIENTREGA</t>
  </si>
  <si>
    <t>AUTORIZACION PARA ENVIO DE PRODUCTO</t>
  </si>
  <si>
    <t>TRANSPORTE // BACKODER</t>
  </si>
  <si>
    <t>Total ventas no ejecutadas en el mes de Marzo</t>
  </si>
  <si>
    <t>CARTERA / ALISTAMIENTO</t>
  </si>
  <si>
    <t>ETIQUETA NO COINCIDIA CON EL CERTIFICADO</t>
  </si>
  <si>
    <t>CAMBIOS EN LA COLORACION DEL PRODUCTO</t>
  </si>
  <si>
    <t>DEMORAS EN EL ALISTAMIENTO Y FRACCIONAMIENTO DEL PRODUCTO</t>
  </si>
  <si>
    <t>PEDIDO NO SE ENTREGO EN LA FECHA SOLICITADA, DADO QUE SE PRESENTO DESPUES DE QUE EL CLIENTE Cerro las intalaciones (SABADO SOBRE LAS 12:15 P.M.)</t>
  </si>
  <si>
    <t>PRODUCTO ENVIADO SIN SOLICITUD</t>
  </si>
  <si>
    <t>Envio de lote que no cumplia concentracion</t>
  </si>
  <si>
    <t>S14536</t>
  </si>
  <si>
    <t>Negociacion especial con premex para entregar obligados</t>
  </si>
  <si>
    <t>(50 KILOS CON FORECAST / 100 SIN FORECAST)</t>
  </si>
  <si>
    <t>CODIGOS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</si>
</sst>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%"/>
    <numFmt numFmtId="165" formatCode="_-&quot;$&quot;\ * #,##0_-;\-&quot;$&quot;\ * #,##0_-;_-&quot;$&quot;\ * &quot;-&quot;??_-;_-@_-"/>
  </numFmts>
  <fonts count="29">
    <font>
      <sz val="10"/>
      <color rgb="FF000000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00339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Docs-Calibri"/>
    </font>
    <font>
      <sz val="11"/>
      <color rgb="FF000000"/>
      <name val="Calibri"/>
      <family val="2"/>
    </font>
    <font>
      <b/>
      <sz val="12"/>
      <color rgb="FF0A0A0A"/>
      <name val="Roboto Regular"/>
    </font>
    <font>
      <b/>
      <u/>
      <sz val="10"/>
      <color rgb="FF222222"/>
      <name val="Arial"/>
      <family val="2"/>
    </font>
    <font>
      <b/>
      <sz val="9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Arial"/>
      <family val="2"/>
    </font>
    <font>
      <sz val="10"/>
      <color rgb="FF111827"/>
      <name val="Arial"/>
      <family val="2"/>
    </font>
    <font>
      <sz val="9"/>
      <color rgb="FF000000"/>
      <name val="Calibri"/>
      <family val="2"/>
    </font>
    <font>
      <sz val="10"/>
      <color rgb="FF111827"/>
      <name val="SF Pro Display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E17FD5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95959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386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 applyAlignment="1">
      <alignment horizontal="left"/>
    </xf>
    <xf numFmtId="0" fontId="1" fillId="0" borderId="0" xfId="2"/>
    <xf numFmtId="0" fontId="1" fillId="0" borderId="0" xfId="2" applyAlignment="1">
      <alignment horizontal="center"/>
    </xf>
    <xf numFmtId="0" fontId="3" fillId="0" borderId="5" xfId="2" applyFont="1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5" fillId="8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7" fontId="5" fillId="8" borderId="6" xfId="2" applyNumberFormat="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17" fontId="5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8" fillId="2" borderId="6" xfId="2" applyFont="1" applyFill="1" applyBorder="1" applyAlignment="1">
      <alignment horizontal="center" vertical="center"/>
    </xf>
    <xf numFmtId="0" fontId="1" fillId="2" borderId="6" xfId="2" applyFill="1" applyBorder="1" applyAlignment="1">
      <alignment horizontal="center" vertical="center"/>
    </xf>
    <xf numFmtId="0" fontId="8" fillId="11" borderId="6" xfId="2" applyFont="1" applyFill="1" applyBorder="1" applyAlignment="1">
      <alignment horizontal="center" vertical="center"/>
    </xf>
    <xf numFmtId="0" fontId="1" fillId="11" borderId="6" xfId="2" applyFill="1" applyBorder="1" applyAlignment="1">
      <alignment horizontal="center" vertical="center"/>
    </xf>
    <xf numFmtId="0" fontId="8" fillId="12" borderId="6" xfId="2" applyFont="1" applyFill="1" applyBorder="1" applyAlignment="1">
      <alignment horizontal="center" vertical="center"/>
    </xf>
    <xf numFmtId="0" fontId="1" fillId="12" borderId="6" xfId="2" applyFill="1" applyBorder="1" applyAlignment="1">
      <alignment horizontal="center" vertical="center"/>
    </xf>
    <xf numFmtId="0" fontId="8" fillId="13" borderId="6" xfId="2" applyFont="1" applyFill="1" applyBorder="1" applyAlignment="1">
      <alignment horizontal="center" vertical="center"/>
    </xf>
    <xf numFmtId="0" fontId="1" fillId="13" borderId="6" xfId="2" applyFill="1" applyBorder="1" applyAlignment="1">
      <alignment horizontal="center" vertical="center"/>
    </xf>
    <xf numFmtId="0" fontId="1" fillId="14" borderId="6" xfId="2" applyFill="1" applyBorder="1" applyAlignment="1">
      <alignment horizontal="center"/>
    </xf>
    <xf numFmtId="0" fontId="1" fillId="14" borderId="6" xfId="2" applyFill="1" applyBorder="1" applyAlignment="1">
      <alignment horizontal="center" vertical="center"/>
    </xf>
    <xf numFmtId="0" fontId="4" fillId="9" borderId="9" xfId="2" applyFont="1" applyFill="1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1" fillId="0" borderId="5" xfId="2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center" vertical="center"/>
    </xf>
    <xf numFmtId="0" fontId="9" fillId="0" borderId="0" xfId="0" applyFont="1" applyAlignment="1">
      <alignment horizontal="center"/>
    </xf>
    <xf numFmtId="165" fontId="9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indent="1"/>
    </xf>
    <xf numFmtId="165" fontId="2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4" borderId="4" xfId="0" applyFont="1" applyFill="1" applyBorder="1" applyAlignment="1">
      <alignment horizontal="center" vertical="center" wrapText="1"/>
    </xf>
    <xf numFmtId="14" fontId="11" fillId="4" borderId="4" xfId="0" applyNumberFormat="1" applyFont="1" applyFill="1" applyBorder="1" applyAlignment="1">
      <alignment horizontal="center" vertical="center" wrapText="1"/>
    </xf>
    <xf numFmtId="20" fontId="11" fillId="4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14" fontId="11" fillId="4" borderId="4" xfId="0" applyNumberFormat="1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10" fillId="4" borderId="4" xfId="0" applyFont="1" applyFill="1" applyBorder="1" applyAlignment="1">
      <alignment wrapText="1"/>
    </xf>
    <xf numFmtId="20" fontId="11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20" fontId="10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horizontal="center" wrapText="1"/>
    </xf>
    <xf numFmtId="14" fontId="11" fillId="15" borderId="4" xfId="0" applyNumberFormat="1" applyFont="1" applyFill="1" applyBorder="1" applyAlignment="1">
      <alignment horizontal="center" vertical="center" wrapText="1"/>
    </xf>
    <xf numFmtId="20" fontId="11" fillId="15" borderId="4" xfId="0" applyNumberFormat="1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wrapText="1"/>
    </xf>
    <xf numFmtId="0" fontId="11" fillId="15" borderId="4" xfId="0" applyFont="1" applyFill="1" applyBorder="1" applyAlignment="1">
      <alignment vertical="center" wrapText="1"/>
    </xf>
    <xf numFmtId="0" fontId="11" fillId="16" borderId="4" xfId="0" applyFont="1" applyFill="1" applyBorder="1" applyAlignment="1">
      <alignment horizontal="center" vertical="center" wrapText="1"/>
    </xf>
    <xf numFmtId="14" fontId="11" fillId="16" borderId="4" xfId="0" applyNumberFormat="1" applyFont="1" applyFill="1" applyBorder="1" applyAlignment="1">
      <alignment horizontal="center" vertical="center" wrapText="1"/>
    </xf>
    <xf numFmtId="20" fontId="11" fillId="16" borderId="4" xfId="0" applyNumberFormat="1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vertical="center" wrapText="1"/>
    </xf>
    <xf numFmtId="0" fontId="10" fillId="16" borderId="4" xfId="0" applyFont="1" applyFill="1" applyBorder="1" applyAlignment="1">
      <alignment wrapText="1"/>
    </xf>
    <xf numFmtId="0" fontId="11" fillId="16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14" fontId="11" fillId="2" borderId="4" xfId="0" applyNumberFormat="1" applyFont="1" applyFill="1" applyBorder="1" applyAlignment="1">
      <alignment horizontal="center" vertical="center" wrapText="1"/>
    </xf>
    <xf numFmtId="20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4" fontId="11" fillId="2" borderId="4" xfId="0" applyNumberFormat="1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1" fillId="2" borderId="4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wrapText="1"/>
    </xf>
    <xf numFmtId="0" fontId="14" fillId="15" borderId="4" xfId="0" applyFont="1" applyFill="1" applyBorder="1" applyAlignment="1">
      <alignment horizontal="center" wrapText="1"/>
    </xf>
    <xf numFmtId="0" fontId="0" fillId="0" borderId="0" xfId="0" pivotButton="1"/>
    <xf numFmtId="0" fontId="11" fillId="2" borderId="3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3" fontId="11" fillId="15" borderId="3" xfId="0" applyNumberFormat="1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wrapText="1"/>
    </xf>
    <xf numFmtId="0" fontId="10" fillId="4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14" fillId="4" borderId="3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wrapText="1"/>
    </xf>
    <xf numFmtId="3" fontId="11" fillId="4" borderId="3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wrapText="1"/>
    </xf>
    <xf numFmtId="0" fontId="10" fillId="17" borderId="3" xfId="0" applyFont="1" applyFill="1" applyBorder="1" applyAlignment="1">
      <alignment wrapText="1"/>
    </xf>
    <xf numFmtId="14" fontId="11" fillId="18" borderId="4" xfId="0" applyNumberFormat="1" applyFont="1" applyFill="1" applyBorder="1" applyAlignment="1">
      <alignment horizontal="center" vertical="center" wrapText="1"/>
    </xf>
    <xf numFmtId="20" fontId="11" fillId="18" borderId="4" xfId="0" applyNumberFormat="1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wrapText="1"/>
    </xf>
    <xf numFmtId="0" fontId="11" fillId="18" borderId="4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 wrapText="1"/>
    </xf>
    <xf numFmtId="14" fontId="11" fillId="6" borderId="4" xfId="0" applyNumberFormat="1" applyFont="1" applyFill="1" applyBorder="1" applyAlignment="1">
      <alignment horizontal="center" vertical="center" wrapText="1"/>
    </xf>
    <xf numFmtId="20" fontId="11" fillId="6" borderId="4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vertical="center" wrapText="1"/>
    </xf>
    <xf numFmtId="0" fontId="11" fillId="19" borderId="3" xfId="0" applyFont="1" applyFill="1" applyBorder="1" applyAlignment="1">
      <alignment horizontal="center" vertical="center" wrapText="1"/>
    </xf>
    <xf numFmtId="14" fontId="11" fillId="19" borderId="4" xfId="0" applyNumberFormat="1" applyFont="1" applyFill="1" applyBorder="1" applyAlignment="1">
      <alignment horizontal="center" vertical="center" wrapText="1"/>
    </xf>
    <xf numFmtId="20" fontId="11" fillId="19" borderId="4" xfId="0" applyNumberFormat="1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vertical="center" wrapText="1"/>
    </xf>
    <xf numFmtId="0" fontId="17" fillId="0" borderId="0" xfId="2" applyFont="1" applyAlignment="1">
      <alignment horizontal="left" vertical="center" wrapText="1"/>
    </xf>
    <xf numFmtId="0" fontId="17" fillId="0" borderId="0" xfId="2" applyFont="1" applyAlignment="1">
      <alignment horizontal="left" vertical="center"/>
    </xf>
    <xf numFmtId="3" fontId="9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20" borderId="6" xfId="2" applyFill="1" applyBorder="1" applyAlignment="1">
      <alignment horizontal="center" vertical="center"/>
    </xf>
    <xf numFmtId="0" fontId="1" fillId="8" borderId="9" xfId="2" applyFill="1" applyBorder="1" applyAlignment="1">
      <alignment horizontal="center"/>
    </xf>
    <xf numFmtId="0" fontId="1" fillId="8" borderId="6" xfId="2" applyFill="1" applyBorder="1" applyAlignment="1">
      <alignment horizontal="center" vertical="center"/>
    </xf>
    <xf numFmtId="0" fontId="8" fillId="21" borderId="6" xfId="2" applyFont="1" applyFill="1" applyBorder="1" applyAlignment="1">
      <alignment horizontal="center" vertical="center"/>
    </xf>
    <xf numFmtId="0" fontId="8" fillId="22" borderId="6" xfId="2" applyFont="1" applyFill="1" applyBorder="1" applyAlignment="1">
      <alignment horizontal="center" vertical="center"/>
    </xf>
    <xf numFmtId="0" fontId="1" fillId="22" borderId="6" xfId="2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  <xf numFmtId="0" fontId="1" fillId="7" borderId="0" xfId="2" applyFill="1" applyAlignment="1">
      <alignment horizontal="center" vertical="center" wrapText="1"/>
    </xf>
    <xf numFmtId="0" fontId="1" fillId="0" borderId="5" xfId="2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164" fontId="7" fillId="0" borderId="6" xfId="3" applyNumberFormat="1" applyFont="1" applyFill="1" applyBorder="1" applyAlignment="1">
      <alignment horizontal="center" vertical="center" wrapText="1"/>
    </xf>
    <xf numFmtId="9" fontId="4" fillId="9" borderId="6" xfId="3" applyFont="1" applyFill="1" applyBorder="1" applyAlignment="1">
      <alignment horizontal="center" vertical="center" wrapText="1"/>
    </xf>
    <xf numFmtId="17" fontId="5" fillId="8" borderId="6" xfId="2" quotePrefix="1" applyNumberFormat="1" applyFont="1" applyFill="1" applyBorder="1" applyAlignment="1">
      <alignment horizontal="center" vertical="center" wrapText="1"/>
    </xf>
    <xf numFmtId="165" fontId="2" fillId="10" borderId="6" xfId="1" applyNumberFormat="1" applyFont="1" applyFill="1" applyBorder="1" applyAlignment="1">
      <alignment horizontal="center" vertical="center" wrapText="1"/>
    </xf>
    <xf numFmtId="165" fontId="20" fillId="21" borderId="6" xfId="1" applyNumberFormat="1" applyFont="1" applyFill="1" applyBorder="1" applyAlignment="1">
      <alignment horizontal="center" vertical="center" wrapText="1"/>
    </xf>
    <xf numFmtId="165" fontId="1" fillId="22" borderId="6" xfId="1" applyNumberFormat="1" applyFont="1" applyFill="1" applyBorder="1" applyAlignment="1">
      <alignment horizontal="center" vertical="center" wrapText="1"/>
    </xf>
    <xf numFmtId="165" fontId="18" fillId="20" borderId="6" xfId="1" applyNumberFormat="1" applyFont="1" applyFill="1" applyBorder="1" applyAlignment="1">
      <alignment horizontal="center" vertical="center" wrapText="1"/>
    </xf>
    <xf numFmtId="165" fontId="18" fillId="2" borderId="6" xfId="1" applyNumberFormat="1" applyFont="1" applyFill="1" applyBorder="1" applyAlignment="1">
      <alignment horizontal="center" vertical="center" wrapText="1"/>
    </xf>
    <xf numFmtId="165" fontId="1" fillId="11" borderId="6" xfId="1" applyNumberFormat="1" applyFont="1" applyFill="1" applyBorder="1" applyAlignment="1">
      <alignment horizontal="center" vertical="center" wrapText="1"/>
    </xf>
    <xf numFmtId="165" fontId="1" fillId="12" borderId="6" xfId="1" applyNumberFormat="1" applyFont="1" applyFill="1" applyBorder="1" applyAlignment="1">
      <alignment horizontal="center" vertical="center" wrapText="1"/>
    </xf>
    <xf numFmtId="165" fontId="1" fillId="13" borderId="6" xfId="1" applyNumberFormat="1" applyFont="1" applyFill="1" applyBorder="1" applyAlignment="1">
      <alignment horizontal="center" vertical="center" wrapText="1"/>
    </xf>
    <xf numFmtId="165" fontId="1" fillId="14" borderId="6" xfId="1" applyNumberFormat="1" applyFont="1" applyFill="1" applyBorder="1" applyAlignment="1">
      <alignment horizontal="center" vertical="center" wrapText="1"/>
    </xf>
    <xf numFmtId="165" fontId="1" fillId="8" borderId="10" xfId="1" applyNumberFormat="1" applyFont="1" applyFill="1" applyBorder="1" applyAlignment="1">
      <alignment horizontal="center" vertical="center" wrapText="1"/>
    </xf>
    <xf numFmtId="165" fontId="4" fillId="9" borderId="11" xfId="2" applyNumberFormat="1" applyFont="1" applyFill="1" applyBorder="1" applyAlignment="1">
      <alignment horizontal="center" vertical="center" wrapText="1"/>
    </xf>
    <xf numFmtId="165" fontId="1" fillId="0" borderId="0" xfId="2" applyNumberForma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0" fontId="0" fillId="0" borderId="6" xfId="0" applyBorder="1"/>
    <xf numFmtId="0" fontId="1" fillId="0" borderId="6" xfId="0" applyFont="1" applyBorder="1"/>
    <xf numFmtId="9" fontId="0" fillId="0" borderId="6" xfId="4" applyFont="1" applyBorder="1"/>
    <xf numFmtId="0" fontId="5" fillId="11" borderId="6" xfId="0" applyFont="1" applyFill="1" applyBorder="1" applyAlignment="1">
      <alignment horizontal="center"/>
    </xf>
    <xf numFmtId="9" fontId="5" fillId="11" borderId="6" xfId="0" applyNumberFormat="1" applyFont="1" applyFill="1" applyBorder="1" applyAlignment="1">
      <alignment horizontal="center"/>
    </xf>
    <xf numFmtId="0" fontId="10" fillId="4" borderId="13" xfId="0" applyFont="1" applyFill="1" applyBorder="1" applyAlignment="1">
      <alignment vertical="center" wrapText="1"/>
    </xf>
    <xf numFmtId="3" fontId="11" fillId="4" borderId="4" xfId="0" applyNumberFormat="1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vertical="center" wrapText="1"/>
    </xf>
    <xf numFmtId="3" fontId="11" fillId="15" borderId="4" xfId="0" applyNumberFormat="1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 wrapText="1"/>
    </xf>
    <xf numFmtId="14" fontId="11" fillId="20" borderId="4" xfId="0" applyNumberFormat="1" applyFont="1" applyFill="1" applyBorder="1" applyAlignment="1">
      <alignment horizontal="center" vertical="center" wrapText="1"/>
    </xf>
    <xf numFmtId="20" fontId="11" fillId="20" borderId="4" xfId="0" applyNumberFormat="1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vertical="center" wrapText="1"/>
    </xf>
    <xf numFmtId="0" fontId="0" fillId="11" borderId="0" xfId="0" applyFill="1"/>
    <xf numFmtId="0" fontId="1" fillId="0" borderId="5" xfId="2" applyBorder="1" applyAlignment="1">
      <alignment horizontal="left" vertical="center"/>
    </xf>
    <xf numFmtId="0" fontId="1" fillId="0" borderId="0" xfId="2" applyAlignment="1">
      <alignment horizontal="left" vertical="center"/>
    </xf>
    <xf numFmtId="164" fontId="7" fillId="0" borderId="0" xfId="3" applyNumberFormat="1" applyFont="1" applyFill="1" applyBorder="1" applyAlignment="1">
      <alignment horizontal="left" vertical="center"/>
    </xf>
    <xf numFmtId="9" fontId="4" fillId="0" borderId="0" xfId="3" applyFont="1" applyFill="1" applyBorder="1" applyAlignment="1">
      <alignment horizontal="left" vertical="center"/>
    </xf>
    <xf numFmtId="165" fontId="1" fillId="0" borderId="0" xfId="1" applyNumberFormat="1" applyFont="1" applyAlignment="1">
      <alignment horizontal="left" vertical="center"/>
    </xf>
    <xf numFmtId="3" fontId="1" fillId="0" borderId="0" xfId="2" applyNumberFormat="1" applyAlignment="1">
      <alignment horizontal="left" vertical="center"/>
    </xf>
    <xf numFmtId="0" fontId="2" fillId="10" borderId="6" xfId="2" applyFont="1" applyFill="1" applyBorder="1" applyAlignment="1">
      <alignment horizontal="center" vertical="center"/>
    </xf>
    <xf numFmtId="3" fontId="19" fillId="10" borderId="0" xfId="2" applyNumberFormat="1" applyFont="1" applyFill="1" applyAlignment="1">
      <alignment horizontal="center" vertical="center"/>
    </xf>
    <xf numFmtId="0" fontId="10" fillId="0" borderId="4" xfId="0" applyFont="1" applyBorder="1" applyAlignment="1">
      <alignment wrapText="1"/>
    </xf>
    <xf numFmtId="0" fontId="11" fillId="4" borderId="4" xfId="0" quotePrefix="1" applyFont="1" applyFill="1" applyBorder="1" applyAlignment="1">
      <alignment horizontal="center" vertical="center" wrapText="1"/>
    </xf>
    <xf numFmtId="0" fontId="0" fillId="7" borderId="0" xfId="0" applyFill="1"/>
    <xf numFmtId="0" fontId="16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vertical="center" wrapText="1"/>
    </xf>
    <xf numFmtId="0" fontId="1" fillId="0" borderId="0" xfId="2" applyAlignment="1">
      <alignment vertical="center"/>
    </xf>
    <xf numFmtId="0" fontId="8" fillId="24" borderId="6" xfId="2" applyFont="1" applyFill="1" applyBorder="1" applyAlignment="1">
      <alignment horizontal="center" vertical="center"/>
    </xf>
    <xf numFmtId="165" fontId="20" fillId="24" borderId="6" xfId="1" applyNumberFormat="1" applyFont="1" applyFill="1" applyBorder="1" applyAlignment="1">
      <alignment horizontal="center" vertical="center" wrapText="1"/>
    </xf>
    <xf numFmtId="0" fontId="8" fillId="20" borderId="6" xfId="2" applyFont="1" applyFill="1" applyBorder="1" applyAlignment="1">
      <alignment horizontal="center" vertical="center" wrapText="1"/>
    </xf>
    <xf numFmtId="0" fontId="8" fillId="25" borderId="6" xfId="2" applyFont="1" applyFill="1" applyBorder="1" applyAlignment="1">
      <alignment horizontal="center" vertical="center"/>
    </xf>
    <xf numFmtId="0" fontId="1" fillId="25" borderId="6" xfId="2" applyFill="1" applyBorder="1" applyAlignment="1">
      <alignment horizontal="center" vertical="center"/>
    </xf>
    <xf numFmtId="165" fontId="1" fillId="25" borderId="6" xfId="1" applyNumberFormat="1" applyFont="1" applyFill="1" applyBorder="1" applyAlignment="1">
      <alignment horizontal="center" vertical="center" wrapText="1"/>
    </xf>
    <xf numFmtId="0" fontId="1" fillId="5" borderId="9" xfId="2" applyFill="1" applyBorder="1" applyAlignment="1">
      <alignment horizontal="center"/>
    </xf>
    <xf numFmtId="0" fontId="1" fillId="5" borderId="6" xfId="2" applyFill="1" applyBorder="1" applyAlignment="1">
      <alignment horizontal="center" vertical="center"/>
    </xf>
    <xf numFmtId="165" fontId="1" fillId="5" borderId="10" xfId="1" applyNumberFormat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 vertical="center"/>
    </xf>
    <xf numFmtId="165" fontId="23" fillId="0" borderId="0" xfId="2" applyNumberFormat="1" applyFont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  <xf numFmtId="0" fontId="5" fillId="7" borderId="0" xfId="2" applyFont="1" applyFill="1" applyAlignment="1">
      <alignment horizontal="center" vertical="center"/>
    </xf>
    <xf numFmtId="0" fontId="1" fillId="7" borderId="0" xfId="2" applyFill="1" applyAlignment="1">
      <alignment horizontal="center"/>
    </xf>
    <xf numFmtId="17" fontId="5" fillId="7" borderId="0" xfId="2" applyNumberFormat="1" applyFont="1" applyFill="1" applyAlignment="1">
      <alignment horizontal="center" vertical="center"/>
    </xf>
    <xf numFmtId="0" fontId="7" fillId="7" borderId="0" xfId="2" applyFont="1" applyFill="1" applyAlignment="1">
      <alignment horizontal="left" vertical="center"/>
    </xf>
    <xf numFmtId="0" fontId="7" fillId="7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/>
    </xf>
    <xf numFmtId="0" fontId="4" fillId="7" borderId="0" xfId="2" applyFont="1" applyFill="1" applyAlignment="1">
      <alignment horizontal="left" vertical="center"/>
    </xf>
    <xf numFmtId="0" fontId="4" fillId="7" borderId="0" xfId="2" applyFont="1" applyFill="1" applyAlignment="1">
      <alignment horizontal="center" vertical="center"/>
    </xf>
    <xf numFmtId="0" fontId="4" fillId="7" borderId="0" xfId="2" applyFont="1" applyFill="1" applyAlignment="1">
      <alignment horizontal="center"/>
    </xf>
    <xf numFmtId="0" fontId="1" fillId="7" borderId="0" xfId="2" applyFill="1" applyAlignment="1">
      <alignment horizontal="left"/>
    </xf>
    <xf numFmtId="0" fontId="7" fillId="26" borderId="6" xfId="2" applyFont="1" applyFill="1" applyBorder="1" applyAlignment="1">
      <alignment horizontal="center" vertical="center"/>
    </xf>
    <xf numFmtId="3" fontId="7" fillId="26" borderId="0" xfId="2" applyNumberFormat="1" applyFont="1" applyFill="1" applyAlignment="1">
      <alignment horizontal="center" vertical="center"/>
    </xf>
    <xf numFmtId="165" fontId="7" fillId="26" borderId="6" xfId="1" applyNumberFormat="1" applyFont="1" applyFill="1" applyBorder="1" applyAlignment="1">
      <alignment horizontal="center" vertical="center" wrapText="1"/>
    </xf>
    <xf numFmtId="0" fontId="8" fillId="24" borderId="6" xfId="2" applyFont="1" applyFill="1" applyBorder="1" applyAlignment="1">
      <alignment horizontal="center" vertical="center" wrapText="1"/>
    </xf>
    <xf numFmtId="0" fontId="8" fillId="21" borderId="6" xfId="2" applyFont="1" applyFill="1" applyBorder="1" applyAlignment="1">
      <alignment horizontal="center" vertical="center" wrapText="1"/>
    </xf>
    <xf numFmtId="0" fontId="8" fillId="23" borderId="6" xfId="2" applyFont="1" applyFill="1" applyBorder="1" applyAlignment="1">
      <alignment horizontal="center" vertical="center" wrapText="1"/>
    </xf>
    <xf numFmtId="0" fontId="1" fillId="23" borderId="6" xfId="2" applyFill="1" applyBorder="1" applyAlignment="1">
      <alignment horizontal="center" vertical="center"/>
    </xf>
    <xf numFmtId="165" fontId="1" fillId="23" borderId="6" xfId="1" applyNumberFormat="1" applyFont="1" applyFill="1" applyBorder="1" applyAlignment="1">
      <alignment horizontal="center" vertical="center" wrapText="1"/>
    </xf>
    <xf numFmtId="0" fontId="1" fillId="7" borderId="0" xfId="2" applyFill="1" applyAlignment="1">
      <alignment vertical="center"/>
    </xf>
    <xf numFmtId="0" fontId="16" fillId="3" borderId="13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horizontal="center" vertical="center" wrapText="1"/>
    </xf>
    <xf numFmtId="0" fontId="11" fillId="16" borderId="13" xfId="0" applyFont="1" applyFill="1" applyBorder="1" applyAlignment="1">
      <alignment horizontal="center" vertical="center" wrapText="1"/>
    </xf>
    <xf numFmtId="0" fontId="11" fillId="20" borderId="13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vertical="center" wrapText="1"/>
    </xf>
    <xf numFmtId="3" fontId="11" fillId="20" borderId="4" xfId="0" applyNumberFormat="1" applyFont="1" applyFill="1" applyBorder="1" applyAlignment="1">
      <alignment horizontal="center" vertical="center" wrapText="1"/>
    </xf>
    <xf numFmtId="3" fontId="11" fillId="16" borderId="4" xfId="0" applyNumberFormat="1" applyFont="1" applyFill="1" applyBorder="1" applyAlignment="1">
      <alignment horizontal="center" vertical="center" wrapText="1"/>
    </xf>
    <xf numFmtId="0" fontId="11" fillId="27" borderId="13" xfId="0" applyFont="1" applyFill="1" applyBorder="1" applyAlignment="1">
      <alignment horizontal="center" vertical="center" wrapText="1"/>
    </xf>
    <xf numFmtId="0" fontId="11" fillId="27" borderId="4" xfId="0" applyFont="1" applyFill="1" applyBorder="1" applyAlignment="1">
      <alignment horizontal="center" vertical="center" wrapText="1"/>
    </xf>
    <xf numFmtId="14" fontId="11" fillId="27" borderId="4" xfId="0" applyNumberFormat="1" applyFont="1" applyFill="1" applyBorder="1" applyAlignment="1">
      <alignment horizontal="center" vertical="center" wrapText="1"/>
    </xf>
    <xf numFmtId="20" fontId="11" fillId="27" borderId="4" xfId="0" applyNumberFormat="1" applyFont="1" applyFill="1" applyBorder="1" applyAlignment="1">
      <alignment horizontal="center" vertical="center" wrapText="1"/>
    </xf>
    <xf numFmtId="0" fontId="10" fillId="27" borderId="4" xfId="0" applyFont="1" applyFill="1" applyBorder="1" applyAlignment="1">
      <alignment vertical="center" wrapText="1"/>
    </xf>
    <xf numFmtId="0" fontId="11" fillId="27" borderId="4" xfId="0" applyFont="1" applyFill="1" applyBorder="1" applyAlignment="1">
      <alignment vertical="center" wrapText="1"/>
    </xf>
    <xf numFmtId="3" fontId="11" fillId="27" borderId="4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0" fontId="11" fillId="28" borderId="13" xfId="0" applyFont="1" applyFill="1" applyBorder="1" applyAlignment="1">
      <alignment horizontal="center" vertical="center" wrapText="1"/>
    </xf>
    <xf numFmtId="0" fontId="11" fillId="28" borderId="4" xfId="0" applyFont="1" applyFill="1" applyBorder="1" applyAlignment="1">
      <alignment horizontal="center" vertical="center" wrapText="1"/>
    </xf>
    <xf numFmtId="14" fontId="11" fillId="28" borderId="4" xfId="0" applyNumberFormat="1" applyFont="1" applyFill="1" applyBorder="1" applyAlignment="1">
      <alignment horizontal="center" vertical="center" wrapText="1"/>
    </xf>
    <xf numFmtId="20" fontId="11" fillId="28" borderId="4" xfId="0" applyNumberFormat="1" applyFont="1" applyFill="1" applyBorder="1" applyAlignment="1">
      <alignment horizontal="center" vertical="center" wrapText="1"/>
    </xf>
    <xf numFmtId="0" fontId="10" fillId="28" borderId="4" xfId="0" applyFont="1" applyFill="1" applyBorder="1" applyAlignment="1">
      <alignment vertical="center" wrapText="1"/>
    </xf>
    <xf numFmtId="0" fontId="11" fillId="28" borderId="4" xfId="0" applyFont="1" applyFill="1" applyBorder="1" applyAlignment="1">
      <alignment vertical="center" wrapText="1"/>
    </xf>
    <xf numFmtId="3" fontId="11" fillId="28" borderId="4" xfId="0" applyNumberFormat="1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wrapText="1"/>
    </xf>
    <xf numFmtId="0" fontId="11" fillId="29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4" fillId="9" borderId="11" xfId="2" applyNumberFormat="1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center" vertical="center" wrapText="1"/>
    </xf>
    <xf numFmtId="14" fontId="11" fillId="24" borderId="6" xfId="0" applyNumberFormat="1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vertical="center" wrapText="1"/>
    </xf>
    <xf numFmtId="0" fontId="11" fillId="24" borderId="6" xfId="0" applyFont="1" applyFill="1" applyBorder="1" applyAlignment="1">
      <alignment vertical="center" wrapText="1"/>
    </xf>
    <xf numFmtId="3" fontId="11" fillId="24" borderId="6" xfId="0" applyNumberFormat="1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horizontal="center" vertical="center" wrapText="1"/>
    </xf>
    <xf numFmtId="14" fontId="11" fillId="21" borderId="6" xfId="0" applyNumberFormat="1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vertical="center" wrapText="1"/>
    </xf>
    <xf numFmtId="0" fontId="11" fillId="21" borderId="6" xfId="0" applyFont="1" applyFill="1" applyBorder="1" applyAlignment="1">
      <alignment vertical="center" wrapText="1"/>
    </xf>
    <xf numFmtId="3" fontId="11" fillId="21" borderId="6" xfId="0" applyNumberFormat="1" applyFont="1" applyFill="1" applyBorder="1" applyAlignment="1">
      <alignment horizontal="center" vertical="center" wrapText="1"/>
    </xf>
    <xf numFmtId="0" fontId="11" fillId="20" borderId="6" xfId="0" applyFont="1" applyFill="1" applyBorder="1" applyAlignment="1">
      <alignment horizontal="center" vertical="center" wrapText="1"/>
    </xf>
    <xf numFmtId="14" fontId="11" fillId="20" borderId="6" xfId="0" applyNumberFormat="1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vertical="center" wrapText="1"/>
    </xf>
    <xf numFmtId="0" fontId="11" fillId="20" borderId="6" xfId="0" applyFont="1" applyFill="1" applyBorder="1" applyAlignment="1">
      <alignment vertical="center" wrapText="1"/>
    </xf>
    <xf numFmtId="3" fontId="11" fillId="20" borderId="6" xfId="0" applyNumberFormat="1" applyFont="1" applyFill="1" applyBorder="1" applyAlignment="1">
      <alignment horizontal="center" vertical="center" wrapText="1"/>
    </xf>
    <xf numFmtId="0" fontId="27" fillId="20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14" fontId="11" fillId="2" borderId="6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3" fontId="11" fillId="2" borderId="6" xfId="0" applyNumberFormat="1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14" fontId="11" fillId="16" borderId="6" xfId="0" applyNumberFormat="1" applyFont="1" applyFill="1" applyBorder="1" applyAlignment="1">
      <alignment horizontal="center" vertical="center" wrapText="1"/>
    </xf>
    <xf numFmtId="0" fontId="10" fillId="16" borderId="6" xfId="0" applyFont="1" applyFill="1" applyBorder="1" applyAlignment="1">
      <alignment vertical="center" wrapText="1"/>
    </xf>
    <xf numFmtId="0" fontId="11" fillId="16" borderId="6" xfId="0" applyFont="1" applyFill="1" applyBorder="1" applyAlignment="1">
      <alignment vertical="center" wrapText="1"/>
    </xf>
    <xf numFmtId="3" fontId="11" fillId="16" borderId="6" xfId="0" applyNumberFormat="1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wrapText="1"/>
    </xf>
    <xf numFmtId="0" fontId="11" fillId="4" borderId="2" xfId="0" applyFont="1" applyFill="1" applyBorder="1" applyAlignment="1">
      <alignment horizontal="center" wrapText="1"/>
    </xf>
    <xf numFmtId="14" fontId="11" fillId="4" borderId="2" xfId="0" applyNumberFormat="1" applyFont="1" applyFill="1" applyBorder="1" applyAlignment="1">
      <alignment horizontal="center" wrapText="1"/>
    </xf>
    <xf numFmtId="20" fontId="11" fillId="4" borderId="2" xfId="0" applyNumberFormat="1" applyFont="1" applyFill="1" applyBorder="1" applyAlignment="1">
      <alignment horizontal="center" wrapText="1"/>
    </xf>
    <xf numFmtId="0" fontId="10" fillId="4" borderId="2" xfId="0" applyFont="1" applyFill="1" applyBorder="1" applyAlignment="1">
      <alignment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wrapText="1"/>
    </xf>
    <xf numFmtId="3" fontId="11" fillId="4" borderId="2" xfId="0" applyNumberFormat="1" applyFont="1" applyFill="1" applyBorder="1" applyAlignment="1">
      <alignment horizontal="center" wrapText="1"/>
    </xf>
    <xf numFmtId="0" fontId="11" fillId="31" borderId="13" xfId="0" applyFont="1" applyFill="1" applyBorder="1" applyAlignment="1">
      <alignment horizontal="center" vertical="center" wrapText="1"/>
    </xf>
    <xf numFmtId="0" fontId="11" fillId="31" borderId="4" xfId="0" applyFont="1" applyFill="1" applyBorder="1" applyAlignment="1">
      <alignment horizontal="center" vertical="center" wrapText="1"/>
    </xf>
    <xf numFmtId="14" fontId="11" fillId="31" borderId="4" xfId="0" applyNumberFormat="1" applyFont="1" applyFill="1" applyBorder="1" applyAlignment="1">
      <alignment horizontal="center" vertical="center" wrapText="1"/>
    </xf>
    <xf numFmtId="20" fontId="11" fillId="31" borderId="4" xfId="0" applyNumberFormat="1" applyFont="1" applyFill="1" applyBorder="1" applyAlignment="1">
      <alignment horizontal="center" vertical="center" wrapText="1"/>
    </xf>
    <xf numFmtId="0" fontId="10" fillId="31" borderId="4" xfId="0" applyFont="1" applyFill="1" applyBorder="1" applyAlignment="1">
      <alignment vertical="center" wrapText="1"/>
    </xf>
    <xf numFmtId="0" fontId="11" fillId="31" borderId="4" xfId="0" applyFont="1" applyFill="1" applyBorder="1" applyAlignment="1">
      <alignment vertical="center" wrapText="1"/>
    </xf>
    <xf numFmtId="3" fontId="11" fillId="31" borderId="4" xfId="0" applyNumberFormat="1" applyFont="1" applyFill="1" applyBorder="1" applyAlignment="1">
      <alignment horizontal="center" vertical="center" wrapText="1"/>
    </xf>
    <xf numFmtId="0" fontId="11" fillId="32" borderId="13" xfId="0" applyFont="1" applyFill="1" applyBorder="1" applyAlignment="1">
      <alignment horizontal="center" vertical="center" wrapText="1"/>
    </xf>
    <xf numFmtId="0" fontId="10" fillId="32" borderId="4" xfId="0" applyFont="1" applyFill="1" applyBorder="1" applyAlignment="1">
      <alignment vertical="center" wrapText="1"/>
    </xf>
    <xf numFmtId="14" fontId="11" fillId="32" borderId="4" xfId="0" applyNumberFormat="1" applyFont="1" applyFill="1" applyBorder="1" applyAlignment="1">
      <alignment horizontal="center" vertical="center" wrapText="1"/>
    </xf>
    <xf numFmtId="20" fontId="11" fillId="32" borderId="4" xfId="0" applyNumberFormat="1" applyFont="1" applyFill="1" applyBorder="1" applyAlignment="1">
      <alignment horizontal="center" vertical="center" wrapText="1"/>
    </xf>
    <xf numFmtId="0" fontId="11" fillId="32" borderId="4" xfId="0" applyFont="1" applyFill="1" applyBorder="1" applyAlignment="1">
      <alignment horizontal="center" vertical="center" wrapText="1"/>
    </xf>
    <xf numFmtId="0" fontId="11" fillId="32" borderId="4" xfId="0" applyFont="1" applyFill="1" applyBorder="1" applyAlignment="1">
      <alignment vertical="center" wrapText="1"/>
    </xf>
    <xf numFmtId="0" fontId="11" fillId="34" borderId="13" xfId="0" applyFont="1" applyFill="1" applyBorder="1" applyAlignment="1">
      <alignment horizontal="center" vertical="center" wrapText="1"/>
    </xf>
    <xf numFmtId="0" fontId="11" fillId="34" borderId="4" xfId="0" applyFont="1" applyFill="1" applyBorder="1" applyAlignment="1">
      <alignment horizontal="center" vertical="center" wrapText="1"/>
    </xf>
    <xf numFmtId="14" fontId="11" fillId="34" borderId="4" xfId="0" applyNumberFormat="1" applyFont="1" applyFill="1" applyBorder="1" applyAlignment="1">
      <alignment horizontal="center" vertical="center" wrapText="1"/>
    </xf>
    <xf numFmtId="20" fontId="11" fillId="34" borderId="4" xfId="0" applyNumberFormat="1" applyFont="1" applyFill="1" applyBorder="1" applyAlignment="1">
      <alignment horizontal="center" vertical="center" wrapText="1"/>
    </xf>
    <xf numFmtId="0" fontId="10" fillId="34" borderId="4" xfId="0" applyFont="1" applyFill="1" applyBorder="1" applyAlignment="1">
      <alignment vertical="center" wrapText="1"/>
    </xf>
    <xf numFmtId="0" fontId="11" fillId="34" borderId="4" xfId="0" applyFont="1" applyFill="1" applyBorder="1" applyAlignment="1">
      <alignment vertical="center" wrapText="1"/>
    </xf>
    <xf numFmtId="3" fontId="11" fillId="34" borderId="4" xfId="0" applyNumberFormat="1" applyFont="1" applyFill="1" applyBorder="1" applyAlignment="1">
      <alignment horizontal="center" vertical="center" wrapText="1"/>
    </xf>
    <xf numFmtId="0" fontId="10" fillId="16" borderId="12" xfId="0" applyFont="1" applyFill="1" applyBorder="1" applyAlignment="1">
      <alignment vertical="center" wrapText="1"/>
    </xf>
    <xf numFmtId="0" fontId="11" fillId="16" borderId="4" xfId="0" applyFont="1" applyFill="1" applyBorder="1" applyAlignment="1">
      <alignment horizontal="center" vertical="center"/>
    </xf>
    <xf numFmtId="0" fontId="11" fillId="35" borderId="0" xfId="0" applyFont="1" applyFill="1" applyAlignment="1">
      <alignment horizontal="center" vertical="center"/>
    </xf>
    <xf numFmtId="0" fontId="10" fillId="35" borderId="4" xfId="0" applyFont="1" applyFill="1" applyBorder="1" applyAlignment="1">
      <alignment vertical="center" wrapText="1"/>
    </xf>
    <xf numFmtId="14" fontId="11" fillId="35" borderId="4" xfId="0" applyNumberFormat="1" applyFont="1" applyFill="1" applyBorder="1" applyAlignment="1">
      <alignment horizontal="center" vertical="center" wrapText="1"/>
    </xf>
    <xf numFmtId="20" fontId="11" fillId="35" borderId="4" xfId="0" applyNumberFormat="1" applyFont="1" applyFill="1" applyBorder="1" applyAlignment="1">
      <alignment horizontal="center" vertical="center" wrapText="1"/>
    </xf>
    <xf numFmtId="0" fontId="11" fillId="35" borderId="4" xfId="0" applyFont="1" applyFill="1" applyBorder="1" applyAlignment="1">
      <alignment horizontal="center" vertical="center" wrapText="1"/>
    </xf>
    <xf numFmtId="0" fontId="11" fillId="35" borderId="4" xfId="0" applyFont="1" applyFill="1" applyBorder="1" applyAlignment="1">
      <alignment vertical="center" wrapText="1"/>
    </xf>
    <xf numFmtId="3" fontId="11" fillId="35" borderId="4" xfId="0" applyNumberFormat="1" applyFont="1" applyFill="1" applyBorder="1" applyAlignment="1">
      <alignment horizontal="center" vertical="center" wrapText="1"/>
    </xf>
    <xf numFmtId="14" fontId="11" fillId="36" borderId="4" xfId="0" applyNumberFormat="1" applyFont="1" applyFill="1" applyBorder="1" applyAlignment="1">
      <alignment horizontal="center" vertical="center" wrapText="1"/>
    </xf>
    <xf numFmtId="0" fontId="11" fillId="33" borderId="13" xfId="0" applyFont="1" applyFill="1" applyBorder="1" applyAlignment="1">
      <alignment horizontal="center" vertical="center" wrapText="1"/>
    </xf>
    <xf numFmtId="0" fontId="10" fillId="33" borderId="4" xfId="0" applyFont="1" applyFill="1" applyBorder="1" applyAlignment="1">
      <alignment vertical="center" wrapText="1"/>
    </xf>
    <xf numFmtId="14" fontId="11" fillId="33" borderId="4" xfId="0" applyNumberFormat="1" applyFont="1" applyFill="1" applyBorder="1" applyAlignment="1">
      <alignment horizontal="center" vertical="center" wrapText="1"/>
    </xf>
    <xf numFmtId="20" fontId="11" fillId="33" borderId="4" xfId="0" applyNumberFormat="1" applyFont="1" applyFill="1" applyBorder="1" applyAlignment="1">
      <alignment horizontal="center" vertical="center" wrapText="1"/>
    </xf>
    <xf numFmtId="0" fontId="11" fillId="33" borderId="4" xfId="0" applyFont="1" applyFill="1" applyBorder="1" applyAlignment="1">
      <alignment horizontal="center" vertical="center" wrapText="1"/>
    </xf>
    <xf numFmtId="0" fontId="11" fillId="33" borderId="4" xfId="0" applyFont="1" applyFill="1" applyBorder="1" applyAlignment="1">
      <alignment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vertical="center" wrapText="1"/>
    </xf>
    <xf numFmtId="14" fontId="11" fillId="5" borderId="4" xfId="0" applyNumberFormat="1" applyFont="1" applyFill="1" applyBorder="1" applyAlignment="1">
      <alignment horizontal="center" vertical="center" wrapText="1"/>
    </xf>
    <xf numFmtId="20" fontId="11" fillId="5" borderId="4" xfId="0" applyNumberFormat="1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vertical="center" wrapText="1"/>
    </xf>
    <xf numFmtId="3" fontId="11" fillId="5" borderId="4" xfId="0" applyNumberFormat="1" applyFont="1" applyFill="1" applyBorder="1" applyAlignment="1">
      <alignment horizontal="center" vertical="center" wrapText="1"/>
    </xf>
    <xf numFmtId="0" fontId="11" fillId="37" borderId="13" xfId="0" applyFont="1" applyFill="1" applyBorder="1" applyAlignment="1">
      <alignment horizontal="center" vertical="center" wrapText="1"/>
    </xf>
    <xf numFmtId="0" fontId="11" fillId="37" borderId="4" xfId="0" applyFont="1" applyFill="1" applyBorder="1" applyAlignment="1">
      <alignment horizontal="center" vertical="center" wrapText="1"/>
    </xf>
    <xf numFmtId="14" fontId="11" fillId="37" borderId="4" xfId="0" applyNumberFormat="1" applyFont="1" applyFill="1" applyBorder="1" applyAlignment="1">
      <alignment horizontal="center" vertical="center" wrapText="1"/>
    </xf>
    <xf numFmtId="20" fontId="11" fillId="37" borderId="4" xfId="0" applyNumberFormat="1" applyFont="1" applyFill="1" applyBorder="1" applyAlignment="1">
      <alignment horizontal="center" vertical="center" wrapText="1"/>
    </xf>
    <xf numFmtId="0" fontId="10" fillId="37" borderId="4" xfId="0" applyFont="1" applyFill="1" applyBorder="1" applyAlignment="1">
      <alignment vertical="center" wrapText="1"/>
    </xf>
    <xf numFmtId="0" fontId="11" fillId="37" borderId="4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wrapText="1"/>
    </xf>
    <xf numFmtId="0" fontId="11" fillId="38" borderId="13" xfId="0" applyFont="1" applyFill="1" applyBorder="1" applyAlignment="1">
      <alignment horizontal="center" vertical="center" wrapText="1"/>
    </xf>
    <xf numFmtId="0" fontId="11" fillId="38" borderId="4" xfId="0" applyFont="1" applyFill="1" applyBorder="1" applyAlignment="1">
      <alignment horizontal="center" vertical="center" wrapText="1"/>
    </xf>
    <xf numFmtId="14" fontId="11" fillId="38" borderId="4" xfId="0" applyNumberFormat="1" applyFont="1" applyFill="1" applyBorder="1" applyAlignment="1">
      <alignment horizontal="center" vertical="center" wrapText="1"/>
    </xf>
    <xf numFmtId="20" fontId="11" fillId="38" borderId="4" xfId="0" applyNumberFormat="1" applyFont="1" applyFill="1" applyBorder="1" applyAlignment="1">
      <alignment horizontal="center" vertical="center" wrapText="1"/>
    </xf>
    <xf numFmtId="0" fontId="10" fillId="38" borderId="4" xfId="0" applyFont="1" applyFill="1" applyBorder="1" applyAlignment="1">
      <alignment vertical="center" wrapText="1"/>
    </xf>
    <xf numFmtId="0" fontId="11" fillId="38" borderId="4" xfId="0" applyFont="1" applyFill="1" applyBorder="1" applyAlignment="1">
      <alignment vertical="center" wrapText="1"/>
    </xf>
    <xf numFmtId="3" fontId="11" fillId="38" borderId="4" xfId="0" applyNumberFormat="1" applyFont="1" applyFill="1" applyBorder="1" applyAlignment="1">
      <alignment horizontal="center" vertical="center" wrapText="1"/>
    </xf>
    <xf numFmtId="0" fontId="10" fillId="38" borderId="13" xfId="0" applyFont="1" applyFill="1" applyBorder="1" applyAlignment="1">
      <alignment vertical="center" wrapText="1"/>
    </xf>
    <xf numFmtId="0" fontId="11" fillId="39" borderId="4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wrapText="1"/>
    </xf>
    <xf numFmtId="0" fontId="0" fillId="20" borderId="0" xfId="0" applyFill="1"/>
    <xf numFmtId="0" fontId="11" fillId="40" borderId="4" xfId="0" applyFont="1" applyFill="1" applyBorder="1" applyAlignment="1">
      <alignment horizontal="center" vertical="center" wrapText="1"/>
    </xf>
    <xf numFmtId="14" fontId="11" fillId="40" borderId="4" xfId="0" applyNumberFormat="1" applyFont="1" applyFill="1" applyBorder="1" applyAlignment="1">
      <alignment horizontal="center" vertical="center" wrapText="1"/>
    </xf>
    <xf numFmtId="20" fontId="11" fillId="40" borderId="4" xfId="0" applyNumberFormat="1" applyFont="1" applyFill="1" applyBorder="1" applyAlignment="1">
      <alignment horizontal="center" vertical="center" wrapText="1"/>
    </xf>
    <xf numFmtId="0" fontId="10" fillId="40" borderId="4" xfId="0" applyFont="1" applyFill="1" applyBorder="1" applyAlignment="1">
      <alignment vertical="center" wrapText="1"/>
    </xf>
    <xf numFmtId="0" fontId="11" fillId="40" borderId="4" xfId="0" applyFont="1" applyFill="1" applyBorder="1" applyAlignment="1">
      <alignment vertical="center" wrapText="1"/>
    </xf>
    <xf numFmtId="0" fontId="11" fillId="40" borderId="13" xfId="0" applyFont="1" applyFill="1" applyBorder="1" applyAlignment="1">
      <alignment horizontal="center" vertical="center" wrapText="1"/>
    </xf>
    <xf numFmtId="0" fontId="0" fillId="40" borderId="0" xfId="0" applyFill="1"/>
    <xf numFmtId="0" fontId="1" fillId="40" borderId="0" xfId="0" applyFont="1" applyFill="1" applyAlignment="1">
      <alignment horizontal="center" vertical="center"/>
    </xf>
    <xf numFmtId="0" fontId="10" fillId="40" borderId="4" xfId="0" applyFont="1" applyFill="1" applyBorder="1" applyAlignment="1">
      <alignment horizontal="center" vertical="center" wrapText="1"/>
    </xf>
    <xf numFmtId="0" fontId="0" fillId="40" borderId="0" xfId="0" applyFill="1" applyAlignment="1">
      <alignment horizontal="center" vertical="center"/>
    </xf>
    <xf numFmtId="3" fontId="11" fillId="40" borderId="4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1" fillId="14" borderId="9" xfId="2" applyFill="1" applyBorder="1" applyAlignment="1">
      <alignment horizontal="center"/>
    </xf>
    <xf numFmtId="165" fontId="1" fillId="14" borderId="10" xfId="1" applyNumberFormat="1" applyFont="1" applyFill="1" applyBorder="1" applyAlignment="1">
      <alignment horizontal="center" vertical="center" wrapText="1"/>
    </xf>
    <xf numFmtId="0" fontId="11" fillId="30" borderId="6" xfId="0" applyFont="1" applyFill="1" applyBorder="1" applyAlignment="1">
      <alignment horizontal="center" vertical="center" wrapText="1"/>
    </xf>
    <xf numFmtId="0" fontId="10" fillId="30" borderId="6" xfId="0" applyFont="1" applyFill="1" applyBorder="1" applyAlignment="1">
      <alignment vertical="center" wrapText="1"/>
    </xf>
    <xf numFmtId="14" fontId="11" fillId="30" borderId="6" xfId="0" applyNumberFormat="1" applyFont="1" applyFill="1" applyBorder="1" applyAlignment="1">
      <alignment horizontal="center" vertical="center" wrapText="1"/>
    </xf>
    <xf numFmtId="0" fontId="11" fillId="30" borderId="6" xfId="0" applyFont="1" applyFill="1" applyBorder="1" applyAlignment="1">
      <alignment vertical="center" wrapText="1"/>
    </xf>
    <xf numFmtId="0" fontId="10" fillId="30" borderId="6" xfId="0" applyFont="1" applyFill="1" applyBorder="1" applyAlignment="1">
      <alignment horizontal="left" vertical="center" wrapText="1"/>
    </xf>
    <xf numFmtId="0" fontId="10" fillId="24" borderId="6" xfId="0" applyFont="1" applyFill="1" applyBorder="1" applyAlignment="1">
      <alignment horizontal="left" vertical="center" wrapText="1"/>
    </xf>
    <xf numFmtId="0" fontId="11" fillId="24" borderId="6" xfId="0" applyFont="1" applyFill="1" applyBorder="1" applyAlignment="1">
      <alignment horizontal="center" vertical="center"/>
    </xf>
    <xf numFmtId="0" fontId="10" fillId="21" borderId="6" xfId="0" applyFont="1" applyFill="1" applyBorder="1" applyAlignment="1">
      <alignment horizontal="left" vertical="center" wrapText="1"/>
    </xf>
    <xf numFmtId="0" fontId="1" fillId="21" borderId="6" xfId="0" applyFont="1" applyFill="1" applyBorder="1" applyAlignment="1">
      <alignment horizontal="center" vertical="center"/>
    </xf>
    <xf numFmtId="0" fontId="10" fillId="21" borderId="6" xfId="0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horizontal="left" vertical="center" wrapText="1"/>
    </xf>
    <xf numFmtId="0" fontId="1" fillId="7" borderId="0" xfId="2" applyFill="1"/>
    <xf numFmtId="0" fontId="24" fillId="10" borderId="6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/>
    </xf>
    <xf numFmtId="14" fontId="24" fillId="10" borderId="6" xfId="0" applyNumberFormat="1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vertical="center" wrapText="1"/>
    </xf>
    <xf numFmtId="0" fontId="24" fillId="10" borderId="6" xfId="0" applyFont="1" applyFill="1" applyBorder="1" applyAlignment="1">
      <alignment vertical="center" wrapText="1"/>
    </xf>
    <xf numFmtId="3" fontId="24" fillId="10" borderId="6" xfId="0" applyNumberFormat="1" applyFont="1" applyFill="1" applyBorder="1" applyAlignment="1">
      <alignment horizontal="center" vertical="center" wrapText="1"/>
    </xf>
    <xf numFmtId="0" fontId="11" fillId="41" borderId="6" xfId="0" applyFont="1" applyFill="1" applyBorder="1" applyAlignment="1">
      <alignment horizontal="center" vertical="center" wrapText="1"/>
    </xf>
    <xf numFmtId="14" fontId="11" fillId="41" borderId="6" xfId="0" applyNumberFormat="1" applyFont="1" applyFill="1" applyBorder="1" applyAlignment="1">
      <alignment horizontal="center" vertical="center" wrapText="1"/>
    </xf>
    <xf numFmtId="0" fontId="10" fillId="41" borderId="6" xfId="0" applyFont="1" applyFill="1" applyBorder="1" applyAlignment="1">
      <alignment vertical="center" wrapText="1"/>
    </xf>
    <xf numFmtId="0" fontId="11" fillId="41" borderId="6" xfId="0" applyFont="1" applyFill="1" applyBorder="1" applyAlignment="1">
      <alignment vertical="center" wrapText="1"/>
    </xf>
    <xf numFmtId="3" fontId="11" fillId="41" borderId="6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wrapText="1"/>
    </xf>
    <xf numFmtId="0" fontId="11" fillId="14" borderId="6" xfId="0" applyFont="1" applyFill="1" applyBorder="1" applyAlignment="1">
      <alignment horizontal="center" vertical="center" wrapText="1"/>
    </xf>
    <xf numFmtId="14" fontId="11" fillId="14" borderId="6" xfId="0" applyNumberFormat="1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vertical="center" wrapText="1"/>
    </xf>
    <xf numFmtId="0" fontId="11" fillId="14" borderId="6" xfId="0" applyFont="1" applyFill="1" applyBorder="1" applyAlignment="1">
      <alignment vertical="center" wrapText="1"/>
    </xf>
    <xf numFmtId="3" fontId="11" fillId="14" borderId="6" xfId="0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14" fontId="11" fillId="5" borderId="6" xfId="0" applyNumberFormat="1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vertical="center" wrapText="1"/>
    </xf>
    <xf numFmtId="3" fontId="11" fillId="5" borderId="6" xfId="0" applyNumberFormat="1" applyFont="1" applyFill="1" applyBorder="1" applyAlignment="1">
      <alignment horizontal="center" vertical="center" wrapText="1"/>
    </xf>
    <xf numFmtId="0" fontId="10" fillId="20" borderId="14" xfId="0" applyFont="1" applyFill="1" applyBorder="1" applyAlignment="1">
      <alignment vertical="center" wrapText="1"/>
    </xf>
    <xf numFmtId="0" fontId="1" fillId="7" borderId="0" xfId="2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10" fillId="14" borderId="7" xfId="0" applyFont="1" applyFill="1" applyBorder="1" applyAlignment="1">
      <alignment vertical="center" wrapText="1"/>
    </xf>
    <xf numFmtId="0" fontId="27" fillId="20" borderId="6" xfId="0" applyFont="1" applyFill="1" applyBorder="1" applyAlignment="1">
      <alignment wrapText="1"/>
    </xf>
    <xf numFmtId="0" fontId="23" fillId="0" borderId="0" xfId="2" applyFont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8" borderId="7" xfId="2" applyFont="1" applyFill="1" applyBorder="1" applyAlignment="1">
      <alignment horizontal="center" vertical="center"/>
    </xf>
    <xf numFmtId="0" fontId="5" fillId="8" borderId="8" xfId="2" applyFont="1" applyFill="1" applyBorder="1" applyAlignment="1">
      <alignment horizontal="center" vertical="center"/>
    </xf>
    <xf numFmtId="0" fontId="5" fillId="8" borderId="7" xfId="2" applyFont="1" applyFill="1" applyBorder="1" applyAlignment="1">
      <alignment horizontal="center" vertical="center" wrapText="1"/>
    </xf>
    <xf numFmtId="0" fontId="5" fillId="8" borderId="8" xfId="2" applyFont="1" applyFill="1" applyBorder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</cellXfs>
  <cellStyles count="5">
    <cellStyle name="Moneda" xfId="1" builtinId="4"/>
    <cellStyle name="Normal" xfId="0" builtinId="0"/>
    <cellStyle name="Normal 2" xfId="2" xr:uid="{00000000-0005-0000-0000-000002000000}"/>
    <cellStyle name="Porcentaje" xfId="4" builtinId="5"/>
    <cellStyle name="Porcentaje 2" xfId="3" xr:uid="{00000000-0005-0000-0000-000003000000}"/>
  </cellStyles>
  <dxfs count="2"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00FF00"/>
      <color rgb="FFE17FD5"/>
      <color rgb="FFFF99CC"/>
      <color rgb="FFDB43FF"/>
      <color rgb="FFCC00FF"/>
      <color rgb="FFCC3399"/>
      <color rgb="FFF56F0B"/>
      <color rgb="FFD60093"/>
      <color rgb="FFCC66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suarezl/AppData/Local/Microsoft/Windows/INetCache/IE/F2FGMLPY/Dato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5352.626307407401" createdVersion="8" refreshedVersion="8" minRefreshableVersion="3" recordCount="574" xr:uid="{00000000-000A-0000-FFFF-FFFF05000000}">
  <cacheSource type="worksheet">
    <worksheetSource ref="A1:H1" sheet="Datos" r:id="rId2"/>
  </cacheSource>
  <cacheFields count="8">
    <cacheField name="O.C." numFmtId="0">
      <sharedItems containsSemiMixedTypes="0" containsNonDate="0" containsString="0"/>
    </cacheField>
    <cacheField name="Fecha" numFmtId="0">
      <sharedItems containsSemiMixedTypes="0" containsNonDate="0" containsString="0"/>
    </cacheField>
    <cacheField name="Hora recepción" numFmtId="0">
      <sharedItems containsSemiMixedTypes="0" containsNonDate="0" containsString="0"/>
    </cacheField>
    <cacheField name="Pedido" numFmtId="0">
      <sharedItems containsSemiMixedTypes="0" containsNonDate="0" containsString="0"/>
    </cacheField>
    <cacheField name="N° de Factura" numFmtId="0">
      <sharedItems containsSemiMixedTypes="0" containsNonDate="0" containsString="0"/>
    </cacheField>
    <cacheField name="Fecha de generación del pedido" numFmtId="0">
      <sharedItems containsSemiMixedTypes="0" containsNonDate="0" containsString="0"/>
    </cacheField>
    <cacheField name="Hora generación" numFmtId="0">
      <sharedItems containsSemiMixedTypes="0" containsNonDate="0" containsString="0"/>
    </cacheField>
    <cacheField name="Nombre del Cliente" numFmtId="0">
      <sharedItems count="64">
        <s v="PREMEX S.A.S"/>
        <s v="PORCICULTORES APA S.A.S."/>
        <s v="ALIMENTOS ALDUQUE S.A.S."/>
        <s v="POLLOS EL BUCANERO"/>
        <s v="OPERADORA AVICOLA"/>
        <s v="GVM CORPORATION GLOBAL VETERINARY MEDICINE S A S"/>
        <s v="AYORA PEREZ CARLOS AUGUSTO"/>
        <s v="CERDOS DEL VALLE SA"/>
        <s v="VITAOVO S.A.S."/>
        <s v="AGROPECUARIA ALFA SAS"/>
        <s v="INSUMOS AGROPECUARIOS DEL CAFE S.A.S"/>
        <s v="AGROPECUARIA GOLOSO DEL VALLE S.A."/>
        <s v="COMPAÑIA INDUSTRIAL DE PRODUCTOS AGROPECUARIOS S.A."/>
        <s v="CONTEGRAL"/>
        <s v="ADITIVOS Y QUIMICOS SAS"/>
        <s v="AVIMOL S.A.S."/>
        <s v="AVICOLA LA DOMINGA S.A.S."/>
        <s v="AVECER S.A.S."/>
        <s v="AGROAVICOLA SAN MARINO S A"/>
        <s v="AVIDESA DE OCCIDENTE S.A."/>
        <s v="ITALCOL DE OCCIDENTE S.A."/>
        <s v="FINCA"/>
        <s v="EMPOLLADORA COLOMBIANA S.A."/>
        <s v="PRO FARM DE LOS ANDES SAS"/>
        <s v="COLOMBIANA DE INCUBACION SAS INCUBACOL"/>
        <s v="ALIMENTOS CONCENTRADOS DEL CARIBE S.A."/>
        <s v="INVERSIONES J.V. S.A.S."/>
        <s v="PORCICOLA PRADERA"/>
        <s v="ITALCOL S.A."/>
        <s v="AGRICOLA COLOMBIANA S.A."/>
        <s v="NUTRITEC SAS"/>
        <s v="INCUBADORA SANTANDER S.A."/>
        <s v="AGROINDUSTRIAL SAN JOSE SA"/>
        <s v="COOPERATIVA DE PORCICULTORES DEL EJE CAFETERO"/>
        <s v="DON POLLO"/>
        <s v="SOLLA S.A."/>
        <s v="PORICOLA EMMANUEL"/>
        <s v="AGROPECUARIA DE OCCIDENTE S.A."/>
        <s v="DISTRIBUCIONES AGRALBA S.A."/>
        <s v="NUTRICION EXPERTA DE COLOMBIA S.A.S"/>
        <s v="COOPERATIVA COLANTA"/>
        <s v="ACEBEDO SILVA S.A."/>
        <s v="DISTRIBUIDORA AVICOLA S.A.S."/>
        <s v="CUERVO &amp; CIA SAS"/>
        <s v="AGRIFEED SAS"/>
        <s v="OMAR CHICAIZA"/>
        <s v="PROVIMI SA"/>
        <s v="O TAFUR Z Y CIA S EN C"/>
        <s v="AGROPECARIA DE OCCIDENTE S.A."/>
        <s v="PREMEX"/>
        <s v="PROVIMI S.A."/>
        <s v="AGRIFEED"/>
        <s v="BALANCEADOS ALIANZA"/>
        <s v="PORCICOLA EMMANUEL"/>
        <s v="CONCENTRADOS ESPARTACO"/>
        <s v="AVICOLA LA DOMINGA"/>
        <s v="SOCIEDAD AVICOLA EL TABACAL SAS"/>
        <s v="MEJIA &amp; CIA. S.A."/>
        <s v="MARIA JOSE ORTIZ"/>
        <s v="REVEEX NUTRICION SAS"/>
        <s v="AGROPECUARIA DE OCCIDENTE"/>
        <s v="AVICOLA LOS CAMBULOS SA"/>
        <s v="CARDONA RESTREPO JAIME DE JESUS"/>
        <s v="PORCICOLA PRADERA S.A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5909.664211111114" createdVersion="8" refreshedVersion="8" minRefreshableVersion="3" recordCount="587" xr:uid="{4328F620-02C4-4AF2-94A0-A233454B8E29}">
  <cacheSource type="worksheet">
    <worksheetSource ref="A1:P1" sheet="Base"/>
  </cacheSource>
  <cacheFields count="18">
    <cacheField name="Observaciones" numFmtId="0">
      <sharedItems containsBlank="1"/>
    </cacheField>
    <cacheField name="O.C." numFmtId="0">
      <sharedItems containsBlank="1" containsMixedTypes="1" containsNumber="1" containsInteger="1" minValue="90824" maxValue="4500353591"/>
    </cacheField>
    <cacheField name="Fecha recepción O.C." numFmtId="0">
      <sharedItems containsDate="1" containsMixedTypes="1" minDate="2025-05-08T00:00:00" maxDate="2025-09-01T00:00:00"/>
    </cacheField>
    <cacheField name="Hora reQ" numFmtId="20">
      <sharedItems containsSemiMixedTypes="0" containsNonDate="0" containsDate="1" containsString="0" minDate="1899-12-30T06:53:00" maxDate="1899-12-30T22:20:00"/>
    </cacheField>
    <cacheField name="FECHA DE ENTREGA REAL" numFmtId="0">
      <sharedItems containsDate="1" containsBlank="1" containsMixedTypes="1" minDate="2025-07-14T00:00:00" maxDate="2025-08-31T00:00:00"/>
    </cacheField>
    <cacheField name="Pedido" numFmtId="0">
      <sharedItems containsBlank="1" count="316">
        <s v="S08516"/>
        <s v="S08929"/>
        <s v="S08928"/>
        <s v="S08358"/>
        <s v="S07503"/>
        <s v="S07893"/>
        <s v="S07931"/>
        <s v="S07990"/>
        <s v="S07958"/>
        <s v="S08000"/>
        <s v="S08061"/>
        <s v="S07203"/>
        <s v="S08084"/>
        <s v="S08085"/>
        <s v="S08086"/>
        <s v="S08087"/>
        <s v="S08092"/>
        <s v="S07770"/>
        <s v="S07774"/>
        <s v="S08047"/>
        <s v="S08109"/>
        <s v="S08120"/>
        <s v="S08119"/>
        <m/>
        <s v="S08124"/>
        <s v="S08125"/>
        <s v="S08127"/>
        <s v="S08128"/>
        <s v="S08129"/>
        <s v="S08144"/>
        <s v="S08145"/>
        <s v="S08158"/>
        <s v="S08160"/>
        <s v="S08161"/>
        <s v="S08162"/>
        <s v="S08163"/>
        <s v="S08165"/>
        <s v="S08164"/>
        <s v=" S08170"/>
        <s v="S08191"/>
        <s v="S08192"/>
        <s v="S08195"/>
        <s v="S08194"/>
        <s v="S08196"/>
        <s v="S08198"/>
        <s v="S08199"/>
        <s v="S08210"/>
        <s v="S08214"/>
        <s v="S08201"/>
        <s v="S08213"/>
        <s v="S08230"/>
        <s v="S08231"/>
        <s v="S08233"/>
        <s v="S08235"/>
        <s v="S08236"/>
        <s v="S08237"/>
        <s v="S08239"/>
        <s v="S08240"/>
        <s v="S08241"/>
        <s v="S08242"/>
        <s v="S08243"/>
        <s v="S08193"/>
        <s v="S08172"/>
        <s v="S08244"/>
        <s v="S08250"/>
        <s v="S08251"/>
        <s v="S08253"/>
        <s v="S08259"/>
        <s v="S08270"/>
        <s v="S08272"/>
        <s v="S08273"/>
        <s v="S08274"/>
        <s v="S08275"/>
        <s v="S08276"/>
        <s v="S08101"/>
        <s v="S08278"/>
        <s v="S08283"/>
        <s v="S08284"/>
        <s v="S08286"/>
        <s v="S08288"/>
        <s v="S08289"/>
        <s v="S08290"/>
        <s v="S08291"/>
        <s v="S08292"/>
        <s v="S08293"/>
        <s v="S08294"/>
        <s v="S08298"/>
        <s v="S08303"/>
        <s v="S08306"/>
        <s v="S08308"/>
        <s v="S08312"/>
        <s v="S08314"/>
        <s v="S08315"/>
        <s v="S08316"/>
        <s v="S08318"/>
        <s v="S08319"/>
        <s v="S08321"/>
        <s v="S08322"/>
        <s v="S08323"/>
        <s v="S08325"/>
        <s v="S08326"/>
        <s v="S08327"/>
        <s v="S08328"/>
        <s v="S08329"/>
        <s v="S08331"/>
        <s v="S08332"/>
        <s v="S08333"/>
        <s v="S08334"/>
        <s v="S08335"/>
        <s v="S08337"/>
        <s v="S08353"/>
        <s v="S08354"/>
        <s v="S08355"/>
        <s v="S08359"/>
        <s v="S08360"/>
        <s v="S08361"/>
        <s v="S08363"/>
        <s v="S08364"/>
        <s v="S08367"/>
        <s v="S08371"/>
        <s v="S08382"/>
        <s v="S08383"/>
        <s v="S08384"/>
        <s v="S08386"/>
        <s v="S08387"/>
        <s v="S08392"/>
        <s v="S08317"/>
        <s v="S08399"/>
        <s v="S08402"/>
        <s v="S08324"/>
        <s v="S08404"/>
        <s v="S08406"/>
        <s v="S08389"/>
        <s v="S08407"/>
        <s v="S08405"/>
        <s v="S08409"/>
        <s v="S08410"/>
        <s v="S08411"/>
        <s v="S08412"/>
        <s v="S08414"/>
        <s v="S08445"/>
        <s v="S08446"/>
        <s v="S08447"/>
        <s v="S08448"/>
        <s v="S08450"/>
        <s v="S08451"/>
        <s v="S08452"/>
        <s v="S08462"/>
        <s v="S08463"/>
        <s v="S08464"/>
        <s v="S08465"/>
        <s v="S08466"/>
        <s v="S08475"/>
        <s v="S08476"/>
        <s v="S08482"/>
        <s v="S08483"/>
        <s v="S08485"/>
        <s v="S08486"/>
        <s v="S08487"/>
        <s v="S08488"/>
        <s v="S08489"/>
        <s v="S08490"/>
        <s v="S08491"/>
        <s v="S08495"/>
        <s v="S08496"/>
        <s v="S08497"/>
        <s v="S08498"/>
        <s v="S08499"/>
        <s v="S08500"/>
        <s v="S08501"/>
        <s v="S08504"/>
        <s v="S08505"/>
        <s v="S08506"/>
        <s v="S08507"/>
        <s v="S08509"/>
        <s v="S08515"/>
        <s v="S08523"/>
        <s v="S08528"/>
        <s v="S08529"/>
        <s v="S08530"/>
        <s v="S08531"/>
        <s v="S08532"/>
        <s v="S08538"/>
        <s v="S08540"/>
        <s v="S08541"/>
        <s v="S08543"/>
        <s v="S08546"/>
        <s v="S08565"/>
        <s v="S08566"/>
        <s v="S08632"/>
        <s v="S08605"/>
        <s v="S08576"/>
        <s v="S08577"/>
        <s v="S08578"/>
        <s v="S08580"/>
        <s v="S08584"/>
        <s v="S08585"/>
        <s v="S08592"/>
        <s v="S08593"/>
        <s v="S08595"/>
        <s v="S07257"/>
        <s v="S08596"/>
        <s v="S08603"/>
        <s v="S08601"/>
        <s v="S08762"/>
        <s v="S08780"/>
        <s v="S08614"/>
        <s v="S08615"/>
        <s v="S08616"/>
        <s v="S08618"/>
        <s v="S08622"/>
        <s v="S08608"/>
        <s v="S08624"/>
        <s v="S07292"/>
        <s v="S08612"/>
        <s v="S08647"/>
        <s v="S08653"/>
        <s v="S08655"/>
        <s v="S08662"/>
        <s v="S08663"/>
        <s v="S08665"/>
        <s v="S08667"/>
        <s v="S08668"/>
        <s v="S08669"/>
        <s v="S08670"/>
        <s v="S08671"/>
        <s v="S08673"/>
        <s v="S08675"/>
        <s v="S08685"/>
        <s v="S08713"/>
        <s v="S08714"/>
        <s v="S08715"/>
        <s v="S08720"/>
        <s v="S08721"/>
        <s v="S08722"/>
        <s v="S08716"/>
        <s v="S08726"/>
        <s v="S08727"/>
        <s v="S08728"/>
        <s v="S08729"/>
        <s v="S08730"/>
        <s v="S08732"/>
        <s v="S08734"/>
        <s v="S08735"/>
        <s v="S08736"/>
        <s v="S08738"/>
        <s v="S08741"/>
        <s v="S08742"/>
        <s v="S08743"/>
        <s v="S08744"/>
        <s v="S08748"/>
        <s v="S08752"/>
        <s v="S08757"/>
        <s v="S08827"/>
        <s v="S08733"/>
        <s v="S08763"/>
        <s v="S08764"/>
        <s v="S08756"/>
        <s v="S08770"/>
        <s v="S08771"/>
        <s v="S08772"/>
        <s v="S08775"/>
        <s v="S08776"/>
        <s v="S08785"/>
        <s v="S08786"/>
        <s v="S08787"/>
        <s v="S08788"/>
        <s v="S08789"/>
        <s v="S08597"/>
        <s v="S08790"/>
        <s v="S08791"/>
        <s v="S08796"/>
        <s v="S08797"/>
        <s v="S08798"/>
        <s v="S08811"/>
        <s v="S08819"/>
        <s v="S08820"/>
        <s v="S08866"/>
        <s v="S08821"/>
        <s v="S08822"/>
        <s v="S08823"/>
        <s v="S08824"/>
        <s v="S08828"/>
        <s v="S08831"/>
        <s v="S08832"/>
        <s v="S08833"/>
        <s v="S08849"/>
        <s v="S08865"/>
        <s v="S08856"/>
        <s v="S08868"/>
        <s v="S08870"/>
        <s v="S08871"/>
        <s v="S08873"/>
        <s v="S08887"/>
        <s v="S08888"/>
        <s v="S08895"/>
        <s v="S08897"/>
        <s v="S08898"/>
        <s v="S08901"/>
        <s v="S08902"/>
        <s v="S08906"/>
        <s v="S08908"/>
        <s v="S08915"/>
        <s v="S08926"/>
        <s v="S08931"/>
        <s v="S08938"/>
        <s v="S08932"/>
        <s v="S08944"/>
        <s v="S08949"/>
        <s v="S08980"/>
        <s v="S08981"/>
        <s v="S08985"/>
        <s v="S08964"/>
        <s v="S08953"/>
        <s v="S08930"/>
        <s v="S08896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5-06-25T00:00:00" maxDate="2025-08-29T00:00:00"/>
    </cacheField>
    <cacheField name="Hora generación" numFmtId="20">
      <sharedItems containsNonDate="0" containsDate="1" containsString="0" containsBlank="1" minDate="1899-12-30T07:40:00" maxDate="1899-12-30T17:22:00"/>
    </cacheField>
    <cacheField name="Cliente" numFmtId="0">
      <sharedItems count="90">
        <s v="PREMEX S.A. "/>
        <s v="ALIMENTOS POLAR"/>
        <s v="SOLLA"/>
        <s v="PREMEZCLAS LATINOAMERICANAS PRALSA"/>
        <s v="COMPAÑIA INDUSTRIAL DE PRODUCTOS AGROPECUARIOS"/>
        <s v="FINCA"/>
        <s v="CONTEGRAL"/>
        <s v="INVERSIONES ESCALA"/>
        <s v="MEZCLAS BIOMIX"/>
        <s v="MARIA JOSE ORTIZ"/>
        <s v="AVIMOL"/>
        <s v="AVICOLA EL GUAMITO"/>
        <s v="COOPERATIVA COLANTA"/>
        <s v="ITALCOL DE OCCIDENTE"/>
        <s v="AGROPECUARIA GOLOSO"/>
        <s v="AVICOLA LA AURORA"/>
        <s v="AGRIFEED"/>
        <s v="PROCESADORA  NACIONAL DE ALIMENTOS (PRONACA)"/>
        <s v="GRANJAS PARAISO"/>
        <s v="AGROPECUARIA ALFA"/>
        <s v="AGROPECUARIA ALIAR"/>
        <s v="REVEEX"/>
        <s v="INVERSIONES FEED"/>
        <s v="AGROINDUSTRIAL SAN JOSE"/>
        <s v="PORCICOLA EMMANUEL"/>
        <s v="NUTRITEC"/>
        <s v="COMERCIALIZADORA G&amp;M"/>
        <s v="AGROAVICOLA SAN MARINO"/>
        <s v="COMERCIALIZADORA CAMPO FERTIL"/>
        <s v="ALIMENTOS ALDUQUE"/>
        <s v="PORCICULTORES APA"/>
        <s v="AGROINDUSTRIA BIOMANANTIALES"/>
        <s v="AGROPECUARIA DE OCCIDENTE"/>
        <s v="AGRICOLA COLOMBIANA"/>
        <s v="DISTRIBUIDORA AGRO-PLUS"/>
        <s v="INSUMOS Y ADITIVOS VETERINARIOS"/>
        <s v="CONCENTRADOS CONSUIZA"/>
        <s v="CERDON"/>
        <s v="NUTRICION EXPERTA DE COLOMBIA"/>
        <s v="COOPERATIVA DE PORCICULTORES DEL EJE CAFETERO"/>
        <s v="ADITIVOS Y QUIMICOS"/>
        <s v="CERDOS DEL VALLE"/>
        <s v="MESAGE"/>
        <s v="OPERADORA AVICOLA"/>
        <s v="POLLO FIESTA"/>
        <s v="IMP- AGRO"/>
        <s v="GARCIA GOMEZ AGROINVERSIONES "/>
        <s v="INTEGRACIONES PORCINAS"/>
        <s v="AVSA"/>
        <s v="COLOMBIANA DE INCUBACION"/>
        <s v="PORCICOLA PRADERA"/>
        <s v="POLLOS EL BUCANERO"/>
        <s v="EMPOLLADORA COLOMBIANA"/>
        <s v="ALIMENTOS NUTRAL"/>
        <s v="DISTRAVES"/>
        <s v="VITALESCO"/>
        <s v="INVERSIONES J.V."/>
        <s v="ELKIN NORIEL SANCHEZ"/>
        <s v="POLLOS SAVICOL"/>
        <s v="AVICOLA TRIPLE A"/>
        <s v="GRUPO AGROBOX"/>
        <s v="AVICOLA LA DOMINGA"/>
        <s v="ECUADPREMEX"/>
        <s v="AVIDESA DE OCCIDENTE"/>
        <s v="INVERSIONES AGROPORC"/>
        <s v="PRO FARM DE LOS ANDES"/>
        <s v="PROVIMI"/>
        <s v="DISTRIBUCIONES AGRALBA"/>
        <s v="AVICOLA LOS CAMBULOS"/>
        <s v="AVECER"/>
        <s v="AGROSIGO"/>
        <s v="AGRALBA"/>
        <s v="INSUMOS AGROPECUARIOS"/>
        <s v="VIVIANA CARMONA"/>
        <s v="JAIME CARDONA"/>
        <s v="HERMANOS ARANGO"/>
        <s v="PECUARY SUPPLIER SAS"/>
        <s v="AGROBOX"/>
        <s v="PORCICOLA EMMMANUEL"/>
        <s v="SUPERCERDO PAISA"/>
        <s v="COOPERATIVA DE PORCICULTORES"/>
        <s v="VITAOVO"/>
        <s v="ALCON DE COLOMBIA"/>
        <s v="BIOINDUSTRIA MANANTIALES"/>
        <s v="TECNOCAMPO"/>
        <s v="GVM CORPORATION GLOBAL VETERINARY MEDICINE S A S"/>
        <s v="PROFARM DE LOS ANDES"/>
        <s v="INVERSIONES AGROPECUARIAS FC SAS"/>
        <s v="P&amp;P INVERSIONES SAS"/>
        <s v="CONTEGRAL S.A.S."/>
      </sharedItems>
    </cacheField>
    <cacheField name="Ciudad" numFmtId="0">
      <sharedItems/>
    </cacheField>
    <cacheField name="Nombre del producto" numFmtId="0">
      <sharedItems/>
    </cacheField>
    <cacheField name="Kg. Solicitados" numFmtId="0">
      <sharedItems containsSemiMixedTypes="0" containsDate="1" containsString="0" containsMixedTypes="1" minDate="2025-05-12T00:00:00" maxDate="1900-01-05T07:18:04"/>
    </cacheField>
    <cacheField name="Cantidad" numFmtId="0">
      <sharedItems containsSemiMixedTypes="0" containsString="0" containsNumber="1" minValue="2.4E-2" maxValue="2080"/>
    </cacheField>
    <cacheField name="Valor total" numFmtId="0">
      <sharedItems containsBlank="1" containsMixedTypes="1" containsNumber="1" minValue="0.6" maxValue="759200000"/>
    </cacheField>
    <cacheField name="Fecha Requerida Por el Cliente" numFmtId="14">
      <sharedItems containsSemiMixedTypes="0" containsNonDate="0" containsDate="1" containsString="0" minDate="2025-07-02T00:00:00" maxDate="2025-09-04T00:00:00"/>
    </cacheField>
    <cacheField name="FECHA DE ENTREGA REAL2" numFmtId="0">
      <sharedItems containsDate="1" containsBlank="1" containsMixedTypes="1" minDate="2025-07-14T00:00:00" maxDate="2025-08-31T00:00:00"/>
    </cacheField>
    <cacheField name="DIAS DE DIFERENCIA" numFmtId="1">
      <sharedItems containsSemiMixedTypes="0" containsString="0" containsNumber="1" containsInteger="1" minValue="-16" maxValue="45891" count="23">
        <n v="0"/>
        <n v="11"/>
        <n v="-3"/>
        <n v="3"/>
        <n v="2"/>
        <n v="-2"/>
        <n v="1"/>
        <n v="-7"/>
        <n v="5"/>
        <n v="6"/>
        <n v="-1"/>
        <n v="8"/>
        <n v="-16"/>
        <n v="4"/>
        <n v="7"/>
        <n v="14"/>
        <n v="13"/>
        <n v="9"/>
        <n v="-6"/>
        <n v="-4"/>
        <n v="32" u="1"/>
        <n v="62" u="1"/>
        <n v="4589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119.623865046298" createdVersion="8" refreshedVersion="8" minRefreshableVersion="3" recordCount="526" xr:uid="{F21AB565-6242-48DB-B5BD-6B5D5434DB76}">
  <cacheSource type="worksheet">
    <worksheetSource ref="A1:P527" sheet="Base"/>
  </cacheSource>
  <cacheFields count="16">
    <cacheField name="NOVEDADES REPORTADAS" numFmtId="0">
      <sharedItems containsBlank="1" count="23">
        <m/>
        <s v="INVENTARIO"/>
        <s v="ALISTAMIENTO"/>
        <s v="CARTERA / ALISAMIENTO"/>
        <s v="CANCELADO"/>
        <s v="ASC"/>
        <s v="TRANSPORTE"/>
        <s v="CARTERA"/>
        <s v="SAC"/>
        <s v="CALIDAD"/>
        <s v="INVENTARIO "/>
        <s v="INVENTARIO AGOTADO" u="1"/>
        <s v="ENVIADO A ADIQUIM" u="1"/>
        <s v="BONIFICADO" u="1"/>
        <s v="CONFIRMAR CANTIDAD DADO QUE EL CLIENTE REQUIERE PRESENTACION X 5 KG" u="1"/>
        <s v="BACKODER" u="1"/>
        <s v="NUEVO PEDIDO NO FACTURAR" u="1"/>
        <s v="INVENTARIO ( CAMBIO POR DISPOBIBILIDAD DE PRODUCTO)" u="1"/>
        <s v="REVISAR TILCOMIX PREMIX" u="1"/>
        <s v="CONFIRMAR CANTIDAD CTC" u="1"/>
        <s v="inventario avisar a carol" u="1"/>
        <s v="EN ESPERA DE AUTORIZACION DE ENVIO" u="1"/>
        <s v="NO ENVIAR HASTA PAGO" u="1"/>
      </sharedItems>
    </cacheField>
    <cacheField name="O.C." numFmtId="0">
      <sharedItems containsBlank="1" containsMixedTypes="1" containsNumber="1" containsInteger="1" minValue="1654" maxValue="42000009917"/>
    </cacheField>
    <cacheField name="Fecha recepción O.C." numFmtId="0">
      <sharedItems containsNonDate="0" containsDate="1" containsString="0" containsBlank="1" minDate="2025-01-20T00:00:00" maxDate="3036-03-26T00:00:00"/>
    </cacheField>
    <cacheField name="Hora reQ" numFmtId="0">
      <sharedItems containsDate="1" containsBlank="1" containsMixedTypes="1" minDate="1899-12-30T07:00:00" maxDate="1899-12-30T19:13:00"/>
    </cacheField>
    <cacheField name="ESTATUS DE ENTREGA" numFmtId="0">
      <sharedItems containsNonDate="0" containsString="0" containsBlank="1"/>
    </cacheField>
    <cacheField name="Pedido" numFmtId="0">
      <sharedItems containsBlank="1" count="352">
        <s v="S15197"/>
        <s v="S15195"/>
        <s v="S15463"/>
        <s v="S12661"/>
        <s v="S14583"/>
        <s v="S14160"/>
        <s v="S14164"/>
        <s v="S14180"/>
        <s v="S14303"/>
        <s v="S14306"/>
        <s v="S14307"/>
        <s v="S14312"/>
        <s v="S14313"/>
        <s v="S14317"/>
        <s v="S14321"/>
        <s v="S14322"/>
        <s v="S14367"/>
        <s v="S14368"/>
        <s v="S14369"/>
        <s v="S14370"/>
        <s v="S14371"/>
        <s v="S14373"/>
        <s v="S14392"/>
        <s v="S14395"/>
        <s v="S14396"/>
        <s v="S14398"/>
        <s v="S14400"/>
        <s v="S14402"/>
        <m/>
        <s v="S14404"/>
        <s v="S14405"/>
        <s v="S14407"/>
        <s v="S14477"/>
        <s v="S14408"/>
        <s v="S14410"/>
        <s v="S14411"/>
        <s v="S14416"/>
        <s v="S14417"/>
        <s v="S14419"/>
        <s v="S14424"/>
        <s v="S14446"/>
        <s v="S14454"/>
        <s v="S14447"/>
        <s v="S14450"/>
        <s v="S14466"/>
        <s v="S14467"/>
        <s v="S14468"/>
        <s v="S14469"/>
        <s v="S14470"/>
        <s v="S14471"/>
        <s v="S14472"/>
        <s v="S14473"/>
        <s v="S14475"/>
        <s v="S14292"/>
        <s v="S14491"/>
        <s v="S14492"/>
        <s v="S14493"/>
        <s v="S14495"/>
        <s v="S14497"/>
        <s v="S14498 (S14929)"/>
        <s v="S14501"/>
        <s v="S14503"/>
        <s v="S14504"/>
        <s v="S14558"/>
        <s v="S14505"/>
        <s v="S14508"/>
        <s v="S14509"/>
        <s v="S14513"/>
        <s v="S14514"/>
        <s v="S14536_x000a_"/>
        <s v="S14515"/>
        <s v="S14516"/>
        <s v="S14512"/>
        <s v="S14522"/>
        <s v="S14523"/>
        <s v="S14526"/>
        <s v="S14537"/>
        <s v="S14538"/>
        <s v="S14539"/>
        <s v="S14541"/>
        <s v="S14544"/>
        <s v="S14518"/>
        <s v="S14547"/>
        <s v="S14553"/>
        <s v="S14556"/>
        <s v="S14557"/>
        <s v="S14560"/>
        <s v="S14561"/>
        <s v="S14568"/>
        <s v="S14570"/>
        <s v="S14575"/>
        <s v="S14578"/>
        <s v="S14579"/>
        <s v="S14580"/>
        <s v="S14596"/>
        <s v="S14602"/>
        <s v="S14606"/>
        <s v="S14608"/>
        <s v="S14610"/>
        <s v="S14611"/>
        <s v="S14613"/>
        <s v="S14614"/>
        <s v="S14615"/>
        <s v="S14616"/>
        <s v="S14620"/>
        <s v="S14621"/>
        <s v="S14265"/>
        <s v="S14266"/>
        <s v="S14346"/>
        <s v="S14347"/>
        <s v="S14656"/>
        <s v="S14657"/>
        <s v="S14658"/>
        <s v="S14660"/>
        <s v="S14694"/>
        <s v="S14668"/>
        <s v="S14671"/>
        <s v="S14673"/>
        <s v="S14675"/>
        <s v="S14691"/>
        <s v="S14693"/>
        <s v="S14696"/>
        <s v="S14697"/>
        <s v="S14698"/>
        <s v="S14721"/>
        <s v="S14722"/>
        <s v="S14733"/>
        <s v="S14734"/>
        <s v="S14735"/>
        <s v="S14738"/>
        <s v="S15529"/>
        <s v="S14740"/>
        <s v="S14754"/>
        <s v="S14768"/>
        <s v="S14769"/>
        <s v="S14770"/>
        <s v="S14765"/>
        <s v="S14771"/>
        <s v="S14773"/>
        <s v="S14774"/>
        <s v="S14511"/>
        <s v="S14780"/>
        <s v="S14781_x000a_"/>
        <s v="S14784"/>
        <s v="S14785"/>
        <s v="S14786 _x000a_"/>
        <s v="S14323"/>
        <s v="S14324"/>
        <s v="S14794"/>
        <s v="S14795"/>
        <s v="S14797"/>
        <s v="S14800"/>
        <s v="S14803"/>
        <s v="S14804"/>
        <s v="S14809"/>
        <s v="S14810"/>
        <s v="S14811"/>
        <s v="S14812"/>
        <s v="S14814"/>
        <s v="S14816"/>
        <s v="S14817"/>
        <s v="S14819"/>
        <s v="S14820"/>
        <s v="S14821"/>
        <s v="S14825"/>
        <s v="S14818"/>
        <s v="S14830"/>
        <s v="S14833"/>
        <s v="S14834"/>
        <s v="S14837"/>
        <s v="S14840"/>
        <s v="S14841"/>
        <s v="S14842"/>
        <s v="S14843"/>
        <s v="S14845"/>
        <s v="S15092"/>
        <s v="S14846"/>
        <s v="S14849"/>
        <s v="S14850"/>
        <s v="S14858"/>
        <s v="S14859"/>
        <s v="S14787"/>
        <s v="S14899"/>
        <s v="S14905"/>
        <s v="S14911"/>
        <s v="S14914"/>
        <s v="S14903"/>
        <s v="S15115"/>
        <s v="S14916"/>
        <s v="S14906"/>
        <s v="S14925"/>
        <s v="S14927"/>
        <s v="S14934"/>
        <s v="S14935"/>
        <s v="S14937"/>
        <s v="S14938"/>
        <s v="S14939"/>
        <s v="S14940"/>
        <s v="S14956"/>
        <s v="S14968"/>
        <s v="S14971"/>
        <s v="S14972"/>
        <s v="S14973"/>
        <s v="S14974"/>
        <s v="S14975"/>
        <s v="S14977"/>
        <s v="S14980"/>
        <s v="S14982"/>
        <s v="S14182"/>
        <s v="S14983"/>
        <s v="S14984"/>
        <s v="S14985"/>
        <s v="S14989"/>
        <s v="S15000"/>
        <s v="S15001"/>
        <s v="S15002"/>
        <s v="S15003"/>
        <s v="S15004"/>
        <s v="S14685"/>
        <s v="S14687"/>
        <s v="S14777"/>
        <s v="S14831"/>
        <s v="S15018"/>
        <s v="S15019"/>
        <s v="S15020"/>
        <s v="S15024"/>
        <s v="S15021"/>
        <s v="S15054"/>
        <s v="S15061"/>
        <s v="S15064"/>
        <s v="S15071"/>
        <s v="S13953"/>
        <s v="S15078"/>
        <s v="S15083"/>
        <s v="S15088"/>
        <s v="S15095"/>
        <s v="S15097"/>
        <s v="S15106"/>
        <s v="S15109"/>
        <s v="S15110"/>
        <s v="S15112"/>
        <s v="S15113"/>
        <s v="S15114"/>
        <s v="S15121"/>
        <s v="S15122"/>
        <s v="S15123"/>
        <s v="S15136"/>
        <s v="S15141"/>
        <s v="S15143"/>
        <s v="S15149"/>
        <s v="S15145"/>
        <s v="S15151"/>
        <s v="S15159"/>
        <s v="S15166"/>
        <s v="S15167"/>
        <s v="S15172"/>
        <s v="S15193"/>
        <s v="S15194"/>
        <s v="S15190"/>
        <s v="S15198"/>
        <s v="S15203"/>
        <s v="S15205"/>
        <s v="S15206"/>
        <s v="S15216"/>
        <s v="S15217"/>
        <s v="S15218"/>
        <s v="S15219"/>
        <s v="S15220"/>
        <s v="S15228"/>
        <s v="S15229"/>
        <s v="S15230"/>
        <s v="S15550"/>
        <s v="S15238"/>
        <s v="S15240"/>
        <s v="S15245"/>
        <s v="S15246"/>
        <s v="S15247"/>
        <s v="S15262"/>
        <s v="S15263"/>
        <s v="S15264"/>
        <s v="S15265"/>
        <s v="S15266"/>
        <s v="S15268"/>
        <s v="S15278"/>
        <s v="S15280"/>
        <s v="S15307"/>
        <s v="S15325"/>
        <s v="S15329"/>
        <s v="S15335"/>
        <s v="S15338"/>
        <s v="S15340"/>
        <s v="S15343"/>
        <s v="S15345"/>
        <s v="S15349"/>
        <s v="S15350"/>
        <s v="S15451"/>
        <s v="S15351"/>
        <s v="S15354"/>
        <s v="S15355"/>
        <s v="S15357"/>
        <s v="S15358"/>
        <s v="S15359"/>
        <s v="S15360"/>
        <s v="S15362"/>
        <s v="S15365"/>
        <s v="S15363"/>
        <s v="S15430"/>
        <s v="S15378"/>
        <s v="S15379"/>
        <s v="S15380"/>
        <s v="S15381"/>
        <s v="S15382"/>
        <s v="S15383"/>
        <s v="S15385"/>
        <s v="S15389"/>
        <s v="S15393"/>
        <s v="S15411"/>
        <s v="S15412"/>
        <s v="S15415"/>
        <s v="S15416"/>
        <s v="S15419"/>
        <s v="S15420"/>
        <s v="S15421"/>
        <s v="S15423"/>
        <s v="S15394"/>
        <s v="S15530"/>
        <s v="S15434"/>
        <s v="S15450"/>
        <s v="S15477"/>
        <s v="S15480"/>
        <s v="S15481"/>
        <s v="S15482"/>
        <s v="S15483"/>
        <s v="S15504"/>
        <s v="S15484"/>
        <s v="S15485"/>
        <s v="S15492"/>
        <s v="S15493"/>
        <s v="S15494"/>
        <s v="S15495"/>
        <s v="S15498"/>
        <s v="S14822"/>
        <s v="S15387"/>
        <s v="S15418"/>
        <s v="S15561"/>
        <s v="S15567"/>
        <s v="S15581"/>
        <s v="S15594"/>
        <s v="S15617"/>
        <s v="S15629"/>
        <s v="S15502"/>
        <s v="S15524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5-02-24T00:00:00" maxDate="3036-03-26T00:00:00"/>
    </cacheField>
    <cacheField name="Hora generación" numFmtId="0">
      <sharedItems containsDate="1" containsBlank="1" containsMixedTypes="1" minDate="1899-12-30T01:47:00" maxDate="1899-12-30T16:40:00"/>
    </cacheField>
    <cacheField name="Cliente" numFmtId="0">
      <sharedItems count="94">
        <s v="PREMEX S.A.S."/>
        <s v="PROCESADORA NACIONAL DE ALIMENTOS - PRONACA"/>
        <s v="ALIMENTOS POLAR COLOMBIA SAS"/>
        <s v="SOLLA S.A."/>
        <s v="MEZCLAS BIOMIX"/>
        <s v="FINCA"/>
        <s v="PROVIMI"/>
        <s v="PORCICULTORES APA"/>
        <s v="LA CASA MAYOR"/>
        <s v="PREMEZCLAS LATINOAMERICANAS"/>
        <s v="AGROAVICOLA SAN MARINO"/>
        <s v="NUTRITEC"/>
        <s v="AVICOLA EL GUAMITO"/>
        <s v="ITALCOL DE OCCIDENTE"/>
        <s v="CONTEGRAL"/>
        <s v="ANTIOQUEÑA DE PORCINOS"/>
        <s v="OPERADORA AVICOLA"/>
        <s v="COOPERATIVA COLANTA"/>
        <s v="BIOINDUSTRIAS MANANTIAL"/>
        <s v="AVICOLA LA DOMINGA"/>
        <s v="COMERCIALIZADORA G&amp;M"/>
        <s v="INVERSIONES J.V."/>
        <s v="AVECER"/>
        <s v="COOPERATIVA DE PORCICULTORES DEL EJE CAFETERO"/>
        <s v="JHON RIZO"/>
        <s v="MARIA JOSE ORTIZ"/>
        <s v="NUTRICION EXPERTA DE COLOMBIA"/>
        <s v="PREMEZCLAS LATINOAMERICANAS PRALSA"/>
        <s v="MESAGE"/>
        <s v="COMPAÑIA INDUSTRIAL DE PRODUCTOS AGROPECUARIOS"/>
        <s v="COLOMBIANA DE INCUBACION INCUBACOL"/>
        <s v="AGRIFEED"/>
        <s v="AVIDESA DE OCCIDENTE"/>
        <s v="PROMOTORA PORCINA"/>
        <s v="DISTRIBUIDORA AGRO-PLUS"/>
        <s v="REVEEX"/>
        <s v="PORCICOLA EMMANUEL"/>
        <s v="PORCICOLA PRADERA"/>
        <s v="AVICOLA SINAIN"/>
        <s v="AGROPECUARIA GOLOSO"/>
        <s v="GRUPO TECNOCAMPO"/>
        <s v="ALIMENTOS ALDUQUE"/>
        <s v="BETANAGRO"/>
        <s v="AGROPECURIA DE OCCIDENTE"/>
        <s v="AGROPECURIA ALIAR"/>
        <s v="GRUPO AGROBOX"/>
        <s v="AGROPECUARIA ALFA"/>
        <s v="CERDON"/>
        <s v="MEJIA &amp; CIA"/>
        <s v="C&amp;J PORK"/>
        <s v="AVSA"/>
        <s v="INSUMOS Y ADITIVOS VETERINARIOS"/>
        <s v="POLLOS EL BUCANERO"/>
        <s v="AGROSIGO"/>
        <s v="ALCON DE COLOMBIA"/>
        <s v="INVERSIONES RICARPI"/>
        <s v="CERDOS DEL VALLE"/>
        <s v="GVM"/>
        <s v="INVERSIONES ESCALA"/>
        <s v="AVIMOL"/>
        <s v="NUTRIPIENSOS"/>
        <s v="ARANGO HERMANOS"/>
        <s v="AGROINDUSTRIAL SAN JOSE"/>
        <s v="AVICOLA LOS CAMBULOS"/>
        <s v="MD DISTRIBUCIONES Y REPRESENTACIONES"/>
        <s v="INVERSIONES EL DORADO"/>
        <s v="TERRAZAS AGROPECUARIAS"/>
        <s v="UNIVERSAL AVICOLA"/>
        <s v="PAULANDIA"/>
        <s v="HUEVOS LA GRANJA DE MAO"/>
        <s v="DISTRIBUCIONES AGRALBA"/>
        <s v="COMERCIALIZADORA CAMPO FERTIL"/>
        <s v="INDUSTRIA NUTRICIONAL AVICOLA"/>
        <s v="CARLOS AUGUSTO AYORA"/>
        <s v="INVERSIONES TRIBILIN"/>
        <s v="AVICOLA TORCOROMA"/>
        <s v="POLLOS SAVICOL"/>
        <s v="ALIMENTOS ALDQUE"/>
        <s v="CONCENTRADOS JUDEVAL"/>
        <s v="BIO CONCENTRADOS"/>
        <s v="DISTRAVES"/>
        <s v="JAIME CARDONA"/>
        <s v="DISTRIBUCIONES AGRO-PLUS"/>
        <s v="AGROPECUARIA DE OCCIDENTE"/>
        <s v="INVERSIONES FC"/>
        <s v="INVERSIONES CARDONA RIOS"/>
        <s v="INUSMOS AGROPECUARIOS DEL CAFE"/>
        <s v="BIOPRESS S.A."/>
        <s v="INVERSIONES AGROPORC"/>
        <s v="CONCENTRADOS DEL CAMPO"/>
        <s v="DISTRIBUIDORA AGRO-PLUS SAS"/>
        <s v="GRUPO PORCINO"/>
        <s v="INCUBADORA SANTANDER"/>
        <s v="ERNESTO OSPINA"/>
      </sharedItems>
    </cacheField>
    <cacheField name="Ciudad" numFmtId="0">
      <sharedItems/>
    </cacheField>
    <cacheField name="Nombre del producto" numFmtId="0">
      <sharedItems/>
    </cacheField>
    <cacheField name="Kg. Solicitados" numFmtId="0">
      <sharedItems containsMixedTypes="1" containsNumber="1" minValue="0" maxValue="52000"/>
    </cacheField>
    <cacheField name="Cantidad" numFmtId="0">
      <sharedItems containsSemiMixedTypes="0" containsString="0" containsNumber="1" containsInteger="1" minValue="0" maxValue="2080"/>
    </cacheField>
    <cacheField name="Valor total" numFmtId="0">
      <sharedItems containsBlank="1" containsMixedTypes="1" containsNumber="1" containsInteger="1" minValue="0" maxValue="661180000"/>
    </cacheField>
    <cacheField name="Fecha Requerida Por el Cliente" numFmtId="0">
      <sharedItems containsSemiMixedTypes="0" containsDate="1" containsString="0" containsMixedTypes="1" minDate="1899-12-31T00:00:00" maxDate="3036-03-1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n v="4700006321"/>
    <d v="2023-12-11T00:00:00"/>
    <d v="1899-12-30T14:38:00"/>
    <n v="113147"/>
    <n v="17397"/>
    <d v="2024-01-30T00:00:00"/>
    <d v="1899-12-30T14:35:00"/>
    <x v="0"/>
  </r>
  <r>
    <n v="4700006367"/>
    <d v="2023-11-22T00:00:00"/>
    <d v="1899-12-30T12:10:00"/>
    <n v="113148"/>
    <n v="17398"/>
    <d v="2024-01-30T00:00:00"/>
    <d v="1899-12-30T14:52:00"/>
    <x v="0"/>
  </r>
  <r>
    <s v="100-CON-00015074"/>
    <d v="2023-12-07T00:00:00"/>
    <d v="1899-12-30T10:01:00"/>
    <n v="112839"/>
    <n v="17255"/>
    <d v="2023-12-11T00:00:00"/>
    <d v="1899-12-30T14:28:00"/>
    <x v="1"/>
  </r>
  <r>
    <s v="100-CON-00015074"/>
    <d v="2023-12-07T00:00:00"/>
    <d v="1899-12-30T10:01:00"/>
    <n v="112839"/>
    <n v="17255"/>
    <d v="2023-12-11T00:00:00"/>
    <d v="1899-12-30T14:28:00"/>
    <x v="1"/>
  </r>
  <r>
    <s v="100-CON-00015074"/>
    <d v="2023-12-07T00:00:00"/>
    <d v="1899-12-30T10:01:00"/>
    <n v="112840"/>
    <n v="17322"/>
    <d v="2023-12-11T00:00:00"/>
    <d v="1899-12-30T14:28:00"/>
    <x v="1"/>
  </r>
  <r>
    <s v="100-CON-00015074"/>
    <d v="2023-12-07T00:00:00"/>
    <d v="1899-12-30T10:01:00"/>
    <n v="112840"/>
    <n v="17322"/>
    <d v="2023-12-11T00:00:00"/>
    <d v="1899-12-30T14:28:00"/>
    <x v="1"/>
  </r>
  <r>
    <s v="N.A. 1"/>
    <d v="2023-12-19T00:00:00"/>
    <d v="1899-12-30T18:18:00"/>
    <n v="112912"/>
    <n v="17230"/>
    <d v="2023-12-20T00:00:00"/>
    <d v="1899-12-30T10:36:00"/>
    <x v="2"/>
  </r>
  <r>
    <s v="N.A. 1"/>
    <d v="2023-12-19T00:00:00"/>
    <d v="1899-12-30T18:18:00"/>
    <n v="112912"/>
    <n v="17230"/>
    <d v="2023-12-20T00:00:00"/>
    <d v="1899-12-30T10:36:00"/>
    <x v="2"/>
  </r>
  <r>
    <n v="5501948497"/>
    <d v="2023-12-20T00:00:00"/>
    <d v="1899-12-30T18:12:00"/>
    <n v="112925"/>
    <n v="17233"/>
    <d v="2023-12-21T00:00:00"/>
    <d v="1899-12-30T12:29:00"/>
    <x v="3"/>
  </r>
  <r>
    <n v="856682"/>
    <d v="2023-12-27T00:00:00"/>
    <d v="1899-12-30T08:17:00"/>
    <n v="112929"/>
    <n v="17214"/>
    <d v="2023-12-27T00:00:00"/>
    <d v="1899-12-30T14:23:00"/>
    <x v="4"/>
  </r>
  <r>
    <n v="1654"/>
    <d v="2023-12-26T00:00:00"/>
    <d v="1899-12-30T16:32:00"/>
    <n v="112942"/>
    <n v="17211"/>
    <d v="2023-12-27T00:00:00"/>
    <d v="1899-12-30T14:58:00"/>
    <x v="5"/>
  </r>
  <r>
    <n v="1654"/>
    <d v="2023-12-26T00:00:00"/>
    <d v="1899-12-30T16:32:00"/>
    <n v="112942"/>
    <n v="17211"/>
    <d v="2023-12-27T00:00:00"/>
    <d v="1899-12-30T14:58:00"/>
    <x v="5"/>
  </r>
  <r>
    <n v="1916"/>
    <s v="27/12/0223"/>
    <d v="1899-12-30T11:08:00"/>
    <n v="112943"/>
    <n v="17208"/>
    <d v="2023-12-27T00:00:00"/>
    <d v="1899-12-30T15:26:00"/>
    <x v="6"/>
  </r>
  <r>
    <n v="62039"/>
    <s v="27/12/0223"/>
    <d v="1899-12-30T11:11:00"/>
    <n v="112945"/>
    <n v="17209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n v="62044"/>
    <s v="27/12/0223"/>
    <d v="1899-12-30T11:11:00"/>
    <n v="112946"/>
    <n v="17286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s v="N.A. 2"/>
    <d v="2023-12-27T00:00:00"/>
    <d v="1899-12-30T12:45:00"/>
    <n v="112955"/>
    <n v="17198"/>
    <d v="2023-01-02T00:00:00"/>
    <d v="1899-12-30T11:28:00"/>
    <x v="8"/>
  </r>
  <r>
    <s v="N.A. 2"/>
    <d v="2023-12-27T00:00:00"/>
    <d v="1899-12-30T12:45:00"/>
    <n v="112955"/>
    <n v="17198"/>
    <d v="2023-01-02T00:00:00"/>
    <d v="1899-12-30T11:28:00"/>
    <x v="8"/>
  </r>
  <r>
    <s v="OC-COMPR-7948"/>
    <d v="2023-12-27T00:00:00"/>
    <d v="1899-12-30T12:52:00"/>
    <n v="112947"/>
    <n v="17204"/>
    <d v="2023-12-27T00:00:00"/>
    <d v="1899-12-30T17:13:00"/>
    <x v="9"/>
  </r>
  <r>
    <s v="N.A. 3"/>
    <d v="2023-12-27T00:00:00"/>
    <d v="1899-12-30T14:55:00"/>
    <n v="112944"/>
    <n v="17213"/>
    <d v="2023-12-27T00:00:00"/>
    <d v="1899-12-30T10:57:00"/>
    <x v="1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25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s v="N.A. 4"/>
    <d v="2023-12-28T00:00:00"/>
    <d v="1899-12-30T09:30:00"/>
    <n v="112949"/>
    <n v="17206"/>
    <d v="2023-12-28T00:00:00"/>
    <d v="1899-12-30T10:56:00"/>
    <x v="11"/>
  </r>
  <r>
    <s v="OC-COMPR-7974"/>
    <d v="2023-12-27T00:00:00"/>
    <d v="1899-12-30T13:42:00"/>
    <n v="112952"/>
    <n v="17205"/>
    <d v="2023-12-28T00:00:00"/>
    <d v="1899-12-30T14:50:00"/>
    <x v="9"/>
  </r>
  <r>
    <n v="4500066364"/>
    <d v="2023-12-28T00:00:00"/>
    <d v="1899-12-30T12:50:00"/>
    <n v="112953"/>
    <n v="17217"/>
    <d v="2023-12-28T00:00:00"/>
    <d v="1899-12-30T15:13:00"/>
    <x v="0"/>
  </r>
  <r>
    <n v="4500066364"/>
    <d v="2023-12-28T00:00:00"/>
    <d v="1899-12-30T12:50:00"/>
    <n v="112953"/>
    <n v="17334"/>
    <d v="2023-12-28T00:00:00"/>
    <d v="1899-12-30T15:13:00"/>
    <x v="0"/>
  </r>
  <r>
    <s v="001-OSC-00056605"/>
    <d v="2024-01-02T00:00:00"/>
    <d v="1899-12-30T08:12:00"/>
    <n v="112957"/>
    <n v="17201"/>
    <d v="2024-01-02T00:00:00"/>
    <d v="1899-12-30T11:58:00"/>
    <x v="12"/>
  </r>
  <r>
    <s v="001-OSC-00056605"/>
    <d v="2024-01-02T00:00:00"/>
    <d v="1899-12-30T08:12:00"/>
    <n v="112957"/>
    <n v="17201"/>
    <d v="2024-01-02T00:00:00"/>
    <d v="1899-12-30T11:58:00"/>
    <x v="12"/>
  </r>
  <r>
    <s v="001-OSC-00056605"/>
    <d v="2024-01-02T00:00:00"/>
    <d v="1899-12-30T08:12:00"/>
    <n v="112957"/>
    <n v="17201"/>
    <d v="2024-01-02T00:00:00"/>
    <d v="1899-12-30T11:58:00"/>
    <x v="12"/>
  </r>
  <r>
    <n v="858995"/>
    <d v="2023-12-29T00:00:00"/>
    <d v="1899-12-30T15:16:00"/>
    <n v="112958"/>
    <n v="17239"/>
    <d v="2024-01-02T00:00:00"/>
    <d v="1899-12-30T11:58:00"/>
    <x v="13"/>
  </r>
  <r>
    <n v="4500066407"/>
    <d v="2024-01-02T00:00:00"/>
    <d v="1899-12-30T11:54:00"/>
    <n v="112956"/>
    <n v="17199"/>
    <d v="2024-01-02T00:00:00"/>
    <d v="1899-12-30T11:55:00"/>
    <x v="14"/>
  </r>
  <r>
    <n v="3927"/>
    <d v="2024-01-02T00:00:00"/>
    <d v="1899-12-30T12:02:00"/>
    <n v="112959"/>
    <n v="17264"/>
    <d v="2024-01-02T00:00:00"/>
    <d v="1899-12-30T12:13:00"/>
    <x v="15"/>
  </r>
  <r>
    <s v="N.A. 5"/>
    <d v="2024-01-02T00:00:00"/>
    <d v="1899-12-30T12:27:00"/>
    <n v="112969"/>
    <n v="17222"/>
    <d v="2024-01-04T00:00:00"/>
    <d v="1899-12-30T10:53:00"/>
    <x v="16"/>
  </r>
  <r>
    <s v="O.C ALURA ENERO 02-2024"/>
    <d v="2024-01-02T00:00:00"/>
    <d v="1899-12-30T12:34:00"/>
    <n v="112960"/>
    <n v="17200"/>
    <d v="2024-01-02T00:00:00"/>
    <d v="1899-12-30T13:27:00"/>
    <x v="17"/>
  </r>
  <r>
    <s v="007-OC-041493"/>
    <d v="2024-01-02T00:00:00"/>
    <d v="1899-12-30T14:27:00"/>
    <n v="112961"/>
    <n v="17202"/>
    <d v="2024-01-03T00:00:00"/>
    <d v="1899-12-30T10:38:00"/>
    <x v="18"/>
  </r>
  <r>
    <n v="4503189996"/>
    <d v="2024-01-02T00:00:00"/>
    <d v="1899-12-30T14:42:00"/>
    <n v="112963"/>
    <n v="17207"/>
    <d v="2024-01-03T00:00:00"/>
    <d v="1899-12-30T10:38:00"/>
    <x v="19"/>
  </r>
  <r>
    <s v="002-OCC-00057177"/>
    <d v="2024-01-02T00:00:00"/>
    <d v="1899-12-30T17:36:00"/>
    <n v="112962"/>
    <s v="CANCELADO"/>
    <d v="2024-01-03T00:00:00"/>
    <d v="1899-12-30T10:38:00"/>
    <x v="2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s v="007-OM-000376"/>
    <d v="2024-01-02T00:00:00"/>
    <d v="1899-12-30T17:37:00"/>
    <n v="112965"/>
    <n v="17203"/>
    <d v="2024-01-03T00:00:00"/>
    <d v="1899-12-30T10:39:00"/>
    <x v="18"/>
  </r>
  <r>
    <s v="007-OM-000376"/>
    <d v="2024-01-02T00:00:00"/>
    <d v="1899-12-30T17:37:00"/>
    <n v="112965"/>
    <n v="17284"/>
    <d v="2024-01-03T00:00:00"/>
    <d v="1899-12-30T10:39:00"/>
    <x v="18"/>
  </r>
  <r>
    <n v="860014"/>
    <d v="2024-01-02T00:00:00"/>
    <d v="1899-12-30T22:17:00"/>
    <n v="112966"/>
    <n v="17210"/>
    <d v="2024-01-03T00:00:00"/>
    <d v="1899-12-30T10:39:00"/>
    <x v="13"/>
  </r>
  <r>
    <n v="860014"/>
    <d v="2024-01-02T00:00:00"/>
    <d v="1899-12-30T22:17:00"/>
    <n v="112966"/>
    <n v="17210"/>
    <d v="2024-01-03T00:00:00"/>
    <d v="1899-12-30T10:39:00"/>
    <x v="13"/>
  </r>
  <r>
    <n v="4500066445"/>
    <d v="2024-01-03T00:00:00"/>
    <d v="1899-12-30T08:50:00"/>
    <n v="112968"/>
    <n v="17220"/>
    <d v="2024-01-03T00:00:00"/>
    <d v="1899-12-30T12:43:00"/>
    <x v="0"/>
  </r>
  <r>
    <n v="4500066445"/>
    <d v="2024-01-03T00:00:00"/>
    <d v="1899-12-30T08:50:00"/>
    <n v="112968"/>
    <n v="17220"/>
    <d v="2024-01-03T00:00:00"/>
    <d v="1899-12-30T12:43:00"/>
    <x v="0"/>
  </r>
  <r>
    <n v="2"/>
    <d v="2024-01-03T00:00:00"/>
    <d v="1899-12-30T11:23:00"/>
    <n v="112967"/>
    <n v="17212"/>
    <d v="2024-01-03T00:00:00"/>
    <d v="1899-12-30T11:24:00"/>
    <x v="5"/>
  </r>
  <r>
    <n v="5501936316"/>
    <d v="2023-12-15T00:00:00"/>
    <d v="1899-12-30T13:06:00"/>
    <n v="112902"/>
    <n v="17215"/>
    <d v="2023-12-18T00:00:00"/>
    <d v="1899-12-30T16:22:00"/>
    <x v="3"/>
  </r>
  <r>
    <n v="860573"/>
    <d v="2024-01-04T00:00:00"/>
    <d v="1899-12-30T08:47:00"/>
    <n v="112971"/>
    <n v="17224"/>
    <d v="2023-01-04T00:00:00"/>
    <d v="1899-12-30T10:59:00"/>
    <x v="21"/>
  </r>
  <r>
    <s v="OC3904"/>
    <d v="2024-01-03T00:00:00"/>
    <d v="1899-12-30T16:57:00"/>
    <n v="112970"/>
    <n v="17223"/>
    <d v="2023-01-04T00:00:00"/>
    <d v="1899-12-30T10:59:00"/>
    <x v="22"/>
  </r>
  <r>
    <s v="001-OSC-00056659"/>
    <d v="2024-01-03T00:00:00"/>
    <d v="1899-12-30T16:14:00"/>
    <n v="112972"/>
    <n v="17231"/>
    <d v="2023-01-04T00:00:00"/>
    <d v="1899-12-30T11:12:00"/>
    <x v="12"/>
  </r>
  <r>
    <s v="001-OSC-00056659"/>
    <d v="2024-01-03T00:00:00"/>
    <d v="1899-12-30T16:14:00"/>
    <n v="112972"/>
    <n v="17231"/>
    <d v="2023-01-04T00:00:00"/>
    <d v="1899-12-30T11:12:00"/>
    <x v="12"/>
  </r>
  <r>
    <s v="038-OC-001995"/>
    <d v="2023-12-29T00:00:00"/>
    <d v="1899-12-30T14:20:00"/>
    <n v="112974"/>
    <n v="17221"/>
    <d v="2023-01-04T00:00:00"/>
    <d v="1899-12-30T11:38:00"/>
    <x v="18"/>
  </r>
  <r>
    <n v="9"/>
    <d v="2024-01-04T00:00:00"/>
    <d v="1899-12-30T10:59:00"/>
    <n v="112973"/>
    <n v="17228"/>
    <d v="2024-01-04T00:00:00"/>
    <d v="1899-12-30T11:27:00"/>
    <x v="5"/>
  </r>
  <r>
    <n v="9"/>
    <d v="2024-01-04T00:00:00"/>
    <d v="1899-12-30T10:59:00"/>
    <n v="112973"/>
    <n v="17289"/>
    <d v="2024-01-04T00:00:00"/>
    <d v="1899-12-30T11:27:00"/>
    <x v="5"/>
  </r>
  <r>
    <s v="CFMP 002"/>
    <d v="2024-01-04T00:00:00"/>
    <d v="1899-12-30T10:30:00"/>
    <n v="112976"/>
    <n v="17226"/>
    <d v="2024-01-04T00:00:00"/>
    <d v="1899-12-30T14:32:00"/>
    <x v="11"/>
  </r>
  <r>
    <n v="860725"/>
    <d v="2024-01-04T00:00:00"/>
    <d v="1899-12-30T12:15:00"/>
    <n v="112975"/>
    <n v="17232"/>
    <d v="2024-01-04T00:00:00"/>
    <d v="1899-12-30T14:20:00"/>
    <x v="13"/>
  </r>
  <r>
    <n v="5501948453"/>
    <d v="2023-12-20T00:00:00"/>
    <d v="1899-12-30T17:47:00"/>
    <n v="112926"/>
    <n v="17197"/>
    <d v="2023-12-21T00:00:00"/>
    <d v="1899-12-30T12:30:00"/>
    <x v="3"/>
  </r>
  <r>
    <n v="860877"/>
    <d v="2024-01-04T00:00:00"/>
    <d v="1899-12-30T15:02:00"/>
    <n v="112978"/>
    <n v="17259"/>
    <d v="2023-01-05T00:00:00"/>
    <d v="1899-12-30T11:23:00"/>
    <x v="21"/>
  </r>
  <r>
    <n v="12"/>
    <d v="2024-01-04T00:00:00"/>
    <d v="1899-12-30T15:15:00"/>
    <n v="112977"/>
    <n v="17229"/>
    <d v="2024-01-04T00:00:00"/>
    <d v="1899-12-30T15:51:00"/>
    <x v="5"/>
  </r>
  <r>
    <n v="62274"/>
    <d v="2024-01-04T00:00:00"/>
    <d v="1899-12-30T15:27:00"/>
    <n v="112980"/>
    <n v="17237"/>
    <d v="2023-01-05T00:00:00"/>
    <d v="1899-12-30T11:27:00"/>
    <x v="7"/>
  </r>
  <r>
    <n v="860928"/>
    <d v="2024-01-04T00:00:00"/>
    <d v="1899-12-30T16:00:00"/>
    <n v="112981"/>
    <n v="17240"/>
    <d v="2023-01-05T00:00:00"/>
    <d v="1899-12-30T11:27:00"/>
    <x v="13"/>
  </r>
  <r>
    <n v="89"/>
    <d v="2024-01-05T00:00:00"/>
    <d v="1899-12-30T11:20:00"/>
    <n v="112982"/>
    <n v="17390"/>
    <d v="2023-01-05T00:00:00"/>
    <d v="1899-12-30T12:03:00"/>
    <x v="23"/>
  </r>
  <r>
    <n v="89"/>
    <d v="2024-01-05T00:00:00"/>
    <d v="1899-12-30T11:20:00"/>
    <n v="112982"/>
    <n v="17390"/>
    <d v="2023-01-05T00:00:00"/>
    <d v="1899-12-30T12:03:00"/>
    <x v="23"/>
  </r>
  <r>
    <n v="62416"/>
    <d v="2024-01-06T00:00:00"/>
    <d v="1899-12-30T07:00:00"/>
    <n v="112983"/>
    <n v="17238"/>
    <d v="2023-01-09T00:00:00"/>
    <d v="1899-12-30T08:41:00"/>
    <x v="7"/>
  </r>
  <r>
    <s v="005-OSC-00006805"/>
    <d v="2024-01-05T00:00:00"/>
    <d v="1899-12-30T10:10:00"/>
    <n v="112984"/>
    <n v="17258"/>
    <d v="2023-01-09T00:00:00"/>
    <d v="1899-12-30T08:42:00"/>
    <x v="12"/>
  </r>
  <r>
    <n v="861946"/>
    <d v="2024-01-09T00:00:00"/>
    <d v="1899-12-30T08:05:00"/>
    <n v="112985"/>
    <n v="17241"/>
    <d v="2023-01-09T00:00:00"/>
    <d v="1899-12-30T08:42:00"/>
    <x v="13"/>
  </r>
  <r>
    <n v="861946"/>
    <d v="2024-01-09T00:00:00"/>
    <d v="1899-12-30T08:05:00"/>
    <n v="112985"/>
    <n v="17287"/>
    <d v="2023-01-09T00:00:00"/>
    <d v="1899-12-30T08:42:00"/>
    <x v="13"/>
  </r>
  <r>
    <n v="861946"/>
    <d v="2024-01-09T00:00:00"/>
    <d v="1899-12-30T08:05:00"/>
    <n v="112985"/>
    <n v="17241"/>
    <d v="2023-01-09T00:00:00"/>
    <d v="1899-12-30T08:42:00"/>
    <x v="13"/>
  </r>
  <r>
    <n v="90"/>
    <d v="2024-01-09T00:00:00"/>
    <d v="1899-12-30T09:29:00"/>
    <n v="112988"/>
    <n v="17391"/>
    <d v="2023-01-09T00:00:00"/>
    <d v="1899-12-30T09:51:00"/>
    <x v="23"/>
  </r>
  <r>
    <n v="90"/>
    <d v="2024-01-09T00:00:00"/>
    <d v="1899-12-30T09:29:00"/>
    <n v="112988"/>
    <n v="17391"/>
    <d v="2023-01-09T00:00:00"/>
    <d v="1899-12-30T09:51:00"/>
    <x v="23"/>
  </r>
  <r>
    <n v="90"/>
    <d v="2024-01-09T00:00:00"/>
    <d v="1899-12-30T09:29:00"/>
    <n v="112988"/>
    <n v="17391"/>
    <d v="2023-01-09T00:00:00"/>
    <d v="1899-12-30T09:51:00"/>
    <x v="23"/>
  </r>
  <r>
    <s v="103-OCC-30089"/>
    <d v="2024-01-09T00:00:00"/>
    <d v="1899-12-30T11:21:00"/>
    <n v="112989"/>
    <n v="17243"/>
    <d v="2023-01-09T00:00:00"/>
    <d v="1899-12-30T12:10:00"/>
    <x v="20"/>
  </r>
  <r>
    <n v="4500114667"/>
    <d v="2024-01-09T00:00:00"/>
    <d v="1899-12-30T12:11:00"/>
    <n v="112990"/>
    <n v="17273"/>
    <d v="2023-01-09T00:00:00"/>
    <d v="1899-12-30T12:29:00"/>
    <x v="24"/>
  </r>
  <r>
    <n v="126786"/>
    <d v="2024-01-09T00:00:00"/>
    <d v="1899-12-30T12:36:00"/>
    <n v="112995"/>
    <n v="17250"/>
    <d v="2023-01-10T00:00:00"/>
    <d v="1899-12-30T10:05:00"/>
    <x v="25"/>
  </r>
  <r>
    <n v="46625"/>
    <d v="2024-01-09T00:00:00"/>
    <d v="1899-12-30T12:42:00"/>
    <n v="112991"/>
    <n v="17242"/>
    <d v="2023-01-09T00:00:00"/>
    <d v="1899-12-30T12:55:00"/>
    <x v="26"/>
  </r>
  <r>
    <n v="4500066445"/>
    <d v="2024-01-03T00:00:00"/>
    <d v="1899-12-30T08:50:00"/>
    <n v="112992"/>
    <n v="17245"/>
    <d v="2023-01-09T00:00:00"/>
    <d v="1899-12-30T14:02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002-OCC-57246"/>
    <d v="2024-01-10T00:00:00"/>
    <d v="1899-12-30T09:29:00"/>
    <n v="113010"/>
    <n v="17254"/>
    <d v="2023-01-11T00:00:00"/>
    <d v="1899-12-30T12:14:00"/>
    <x v="28"/>
  </r>
  <r>
    <n v="862581"/>
    <d v="2024-01-10T00:00:00"/>
    <d v="1899-12-30T16:48:00"/>
    <n v="112998"/>
    <n v="17266"/>
    <d v="2024-01-10T00:00:00"/>
    <d v="1899-12-30T10:53:00"/>
    <x v="13"/>
  </r>
  <r>
    <n v="862581"/>
    <d v="2024-01-10T00:00:00"/>
    <d v="1899-12-30T16:48:00"/>
    <n v="112998"/>
    <n v="17266"/>
    <d v="2024-01-10T00:00:00"/>
    <d v="1899-12-30T10:53:00"/>
    <x v="13"/>
  </r>
  <r>
    <s v="001-OSC-00056707"/>
    <d v="2024-01-10T00:00:00"/>
    <d v="1899-12-30T16:10:00"/>
    <n v="112997"/>
    <n v="17265"/>
    <d v="2024-01-10T00:00:00"/>
    <d v="1899-12-30T10:53:00"/>
    <x v="12"/>
  </r>
  <r>
    <s v="001-OSC-00056707"/>
    <d v="2024-01-10T00:00:00"/>
    <d v="1899-12-30T16:10:00"/>
    <n v="112997"/>
    <n v="17265"/>
    <d v="2024-01-10T00:00:00"/>
    <d v="1899-12-30T10:53:00"/>
    <x v="12"/>
  </r>
  <r>
    <s v="001-OC -00034717"/>
    <d v="2024-01-09T00:00:00"/>
    <d v="1899-12-30T16:38:00"/>
    <n v="113004"/>
    <n v="17247"/>
    <d v="2024-01-10T00:00:00"/>
    <d v="1899-12-30T13:56:00"/>
    <x v="29"/>
  </r>
  <r>
    <s v="001-OC -00005828"/>
    <d v="2024-01-09T00:00:00"/>
    <d v="1899-12-30T18:28:00"/>
    <n v="112999"/>
    <n v="17252"/>
    <d v="2024-01-10T00:00:00"/>
    <d v="1899-12-30T12:06:00"/>
    <x v="30"/>
  </r>
  <r>
    <s v="001-OC -00005828"/>
    <d v="2024-01-09T00:00:00"/>
    <d v="1899-12-30T18:28:00"/>
    <n v="112999"/>
    <n v="17252"/>
    <d v="2024-01-10T00:00:00"/>
    <d v="1899-12-30T12:06:00"/>
    <x v="30"/>
  </r>
  <r>
    <n v="310451"/>
    <d v="2024-01-10T00:00:00"/>
    <d v="1899-12-30T09:16:00"/>
    <n v="113001"/>
    <n v="17251"/>
    <d v="2024-01-10T00:00:00"/>
    <d v="1899-12-30T13:12:00"/>
    <x v="31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62"/>
    <d v="2024-01-10T00:00:00"/>
    <d v="1899-12-30T12:07:00"/>
    <x v="0"/>
  </r>
  <r>
    <n v="4500066583"/>
    <d v="2024-01-09T00:00:00"/>
    <d v="1899-12-30T17:10:00"/>
    <n v="113000"/>
    <n v="17282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s v="OCO-0033300"/>
    <d v="2024-01-09T00:00:00"/>
    <d v="1899-12-30T16:34:00"/>
    <n v="113003"/>
    <n v="17249"/>
    <d v="2024-01-10T00:00:00"/>
    <d v="1899-12-30T13:13:00"/>
    <x v="11"/>
  </r>
  <r>
    <s v="Y-001-2008114"/>
    <d v="2024-01-10T00:00:00"/>
    <d v="1899-12-30T12:30:00"/>
    <n v="113002"/>
    <n v="17270"/>
    <d v="2024-01-10T00:00:00"/>
    <d v="1899-12-30T13:13:00"/>
    <x v="15"/>
  </r>
  <r>
    <s v="Y-001-2008114"/>
    <d v="2024-01-10T00:00:00"/>
    <d v="1899-12-30T12:30:00"/>
    <n v="113002"/>
    <n v="17270"/>
    <d v="2024-01-10T00:00:00"/>
    <d v="1899-12-30T13:13:00"/>
    <x v="15"/>
  </r>
  <r>
    <n v="310486"/>
    <d v="2024-01-10T00:00:00"/>
    <d v="1899-12-30T03:35:00"/>
    <n v="113008"/>
    <n v="17260"/>
    <d v="2024-01-11T00:00:00"/>
    <d v="1899-12-30T12:07:00"/>
    <x v="31"/>
  </r>
  <r>
    <s v="N.A. 6"/>
    <d v="2024-01-11T00:00:00"/>
    <d v="1899-12-30T10:40:00"/>
    <n v="113006"/>
    <n v="17261"/>
    <d v="2024-01-11T00:00:00"/>
    <d v="1899-12-30T12:01:00"/>
    <x v="10"/>
  </r>
  <r>
    <s v="N.A. 7"/>
    <d v="2024-01-10T00:00:00"/>
    <d v="1899-12-30T18:15:00"/>
    <n v="113007"/>
    <n v="17257"/>
    <d v="2024-01-11T00:00:00"/>
    <d v="1899-12-30T12:05:00"/>
    <x v="32"/>
  </r>
  <r>
    <n v="863377"/>
    <d v="2024-01-10T00:00:00"/>
    <d v="1899-12-30T17:16:00"/>
    <n v="113009"/>
    <n v="17312"/>
    <d v="2024-01-11T00:00:00"/>
    <d v="1899-12-30T12:10:00"/>
    <x v="21"/>
  </r>
  <r>
    <n v="863162"/>
    <d v="2024-01-10T00:00:00"/>
    <d v="1899-12-30T14:07:00"/>
    <n v="113011"/>
    <n v="17276"/>
    <d v="2024-01-11T00:00:00"/>
    <d v="1899-12-30T13:52:00"/>
    <x v="21"/>
  </r>
  <r>
    <n v="863917"/>
    <d v="2024-01-11T00:00:00"/>
    <d v="1899-12-30T12:35:00"/>
    <n v="113012"/>
    <n v="17288"/>
    <d v="2024-01-11T00:00:00"/>
    <d v="1899-12-30T16:02:00"/>
    <x v="13"/>
  </r>
  <r>
    <n v="863917"/>
    <d v="2024-01-11T00:00:00"/>
    <d v="1899-12-30T12:35:00"/>
    <n v="113012"/>
    <n v="17288"/>
    <d v="2024-01-11T00:00:00"/>
    <d v="1899-12-30T16:02:00"/>
    <x v="13"/>
  </r>
  <r>
    <s v="N.A. 8"/>
    <d v="2024-01-11T00:00:00"/>
    <d v="1899-12-30T16:32:00"/>
    <n v="113013"/>
    <n v="17271"/>
    <d v="2024-01-11T00:00:00"/>
    <d v="1899-12-30T16:33:00"/>
    <x v="33"/>
  </r>
  <r>
    <n v="845781"/>
    <d v="2023-12-08T00:00:00"/>
    <d v="1899-12-30T20:30:00"/>
    <n v="113014"/>
    <n v="17277"/>
    <d v="2024-01-12T00:00:00"/>
    <d v="1899-12-30T09:26:00"/>
    <x v="21"/>
  </r>
  <r>
    <n v="847192"/>
    <d v="2023-12-08T00:00:00"/>
    <d v="1899-12-30T20:30:00"/>
    <n v="113019"/>
    <n v="17278"/>
    <d v="2024-01-12T00:00:00"/>
    <d v="1899-12-30T10:42:00"/>
    <x v="21"/>
  </r>
  <r>
    <s v="N.A 9"/>
    <d v="2024-01-11T00:00:00"/>
    <d v="1899-12-30T17:36:00"/>
    <n v="113016"/>
    <n v="17274"/>
    <d v="2024-01-12T00:00:00"/>
    <d v="1899-12-30T09:28:00"/>
    <x v="34"/>
  </r>
  <r>
    <n v="4500298411"/>
    <d v="2024-01-11T00:00:00"/>
    <d v="1899-12-30T07:24:00"/>
    <n v="113015"/>
    <n v="17324"/>
    <d v="2024-01-12T00:00:00"/>
    <d v="1899-12-30T09:26:00"/>
    <x v="35"/>
  </r>
  <r>
    <n v="4500298411"/>
    <d v="2024-01-11T00:00:00"/>
    <d v="1899-12-30T07:24:00"/>
    <n v="113015"/>
    <n v="17324"/>
    <d v="2024-01-12T00:00:00"/>
    <d v="1899-12-30T09:26:00"/>
    <x v="35"/>
  </r>
  <r>
    <s v="004-OSC-00044518"/>
    <d v="2024-01-12T00:00:00"/>
    <d v="1899-12-30T08:25:00"/>
    <n v="113018"/>
    <n v="17296"/>
    <d v="2024-01-12T00:00:00"/>
    <d v="1899-12-30T10:41:00"/>
    <x v="12"/>
  </r>
  <r>
    <s v="004-OSC-00044518"/>
    <d v="2024-01-12T00:00:00"/>
    <d v="1899-12-30T08:25:00"/>
    <n v="113018"/>
    <n v="17296"/>
    <d v="2024-01-12T00:00:00"/>
    <d v="1899-12-30T10:41:00"/>
    <x v="12"/>
  </r>
  <r>
    <n v="3959"/>
    <d v="2024-01-12T00:00:00"/>
    <d v="1899-12-30T08:39:00"/>
    <n v="113020"/>
    <n v="17272"/>
    <d v="2024-01-12T00:00:00"/>
    <d v="1899-12-30T10:41:00"/>
    <x v="15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94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864607"/>
    <d v="2024-01-12T00:00:00"/>
    <d v="1899-12-30T11:00:00"/>
    <n v="113022"/>
    <n v="17279"/>
    <d v="2024-01-12T00:00:00"/>
    <d v="1899-12-30T11:37:00"/>
    <x v="4"/>
  </r>
  <r>
    <s v="Y - 001 - 2139"/>
    <d v="2024-01-12T00:00:00"/>
    <d v="1899-12-30T12:31:00"/>
    <n v="113023"/>
    <n v="17268"/>
    <d v="2024-01-12T00:00:00"/>
    <d v="1899-12-30T12:38:00"/>
    <x v="17"/>
  </r>
  <r>
    <n v="4500066637"/>
    <d v="2024-01-12T00:00:00"/>
    <d v="1899-12-30T12:10:00"/>
    <n v="113025"/>
    <n v="17283"/>
    <d v="2024-01-12T00:00:00"/>
    <d v="1899-12-30T16:14:00"/>
    <x v="0"/>
  </r>
  <r>
    <n v="4500066637"/>
    <d v="2024-01-12T00:00:00"/>
    <d v="1899-12-30T12:10:00"/>
    <n v="113025"/>
    <n v="17283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864838"/>
    <d v="2024-01-12T00:00:00"/>
    <d v="1899-12-30T14:25:00"/>
    <n v="113024"/>
    <n v="17302"/>
    <d v="2024-01-12T00:00:00"/>
    <d v="1899-12-30T14:33:00"/>
    <x v="21"/>
  </r>
  <r>
    <s v="543 P"/>
    <d v="2024-01-12T00:00:00"/>
    <d v="1899-12-30T14:52:00"/>
    <n v="113026"/>
    <n v="17285"/>
    <d v="2024-01-12T00:00:00"/>
    <d v="1899-12-30T16:26:00"/>
    <x v="37"/>
  </r>
  <r>
    <s v="543 P"/>
    <d v="2024-01-12T00:00:00"/>
    <d v="1899-12-30T14:52:00"/>
    <n v="113026"/>
    <n v="17285"/>
    <d v="2024-01-12T00:00:00"/>
    <d v="1899-12-30T16:26:00"/>
    <x v="37"/>
  </r>
  <r>
    <s v="O.C. 40228"/>
    <d v="2024-01-12T00:00:00"/>
    <d v="1899-12-30T15:34:00"/>
    <n v="113079"/>
    <n v="17344"/>
    <d v="2024-01-22T00:00:00"/>
    <d v="1899-12-30T14:02:00"/>
    <x v="38"/>
  </r>
  <r>
    <s v="O.C. 40228"/>
    <d v="2024-01-12T00:00:00"/>
    <d v="1899-12-30T15:34:00"/>
    <n v="113079"/>
    <n v="17344"/>
    <d v="2024-01-22T00:00:00"/>
    <d v="1899-12-30T14:02:00"/>
    <x v="38"/>
  </r>
  <r>
    <s v="OC 6834"/>
    <d v="2024-01-15T00:00:00"/>
    <d v="1899-12-30T07:29:00"/>
    <n v="113027"/>
    <n v="17295"/>
    <d v="2024-01-15T00:00:00"/>
    <d v="1899-12-30T10:30:00"/>
    <x v="12"/>
  </r>
  <r>
    <s v="865513 - 868696"/>
    <d v="2024-01-15T00:00:00"/>
    <d v="1899-12-30T08:18:00"/>
    <n v="113040"/>
    <n v="17301"/>
    <d v="2024-01-16T00:00:00"/>
    <d v="1899-12-30T09:08:00"/>
    <x v="21"/>
  </r>
  <r>
    <n v="865536"/>
    <d v="2024-01-15T00:00:00"/>
    <d v="1899-12-30T08:46:00"/>
    <n v="113030"/>
    <n v="17293"/>
    <d v="2024-01-15T00:00:00"/>
    <d v="1899-12-30T12:13:00"/>
    <x v="4"/>
  </r>
  <r>
    <n v="865536"/>
    <d v="2024-01-15T00:00:00"/>
    <d v="1899-12-30T08:48:00"/>
    <n v="113030"/>
    <n v="17293"/>
    <d v="2024-01-15T00:00:00"/>
    <d v="1899-12-30T12:13:00"/>
    <x v="4"/>
  </r>
  <r>
    <s v="001-SC-013867"/>
    <d v="2024-01-15T00:00:00"/>
    <d v="1899-12-30T10:00:00"/>
    <n v="113028"/>
    <n v="17291"/>
    <d v="2024-01-15T00:00:00"/>
    <d v="1899-12-30T11:36:00"/>
    <x v="39"/>
  </r>
  <r>
    <s v="N.A. 10"/>
    <d v="2024-01-15T00:00:00"/>
    <d v="1899-12-30T09:49:00"/>
    <n v="113034"/>
    <n v="17292"/>
    <d v="2024-01-15T00:00:00"/>
    <d v="1899-12-30T12:14:00"/>
    <x v="30"/>
  </r>
  <r>
    <s v="N.A. 10"/>
    <d v="2024-01-15T00:00:00"/>
    <d v="1899-12-30T09:49:00"/>
    <n v="113034"/>
    <n v="17292"/>
    <d v="2024-01-15T00:00:00"/>
    <d v="1899-12-30T12:14:00"/>
    <x v="30"/>
  </r>
  <r>
    <n v="91"/>
    <d v="2024-01-15T00:00:00"/>
    <d v="1899-12-30T11:00:00"/>
    <n v="113031"/>
    <n v="17388"/>
    <d v="2024-01-15T00:00:00"/>
    <d v="1899-12-30T12:14:00"/>
    <x v="23"/>
  </r>
  <r>
    <s v="N.A. 11"/>
    <d v="2024-01-15T00:00:00"/>
    <d v="1899-12-30T06:52:00"/>
    <n v="113032"/>
    <m/>
    <d v="2024-01-15T00:00:00"/>
    <d v="1899-12-30T12:15:00"/>
    <x v="9"/>
  </r>
  <r>
    <n v="56"/>
    <d v="2024-01-15T00:00:00"/>
    <d v="1899-12-30T11:32:00"/>
    <n v="113029"/>
    <n v="17290"/>
    <d v="2024-01-15T00:00:00"/>
    <d v="1899-12-30T11:58:00"/>
    <x v="5"/>
  </r>
  <r>
    <n v="56"/>
    <d v="2024-01-15T00:00:00"/>
    <d v="1899-12-30T11:32:00"/>
    <n v="113029"/>
    <n v="17290"/>
    <d v="2024-01-15T00:00:00"/>
    <d v="1899-12-30T11:58:00"/>
    <x v="5"/>
  </r>
  <r>
    <n v="4500066669"/>
    <d v="2024-01-15T00:00:00"/>
    <d v="1899-12-30T13:10:00"/>
    <n v="113035"/>
    <n v="17315"/>
    <d v="2024-01-15T00:00:00"/>
    <d v="1899-12-30T16:20:00"/>
    <x v="0"/>
  </r>
  <r>
    <n v="4500066669"/>
    <d v="2024-01-15T00:00:00"/>
    <d v="1899-12-30T13:10:00"/>
    <n v="113035"/>
    <n v="17315"/>
    <d v="2024-01-15T00:00:00"/>
    <d v="1899-12-30T16:20:00"/>
    <x v="0"/>
  </r>
  <r>
    <n v="4500066669"/>
    <d v="2024-01-15T00:00:00"/>
    <d v="1899-12-30T13:10:00"/>
    <n v="113035"/>
    <n v="17315"/>
    <d v="2024-01-15T00:00:00"/>
    <d v="1899-12-30T16:20:00"/>
    <x v="0"/>
  </r>
  <r>
    <n v="4500066669"/>
    <d v="2024-01-15T00:00:00"/>
    <d v="1899-12-30T13:10:00"/>
    <n v="113035"/>
    <n v="17315"/>
    <d v="2024-01-15T00:00:00"/>
    <d v="1899-12-30T16:20:00"/>
    <x v="0"/>
  </r>
  <r>
    <n v="865980"/>
    <d v="2024-01-15T00:00:00"/>
    <d v="1899-12-30T14:18:00"/>
    <n v="113036"/>
    <m/>
    <d v="2024-01-15T00:00:00"/>
    <d v="1899-12-30T16:30:00"/>
    <x v="13"/>
  </r>
  <r>
    <n v="865980"/>
    <d v="2024-01-15T00:00:00"/>
    <d v="1899-12-30T14:18:00"/>
    <n v="113039"/>
    <n v="17346"/>
    <d v="2024-01-15T00:00:00"/>
    <d v="1899-12-30T16:30:00"/>
    <x v="13"/>
  </r>
  <r>
    <n v="5502004909"/>
    <d v="2024-01-15T00:00:00"/>
    <d v="1899-12-30T16:17:00"/>
    <n v="113037"/>
    <n v="17297"/>
    <d v="2024-01-15T00:00:00"/>
    <d v="1899-12-30T16:53:00"/>
    <x v="3"/>
  </r>
  <r>
    <n v="866163"/>
    <d v="2024-01-15T00:00:00"/>
    <d v="1899-12-30T16:49:00"/>
    <n v="113038"/>
    <n v="17320"/>
    <d v="2024-01-16T00:00:00"/>
    <d v="1899-12-30T08:40:00"/>
    <x v="13"/>
  </r>
  <r>
    <n v="4500115002"/>
    <d v="2024-01-16T00:00:00"/>
    <d v="1899-12-30T08:44:00"/>
    <n v="113041"/>
    <n v="17300"/>
    <d v="2024-01-16T00:00:00"/>
    <d v="1899-12-30T10:30:00"/>
    <x v="24"/>
  </r>
  <r>
    <n v="2401014"/>
    <d v="2024-01-16T00:00:00"/>
    <d v="1899-12-30T09:01:00"/>
    <n v="113042"/>
    <n v="17303"/>
    <d v="2024-01-16T00:00:00"/>
    <d v="1899-12-30T10:40:00"/>
    <x v="27"/>
  </r>
  <r>
    <n v="2401014"/>
    <d v="2024-01-16T00:00:00"/>
    <d v="1899-12-30T09:01:00"/>
    <n v="113042"/>
    <n v="17303"/>
    <d v="2024-01-16T00:00:00"/>
    <d v="1899-12-30T10:40:00"/>
    <x v="27"/>
  </r>
  <r>
    <n v="2401014"/>
    <d v="2024-01-16T00:00:00"/>
    <d v="1899-12-30T09:01:00"/>
    <n v="113042"/>
    <n v="17303"/>
    <d v="2024-01-16T00:00:00"/>
    <d v="1899-12-30T10:40:00"/>
    <x v="27"/>
  </r>
  <r>
    <n v="866357"/>
    <d v="2024-01-16T00:00:00"/>
    <d v="1899-12-30T09:09:00"/>
    <n v="113043"/>
    <n v="17347"/>
    <d v="2024-01-16T00:00:00"/>
    <d v="1899-12-30T11:00:00"/>
    <x v="13"/>
  </r>
  <r>
    <n v="866357"/>
    <d v="2024-01-16T00:00:00"/>
    <d v="1899-12-30T09:09:00"/>
    <n v="113044"/>
    <n v="17380"/>
    <d v="2024-01-16T00:00:00"/>
    <d v="1899-12-30T11:00:00"/>
    <x v="13"/>
  </r>
  <r>
    <n v="866377"/>
    <d v="2024-01-16T00:00:00"/>
    <d v="1899-12-30T09:16:00"/>
    <n v="113045"/>
    <n v="17313"/>
    <d v="2024-01-16T00:00:00"/>
    <d v="1899-12-30T11:10:00"/>
    <x v="21"/>
  </r>
  <r>
    <s v="N.A. 12"/>
    <d v="2024-01-16T00:00:00"/>
    <d v="1899-12-30T10:21:00"/>
    <n v="113046"/>
    <n v="17298"/>
    <d v="2024-01-16T00:00:00"/>
    <d v="1899-12-30T11:25:00"/>
    <x v="9"/>
  </r>
  <r>
    <s v="N.A.13"/>
    <d v="2024-01-16T00:00:00"/>
    <d v="1899-12-30T10:30:00"/>
    <n v="113047"/>
    <n v="17299"/>
    <d v="2024-01-16T00:00:00"/>
    <d v="1899-12-30T12:40:00"/>
    <x v="11"/>
  </r>
  <r>
    <s v="001-OSC-00056827"/>
    <d v="2024-01-16T00:00:00"/>
    <d v="1899-12-30T13:54:00"/>
    <n v="113048"/>
    <n v="17341"/>
    <d v="2024-01-16T00:00:00"/>
    <d v="1899-12-30T14:05:00"/>
    <x v="12"/>
  </r>
  <r>
    <n v="57311"/>
    <d v="2024-01-16T00:00:00"/>
    <d v="1899-12-30T13:55:00"/>
    <n v="113049"/>
    <n v="17305"/>
    <d v="2024-01-17T00:00:00"/>
    <d v="1899-12-30T08:55:00"/>
    <x v="28"/>
  </r>
  <r>
    <s v="007-OM-000380"/>
    <d v="2024-01-16T00:00:00"/>
    <d v="1899-12-30T13:55:00"/>
    <n v="113050"/>
    <n v="17304"/>
    <d v="2024-01-17T00:00:00"/>
    <d v="1899-12-30T08:56:00"/>
    <x v="18"/>
  </r>
  <r>
    <n v="68"/>
    <d v="2024-01-16T00:00:00"/>
    <d v="1899-12-30T16:37:00"/>
    <n v="113051"/>
    <n v="17314"/>
    <d v="2024-01-17T00:00:00"/>
    <d v="1899-12-30T09:32:00"/>
    <x v="5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s v="17326 - 17321"/>
    <d v="2024-01-18T00:00:00"/>
    <d v="1899-12-30T08:30:00"/>
    <x v="40"/>
  </r>
  <r>
    <s v="A02-COC-174546"/>
    <d v="2024-01-16T00:00:00"/>
    <d v="1899-12-30T17:49:00"/>
    <n v="113061"/>
    <n v="17343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N.A. 14"/>
    <d v="2024-01-17T00:00:00"/>
    <d v="1899-12-30T09:29:00"/>
    <n v="113052"/>
    <n v="17306"/>
    <d v="2024-01-17T00:00:00"/>
    <d v="1899-12-30T10:15:00"/>
    <x v="41"/>
  </r>
  <r>
    <s v="N.A.15"/>
    <d v="2024-01-17T00:00:00"/>
    <d v="1899-12-30T09:33:00"/>
    <n v="113053"/>
    <s v="17307 - 17310"/>
    <d v="2024-01-17T00:00:00"/>
    <d v="1899-12-30T10:26:00"/>
    <x v="15"/>
  </r>
  <r>
    <s v="N.A. 16"/>
    <d v="2024-01-17T00:00:00"/>
    <d v="1899-12-30T09:37:00"/>
    <n v="113054"/>
    <n v="17311"/>
    <d v="2024-01-17T00:00:00"/>
    <d v="1899-12-30T10:41:00"/>
    <x v="42"/>
  </r>
  <r>
    <n v="62838"/>
    <d v="2024-01-17T00:00:00"/>
    <d v="1899-12-30T10:53:00"/>
    <n v="113055"/>
    <n v="17308"/>
    <d v="2024-01-17T00:00:00"/>
    <d v="1899-12-30T12:35:00"/>
    <x v="7"/>
  </r>
  <r>
    <n v="62838"/>
    <d v="2024-01-17T00:00:00"/>
    <d v="1899-12-30T10:53:00"/>
    <n v="113055"/>
    <n v="17308"/>
    <d v="2024-01-17T00:00:00"/>
    <d v="1899-12-30T12:35:00"/>
    <x v="7"/>
  </r>
  <r>
    <n v="62838"/>
    <d v="2024-01-17T00:00:00"/>
    <d v="1899-12-30T10:53:00"/>
    <n v="113055"/>
    <n v="17308"/>
    <d v="2024-01-17T00:00:00"/>
    <d v="1899-12-30T12:35:00"/>
    <x v="7"/>
  </r>
  <r>
    <n v="62835"/>
    <d v="2024-01-17T00:00:00"/>
    <d v="1899-12-30T10:53:00"/>
    <n v="113057"/>
    <n v="17309"/>
    <d v="2024-01-17T00:00:00"/>
    <d v="1899-12-30T12:38:00"/>
    <x v="7"/>
  </r>
  <r>
    <n v="4500066723"/>
    <d v="2024-01-17T00:00:00"/>
    <d v="1899-12-30T11:30:00"/>
    <n v="113059"/>
    <n v="17323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3"/>
    <d v="2024-01-17T00:00:00"/>
    <d v="1899-12-30T11:30:00"/>
    <n v="113059"/>
    <n v="17323"/>
    <d v="2024-01-17T00:00:00"/>
    <d v="1899-12-30T16:00:00"/>
    <x v="0"/>
  </r>
  <r>
    <n v="4500066723"/>
    <d v="2024-01-17T00:00:00"/>
    <d v="1899-12-30T11:30:00"/>
    <n v="113059"/>
    <n v="17323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s v="001-OC -00034874"/>
    <d v="2024-01-17T00:00:00"/>
    <d v="1899-12-30T15:04:00"/>
    <n v="113064"/>
    <n v="17318"/>
    <d v="2024-01-18T00:00:00"/>
    <d v="1899-12-30T12:08:00"/>
    <x v="29"/>
  </r>
  <r>
    <s v="001-OC -00034874"/>
    <d v="2024-01-17T00:00:00"/>
    <d v="1899-12-30T15:04:00"/>
    <n v="113064"/>
    <n v="17318"/>
    <d v="2024-01-18T00:00:00"/>
    <d v="1899-12-30T12:08:00"/>
    <x v="29"/>
  </r>
  <r>
    <s v="001-OC -00034874"/>
    <d v="2024-01-17T00:00:00"/>
    <d v="1899-12-30T15:04:00"/>
    <n v="113064"/>
    <n v="17318"/>
    <d v="2024-01-18T00:00:00"/>
    <d v="1899-12-30T12:08:00"/>
    <x v="29"/>
  </r>
  <r>
    <n v="4500299036"/>
    <d v="2024-01-18T00:00:00"/>
    <d v="1899-12-30T09:55:00"/>
    <n v="113063"/>
    <n v="17325"/>
    <d v="2024-01-18T00:00:00"/>
    <d v="1899-12-30T10:55:00"/>
    <x v="35"/>
  </r>
  <r>
    <s v="038-OC-002083"/>
    <d v="2024-01-18T00:00:00"/>
    <d v="1899-12-30T13:01:00"/>
    <n v="113065"/>
    <n v="17319"/>
    <d v="2024-01-18T00:00:00"/>
    <d v="1899-12-30T13:51:00"/>
    <x v="18"/>
  </r>
  <r>
    <n v="92"/>
    <d v="2024-01-18T00:00:00"/>
    <d v="1899-12-30T16:52:00"/>
    <n v="113066"/>
    <n v="17392"/>
    <d v="2024-01-18T00:00:00"/>
    <d v="1899-12-30T17:07:00"/>
    <x v="23"/>
  </r>
  <r>
    <n v="6871"/>
    <d v="2024-01-18T00:00:00"/>
    <d v="1899-12-30T15:34:00"/>
    <n v="113072"/>
    <n v="17358"/>
    <d v="2024-01-19T00:00:00"/>
    <d v="1899-12-30T11:50:00"/>
    <x v="12"/>
  </r>
  <r>
    <n v="6874"/>
    <d v="2024-01-18T00:00:00"/>
    <d v="1899-12-30T16:08:00"/>
    <n v="113073"/>
    <n v="17359"/>
    <d v="2024-01-19T00:00:00"/>
    <d v="1899-12-30T11:55:00"/>
    <x v="12"/>
  </r>
  <r>
    <n v="868609"/>
    <d v="2024-01-19T00:00:00"/>
    <d v="1899-12-30T10:16:00"/>
    <n v="113067"/>
    <n v="17328"/>
    <d v="2024-01-19T00:00:00"/>
    <d v="1899-12-30T12:00:00"/>
    <x v="13"/>
  </r>
  <r>
    <n v="46877"/>
    <d v="2024-01-19T00:00:00"/>
    <d v="1899-12-30T11:29:00"/>
    <n v="113068"/>
    <n v="17336"/>
    <d v="2024-01-19T00:00:00"/>
    <d v="1899-12-30T12:40:00"/>
    <x v="26"/>
  </r>
  <r>
    <s v="No. OC-1-123"/>
    <d v="2024-01-19T00:00:00"/>
    <d v="1899-12-30T11:54:00"/>
    <n v="113075"/>
    <n v="17342"/>
    <d v="2024-01-19T00:00:00"/>
    <d v="1899-12-30T20:29:00"/>
    <x v="43"/>
  </r>
  <r>
    <n v="56876"/>
    <d v="2024-01-19T00:00:00"/>
    <d v="1899-12-30T12:09:00"/>
    <n v="113069"/>
    <n v="17327"/>
    <d v="2024-01-19T00:00:00"/>
    <d v="1899-12-30T12:47:00"/>
    <x v="12"/>
  </r>
  <r>
    <n v="4500115238"/>
    <d v="2024-01-16T00:00:00"/>
    <d v="1899-12-30T08:48:00"/>
    <n v="113077"/>
    <n v="17337"/>
    <d v="2024-01-22T00:00:00"/>
    <d v="1899-12-30T11:00:00"/>
    <x v="44"/>
  </r>
  <r>
    <s v="N.A. 17"/>
    <d v="2024-01-22T00:00:00"/>
    <d v="1899-12-30T08:50:00"/>
    <n v="113078"/>
    <n v="17364"/>
    <d v="2024-01-22T00:00:00"/>
    <d v="1899-12-30T12:40:00"/>
    <x v="41"/>
  </r>
  <r>
    <n v="869687"/>
    <d v="2024-01-22T00:00:00"/>
    <d v="1899-12-30T11:18:00"/>
    <n v="113080"/>
    <n v="17348"/>
    <d v="2024-01-22T00:00:00"/>
    <d v="1899-12-30T14:30:00"/>
    <x v="13"/>
  </r>
  <r>
    <n v="33588"/>
    <d v="2024-01-22T00:00:00"/>
    <d v="1899-12-30T14:44:00"/>
    <n v="113082"/>
    <n v="17338"/>
    <d v="2024-01-22T00:00:00"/>
    <d v="1899-12-30T14:45:00"/>
    <x v="11"/>
  </r>
  <r>
    <n v="31"/>
    <d v="2024-01-22T00:00:00"/>
    <d v="1899-12-30T14:44:00"/>
    <n v="113087"/>
    <n v="17339"/>
    <d v="2024-01-23T00:00:00"/>
    <d v="1899-12-30T10:22:00"/>
    <x v="11"/>
  </r>
  <r>
    <n v="1940"/>
    <d v="2024-01-22T00:00:00"/>
    <d v="1899-12-30T14:45:00"/>
    <n v="113081"/>
    <n v="17340"/>
    <d v="2024-01-22T00:00:00"/>
    <d v="1899-12-30T15:00:00"/>
    <x v="6"/>
  </r>
  <r>
    <n v="1940"/>
    <d v="2024-01-22T00:00:00"/>
    <d v="1899-12-30T14:45:00"/>
    <n v="113081"/>
    <n v="17340"/>
    <d v="2024-01-22T00:00:00"/>
    <d v="1899-12-30T15:00:00"/>
    <x v="6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93"/>
    <d v="2024-01-22T00:00:00"/>
    <d v="1899-12-30T17:41:00"/>
    <n v="113086"/>
    <n v="17393"/>
    <d v="2024-01-23T00:00:00"/>
    <d v="1899-12-30T10:18:00"/>
    <x v="23"/>
  </r>
  <r>
    <n v="2401023"/>
    <d v="2024-01-23T00:00:00"/>
    <d v="1899-12-30T08:15:00"/>
    <n v="113083"/>
    <m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57400"/>
    <s v="23/01/0204"/>
    <d v="1899-12-30T09:15:00"/>
    <n v="113084"/>
    <s v="-"/>
    <d v="2024-01-23T00:00:00"/>
    <d v="1899-12-30T11:11:00"/>
    <x v="28"/>
  </r>
  <r>
    <n v="2008131"/>
    <d v="2024-01-23T00:00:00"/>
    <d v="1899-12-30T10:01:00"/>
    <n v="113088"/>
    <n v="17345"/>
    <d v="2024-01-23T00:00:00"/>
    <d v="1899-12-30T10:45:00"/>
    <x v="15"/>
  </r>
  <r>
    <s v="N.A. 17"/>
    <d v="2024-01-23T00:00:00"/>
    <d v="1899-12-30T09:58:00"/>
    <n v="113089"/>
    <n v="17364"/>
    <d v="2024-01-23T00:00:00"/>
    <d v="1899-12-30T15:11:00"/>
    <x v="41"/>
  </r>
  <r>
    <s v="N.A. 18"/>
    <d v="2024-01-23T00:00:00"/>
    <d v="1899-12-30T14:18:00"/>
    <n v="113090"/>
    <n v="17357"/>
    <d v="2024-01-23T00:00:00"/>
    <d v="1899-12-30T17:23:00"/>
    <x v="45"/>
  </r>
  <r>
    <s v="N.A. 18"/>
    <d v="2024-01-23T00:00:00"/>
    <d v="1899-12-30T14:18:00"/>
    <n v="113090"/>
    <n v="17357"/>
    <d v="2024-01-23T00:00:00"/>
    <d v="1899-12-30T17:23:00"/>
    <x v="45"/>
  </r>
  <r>
    <s v="001-OC -00034969"/>
    <d v="2024-01-23T00:00:00"/>
    <d v="1899-12-30T14:51:00"/>
    <n v="113091"/>
    <n v="17352"/>
    <d v="2024-01-24T00:00:00"/>
    <d v="1899-12-30T09:20:00"/>
    <x v="29"/>
  </r>
  <r>
    <n v="2401030"/>
    <d v="2024-01-23T00:00:00"/>
    <d v="1899-12-30T16:51:00"/>
    <m/>
    <m/>
    <d v="2024-01-24T00:00:00"/>
    <d v="1899-12-30T09:56:00"/>
    <x v="27"/>
  </r>
  <r>
    <n v="4500115417"/>
    <d v="2024-01-23T00:00:00"/>
    <d v="1899-12-30T17:51:00"/>
    <n v="113094"/>
    <n v="17353"/>
    <d v="2024-01-24T00:00:00"/>
    <d v="1899-12-30T10:20:00"/>
    <x v="44"/>
  </r>
  <r>
    <n v="63171"/>
    <s v="24/01/0204"/>
    <d v="1899-12-30T08:49:00"/>
    <n v="113092"/>
    <n v="17355"/>
    <d v="2024-01-24T00:00:00"/>
    <d v="1899-12-30T10:50:00"/>
    <x v="7"/>
  </r>
  <r>
    <n v="63169"/>
    <d v="2024-01-24T00:00:00"/>
    <d v="1899-12-30T08:49:00"/>
    <n v="113093"/>
    <n v="17356"/>
    <d v="2024-01-24T00:00:00"/>
    <d v="1899-12-30T12:00:00"/>
    <x v="7"/>
  </r>
  <r>
    <n v="63169"/>
    <d v="2024-01-24T00:00:00"/>
    <d v="1899-12-30T08:49:00"/>
    <n v="113093"/>
    <n v="17356"/>
    <d v="2024-01-24T00:00:00"/>
    <d v="1899-12-30T12:00:00"/>
    <x v="7"/>
  </r>
  <r>
    <s v="001-OSC-00056915"/>
    <d v="2024-01-24T00:00:00"/>
    <d v="1899-12-30T09:01:00"/>
    <n v="113101"/>
    <n v="17367"/>
    <d v="2014-01-25T00:00:00"/>
    <d v="1899-12-30T08:50:00"/>
    <x v="12"/>
  </r>
  <r>
    <s v="001-OSC-00056915"/>
    <d v="2024-01-24T00:00:00"/>
    <d v="1899-12-30T09:01:00"/>
    <n v="113101"/>
    <n v="17367"/>
    <d v="2014-01-25T00:00:00"/>
    <d v="1899-12-30T08:50:00"/>
    <x v="12"/>
  </r>
  <r>
    <s v="001-OSC-00056915"/>
    <d v="2024-01-24T00:00:00"/>
    <d v="1899-12-30T09:01:00"/>
    <n v="113101"/>
    <n v="17367"/>
    <d v="2014-01-25T00:00:00"/>
    <d v="1899-12-30T08:50:00"/>
    <x v="12"/>
  </r>
  <r>
    <s v="001-OSC-00056915"/>
    <d v="2024-01-24T00:00:00"/>
    <d v="1899-12-30T09:01:00"/>
    <n v="113101"/>
    <n v="17367"/>
    <d v="2014-01-25T00:00:00"/>
    <d v="1899-12-30T08:50:00"/>
    <x v="12"/>
  </r>
  <r>
    <n v="2008131"/>
    <d v="2024-01-24T00:00:00"/>
    <d v="1899-12-30T09:33:00"/>
    <n v="113096"/>
    <n v="17354"/>
    <d v="2024-01-24T00:00:00"/>
    <d v="1899-12-30T11:00:00"/>
    <x v="15"/>
  </r>
  <r>
    <n v="871322"/>
    <d v="2024-01-24T00:00:00"/>
    <d v="1899-12-30T10:46:00"/>
    <n v="113097"/>
    <n v="17360"/>
    <d v="2024-01-24T00:00:00"/>
    <d v="1899-12-30T12:24:00"/>
    <x v="21"/>
  </r>
  <r>
    <n v="30283"/>
    <d v="2024-01-24T00:00:00"/>
    <d v="1899-12-30T12:47:00"/>
    <n v="113098"/>
    <n v="17363"/>
    <d v="2024-01-24T00:00:00"/>
    <d v="1899-12-30T14:28:00"/>
    <x v="20"/>
  </r>
  <r>
    <n v="311431"/>
    <d v="2024-01-24T00:00:00"/>
    <d v="1899-12-30T15:23:00"/>
    <n v="113099"/>
    <n v="17372"/>
    <d v="2024-01-24T00:00:00"/>
    <d v="1899-12-30T15:45:00"/>
    <x v="31"/>
  </r>
  <r>
    <s v="N.A.19"/>
    <d v="2024-01-24T00:00:00"/>
    <d v="1899-12-30T16:00:00"/>
    <n v="113100"/>
    <n v="17365"/>
    <d v="2024-01-25T00:00:00"/>
    <d v="1899-12-30T08:15:00"/>
    <x v="32"/>
  </r>
  <r>
    <n v="843983"/>
    <d v="2024-01-25T00:00:00"/>
    <d v="1899-12-30T09:01:00"/>
    <n v="113103"/>
    <n v="17369"/>
    <d v="2024-01-25T00:00:00"/>
    <d v="1899-12-30T09:04:00"/>
    <x v="21"/>
  </r>
  <r>
    <n v="1001366436"/>
    <d v="2024-01-24T00:00:00"/>
    <d v="1899-12-30T16:50:00"/>
    <n v="113107"/>
    <n v="17376"/>
    <d v="2024-01-25T00:00:00"/>
    <d v="1899-12-30T09:32:00"/>
    <x v="46"/>
  </r>
  <r>
    <s v="005-OSC-00006893"/>
    <d v="2024-01-25T00:00:00"/>
    <d v="1899-12-30T11:40:00"/>
    <n v="113108"/>
    <n v="17383"/>
    <d v="2024-01-25T00:00:00"/>
    <d v="1899-12-30T11:47:00"/>
    <x v="12"/>
  </r>
  <r>
    <n v="4500066925"/>
    <d v="2024-01-25T00:00:00"/>
    <d v="1899-12-30T10:20:00"/>
    <n v="113109"/>
    <n v="17378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s v="-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m/>
    <d v="2024-01-25T00:00:00"/>
    <d v="1899-12-30T14:15:00"/>
    <x v="0"/>
  </r>
  <r>
    <s v="N.A.20"/>
    <d v="2024-01-25T00:00:00"/>
    <d v="1899-12-30T13:37:00"/>
    <n v="113110"/>
    <n v="17373"/>
    <d v="2024-01-25T00:00:00"/>
    <d v="1899-12-30T14:47:00"/>
    <x v="47"/>
  </r>
  <r>
    <s v="N.A.20"/>
    <d v="2024-01-25T00:00:00"/>
    <d v="1899-12-30T13:57:00"/>
    <n v="113111"/>
    <n v="17366"/>
    <d v="2024-01-25T00:00:00"/>
    <d v="1899-12-30T14:53:00"/>
    <x v="16"/>
  </r>
  <r>
    <n v="4085"/>
    <d v="2024-01-25T00:00:00"/>
    <d v="1899-12-30T15:42:00"/>
    <n v="113115"/>
    <n v="17381"/>
    <d v="2024-01-26T00:00:00"/>
    <n v="17381"/>
    <x v="15"/>
  </r>
  <r>
    <s v="A02-COC-176410"/>
    <d v="2024-01-26T00:00:00"/>
    <d v="1899-12-30T09:30:00"/>
    <m/>
    <m/>
    <d v="2024-01-26T00:00:00"/>
    <m/>
    <x v="40"/>
  </r>
  <r>
    <s v="A02-COC-176410"/>
    <d v="2024-01-26T00:00:00"/>
    <d v="1899-12-30T09:30:00"/>
    <m/>
    <m/>
    <d v="2024-01-26T00:00:00"/>
    <m/>
    <x v="40"/>
  </r>
  <r>
    <s v="A02-COC-176410"/>
    <d v="2024-01-26T00:00:00"/>
    <d v="1899-12-30T09:30:00"/>
    <m/>
    <m/>
    <d v="2024-01-26T00:00:00"/>
    <m/>
    <x v="40"/>
  </r>
  <r>
    <s v="A02-COC-176410"/>
    <d v="2024-01-26T00:00:00"/>
    <d v="1899-12-30T09:30:00"/>
    <m/>
    <m/>
    <d v="2024-01-26T00:00:00"/>
    <m/>
    <x v="40"/>
  </r>
  <r>
    <s v="557-P"/>
    <d v="2024-01-26T00:00:00"/>
    <d v="1899-12-30T10:49:00"/>
    <n v="113114"/>
    <n v="17382"/>
    <d v="2024-01-26T00:00:00"/>
    <m/>
    <x v="48"/>
  </r>
  <r>
    <s v="557-P"/>
    <d v="2024-01-26T00:00:00"/>
    <d v="1899-12-30T10:49:00"/>
    <n v="113114"/>
    <n v="17382"/>
    <d v="2024-01-26T00:00:00"/>
    <m/>
    <x v="48"/>
  </r>
  <r>
    <n v="4500299923"/>
    <d v="2024-01-26T00:00:00"/>
    <d v="1899-12-30T13:36:00"/>
    <n v="113116"/>
    <n v="17379"/>
    <d v="2024-01-26T00:00:00"/>
    <m/>
    <x v="35"/>
  </r>
  <r>
    <n v="4500299923"/>
    <d v="2024-01-26T00:00:00"/>
    <d v="1899-12-30T13:36:00"/>
    <n v="113116"/>
    <n v="17379"/>
    <d v="2024-01-26T00:00:00"/>
    <m/>
    <x v="35"/>
  </r>
  <r>
    <n v="867084"/>
    <d v="2024-01-17T00:00:00"/>
    <d v="1899-12-30T11:17:00"/>
    <n v="113058"/>
    <n v="17371"/>
    <d v="2024-01-17T00:00:00"/>
    <d v="1899-12-30T12:30:00"/>
    <x v="21"/>
  </r>
  <r>
    <n v="33610"/>
    <d v="2024-01-23T00:00:00"/>
    <d v="1899-12-30T12:00:00"/>
    <n v="113118"/>
    <n v="17385"/>
    <d v="2024-01-26T00:00:00"/>
    <d v="1899-12-30T17:59:00"/>
    <x v="11"/>
  </r>
  <r>
    <s v="N.A. 21"/>
    <d v="2024-01-26T00:00:00"/>
    <d v="1899-12-30T17:43:00"/>
    <n v="113120"/>
    <n v="17386"/>
    <d v="2024-01-29T00:00:00"/>
    <d v="1899-12-30T09:11:00"/>
    <x v="32"/>
  </r>
  <r>
    <n v="4058"/>
    <d v="2024-01-26T00:00:00"/>
    <d v="1899-12-30T18:04:00"/>
    <n v="113119"/>
    <n v="17389"/>
    <d v="2024-01-29T00:00:00"/>
    <d v="1899-12-30T08:50:00"/>
    <x v="22"/>
  </r>
  <r>
    <s v="001-OSC-00056951"/>
    <d v="2024-01-29T00:00:00"/>
    <d v="1899-12-30T09:24:00"/>
    <n v="113124"/>
    <n v="17387"/>
    <d v="2024-01-29T00:00:00"/>
    <d v="1899-12-30T12:02:00"/>
    <x v="12"/>
  </r>
  <r>
    <n v="47090"/>
    <d v="2024-01-29T00:00:00"/>
    <d v="1899-12-30T11:54:00"/>
    <n v="113129"/>
    <n v="17395"/>
    <d v="2024-01-29T00:00:00"/>
    <d v="1899-12-30T12:35:00"/>
    <x v="26"/>
  </r>
  <r>
    <s v="ORC-2401030"/>
    <d v="2024-01-24T00:00:00"/>
    <d v="1899-12-30T14:45:00"/>
    <n v="113132"/>
    <m/>
    <d v="2024-01-29T00:00:00"/>
    <d v="1899-12-30T12:48:00"/>
    <x v="27"/>
  </r>
  <r>
    <n v="4500066299"/>
    <d v="2023-12-23T00:00:00"/>
    <d v="1899-12-30T10:30:00"/>
    <n v="112936"/>
    <n v="17396"/>
    <d v="2023-12-26T00:00:00"/>
    <d v="1899-12-30T09:06:00"/>
    <x v="49"/>
  </r>
  <r>
    <s v="001-SC-013867"/>
    <d v="2024-01-15T00:00:00"/>
    <d v="1899-12-30T10:00:00"/>
    <n v="113033"/>
    <n v="17394"/>
    <d v="2024-01-15T00:00:00"/>
    <d v="1899-12-30T12:17:00"/>
    <x v="39"/>
  </r>
  <r>
    <n v="33610"/>
    <d v="2024-01-23T00:00:00"/>
    <d v="1899-12-30T12:00:00"/>
    <m/>
    <m/>
    <m/>
    <m/>
    <x v="11"/>
  </r>
  <r>
    <s v="ORC-2402002"/>
    <d v="2024-02-06T00:00:00"/>
    <d v="1899-12-30T11:26:00"/>
    <n v="113185"/>
    <n v="17460"/>
    <d v="2024-02-06T00:00:00"/>
    <d v="1899-12-30T11:44:00"/>
    <x v="27"/>
  </r>
  <r>
    <s v="ORC-2402002"/>
    <d v="2024-02-06T00:00:00"/>
    <d v="1899-12-30T11:26:00"/>
    <n v="113185"/>
    <n v="17505"/>
    <d v="2024-02-06T00:00:00"/>
    <d v="1899-12-30T11:44:00"/>
    <x v="27"/>
  </r>
  <r>
    <s v="ORC-2402002"/>
    <d v="2024-02-06T00:00:00"/>
    <d v="1899-12-30T11:26:00"/>
    <n v="113185"/>
    <n v="17460"/>
    <d v="2024-02-06T00:00:00"/>
    <d v="1899-12-30T11:44:00"/>
    <x v="27"/>
  </r>
  <r>
    <s v="ORC-2402002"/>
    <d v="2024-02-06T00:00:00"/>
    <d v="1899-12-30T11:26:00"/>
    <n v="113185"/>
    <n v="17460"/>
    <d v="2024-02-06T00:00:00"/>
    <d v="1899-12-30T11:44:00"/>
    <x v="27"/>
  </r>
  <r>
    <s v="ORC-2402002"/>
    <d v="2024-02-06T00:00:00"/>
    <d v="1899-12-30T11:26:00"/>
    <n v="113185"/>
    <n v="17460"/>
    <d v="2024-02-06T00:00:00"/>
    <d v="1899-12-30T11:44:00"/>
    <x v="27"/>
  </r>
  <r>
    <s v="CFMP-58"/>
    <d v="2024-02-06T00:00:00"/>
    <d v="1899-12-30T12:00:00"/>
    <n v="113190"/>
    <n v="17458"/>
    <d v="2024-02-06T00:00:00"/>
    <d v="1899-12-30T14:46:00"/>
    <x v="11"/>
  </r>
  <r>
    <s v="CFMP-58"/>
    <d v="2024-02-06T00:00:00"/>
    <d v="1899-12-30T12:00:00"/>
    <n v="113190"/>
    <n v="17458"/>
    <d v="2024-02-06T00:00:00"/>
    <d v="1899-12-30T14:46:00"/>
    <x v="11"/>
  </r>
  <r>
    <s v="CFMP-58"/>
    <d v="2024-02-06T00:00:00"/>
    <d v="1899-12-30T12:00:00"/>
    <n v="113190"/>
    <n v="17458"/>
    <d v="2024-02-06T00:00:00"/>
    <d v="1899-12-30T14:46:00"/>
    <x v="11"/>
  </r>
  <r>
    <s v="CFMP-58"/>
    <d v="2024-02-06T00:00:00"/>
    <d v="1899-12-30T12:00:00"/>
    <n v="113190"/>
    <n v="17458"/>
    <d v="2024-02-06T00:00:00"/>
    <d v="1899-12-30T14:46:00"/>
    <x v="11"/>
  </r>
  <r>
    <n v="5501704540"/>
    <d v="2024-09-12T00:00:00"/>
    <d v="1899-12-30T09:13:00"/>
    <n v="113191"/>
    <n v="17463"/>
    <d v="2024-02-06T00:00:00"/>
    <d v="1899-12-30T16:39:00"/>
    <x v="3"/>
  </r>
  <r>
    <s v="007-OM-000400"/>
    <d v="2024-02-06T00:00:00"/>
    <d v="1899-12-30T16:31:00"/>
    <n v="113198"/>
    <n v="17464"/>
    <d v="2024-02-07T00:00:00"/>
    <d v="1899-12-30T10:59:00"/>
    <x v="18"/>
  </r>
  <r>
    <s v="OC-COMPR-8562"/>
    <d v="2024-02-06T00:00:00"/>
    <d v="1899-12-30T15:52:00"/>
    <n v="113194"/>
    <n v="17465"/>
    <d v="2024-02-07T00:00:00"/>
    <d v="1899-12-30T10:45:00"/>
    <x v="9"/>
  </r>
  <r>
    <n v="1955"/>
    <d v="2024-02-06T00:00:00"/>
    <d v="1899-12-30T16:22:00"/>
    <n v="113193"/>
    <n v="17466"/>
    <d v="2024-02-07T00:00:00"/>
    <d v="1899-12-30T09:38:00"/>
    <x v="6"/>
  </r>
  <r>
    <s v="001-OC -00005931"/>
    <d v="2024-02-06T00:00:00"/>
    <d v="1899-12-30T17:30:00"/>
    <n v="113197"/>
    <n v="17474"/>
    <d v="2024-02-07T00:00:00"/>
    <d v="1899-12-30T10:58:00"/>
    <x v="30"/>
  </r>
  <r>
    <s v="001-OC -00005931"/>
    <d v="2024-02-06T00:00:00"/>
    <d v="1899-12-30T17:30:00"/>
    <n v="113197"/>
    <n v="17474"/>
    <d v="2024-02-07T00:00:00"/>
    <d v="1899-12-30T10:58:00"/>
    <x v="30"/>
  </r>
  <r>
    <s v="001-OC -00005932"/>
    <d v="2024-02-06T00:00:00"/>
    <d v="1899-12-30T17:30:00"/>
    <n v="113195"/>
    <n v="17529"/>
    <d v="2024-02-07T00:00:00"/>
    <d v="1899-12-30T10:49:00"/>
    <x v="30"/>
  </r>
  <r>
    <s v="001-OC -00005932"/>
    <d v="2024-02-06T00:00:00"/>
    <d v="1899-12-30T17:30:00"/>
    <n v="113195"/>
    <n v="17529"/>
    <d v="2024-02-07T00:00:00"/>
    <d v="1899-12-30T10:49:00"/>
    <x v="30"/>
  </r>
  <r>
    <n v="1001378856"/>
    <d v="2024-02-06T00:00:00"/>
    <d v="1899-12-30T18:32:00"/>
    <n v="113196"/>
    <n v="17523"/>
    <d v="2024-02-07T00:00:00"/>
    <d v="1899-12-30T10:50:00"/>
    <x v="50"/>
  </r>
  <r>
    <n v="880189"/>
    <d v="2024-02-06T00:00:00"/>
    <d v="1899-12-30T16:46:00"/>
    <m/>
    <m/>
    <m/>
    <m/>
    <x v="13"/>
  </r>
  <r>
    <s v="Y-001-2161"/>
    <d v="2024-02-07T00:00:00"/>
    <d v="1899-12-30T09:46:00"/>
    <n v="113199"/>
    <n v="17471"/>
    <d v="2024-02-07T00:00:00"/>
    <d v="1899-12-30T14:00:00"/>
    <x v="17"/>
  </r>
  <r>
    <n v="4500116194"/>
    <d v="2024-02-07T00:00:00"/>
    <d v="1899-12-30T11:09:00"/>
    <n v="113200"/>
    <n v="17477"/>
    <d v="2024-02-07T00:00:00"/>
    <d v="1899-12-30T15:27:00"/>
    <x v="51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880629"/>
    <d v="2024-02-07T00:00:00"/>
    <d v="1899-12-30T12:18:00"/>
    <n v="113201"/>
    <n v="17515"/>
    <d v="2024-02-08T00:00:00"/>
    <d v="1899-12-30T08:53:00"/>
    <x v="4"/>
  </r>
  <r>
    <n v="881037"/>
    <d v="2024-02-07T00:00:00"/>
    <d v="1899-12-30T17:15:00"/>
    <n v="113203"/>
    <n v="17479"/>
    <d v="2024-02-08T00:00:00"/>
    <d v="1899-12-30T09:26:00"/>
    <x v="21"/>
  </r>
  <r>
    <n v="881037"/>
    <d v="2024-02-07T00:00:00"/>
    <d v="1899-12-30T17:15:00"/>
    <n v="113203"/>
    <n v="17479"/>
    <d v="2024-02-08T00:00:00"/>
    <d v="1899-12-30T09:26:00"/>
    <x v="21"/>
  </r>
  <r>
    <n v="881037"/>
    <d v="2024-02-07T00:00:00"/>
    <d v="1899-12-30T17:15:00"/>
    <n v="113203"/>
    <n v="17479"/>
    <d v="2024-02-08T00:00:00"/>
    <d v="1899-12-30T09:26:00"/>
    <x v="21"/>
  </r>
  <r>
    <n v="4500301012"/>
    <d v="2024-02-08T00:00:00"/>
    <d v="1899-12-30T06:48:00"/>
    <n v="113204"/>
    <n v="17510"/>
    <d v="2024-02-08T00:00:00"/>
    <d v="1899-12-30T09:43:00"/>
    <x v="35"/>
  </r>
  <r>
    <s v="001-OSC-00057088"/>
    <d v="2024-02-08T00:00:00"/>
    <d v="1899-12-30T08:35:00"/>
    <n v="113206"/>
    <n v="17488"/>
    <d v="2024-02-08T00:00:00"/>
    <d v="1899-12-30T10:46:00"/>
    <x v="12"/>
  </r>
  <r>
    <s v="001-OSC-00057088"/>
    <d v="2024-02-08T00:00:00"/>
    <d v="1899-12-30T08:35:00"/>
    <n v="113206"/>
    <n v="17488"/>
    <d v="2024-02-08T00:00:00"/>
    <d v="1899-12-30T10:46:00"/>
    <x v="12"/>
  </r>
  <r>
    <s v="001-OSC-00057088"/>
    <d v="2024-02-08T00:00:00"/>
    <d v="1899-12-30T08:35:00"/>
    <n v="113206"/>
    <n v="17488"/>
    <d v="2024-02-08T00:00:00"/>
    <d v="1899-12-30T10:46:00"/>
    <x v="12"/>
  </r>
  <r>
    <s v="001-OSC-00057088"/>
    <d v="2024-02-08T00:00:00"/>
    <d v="1899-12-30T08:35:00"/>
    <n v="113206"/>
    <n v="17488"/>
    <d v="2024-02-08T00:00:00"/>
    <d v="1899-12-30T10:46:00"/>
    <x v="12"/>
  </r>
  <r>
    <n v="4503226767"/>
    <d v="2024-02-08T00:00:00"/>
    <d v="1899-12-30T08:12:00"/>
    <n v="113207"/>
    <n v="17508"/>
    <d v="2024-02-08T00:00:00"/>
    <d v="1899-12-30T10:46:00"/>
    <x v="19"/>
  </r>
  <r>
    <n v="4503226767"/>
    <d v="2024-02-08T00:00:00"/>
    <d v="1899-12-30T08:12:00"/>
    <n v="113208"/>
    <n v="17560"/>
    <d v="2024-02-08T00:00:00"/>
    <d v="1899-12-30T10:46:00"/>
    <x v="19"/>
  </r>
  <r>
    <n v="5501704540"/>
    <d v="2024-09-12T00:00:00"/>
    <d v="1899-12-30T09:13:00"/>
    <n v="113205"/>
    <n v="17482"/>
    <d v="2024-02-08T00:00:00"/>
    <d v="1899-12-30T10:17:00"/>
    <x v="3"/>
  </r>
  <r>
    <s v="OCO-33885"/>
    <d v="2024-02-08T00:00:00"/>
    <d v="1899-12-30T11:30:00"/>
    <n v="113209"/>
    <n v="17478"/>
    <d v="2024-02-08T00:00:00"/>
    <d v="1899-12-30T12:00:00"/>
    <x v="11"/>
  </r>
  <r>
    <s v="OC482"/>
    <d v="2024-02-08T00:00:00"/>
    <d v="1899-12-30T12:06:00"/>
    <n v="113210"/>
    <n v="17487"/>
    <d v="2024-02-08T00:00:00"/>
    <d v="1899-12-30T12:27:00"/>
    <x v="52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545"/>
    <d v="2024-02-08T00:00:00"/>
    <d v="1899-12-30T12:27:00"/>
    <x v="0"/>
  </r>
  <r>
    <s v="005-OSC-00006937"/>
    <d v="2024-02-08T00:00:00"/>
    <d v="1899-12-30T14:12:00"/>
    <n v="113212"/>
    <n v="17497"/>
    <d v="2024-02-08T00:00:00"/>
    <d v="1899-12-30T14:59:00"/>
    <x v="12"/>
  </r>
  <r>
    <n v="168"/>
    <d v="2024-02-08T00:00:00"/>
    <d v="1899-12-30T14:25:00"/>
    <n v="113213"/>
    <n v="17481"/>
    <d v="2024-02-08T00:00:00"/>
    <d v="1899-12-30T14:59:00"/>
    <x v="5"/>
  </r>
  <r>
    <n v="87160"/>
    <d v="2024-02-09T00:00:00"/>
    <d v="1899-12-30T07:15:00"/>
    <m/>
    <m/>
    <m/>
    <m/>
    <x v="25"/>
  </r>
  <r>
    <n v="4500116307"/>
    <d v="2024-02-09T00:00:00"/>
    <d v="1899-12-30T09:33:00"/>
    <n v="113214"/>
    <n v="17489"/>
    <d v="2024-02-08T00:00:00"/>
    <d v="1899-12-30T10:26:00"/>
    <x v="51"/>
  </r>
  <r>
    <n v="4500116330"/>
    <d v="2024-02-09T00:00:00"/>
    <d v="1899-12-30T09:33:00"/>
    <n v="113215"/>
    <n v="17490"/>
    <d v="2024-02-08T00:00:00"/>
    <d v="1899-12-30T10:26:00"/>
    <x v="51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4500116424"/>
    <d v="2024-02-09T00:00:00"/>
    <d v="1899-12-30T09:33:00"/>
    <n v="113217"/>
    <n v="17501"/>
    <d v="2024-02-09T00:00:00"/>
    <d v="1899-12-30T12:28:00"/>
    <x v="51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s v="Y-001-2008157"/>
    <d v="2024-02-09T00:00:00"/>
    <d v="1899-12-30T13:48:00"/>
    <n v="113218"/>
    <n v="17518"/>
    <d v="2024-02-09T00:00:00"/>
    <d v="1899-12-30T14:25:00"/>
    <x v="15"/>
  </r>
  <r>
    <s v="Y-001-2008157"/>
    <d v="2024-02-09T00:00:00"/>
    <d v="1899-12-30T13:48:00"/>
    <n v="113218"/>
    <n v="17518"/>
    <d v="2024-02-09T00:00:00"/>
    <d v="1899-12-30T14:25:00"/>
    <x v="15"/>
  </r>
  <r>
    <s v="PENDIENTE OC"/>
    <d v="2024-02-09T00:00:00"/>
    <d v="1899-12-30T14:35:00"/>
    <n v="113219"/>
    <s v="CANCELADO"/>
    <d v="2024-02-09T00:00:00"/>
    <d v="1899-12-30T14:35:00"/>
    <x v="15"/>
  </r>
  <r>
    <s v="005-OSC-00006958"/>
    <d v="2024-02-09T00:00:00"/>
    <d v="1899-12-30T16:54:00"/>
    <n v="113225"/>
    <n v="17496"/>
    <d v="2024-02-12T00:00:00"/>
    <d v="1899-12-30T08:51:00"/>
    <x v="12"/>
  </r>
  <r>
    <s v="N.A. 21"/>
    <d v="2024-02-09T00:00:00"/>
    <d v="1899-12-30T15:48:00"/>
    <n v="113224"/>
    <n v="17504"/>
    <d v="2024-02-12T00:00:00"/>
    <d v="1899-12-30T08:51:00"/>
    <x v="26"/>
  </r>
  <r>
    <s v="N.A. 22"/>
    <d v="2024-02-11T00:00:00"/>
    <d v="1899-12-30T22:02:00"/>
    <n v="113223"/>
    <n v="17502"/>
    <d v="2024-02-12T00:00:00"/>
    <d v="1899-12-30T08:51:00"/>
    <x v="32"/>
  </r>
  <r>
    <n v="4500300465"/>
    <d v="2024-02-05T00:00:00"/>
    <d v="1899-12-30T09:18:00"/>
    <n v="113222"/>
    <n v="17499"/>
    <d v="2024-02-12T00:00:00"/>
    <d v="1899-12-30T08:51:00"/>
    <x v="42"/>
  </r>
  <r>
    <n v="95"/>
    <d v="2024-02-12T00:00:00"/>
    <d v="1899-12-30T08:36:00"/>
    <n v="113221"/>
    <m/>
    <d v="2024-02-12T00:00:00"/>
    <d v="1899-12-30T08:51:00"/>
    <x v="23"/>
  </r>
  <r>
    <n v="5502071050"/>
    <d v="2024-02-09T00:00:00"/>
    <d v="1899-12-30T15:18:00"/>
    <n v="113254"/>
    <n v="17543"/>
    <d v="2024-02-12T00:00:00"/>
    <d v="1899-12-30T16:21:00"/>
    <x v="3"/>
  </r>
  <r>
    <s v="A02-COC-176410"/>
    <d v="2024-01-26T00:00:00"/>
    <d v="1899-12-30T09:30:00"/>
    <n v="113226"/>
    <n v="17503"/>
    <d v="2024-02-12T00:00:00"/>
    <d v="1899-12-30T09:54:00"/>
    <x v="40"/>
  </r>
  <r>
    <s v="A02-COC-176410"/>
    <d v="2024-01-26T00:00:00"/>
    <d v="1899-12-30T09:30:00"/>
    <n v="113226"/>
    <n v="17592"/>
    <d v="2024-02-12T00:00:00"/>
    <d v="1899-12-30T09:54:00"/>
    <x v="40"/>
  </r>
  <r>
    <s v="A02-COC-176410"/>
    <d v="2024-01-26T00:00:00"/>
    <d v="1899-12-30T09:30:00"/>
    <n v="113226"/>
    <n v="17503"/>
    <d v="2024-02-12T00:00:00"/>
    <d v="1899-12-30T09:54:00"/>
    <x v="40"/>
  </r>
  <r>
    <s v="A02-COC-176410"/>
    <d v="2024-01-26T00:00:00"/>
    <d v="1899-12-30T09:30:00"/>
    <n v="113226"/>
    <n v="17503"/>
    <d v="2024-02-12T00:00:00"/>
    <d v="1899-12-30T09:54:00"/>
    <x v="40"/>
  </r>
  <r>
    <s v="A02-COC-176410"/>
    <d v="2024-01-26T00:00:00"/>
    <d v="1899-12-30T09:30:00"/>
    <n v="113226"/>
    <n v="17503"/>
    <d v="2024-02-12T00:00:00"/>
    <d v="1899-12-30T09:54:00"/>
    <x v="40"/>
  </r>
  <r>
    <s v="004-OSC-00044715"/>
    <d v="2024-02-12T00:00:00"/>
    <d v="1899-12-30T09:34:00"/>
    <n v="113230"/>
    <n v="17512"/>
    <d v="2024-02-12T00:00:00"/>
    <d v="1899-12-30T14:36:00"/>
    <x v="12"/>
  </r>
  <r>
    <s v="A02-COC-179322"/>
    <d v="2024-02-12T00:00:00"/>
    <d v="1899-12-30T11:55:00"/>
    <n v="113232"/>
    <n v="17509"/>
    <d v="2024-02-12T00:00:00"/>
    <d v="1899-12-30T14:29:00"/>
    <x v="40"/>
  </r>
  <r>
    <s v="A02-COC-179322"/>
    <d v="2024-02-12T00:00:00"/>
    <d v="1899-12-30T11:55:00"/>
    <n v="113232"/>
    <n v="17509"/>
    <d v="2024-02-12T00:00:00"/>
    <d v="1899-12-30T14:29:00"/>
    <x v="40"/>
  </r>
  <r>
    <s v="A02-COC-179322"/>
    <d v="2024-02-12T00:00:00"/>
    <d v="1899-12-30T11:55:00"/>
    <n v="113232"/>
    <n v="17509"/>
    <d v="2024-02-12T00:00:00"/>
    <d v="1899-12-30T14:29:00"/>
    <x v="40"/>
  </r>
  <r>
    <s v="A02-COC-179322"/>
    <d v="2024-02-12T00:00:00"/>
    <d v="1899-12-30T11:55:00"/>
    <n v="113232"/>
    <n v="17519"/>
    <d v="2024-02-12T00:00:00"/>
    <d v="1899-12-30T14:29:00"/>
    <x v="40"/>
  </r>
  <r>
    <s v="A02-COC-179322"/>
    <d v="2024-02-12T00:00:00"/>
    <d v="1899-12-30T11:55:00"/>
    <n v="113232"/>
    <n v="17509"/>
    <d v="2024-02-12T00:00:00"/>
    <d v="1899-12-30T14:29:00"/>
    <x v="40"/>
  </r>
  <r>
    <s v="N.A. 23"/>
    <d v="2024-02-12T00:00:00"/>
    <d v="1899-12-30T14:20:00"/>
    <n v="113228"/>
    <n v="17506"/>
    <d v="2024-02-12T00:00:00"/>
    <d v="1899-12-30T14:27:00"/>
    <x v="54"/>
  </r>
  <r>
    <n v="883857"/>
    <d v="2024-02-12T00:00:00"/>
    <d v="1899-12-30T13:46:00"/>
    <n v="113231"/>
    <n v="17554"/>
    <d v="2024-02-12T00:00:00"/>
    <d v="1899-12-30T14:40:00"/>
    <x v="13"/>
  </r>
  <r>
    <n v="883880"/>
    <d v="2024-02-12T00:00:00"/>
    <d v="1899-12-30T14:04:00"/>
    <n v="113229"/>
    <n v="17507"/>
    <d v="2024-02-12T00:00:00"/>
    <d v="1899-12-30T14:32:00"/>
    <x v="21"/>
  </r>
  <r>
    <n v="883880"/>
    <d v="2024-02-12T00:00:00"/>
    <d v="1899-12-30T14:04:00"/>
    <n v="113229"/>
    <n v="17507"/>
    <d v="2024-02-12T00:00:00"/>
    <d v="1899-12-30T14:32:00"/>
    <x v="21"/>
  </r>
  <r>
    <n v="883880"/>
    <d v="2024-02-12T00:00:00"/>
    <d v="1899-12-30T14:04:00"/>
    <n v="113229"/>
    <n v="17507"/>
    <d v="2024-02-12T00:00:00"/>
    <d v="1899-12-30T14:32:00"/>
    <x v="21"/>
  </r>
  <r>
    <s v="OC-1-125"/>
    <d v="2024-02-13T00:00:00"/>
    <d v="1899-12-30T09:00:00"/>
    <n v="113234"/>
    <n v="17513"/>
    <d v="2024-02-13T00:00:00"/>
    <s v="9;08"/>
    <x v="43"/>
  </r>
  <r>
    <n v="884399"/>
    <d v="2024-02-13T00:00:00"/>
    <d v="1899-12-30T08:47:00"/>
    <n v="113235"/>
    <n v="17514"/>
    <d v="2024-02-13T00:00:00"/>
    <d v="1899-12-30T09:11:00"/>
    <x v="2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N.A. 24"/>
    <d v="2024-02-12T00:00:00"/>
    <d v="1899-12-30T12:07:00"/>
    <n v="113237"/>
    <n v="17511"/>
    <d v="2024-02-13T00:00:00"/>
    <d v="1899-12-30T11:21:00"/>
    <x v="55"/>
  </r>
  <r>
    <n v="4500067363"/>
    <d v="2024-02-12T00:00:00"/>
    <d v="1899-12-30T12:50:00"/>
    <n v="113238"/>
    <n v="17531"/>
    <d v="2024-02-13T00:00:00"/>
    <d v="1899-12-30T11:21:00"/>
    <x v="0"/>
  </r>
  <r>
    <n v="884001"/>
    <d v="2024-02-12T00:00:00"/>
    <d v="1899-12-30T15:49:00"/>
    <m/>
    <m/>
    <m/>
    <m/>
    <x v="13"/>
  </r>
  <r>
    <s v="005-OSC-00006963"/>
    <d v="2024-02-13T00:00:00"/>
    <d v="1899-12-30T08:39:00"/>
    <n v="113241"/>
    <n v="17537"/>
    <d v="2024-02-13T00:00:00"/>
    <d v="1899-12-30T14:18:00"/>
    <x v="12"/>
  </r>
  <r>
    <s v="005-OSC-00006963"/>
    <d v="2024-02-13T00:00:00"/>
    <d v="1899-12-30T08:39:00"/>
    <n v="113241"/>
    <n v="17537"/>
    <d v="2024-02-13T00:00:00"/>
    <d v="1899-12-30T14:18:00"/>
    <x v="12"/>
  </r>
  <r>
    <s v="N.A. 25"/>
    <d v="2024-02-13T00:00:00"/>
    <d v="1899-12-30T12:31:00"/>
    <n v="113239"/>
    <n v="17522"/>
    <s v="13/02/0204"/>
    <d v="1899-12-30T12:39:00"/>
    <x v="56"/>
  </r>
  <r>
    <s v="ORC-2402013"/>
    <d v="2024-02-13T00:00:00"/>
    <d v="1899-12-30T12:01:00"/>
    <n v="113240"/>
    <n v="17520"/>
    <s v="13/02/0204"/>
    <d v="1899-12-30T12:52:00"/>
    <x v="27"/>
  </r>
  <r>
    <s v="ORC-2402013"/>
    <d v="2024-02-13T00:00:00"/>
    <d v="1899-12-30T12:01:00"/>
    <n v="113240"/>
    <n v="17520"/>
    <s v="13/02/0204"/>
    <d v="1899-12-30T12:52:00"/>
    <x v="27"/>
  </r>
  <r>
    <s v="ORC-2402013"/>
    <d v="2024-02-13T00:00:00"/>
    <d v="1899-12-30T12:01:00"/>
    <n v="113240"/>
    <n v="17520"/>
    <s v="13/02/0204"/>
    <d v="1899-12-30T12:52:00"/>
    <x v="27"/>
  </r>
  <r>
    <s v="ORC-2402013"/>
    <d v="2024-02-13T00:00:00"/>
    <d v="1899-12-30T12:01:00"/>
    <n v="113240"/>
    <n v="17520"/>
    <s v="13/02/0204"/>
    <d v="1899-12-30T12:52:00"/>
    <x v="27"/>
  </r>
  <r>
    <n v="64119"/>
    <d v="2024-02-13T00:00:00"/>
    <d v="1899-12-30T12:15:00"/>
    <n v="113242"/>
    <n v="17516"/>
    <s v="13/02/0204"/>
    <d v="1899-12-30T14:19:00"/>
    <x v="7"/>
  </r>
  <r>
    <n v="64119"/>
    <d v="2024-02-13T00:00:00"/>
    <d v="1899-12-30T12:15:00"/>
    <n v="113242"/>
    <n v="17516"/>
    <s v="13/02/0204"/>
    <d v="1899-12-30T14:19:00"/>
    <x v="7"/>
  </r>
  <r>
    <n v="64118"/>
    <d v="2024-02-13T00:00:00"/>
    <d v="1899-12-30T12:15:00"/>
    <n v="113243"/>
    <n v="17517"/>
    <s v="13/02/0204"/>
    <d v="1899-12-30T14:19:00"/>
    <x v="7"/>
  </r>
  <r>
    <n v="96"/>
    <d v="2024-02-12T00:00:00"/>
    <d v="1899-12-30T09:18:00"/>
    <n v="113259"/>
    <m/>
    <d v="2024-02-15T00:00:00"/>
    <d v="1899-12-30T12:48:00"/>
    <x v="23"/>
  </r>
  <r>
    <s v="A02-COC-179582"/>
    <d v="2024-02-13T00:00:00"/>
    <d v="1899-12-30T15:48:00"/>
    <n v="113249"/>
    <n v="17527"/>
    <d v="2024-02-14T00:00:00"/>
    <d v="1899-12-30T11:46:00"/>
    <x v="40"/>
  </r>
  <r>
    <n v="885166"/>
    <d v="2024-02-13T00:00:00"/>
    <d v="1899-12-30T17:46:00"/>
    <n v="113244"/>
    <n v="17528"/>
    <d v="2024-02-14T00:00:00"/>
    <d v="1899-12-30T10:16:00"/>
    <x v="21"/>
  </r>
  <r>
    <s v="001-OCN-00011576"/>
    <d v="2024-02-13T00:00:00"/>
    <d v="1899-12-30T17:54:00"/>
    <n v="113245"/>
    <n v="17542"/>
    <d v="2024-02-14T00:00:00"/>
    <d v="1899-12-30T10:22:00"/>
    <x v="57"/>
  </r>
  <r>
    <s v="001-OCN-00011575"/>
    <d v="2024-02-13T00:00:00"/>
    <d v="1899-12-30T17:54:00"/>
    <n v="113246"/>
    <n v="17525"/>
    <d v="2024-02-14T00:00:00"/>
    <d v="1899-12-30T10:25:00"/>
    <x v="57"/>
  </r>
  <r>
    <n v="885285"/>
    <d v="2024-02-14T00:00:00"/>
    <d v="1899-12-30T05:01:00"/>
    <n v="113247"/>
    <n v="17539"/>
    <d v="2024-02-14T00:00:00"/>
    <d v="1899-12-30T11:17:00"/>
    <x v="21"/>
  </r>
  <r>
    <n v="885375"/>
    <d v="2024-02-14T00:00:00"/>
    <d v="1899-12-30T08:15:00"/>
    <n v="113250"/>
    <n v="17534"/>
    <d v="2024-02-14T00:00:00"/>
    <d v="1899-12-30T14:09:00"/>
    <x v="13"/>
  </r>
  <r>
    <n v="1968"/>
    <d v="2024-02-14T00:00:00"/>
    <d v="1899-12-30T08:39:00"/>
    <n v="113248"/>
    <n v="17533"/>
    <d v="2024-02-14T00:00:00"/>
    <d v="1899-12-30T11:29:00"/>
    <x v="6"/>
  </r>
  <r>
    <n v="885554"/>
    <d v="2024-02-14T00:00:00"/>
    <d v="1899-12-30T10:17:00"/>
    <n v="113251"/>
    <n v="17536"/>
    <d v="2024-02-14T00:00:00"/>
    <d v="1899-12-30T14:10:00"/>
    <x v="4"/>
  </r>
  <r>
    <s v="OCO-33975"/>
    <d v="2024-02-14T00:00:00"/>
    <d v="1899-12-30T09:02:00"/>
    <n v="113252"/>
    <n v="17532"/>
    <d v="2024-02-14T00:00:00"/>
    <d v="1899-12-30T14:11:00"/>
    <x v="11"/>
  </r>
  <r>
    <s v="N.A. 26"/>
    <d v="2024-02-14T00:00:00"/>
    <d v="1899-12-30T15:10:00"/>
    <n v="113253"/>
    <n v="17535"/>
    <d v="2024-02-14T00:00:00"/>
    <d v="1899-12-30T16:16:00"/>
    <x v="58"/>
  </r>
  <r>
    <s v="MPN - 4,610"/>
    <d v="2024-02-15T00:00:00"/>
    <d v="1899-12-30T08:34:00"/>
    <n v="113255"/>
    <n v="17555"/>
    <d v="2024-02-15T00:00:00"/>
    <d v="1899-12-30T09:02:00"/>
    <x v="33"/>
  </r>
  <r>
    <s v="N.A. 27"/>
    <d v="2024-02-15T00:00:00"/>
    <d v="1899-12-30T08:49:00"/>
    <n v="113256"/>
    <n v="17546"/>
    <d v="2024-02-15T00:00:00"/>
    <d v="1899-12-30T12:45:00"/>
    <x v="59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886448"/>
    <d v="2024-02-15T00:00:00"/>
    <d v="1899-12-30T12:00:00"/>
    <n v="113260"/>
    <n v="17540"/>
    <d v="2024-02-15T00:00:00"/>
    <d v="1899-12-30T12:52:00"/>
    <x v="21"/>
  </r>
  <r>
    <n v="205"/>
    <d v="2024-02-15T00:00:00"/>
    <d v="1899-12-30T12:47:00"/>
    <n v="113261"/>
    <n v="17541"/>
    <d v="2024-02-15T00:00:00"/>
    <d v="1899-12-30T14:13:00"/>
    <x v="5"/>
  </r>
  <r>
    <s v="578 P"/>
    <d v="2024-02-15T00:00:00"/>
    <d v="1899-12-30T14:56:00"/>
    <n v="113262"/>
    <n v="17551"/>
    <d v="2024-02-15T00:00:00"/>
    <d v="1899-12-30T09:40:00"/>
    <x v="60"/>
  </r>
  <r>
    <s v="578 P"/>
    <d v="2024-02-15T00:00:00"/>
    <d v="1899-12-30T14:56:00"/>
    <n v="113262"/>
    <n v="17551"/>
    <d v="2024-02-15T00:00:00"/>
    <d v="1899-12-30T09:40:00"/>
    <x v="60"/>
  </r>
  <r>
    <n v="886696"/>
    <d v="2024-02-15T00:00:00"/>
    <d v="1899-12-30T16:17:00"/>
    <n v="113263"/>
    <n v="17563"/>
    <d v="2024-02-15T00:00:00"/>
    <d v="1899-12-30T09:41:00"/>
    <x v="21"/>
  </r>
  <r>
    <n v="886749"/>
    <d v="2024-02-15T00:00:00"/>
    <d v="1899-12-30T16:47:00"/>
    <n v="113264"/>
    <n v="17553"/>
    <d v="2024-02-15T00:00:00"/>
    <d v="1899-12-30T09:43:00"/>
    <x v="4"/>
  </r>
  <r>
    <n v="97"/>
    <d v="2024-02-16T00:00:00"/>
    <s v="7;50"/>
    <n v="113265"/>
    <m/>
    <d v="2024-02-15T00:00:00"/>
    <d v="1899-12-30T09:44:00"/>
    <x v="23"/>
  </r>
  <r>
    <n v="97"/>
    <d v="2024-02-16T00:00:00"/>
    <s v="7;50"/>
    <n v="113265"/>
    <m/>
    <d v="2024-02-15T00:00:00"/>
    <d v="1899-12-30T09:44:00"/>
    <x v="23"/>
  </r>
  <r>
    <n v="97"/>
    <d v="2024-02-16T00:00:00"/>
    <s v="7;50"/>
    <n v="113265"/>
    <m/>
    <d v="2024-02-15T00:00:00"/>
    <d v="1899-12-30T09:44:00"/>
    <x v="23"/>
  </r>
  <r>
    <n v="19777"/>
    <d v="2024-02-16T00:00:00"/>
    <d v="1899-12-30T11:04:00"/>
    <n v="113266"/>
    <n v="17552"/>
    <d v="2024-02-15T00:00:00"/>
    <d v="1899-12-30T14:00:00"/>
    <x v="61"/>
  </r>
  <r>
    <s v="007-OM-000410"/>
    <d v="2024-02-16T00:00:00"/>
    <d v="1899-12-30T13:48:00"/>
    <n v="113277"/>
    <n v="17559"/>
    <d v="2024-02-19T00:00:00"/>
    <d v="1899-12-30T14:43:00"/>
    <x v="18"/>
  </r>
  <r>
    <s v="CFMP-84"/>
    <d v="2024-02-17T00:00:00"/>
    <d v="1899-12-30T13:46:00"/>
    <n v="113268"/>
    <n v="17570"/>
    <d v="2024-02-19T00:00:00"/>
    <d v="1899-12-30T08:52:00"/>
    <x v="11"/>
  </r>
  <r>
    <s v="CFMP-84"/>
    <d v="2024-02-17T00:00:00"/>
    <d v="1899-12-30T13:46:00"/>
    <n v="113268"/>
    <n v="17570"/>
    <d v="2024-02-19T00:00:00"/>
    <d v="1899-12-30T08:52:00"/>
    <x v="11"/>
  </r>
  <r>
    <s v="CFMP-84"/>
    <d v="2024-02-17T00:00:00"/>
    <d v="1899-12-30T13:46:00"/>
    <n v="113268"/>
    <n v="17570"/>
    <d v="2024-02-19T00:00:00"/>
    <d v="1899-12-30T08:52:00"/>
    <x v="11"/>
  </r>
  <r>
    <s v="CFMP-84"/>
    <d v="2024-02-17T00:00:00"/>
    <d v="1899-12-30T13:46:00"/>
    <n v="113268"/>
    <n v="17570"/>
    <d v="2024-02-19T00:00:00"/>
    <d v="1899-12-30T08:52:00"/>
    <x v="11"/>
  </r>
  <r>
    <n v="64339"/>
    <d v="2024-02-16T00:00:00"/>
    <d v="1899-12-30T15:52:00"/>
    <n v="113269"/>
    <n v="17561"/>
    <d v="2024-02-19T00:00:00"/>
    <d v="1899-12-30T08:52:00"/>
    <x v="7"/>
  </r>
  <r>
    <n v="218"/>
    <d v="2024-02-16T00:00:00"/>
    <d v="1899-12-30T16:03:00"/>
    <n v="113270"/>
    <n v="17564"/>
    <d v="2024-02-19T00:00:00"/>
    <d v="1899-12-30T08:52:00"/>
    <x v="5"/>
  </r>
  <r>
    <n v="218"/>
    <d v="2024-02-16T00:00:00"/>
    <d v="1899-12-30T16:03:00"/>
    <n v="113270"/>
    <n v="17564"/>
    <d v="2024-02-19T00:00:00"/>
    <d v="1899-12-30T08:52:00"/>
    <x v="5"/>
  </r>
  <r>
    <n v="218"/>
    <d v="2024-02-16T00:00:00"/>
    <d v="1899-12-30T16:03:00"/>
    <n v="113270"/>
    <n v="17564"/>
    <d v="2024-02-19T00:00:00"/>
    <d v="1899-12-30T08:52:00"/>
    <x v="5"/>
  </r>
  <r>
    <n v="218"/>
    <d v="2024-02-16T00:00:00"/>
    <d v="1899-12-30T16:03:00"/>
    <n v="113270"/>
    <n v="17564"/>
    <d v="2024-02-19T00:00:00"/>
    <d v="1899-12-30T08:52:00"/>
    <x v="5"/>
  </r>
  <r>
    <n v="1000112259"/>
    <d v="2024-02-19T00:00:00"/>
    <d v="1899-12-30T06:36:00"/>
    <n v="113272"/>
    <n v="17569"/>
    <d v="2024-02-19T00:00:00"/>
    <d v="1899-12-30T10:07:00"/>
    <x v="24"/>
  </r>
  <r>
    <s v="001-OSC-00057184"/>
    <d v="2024-02-16T00:00:00"/>
    <d v="1899-12-30T17:45:00"/>
    <n v="113275"/>
    <n v="17562"/>
    <d v="2024-02-19T00:00:00"/>
    <d v="1899-12-30T10:07:00"/>
    <x v="12"/>
  </r>
  <r>
    <s v="001-OSC-00057184"/>
    <d v="2024-02-16T00:00:00"/>
    <d v="1899-12-30T17:45:00"/>
    <n v="113275"/>
    <n v="17562"/>
    <d v="2024-02-19T00:00:00"/>
    <d v="1899-12-30T10:07:00"/>
    <x v="12"/>
  </r>
  <r>
    <s v="001-OSC-00057184"/>
    <d v="2024-02-16T00:00:00"/>
    <d v="1899-12-30T17:45:00"/>
    <n v="113275"/>
    <n v="17562"/>
    <d v="2024-02-19T00:00:00"/>
    <d v="1899-12-30T10:07:00"/>
    <x v="12"/>
  </r>
  <r>
    <s v="MED - 5,602"/>
    <d v="2024-02-19T00:00:00"/>
    <d v="1899-12-30T09:02:00"/>
    <n v="113273"/>
    <n v="17557"/>
    <d v="2024-02-19T00:00:00"/>
    <d v="1899-12-30T10:07:00"/>
    <x v="33"/>
  </r>
  <r>
    <n v="98"/>
    <d v="2024-02-19T00:00:00"/>
    <d v="1899-12-30T09:20:00"/>
    <n v="113274"/>
    <m/>
    <d v="2024-02-19T00:00:00"/>
    <d v="1899-12-30T10:07:00"/>
    <x v="23"/>
  </r>
  <r>
    <n v="888728"/>
    <d v="2024-02-19T00:00:00"/>
    <d v="1899-12-30T14:03:00"/>
    <n v="113278"/>
    <n v="17574"/>
    <d v="2024-02-19T00:00:00"/>
    <d v="1899-12-30T14:44:00"/>
    <x v="21"/>
  </r>
  <r>
    <n v="888728"/>
    <d v="2024-02-19T00:00:00"/>
    <d v="1899-12-30T14:03:00"/>
    <n v="113278"/>
    <n v="17574"/>
    <d v="2024-02-19T00:00:00"/>
    <d v="1899-12-30T14:44:00"/>
    <x v="21"/>
  </r>
  <r>
    <n v="888728"/>
    <d v="2024-02-19T00:00:00"/>
    <d v="1899-12-30T14:03:00"/>
    <n v="113278"/>
    <n v="17574"/>
    <d v="2024-02-19T00:00:00"/>
    <d v="1899-12-30T14:44:00"/>
    <x v="21"/>
  </r>
  <r>
    <n v="4500067519"/>
    <d v="2024-02-19T00:00:00"/>
    <d v="1899-12-30T13:30:00"/>
    <n v="113279"/>
    <n v="17587"/>
    <d v="2024-02-19T00:00:00"/>
    <d v="1899-12-30T14:45:00"/>
    <x v="0"/>
  </r>
  <r>
    <n v="4500067519"/>
    <d v="2024-02-19T00:00:00"/>
    <d v="1899-12-30T13:30:00"/>
    <n v="113279"/>
    <n v="17587"/>
    <d v="2024-02-19T00:00:00"/>
    <d v="1899-12-30T14:45:00"/>
    <x v="0"/>
  </r>
  <r>
    <n v="4500067519"/>
    <d v="2024-02-19T00:00:00"/>
    <d v="1899-12-30T13:30:00"/>
    <n v="113279"/>
    <n v="17587"/>
    <d v="2024-02-19T00:00:00"/>
    <d v="1899-12-30T14:45:00"/>
    <x v="0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n v="888920"/>
    <d v="2024-02-19T00:00:00"/>
    <d v="1899-12-30T15:38:00"/>
    <n v="113288"/>
    <n v="17576"/>
    <d v="2024-02-20T00:00:00"/>
    <d v="1899-12-30T15:23:00"/>
    <x v="13"/>
  </r>
  <r>
    <n v="888920"/>
    <d v="2024-02-19T00:00:00"/>
    <d v="1899-12-30T15:38:00"/>
    <n v="113288"/>
    <n v="17576"/>
    <d v="2024-02-20T00:00:00"/>
    <d v="1899-12-30T15:23:00"/>
    <x v="13"/>
  </r>
  <r>
    <n v="889071"/>
    <d v="2024-02-19T00:00:00"/>
    <d v="1899-12-30T17:48:00"/>
    <n v="113285"/>
    <n v="17577"/>
    <d v="2024-02-20T00:00:00"/>
    <d v="1899-12-30T09:38:00"/>
    <x v="13"/>
  </r>
  <r>
    <n v="889071"/>
    <d v="2024-02-19T00:00:00"/>
    <d v="1899-12-30T17:48:00"/>
    <n v="113285"/>
    <n v="17577"/>
    <d v="2024-02-20T00:00:00"/>
    <d v="1899-12-30T09:38:00"/>
    <x v="13"/>
  </r>
  <r>
    <s v="OC-COMPR-8722"/>
    <d v="2024-02-19T00:00:00"/>
    <d v="1899-12-30T18:26:00"/>
    <n v="113282"/>
    <n v="17567"/>
    <d v="2024-02-20T00:00:00"/>
    <d v="1899-12-30T09:20:00"/>
    <x v="9"/>
  </r>
  <r>
    <n v="888322"/>
    <d v="2024-02-19T00:00:00"/>
    <d v="1899-12-30T09:51:00"/>
    <n v="113276"/>
    <n v="17573"/>
    <d v="2024-02-19T00:00:00"/>
    <d v="1899-12-30T13:43:00"/>
    <x v="21"/>
  </r>
  <r>
    <s v="038-OC-002172"/>
    <d v="2024-02-20T00:00:00"/>
    <d v="1899-12-30T07:40:00"/>
    <n v="113296"/>
    <n v="17584"/>
    <d v="2024-02-21T00:00:00"/>
    <d v="1899-12-30T16:09:00"/>
    <x v="18"/>
  </r>
  <r>
    <s v="N.A. 28"/>
    <d v="2024-02-20T00:00:00"/>
    <d v="1899-12-30T10:56:00"/>
    <n v="113286"/>
    <n v="17568"/>
    <d v="2024-02-20T00:00:00"/>
    <d v="1899-12-30T12:44:00"/>
    <x v="62"/>
  </r>
  <r>
    <s v="N.A. 28"/>
    <d v="2024-02-20T00:00:00"/>
    <d v="1899-12-30T10:56:00"/>
    <n v="113286"/>
    <n v="17568"/>
    <d v="2024-02-20T00:00:00"/>
    <d v="1899-12-30T12:44:00"/>
    <x v="62"/>
  </r>
  <r>
    <s v="N.A. 29"/>
    <d v="2024-02-20T00:00:00"/>
    <d v="1899-12-30T10:56:00"/>
    <n v="113286"/>
    <n v="17568"/>
    <d v="2024-02-20T00:00:00"/>
    <d v="1899-12-30T12:44:00"/>
    <x v="62"/>
  </r>
  <r>
    <s v="N.A. 30"/>
    <d v="2024-02-20T00:00:00"/>
    <d v="1899-12-30T14:29:00"/>
    <n v="113287"/>
    <n v="17571"/>
    <d v="2024-02-20T00:00:00"/>
    <d v="1899-12-30T14:46:00"/>
    <x v="34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889932"/>
    <d v="2024-02-20T00:00:00"/>
    <d v="1899-12-30T17:20:00"/>
    <n v="113293"/>
    <n v="17578"/>
    <d v="2024-02-21T00:00:00"/>
    <d v="1899-12-30T10:06:00"/>
    <x v="13"/>
  </r>
  <r>
    <n v="890163"/>
    <d v="2024-02-20T00:00:00"/>
    <d v="1899-12-30T18:47:00"/>
    <n v="113290"/>
    <n v="17583"/>
    <d v="2024-02-21T00:00:00"/>
    <d v="1899-12-30T09:18:00"/>
    <x v="21"/>
  </r>
  <r>
    <n v="890316"/>
    <d v="2024-02-21T00:00:00"/>
    <d v="1899-12-30T08:36:00"/>
    <n v="113291"/>
    <n v="17590"/>
    <d v="2024-02-21T00:00:00"/>
    <d v="1899-12-30T09:21:00"/>
    <x v="4"/>
  </r>
  <r>
    <n v="890797"/>
    <d v="2024-02-21T00:00:00"/>
    <d v="1899-12-30T14:44:00"/>
    <n v="113294"/>
    <n v="17589"/>
    <d v="2024-02-21T00:00:00"/>
    <d v="1899-12-30T13:45:00"/>
    <x v="4"/>
  </r>
  <r>
    <s v="007-OM-000411"/>
    <d v="2024-02-22T00:00:00"/>
    <d v="1899-12-30T09:53:00"/>
    <n v="113298"/>
    <n v="17581"/>
    <d v="2024-02-22T00:00:00"/>
    <d v="1899-12-30T11:27:00"/>
    <x v="18"/>
  </r>
  <r>
    <s v="007-OC-042039"/>
    <d v="2024-02-22T00:00:00"/>
    <d v="1899-12-30T07:20:00"/>
    <n v="113299"/>
    <n v="17582"/>
    <d v="2024-02-22T00:00:00"/>
    <d v="1899-12-30T11:27:00"/>
    <x v="18"/>
  </r>
  <r>
    <n v="244"/>
    <d v="2024-02-21T00:00:00"/>
    <d v="1899-12-30T16:01:00"/>
    <n v="11330"/>
    <n v="17586"/>
    <d v="2024-02-22T00:00:00"/>
    <d v="1899-12-30T11:28:00"/>
    <x v="5"/>
  </r>
  <r>
    <n v="244"/>
    <d v="2024-02-21T00:00:00"/>
    <d v="1899-12-30T16:01:00"/>
    <n v="11330"/>
    <n v="17586"/>
    <d v="2024-02-22T00:00:00"/>
    <d v="1899-12-30T11:28:00"/>
    <x v="5"/>
  </r>
  <r>
    <n v="1983"/>
    <d v="2024-02-21T00:00:00"/>
    <d v="1899-12-30T18:18:00"/>
    <n v="113297"/>
    <n v="17585"/>
    <d v="2024-02-22T00:00:00"/>
    <d v="1899-12-30T10:41:00"/>
    <x v="6"/>
  </r>
  <r>
    <n v="1983"/>
    <d v="2024-02-21T00:00:00"/>
    <d v="1899-12-30T18:18:00"/>
    <n v="113297"/>
    <n v="17585"/>
    <d v="2024-02-22T00:00:00"/>
    <d v="1899-12-30T10:41:00"/>
    <x v="6"/>
  </r>
  <r>
    <n v="1983"/>
    <d v="2024-02-21T00:00:00"/>
    <d v="1899-12-30T18:18:00"/>
    <n v="113297"/>
    <n v="17585"/>
    <d v="2024-02-22T00:00:00"/>
    <d v="1899-12-30T10:41:00"/>
    <x v="6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891796"/>
    <d v="2024-02-22T00:00:00"/>
    <d v="1899-12-30T17:04:00"/>
    <n v="113303"/>
    <n v="17593"/>
    <d v="2024-02-23T00:00:00"/>
    <d v="1899-12-30T08:30:00"/>
    <x v="21"/>
  </r>
  <r>
    <s v="004-OSC-00044777"/>
    <d v="2024-02-23T00:00:00"/>
    <d v="1899-12-30T07:22:00"/>
    <n v="113306"/>
    <m/>
    <d v="2024-02-23T00:00:00"/>
    <d v="1899-12-30T11:05:00"/>
    <x v="12"/>
  </r>
  <r>
    <n v="889329"/>
    <d v="2024-02-20T00:00:00"/>
    <d v="1899-12-30T08:46:00"/>
    <n v="113284"/>
    <m/>
    <d v="2024-02-20T00:00:00"/>
    <d v="1899-12-30T09:35:00"/>
    <x v="21"/>
  </r>
  <r>
    <n v="889631"/>
    <d v="2024-02-20T00:00:00"/>
    <d v="1899-12-30T13:20:00"/>
    <n v="113289"/>
    <m/>
    <d v="2024-02-21T00:00:00"/>
    <d v="1899-12-30T09:13:00"/>
    <x v="21"/>
  </r>
  <r>
    <s v="OCO-34152"/>
    <d v="2024-02-23T00:00:00"/>
    <d v="1899-12-30T10:22:00"/>
    <n v="113307"/>
    <n v="17591"/>
    <d v="2024-02-23T00:00:00"/>
    <d v="1899-12-30T11:06:00"/>
    <x v="11"/>
  </r>
  <r>
    <s v="OCO-34152"/>
    <d v="2024-02-23T00:00:00"/>
    <d v="1899-12-30T10:22:00"/>
    <n v="113307"/>
    <n v="17591"/>
    <d v="2024-02-23T00:00:00"/>
    <d v="1899-12-30T11:06:00"/>
    <x v="11"/>
  </r>
  <r>
    <s v="OCO-34152"/>
    <d v="2024-02-17T00:00:00"/>
    <d v="1899-12-30T13:46:00"/>
    <n v="113307"/>
    <n v="17591"/>
    <d v="2024-02-23T00:00:00"/>
    <d v="1899-12-30T11:06:00"/>
    <x v="11"/>
  </r>
  <r>
    <s v="N.A. 31"/>
    <d v="2024-02-23T00:00:00"/>
    <d v="1899-12-30T11:00:00"/>
    <n v="113308"/>
    <m/>
    <d v="2024-02-23T00:00:00"/>
    <d v="1899-12-30T11:10:00"/>
    <x v="15"/>
  </r>
  <r>
    <n v="252"/>
    <d v="2024-02-23T00:00:00"/>
    <d v="1899-12-30T11:29:00"/>
    <n v="113310"/>
    <m/>
    <d v="2024-02-23T00:00:00"/>
    <d v="1899-12-30T14:41:00"/>
    <x v="5"/>
  </r>
  <r>
    <s v="004-OSC-00044790"/>
    <d v="2024-02-23T00:00:00"/>
    <d v="1899-12-30T14:33:00"/>
    <n v="113312"/>
    <m/>
    <d v="2024-02-23T00:00:00"/>
    <d v="1899-12-30T15:37:00"/>
    <x v="12"/>
  </r>
  <r>
    <n v="892504"/>
    <d v="2024-02-23T00:00:00"/>
    <d v="1899-12-30T14:37:00"/>
    <n v="113311"/>
    <m/>
    <d v="2024-02-23T00:00:00"/>
    <d v="1899-12-30T14:41:00"/>
    <x v="4"/>
  </r>
  <r>
    <n v="892504"/>
    <d v="2024-02-23T00:00:00"/>
    <d v="1899-12-30T14:37:00"/>
    <n v="113311"/>
    <m/>
    <d v="2024-02-23T00:00:00"/>
    <d v="1899-12-30T14:41:00"/>
    <x v="4"/>
  </r>
  <r>
    <s v="N.A. 32"/>
    <d v="2024-02-23T00:00:00"/>
    <d v="1899-12-30T15:06:00"/>
    <n v="113313"/>
    <m/>
    <d v="2024-02-23T00:00:00"/>
    <d v="1899-12-30T15:37:00"/>
    <x v="58"/>
  </r>
  <r>
    <s v="N.A. 33"/>
    <d v="2024-02-23T00:00:00"/>
    <d v="1899-12-30T15:40:00"/>
    <n v="113314"/>
    <m/>
    <d v="2024-02-26T00:00:00"/>
    <d v="1899-12-30T09:59:00"/>
    <x v="55"/>
  </r>
  <r>
    <s v="001-OSC-00057230"/>
    <d v="2024-02-23T00:00:00"/>
    <d v="1899-12-30T17:07:00"/>
    <n v="113315"/>
    <m/>
    <d v="2024-02-26T00:00:00"/>
    <d v="1899-12-30T10:00:00"/>
    <x v="12"/>
  </r>
  <r>
    <s v="001-OSC-00057230"/>
    <d v="2024-02-23T00:00:00"/>
    <d v="1899-12-30T17:07:00"/>
    <n v="113315"/>
    <m/>
    <d v="2024-02-26T00:00:00"/>
    <d v="1899-12-30T10:00:00"/>
    <x v="12"/>
  </r>
  <r>
    <s v="001-OSC-00057230"/>
    <d v="2024-02-23T00:00:00"/>
    <d v="1899-12-30T17:07:00"/>
    <n v="113315"/>
    <m/>
    <d v="2024-02-26T00:00:00"/>
    <d v="1899-12-30T10:00:00"/>
    <x v="12"/>
  </r>
  <r>
    <s v="001-OSC-00057230"/>
    <d v="2024-02-23T00:00:00"/>
    <d v="1899-12-30T17:07:00"/>
    <n v="113315"/>
    <m/>
    <d v="2024-02-26T00:00:00"/>
    <d v="1899-12-30T10:00:00"/>
    <x v="12"/>
  </r>
  <r>
    <s v="N.A. 34"/>
    <d v="2024-02-24T00:00:00"/>
    <d v="1899-12-30T09:58:00"/>
    <n v="113317"/>
    <m/>
    <d v="2024-02-26T00:00:00"/>
    <d v="1899-12-30T13:49:00"/>
    <x v="32"/>
  </r>
  <r>
    <n v="19919"/>
    <d v="2024-02-26T00:00:00"/>
    <d v="1899-12-30T13:09:00"/>
    <m/>
    <m/>
    <m/>
    <m/>
    <x v="61"/>
  </r>
  <r>
    <s v="CFMP-101"/>
    <d v="2024-02-26T00:00:00"/>
    <d v="1899-12-30T15:54:00"/>
    <n v="113320"/>
    <n v="17607"/>
    <d v="2024-02-27T00:00:00"/>
    <d v="1899-12-30T13:05:00"/>
    <x v="11"/>
  </r>
  <r>
    <s v="CFMP-101"/>
    <d v="2024-02-26T00:00:00"/>
    <d v="1899-12-30T15:54:00"/>
    <n v="113320"/>
    <n v="17607"/>
    <d v="2024-02-27T00:00:00"/>
    <d v="1899-12-30T13:05:00"/>
    <x v="11"/>
  </r>
  <r>
    <s v="CFMP-101"/>
    <d v="2024-02-26T00:00:00"/>
    <d v="1899-12-30T15:54:00"/>
    <n v="113320"/>
    <n v="17607"/>
    <d v="2024-02-27T00:00:00"/>
    <d v="1899-12-30T13:05:00"/>
    <x v="11"/>
  </r>
  <r>
    <n v="64748"/>
    <d v="2024-02-26T00:00:00"/>
    <d v="1899-12-30T16:50:00"/>
    <n v="113321"/>
    <n v="17608"/>
    <d v="2024-02-27T00:00:00"/>
    <d v="1899-12-30T13:06:00"/>
    <x v="7"/>
  </r>
  <r>
    <n v="64749"/>
    <d v="2024-02-26T00:00:00"/>
    <d v="1899-12-30T16:50:00"/>
    <n v="113322"/>
    <n v="17609"/>
    <d v="2024-02-27T00:00:00"/>
    <d v="1899-12-30T13:08:00"/>
    <x v="7"/>
  </r>
  <r>
    <s v="ORC-2402034"/>
    <d v="2024-02-27T00:00:00"/>
    <d v="1899-12-30T09:51:00"/>
    <n v="113323"/>
    <n v="17612"/>
    <d v="2024-02-27T00:00:00"/>
    <d v="1899-12-30T13:16:00"/>
    <x v="63"/>
  </r>
  <r>
    <s v="ORC-2402034"/>
    <d v="2024-02-27T00:00:00"/>
    <d v="1899-12-30T09:51:00"/>
    <n v="113323"/>
    <n v="17612"/>
    <d v="2024-02-27T00:00:00"/>
    <d v="1899-12-30T13:16:00"/>
    <x v="63"/>
  </r>
  <r>
    <s v="N.A. 35"/>
    <d v="2024-02-27T00:00:00"/>
    <d v="1899-12-30T10:50:00"/>
    <n v="113331"/>
    <n v="17611"/>
    <d v="2024-02-27T00:00:00"/>
    <d v="1899-12-30T14:51:00"/>
    <x v="58"/>
  </r>
  <r>
    <s v="N.A. 35"/>
    <d v="2024-02-27T00:00:00"/>
    <d v="1899-12-30T10:50:00"/>
    <n v="113331"/>
    <n v="17611"/>
    <d v="2024-02-27T00:00:00"/>
    <d v="1899-12-30T14:51:00"/>
    <x v="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m/>
    <s v="4700007791"/>
    <d v="2025-05-08T00:00:00"/>
    <d v="1899-12-30T15:20:00"/>
    <d v="2025-08-02T00:00:00"/>
    <x v="0"/>
    <s v="BG22866"/>
    <d v="2025-08-11T00:00:00"/>
    <d v="1899-12-30T14:19:00"/>
    <x v="0"/>
    <s v="MEDELLIN"/>
    <s v="20% CLORTETRACICLINA x 25 KG"/>
    <n v="52000"/>
    <n v="2080"/>
    <n v="759200000"/>
    <d v="2025-08-02T00:00:00"/>
    <d v="2025-08-02T00:00:00"/>
    <x v="0"/>
  </r>
  <r>
    <m/>
    <s v="4700007791"/>
    <d v="2025-05-08T00:00:00"/>
    <d v="1899-12-30T15:20:00"/>
    <d v="2025-08-02T00:00:00"/>
    <x v="1"/>
    <s v="BG23052_x000a_"/>
    <d v="2025-08-27T00:00:00"/>
    <d v="1899-12-30T13:15:00"/>
    <x v="0"/>
    <s v="MEDELLIN"/>
    <s v="20% CLORTETRACICLINA x 25 KG"/>
    <n v="26000"/>
    <n v="1040"/>
    <n v="371020000"/>
    <d v="2025-08-16T00:00:00"/>
    <d v="2025-08-27T00:00:00"/>
    <x v="1"/>
  </r>
  <r>
    <m/>
    <s v="4700007885"/>
    <d v="2025-06-04T00:00:00"/>
    <d v="1899-12-30T09:00:00"/>
    <d v="2025-08-02T00:00:00"/>
    <x v="2"/>
    <s v="BG23053"/>
    <d v="2025-08-27T00:00:00"/>
    <d v="1899-12-30T13:15:00"/>
    <x v="0"/>
    <s v="MEDELLIN"/>
    <s v="20% CLORTETRACICLINA x 25 KG"/>
    <n v="52000"/>
    <n v="2080"/>
    <n v="742560000"/>
    <d v="2025-08-16T00:00:00"/>
    <d v="2025-08-27T00:00:00"/>
    <x v="1"/>
  </r>
  <r>
    <m/>
    <s v="7000386182_x000a__x000a_"/>
    <d v="2025-05-16T00:00:00"/>
    <d v="1899-12-30T09:59:00"/>
    <d v="2025-08-02T00:00:00"/>
    <x v="3"/>
    <s v="BG22782"/>
    <d v="2025-08-05T00:00:00"/>
    <d v="1899-12-30T12:00:00"/>
    <x v="1"/>
    <s v="REFRILOGISTICA"/>
    <s v="MICRO AID X 25 KG"/>
    <n v="2475"/>
    <n v="99"/>
    <n v="219342000"/>
    <d v="2025-08-05T00:00:00"/>
    <d v="2025-08-05T00:00:00"/>
    <x v="0"/>
  </r>
  <r>
    <m/>
    <s v="4500350293"/>
    <d v="2025-07-03T00:00:00"/>
    <d v="1899-12-30T14:38:00"/>
    <d v="2025-08-02T00:00:00"/>
    <x v="4"/>
    <s v="BG22761"/>
    <d v="2025-07-04T00:00:00"/>
    <d v="1899-12-30T13:24:00"/>
    <x v="2"/>
    <s v="BUGA"/>
    <s v="SALINOMIX 12 X 25 KG"/>
    <n v="2000"/>
    <n v="80"/>
    <n v="20600000"/>
    <d v="2025-08-02T00:00:00"/>
    <d v="2025-08-02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ACCUREMAX X 25 GUATEMALA"/>
    <n v="4000"/>
    <n v="160"/>
    <s v="USD 390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HALQUINOX 500 GUATEMALA"/>
    <n v="4000"/>
    <n v="160"/>
    <s v="USD 642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DMB 110 X 25 KG GUATEMALA"/>
    <n v="2000"/>
    <n v="80"/>
    <s v="USD 8280"/>
    <d v="2025-08-04T00:00:00"/>
    <d v="2025-08-04T00:00:00"/>
    <x v="0"/>
  </r>
  <r>
    <m/>
    <s v="001-OSC-63087"/>
    <d v="2025-07-18T00:00:00"/>
    <d v="1899-12-30T14:01:00"/>
    <d v="2025-08-01T00:00:00"/>
    <x v="6"/>
    <s v="BG22722"/>
    <d v="2025-07-21T00:00:00"/>
    <d v="1899-12-30T11:20:00"/>
    <x v="4"/>
    <s v="BELLO"/>
    <s v="CLORTETRAX 20 % X 25 KG"/>
    <n v="2500"/>
    <n v="100"/>
    <n v="40750000"/>
    <d v="2025-08-01T00:00:00"/>
    <d v="2025-08-01T00:00:00"/>
    <x v="0"/>
  </r>
  <r>
    <m/>
    <n v="1220045"/>
    <d v="2025-07-22T00:00:00"/>
    <d v="1899-12-30T09:37:00"/>
    <d v="2025-08-01T00:00:00"/>
    <x v="7"/>
    <s v="BG22735"/>
    <d v="2025-07-22T00:00:00"/>
    <d v="1899-12-30T11:11:00"/>
    <x v="5"/>
    <s v="BUCARAMANGA"/>
    <s v="ACCUREMAX X 25 KG"/>
    <n v="25"/>
    <n v="1"/>
    <n v="1325000"/>
    <d v="2025-08-04T00:00:00"/>
    <d v="2025-08-01T00:00:00"/>
    <x v="2"/>
  </r>
  <r>
    <s v="CANCELADO"/>
    <s v="1220185 "/>
    <d v="2025-07-22T00:00:00"/>
    <d v="1899-12-30T10:52:00"/>
    <m/>
    <x v="8"/>
    <s v="CANCELADO"/>
    <d v="2025-07-22T00:00:00"/>
    <d v="1899-12-30T11:28:00"/>
    <x v="6"/>
    <s v="ENVIGADO"/>
    <s v="ACCUREMAX X 25 KG"/>
    <n v="1125"/>
    <n v="45"/>
    <n v="59625000"/>
    <d v="2025-08-06T00:00:00"/>
    <m/>
    <x v="0"/>
  </r>
  <r>
    <m/>
    <s v="4700008022"/>
    <d v="2025-07-22T00:00:00"/>
    <d v="1899-12-30T15:19:00"/>
    <d v="2025-08-05T00:00:00"/>
    <x v="9"/>
    <s v="BG22729"/>
    <d v="2025-07-23T00:00:00"/>
    <d v="1899-12-30T07:40:00"/>
    <x v="3"/>
    <s v="HONDURAS"/>
    <s v="HALQUINOX 500 HONDURAS"/>
    <n v="2000"/>
    <n v="80"/>
    <s v="USD 25340"/>
    <d v="2025-08-05T00:00:00"/>
    <d v="2025-08-05T00:00:00"/>
    <x v="0"/>
  </r>
  <r>
    <s v="TRANSPORTE "/>
    <s v="01-OC -00003820"/>
    <d v="2025-07-24T00:00:00"/>
    <d v="1899-12-30T08:15:00"/>
    <d v="2025-08-25T00:00:00"/>
    <x v="10"/>
    <s v="BG22950"/>
    <d v="2025-07-24T00:00:00"/>
    <d v="1899-12-30T12:30:00"/>
    <x v="7"/>
    <s v="NUTRITEC"/>
    <s v="DMB 11 X 25 KG"/>
    <n v="150"/>
    <n v="6"/>
    <n v="2910000"/>
    <d v="2025-08-22T00:00:00"/>
    <d v="2025-08-25T00:00:00"/>
    <x v="3"/>
  </r>
  <r>
    <m/>
    <n v="4500352023"/>
    <d v="2025-07-22T00:00:00"/>
    <d v="1899-12-30T17:10:00"/>
    <d v="2025-08-08T00:00:00"/>
    <x v="11"/>
    <s v="BG22764"/>
    <d v="2025-07-25T00:00:00"/>
    <d v="1899-12-30T12:42:00"/>
    <x v="2"/>
    <s v="BUGA"/>
    <s v="TILVASYN X 25 KG"/>
    <n v="150"/>
    <n v="6"/>
    <n v="27000000"/>
    <d v="2025-08-05T00:00:00"/>
    <d v="2025-08-08T00:00:00"/>
    <x v="3"/>
  </r>
  <r>
    <m/>
    <n v="4500352023"/>
    <d v="2025-07-22T00:00:00"/>
    <d v="1899-12-30T17:10:00"/>
    <d v="2025-08-21T00:00:00"/>
    <x v="12"/>
    <s v="BG22906"/>
    <d v="2025-07-25T00:00:00"/>
    <d v="1899-12-30T12:42:00"/>
    <x v="2"/>
    <s v="BUGA"/>
    <s v="TILVASYN X 25 KG"/>
    <n v="150"/>
    <n v="6"/>
    <n v="27000000"/>
    <d v="2025-08-19T00:00:00"/>
    <d v="2025-08-21T00:00:00"/>
    <x v="4"/>
  </r>
  <r>
    <m/>
    <s v="1222025"/>
    <d v="2025-07-24T00:00:00"/>
    <d v="1899-12-30T07:36:00"/>
    <d v="2025-08-02T00:00:00"/>
    <x v="13"/>
    <s v="BG22750"/>
    <d v="2025-07-25T00:00:00"/>
    <d v="1899-12-30T12:46:00"/>
    <x v="6"/>
    <s v="ENVIGADO"/>
    <s v="TILCOMIX PREMIX S X 5 KG"/>
    <n v="85"/>
    <n v="17"/>
    <s v="$11.245.500"/>
    <d v="2025-08-04T00:00:00"/>
    <d v="2025-08-02T00:00:00"/>
    <x v="5"/>
  </r>
  <r>
    <s v="INVENTARIO"/>
    <s v="1222025"/>
    <d v="2025-07-24T00:00:00"/>
    <d v="1899-12-30T07:36:00"/>
    <d v="2025-08-02T00:00:00"/>
    <x v="13"/>
    <s v="BG22873"/>
    <d v="2025-07-25T00:00:00"/>
    <d v="1899-12-30T12:46:00"/>
    <x v="6"/>
    <s v="ENVIGADO"/>
    <s v="TILCOMIX PREMIX S X 5 KG"/>
    <n v="65"/>
    <n v="13"/>
    <s v="$8.599.500"/>
    <d v="2025-08-04T00:00:00"/>
    <d v="2025-08-02T00:00:00"/>
    <x v="5"/>
  </r>
  <r>
    <m/>
    <s v="OC00001227BX"/>
    <d v="2025-07-24T00:00:00"/>
    <d v="1899-12-30T10:38:00"/>
    <d v="2025-08-04T00:00:00"/>
    <x v="14"/>
    <s v="BG22776"/>
    <d v="2025-07-25T00:00:00"/>
    <d v="1899-12-30T12:49:00"/>
    <x v="8"/>
    <s v="SABANETA"/>
    <s v="CLORTETRAX 20 % X 25 KG"/>
    <n v="500"/>
    <n v="20"/>
    <n v="8000000"/>
    <d v="2025-08-04T00:00:00"/>
    <d v="2025-08-04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CIPROFLOX X 1KG"/>
    <n v="10"/>
    <n v="10"/>
    <n v="568500"/>
    <d v="2025-07-25T00:00:00"/>
    <d v="2025-07-25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TILOMIX ORAL X 1 KG"/>
    <n v="10"/>
    <n v="10"/>
    <n v="2108000"/>
    <d v="2025-07-25T00:00:00"/>
    <d v="2025-07-25T00:00:00"/>
    <x v="0"/>
  </r>
  <r>
    <m/>
    <m/>
    <d v="2025-07-25T00:00:00"/>
    <d v="1899-12-30T13:00:00"/>
    <d v="2025-07-25T00:00:00"/>
    <x v="16"/>
    <s v="BG22766"/>
    <d v="2025-07-25T00:00:00"/>
    <d v="1899-12-30T14:08:00"/>
    <x v="9"/>
    <s v="BUCARAMANGA"/>
    <s v="SMOOTH SWEET X 75 GR"/>
    <n v="0.75"/>
    <n v="10"/>
    <n v="1"/>
    <d v="2025-07-25T00:00:00"/>
    <d v="2025-07-25T00:00:00"/>
    <x v="0"/>
  </r>
  <r>
    <m/>
    <s v="10351"/>
    <d v="2025-07-14T00:00:00"/>
    <d v="1899-12-30T09:28:00"/>
    <d v="2025-07-14T00:00:00"/>
    <x v="17"/>
    <s v="BG22778"/>
    <d v="2025-07-14T00:00:00"/>
    <d v="1899-12-30T12:43:00"/>
    <x v="10"/>
    <s v="LEBRIJA"/>
    <s v="ROFLOX X 20 X 1 L"/>
    <n v="79"/>
    <n v="79"/>
    <n v="3686061"/>
    <d v="2025-07-14T00:00:00"/>
    <d v="2025-07-14T00:00:00"/>
    <x v="0"/>
  </r>
  <r>
    <m/>
    <s v="10351"/>
    <d v="2025-07-14T00:00:00"/>
    <d v="1899-12-30T09:28:00"/>
    <d v="2025-07-15T00:00:00"/>
    <x v="18"/>
    <s v="BG22778"/>
    <d v="2025-07-14T00:00:00"/>
    <d v="1899-12-30T12:43:00"/>
    <x v="10"/>
    <s v="LEBRIJA"/>
    <s v="SMOOTH SWEET X 75 GR"/>
    <n v="5.9249999999999998"/>
    <n v="79"/>
    <n v="5.93"/>
    <d v="2025-07-14T00:00:00"/>
    <d v="2025-07-15T00:00:00"/>
    <x v="6"/>
  </r>
  <r>
    <m/>
    <s v="999-OCN-00018353"/>
    <d v="2025-07-23T00:00:00"/>
    <d v="1899-12-30T14:15:00"/>
    <d v="2025-07-25T00:00:00"/>
    <x v="19"/>
    <s v="BG22771"/>
    <d v="2025-07-24T00:00:00"/>
    <d v="1899-12-30T09:59:00"/>
    <x v="11"/>
    <s v="LEBRIJA"/>
    <s v="FRACTAL P X 25 KG"/>
    <n v="2000"/>
    <n v="80"/>
    <n v="51000000"/>
    <d v="2025-07-25T00:00:00"/>
    <d v="2025-07-25T00:00:00"/>
    <x v="0"/>
  </r>
  <r>
    <m/>
    <s v="4500352605"/>
    <d v="2025-07-28T00:00:00"/>
    <d v="1899-12-30T08:44:00"/>
    <d v="2025-08-16T00:00:00"/>
    <x v="20"/>
    <s v="BG22876"/>
    <d v="2025-07-28T00:00:00"/>
    <d v="1899-12-30T09:15:00"/>
    <x v="2"/>
    <s v="BUGA"/>
    <s v="LOTUS X 10 KG"/>
    <n v="120"/>
    <n v="12"/>
    <n v="4620000"/>
    <d v="2025-08-15T00:00:00"/>
    <d v="2025-08-16T00:00:00"/>
    <x v="6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CIGNUS X 20 KILOS"/>
    <n v="60"/>
    <n v="3"/>
    <n v="2520000"/>
    <d v="2025-08-08T00:00:00"/>
    <d v="2025-08-08T00:00:00"/>
    <x v="0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MONECYL X 25 KG"/>
    <n v="3000"/>
    <n v="120"/>
    <n v="61500000"/>
    <d v="2025-08-08T00:00:00"/>
    <d v="2025-08-08T00:00:00"/>
    <x v="0"/>
  </r>
  <r>
    <m/>
    <s v="OC00001314BX"/>
    <d v="2025-07-25T00:00:00"/>
    <d v="1899-12-30T14:39:00"/>
    <d v="2025-08-04T00:00:00"/>
    <x v="22"/>
    <s v="BG22777"/>
    <d v="2025-07-28T00:00:00"/>
    <d v="1899-12-30T11:23:00"/>
    <x v="8"/>
    <s v="SABANETA"/>
    <s v="DMB 11 X 25 KG"/>
    <n v="200"/>
    <n v="8"/>
    <n v="3900000"/>
    <d v="2025-08-04T00:00:00"/>
    <d v="2025-08-04T00:00:00"/>
    <x v="0"/>
  </r>
  <r>
    <s v="CANCELADO"/>
    <s v="009-OCC-00020178"/>
    <d v="2025-07-25T00:00:00"/>
    <d v="1899-12-30T16:06:00"/>
    <m/>
    <x v="23"/>
    <s v="CANCELADO"/>
    <m/>
    <m/>
    <x v="13"/>
    <s v="VILLAVICENCIO"/>
    <s v="ACCUREMAX 10 % X 25 KG"/>
    <n v="25"/>
    <n v="1"/>
    <n v="6300000"/>
    <d v="2025-08-04T00:00:00"/>
    <m/>
    <x v="0"/>
  </r>
  <r>
    <m/>
    <n v="1224133"/>
    <d v="2025-07-28T00:00:00"/>
    <d v="1899-12-30T09:31:00"/>
    <d v="2025-08-09T00:00:00"/>
    <x v="24"/>
    <s v="BG22736"/>
    <d v="2025-07-28T00:00:00"/>
    <d v="1899-12-30T11:59:00"/>
    <x v="5"/>
    <s v="BUCARAMANGA"/>
    <s v="ACCUREMAX X 25 KG"/>
    <n v="25"/>
    <n v="1"/>
    <n v="1325000"/>
    <d v="2025-08-08T00:00:00"/>
    <d v="2025-08-09T00:00:00"/>
    <x v="6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AMOXIN X 1 KG"/>
    <n v="100"/>
    <n v="4"/>
    <n v="1499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FRACTAL L X 20 KILOS"/>
    <n v="40"/>
    <n v="1.6"/>
    <n v="1554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CIPROFLOX X 5 KG"/>
    <n v="40"/>
    <n v="1.6"/>
    <n v="218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SMOOTH SWEET X 75 GR"/>
    <n v="0.6"/>
    <n v="2.4E-2"/>
    <n v="0.6"/>
    <d v="2025-07-29T00:00:00"/>
    <d v="2025-07-29T00:00:00"/>
    <x v="0"/>
  </r>
  <r>
    <m/>
    <s v="4500352603"/>
    <d v="2025-07-28T00:00:00"/>
    <d v="1899-12-30T10:14:00"/>
    <d v="2025-08-13T00:00:00"/>
    <x v="26"/>
    <s v="BG22875"/>
    <d v="2025-07-28T00:00:00"/>
    <d v="1899-12-30T12:20:00"/>
    <x v="2"/>
    <s v="BUGA"/>
    <s v="FRACTAL P X 25 KG"/>
    <n v="600"/>
    <n v="24"/>
    <n v="15300000"/>
    <d v="2025-08-20T00:00:00"/>
    <d v="2025-08-13T00:00:00"/>
    <x v="7"/>
  </r>
  <r>
    <m/>
    <s v="3081"/>
    <d v="2025-07-28T00:00:00"/>
    <d v="1899-12-30T10:31:00"/>
    <d v="2025-07-29T00:00:00"/>
    <x v="27"/>
    <s v="BG22805"/>
    <d v="2025-07-28T00:00:00"/>
    <d v="1899-12-30T12:38:00"/>
    <x v="15"/>
    <s v="PLANTA"/>
    <s v="TILVASYN X 25 KG"/>
    <n v="375"/>
    <n v="15"/>
    <n v="80625000"/>
    <d v="2025-07-29T00:00:00"/>
    <d v="2025-07-29T00:00:00"/>
    <x v="0"/>
  </r>
  <r>
    <m/>
    <s v="4500138735"/>
    <d v="2025-07-28T00:00:00"/>
    <d v="1899-12-30T12:30:00"/>
    <d v="2025-08-04T00:00:00"/>
    <x v="28"/>
    <s v="BG22723"/>
    <d v="2025-07-28T00:00:00"/>
    <d v="1899-12-30T14:41:00"/>
    <x v="16"/>
    <s v="CIENAGA"/>
    <s v="NEOCYN X 25 KG "/>
    <n v="100"/>
    <n v="4"/>
    <n v="7190000"/>
    <d v="2025-07-30T00:00:00"/>
    <d v="2025-08-04T00:00:00"/>
    <x v="8"/>
  </r>
  <r>
    <m/>
    <m/>
    <d v="2025-07-28T00:00:00"/>
    <d v="1899-12-30T20:44:00"/>
    <d v="2025-08-05T00:00:00"/>
    <x v="29"/>
    <s v="BG22724"/>
    <d v="2025-07-29T00:00:00"/>
    <d v="1899-12-30T09:01:00"/>
    <x v="17"/>
    <s v="ECUADOR"/>
    <s v="TILCOMIX PREMIX S X 5 KG"/>
    <n v="1000"/>
    <n v="40"/>
    <s v="USD 33000"/>
    <d v="2025-08-08T00:00:00"/>
    <d v="2025-08-05T00:00:00"/>
    <x v="2"/>
  </r>
  <r>
    <s v="CANCELADO"/>
    <m/>
    <d v="2025-07-28T00:00:00"/>
    <d v="1899-12-30T20:44:00"/>
    <m/>
    <x v="30"/>
    <s v="CANCELADO"/>
    <d v="2025-07-29T00:00:00"/>
    <d v="1899-12-30T09:01:00"/>
    <x v="17"/>
    <s v="ECUADOR"/>
    <s v="TILCOMIX PREMIX S X 5 KG"/>
    <n v="1000"/>
    <n v="40"/>
    <s v="USD 33000"/>
    <d v="2025-08-15T00:00:00"/>
    <m/>
    <x v="0"/>
  </r>
  <r>
    <m/>
    <m/>
    <d v="2025-07-28T00:00:00"/>
    <d v="1899-12-30T15:34:00"/>
    <d v="2025-08-01T00:00:00"/>
    <x v="31"/>
    <s v="BG22773"/>
    <d v="2025-07-29T00:00:00"/>
    <d v="1899-12-30T11:54:00"/>
    <x v="18"/>
    <s v="PALMIRA"/>
    <s v="DQCICLIN X 1 KG"/>
    <n v="30"/>
    <n v="30"/>
    <n v="8850000"/>
    <d v="2025-07-30T00:00:00"/>
    <d v="2025-08-01T00:00:00"/>
    <x v="4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DINAMIX PREMIX X 25 KG"/>
    <n v="100"/>
    <n v="4"/>
    <n v="2173000"/>
    <d v="2025-08-01T00:00:00"/>
    <d v="2025-08-01T00:00:00"/>
    <x v="0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ACCUREMAX X 25 KG"/>
    <n v="225"/>
    <n v="9"/>
    <n v="11925000"/>
    <d v="2025-08-01T00:00:00"/>
    <d v="2025-08-01T00:00:00"/>
    <x v="0"/>
  </r>
  <r>
    <m/>
    <s v="BR-OCN-00000476"/>
    <d v="2025-07-28T00:00:00"/>
    <d v="1899-12-30T16:45:00"/>
    <d v="2025-08-02T00:00:00"/>
    <x v="33"/>
    <s v="BG22772"/>
    <d v="2025-07-29T00:00:00"/>
    <d v="1899-12-30T12:09:00"/>
    <x v="11"/>
    <s v="BRUJAL"/>
    <s v="CIPROFLOX X 5 KG"/>
    <n v="200"/>
    <n v="8"/>
    <n v="12348000"/>
    <d v="2025-08-01T00:00:00"/>
    <d v="2025-08-02T00:00:00"/>
    <x v="6"/>
  </r>
  <r>
    <m/>
    <n v="1225044"/>
    <d v="2025-07-28T00:00:00"/>
    <d v="1899-12-30T16:53:00"/>
    <d v="2025-08-02T00:00:00"/>
    <x v="34"/>
    <s v="BG22738"/>
    <d v="2025-07-29T00:00:00"/>
    <d v="1899-12-30T12:23:00"/>
    <x v="5"/>
    <s v="MOSQUERA"/>
    <s v="FENIFLOR PREMIX X 25 KG"/>
    <n v="100"/>
    <n v="4"/>
    <n v="5292000"/>
    <d v="2025-08-04T00:00:00"/>
    <d v="2025-08-02T00:00:00"/>
    <x v="5"/>
  </r>
  <r>
    <m/>
    <s v="1225044"/>
    <d v="2025-07-28T00:00:00"/>
    <d v="1899-12-30T16:53:00"/>
    <d v="2025-08-02T00:00:00"/>
    <x v="34"/>
    <s v="BG22738"/>
    <d v="2025-07-29T00:00:00"/>
    <d v="1899-12-30T12:23:00"/>
    <x v="5"/>
    <s v="MOSQUERA"/>
    <s v="ACCUREMAX X 25 KG"/>
    <n v="100"/>
    <n v="4"/>
    <n v="5300000"/>
    <d v="2025-08-04T00:00:00"/>
    <d v="2025-08-02T00:00:00"/>
    <x v="5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LORTETRAX 20 % X 25 KG"/>
    <n v="25"/>
    <n v="1"/>
    <n v="507500"/>
    <d v="2025-08-04T00:00:00"/>
    <d v="2025-08-01T00:00:00"/>
    <x v="2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IGNUS X 20 KILOS"/>
    <n v="200"/>
    <n v="10"/>
    <n v="8800000"/>
    <d v="2025-08-04T00:00:00"/>
    <d v="2025-08-01T00:00:00"/>
    <x v="2"/>
  </r>
  <r>
    <m/>
    <s v="103-occ-36158"/>
    <d v="2025-07-29T00:00:00"/>
    <d v="1899-12-30T10:56:00"/>
    <d v="2025-07-31T00:00:00"/>
    <x v="36"/>
    <s v="BG22732"/>
    <d v="2025-07-29T00:00:00"/>
    <d v="1899-12-30T12:41:00"/>
    <x v="13"/>
    <s v="GIRARDOTA"/>
    <s v="FRACTAL P X 25 KG"/>
    <n v="75"/>
    <n v="3"/>
    <n v="1912500"/>
    <d v="2025-07-30T00:00:00"/>
    <d v="2025-07-31T00:00:00"/>
    <x v="6"/>
  </r>
  <r>
    <m/>
    <s v="3110"/>
    <d v="2025-07-29T00:00:00"/>
    <d v="1899-12-30T11:18:00"/>
    <d v="2025-08-01T00:00:00"/>
    <x v="37"/>
    <s v="BG22806"/>
    <d v="2025-07-29T00:00:00"/>
    <d v="1899-12-30T14:13:00"/>
    <x v="15"/>
    <s v="PLANTA"/>
    <s v="DMB 11 X 25 KG"/>
    <n v="25"/>
    <n v="1"/>
    <n v="500000"/>
    <d v="2025-07-30T00:00:00"/>
    <d v="2025-08-01T00:00:00"/>
    <x v="4"/>
  </r>
  <r>
    <m/>
    <s v="4500150931"/>
    <d v="2025-07-29T00:00:00"/>
    <d v="1899-12-30T11:15:00"/>
    <d v="2025-08-05T00:00:00"/>
    <x v="38"/>
    <s v="BG22807"/>
    <d v="2025-07-29T00:00:00"/>
    <d v="1899-12-30T14:19:00"/>
    <x v="20"/>
    <s v="PUERTO LOPEZ"/>
    <s v="TILCOMIX PREMIX S X 5 KG"/>
    <n v="80"/>
    <n v="16"/>
    <n v="10584000"/>
    <d v="2025-07-30T00:00:00"/>
    <d v="2025-08-05T00:00:00"/>
    <x v="9"/>
  </r>
  <r>
    <m/>
    <s v="1225950 "/>
    <d v="2025-07-29T00:00:00"/>
    <d v="1899-12-30T15:44:00"/>
    <d v="2025-08-06T00:00:00"/>
    <x v="39"/>
    <s v="BG22751"/>
    <d v="2025-07-30T00:00:00"/>
    <d v="1899-12-30T09:45:00"/>
    <x v="6"/>
    <s v="CARTAGO"/>
    <s v="ACCUREMAX X 25 KG"/>
    <n v="150"/>
    <n v="6"/>
    <n v="7950000"/>
    <d v="2025-08-08T00:00:00"/>
    <d v="2025-08-06T00:00:00"/>
    <x v="5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LOTUS X 10 KG"/>
    <n v="100"/>
    <n v="4"/>
    <n v="3850000"/>
    <d v="2025-08-05T00:00:00"/>
    <d v="2025-08-05T00:00:00"/>
    <x v="0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CLORTETRAX 20 % X 25 KG"/>
    <n v="2500"/>
    <n v="100"/>
    <n v="40750000"/>
    <d v="2025-08-05T00:00:00"/>
    <d v="2025-08-05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FRACTAL P X 25 KG"/>
    <n v="100"/>
    <n v="4"/>
    <n v="2550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DQCICLIN X 1 KG"/>
    <n v="20"/>
    <n v="20"/>
    <n v="4935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TILOMIIX 250 PREMIX X 25 KG"/>
    <n v="25"/>
    <n v="1"/>
    <n v="1750000"/>
    <d v="2025-07-31T00:00:00"/>
    <d v="2025-07-31T00:00:00"/>
    <x v="0"/>
  </r>
  <r>
    <m/>
    <s v="392-25"/>
    <d v="2025-07-30T00:00:00"/>
    <d v="1899-12-30T09:13:00"/>
    <d v="2025-07-31T00:00:00"/>
    <x v="42"/>
    <s v="BG22755"/>
    <d v="2025-07-30T00:00:00"/>
    <d v="1899-12-30T11:11:00"/>
    <x v="22"/>
    <s v="MEDELLIN"/>
    <s v="CLORTETRAX 20 % X 25 KG"/>
    <n v="250"/>
    <n v="10"/>
    <n v="4400000"/>
    <d v="2025-07-31T00:00:00"/>
    <d v="2025-07-31T00:00:00"/>
    <x v="0"/>
  </r>
  <r>
    <m/>
    <s v="4500352806"/>
    <d v="2025-07-29T00:00:00"/>
    <d v="1899-12-30T17:01:00"/>
    <d v="2025-08-08T00:00:00"/>
    <x v="43"/>
    <s v="BG22809"/>
    <d v="2025-07-30T00:00:00"/>
    <d v="1899-12-30T12:02:00"/>
    <x v="2"/>
    <s v="BUGA"/>
    <s v="CLORTETRAX 20 % X 25 KG"/>
    <n v="8500"/>
    <n v="340"/>
    <n v="133450000"/>
    <d v="2025-08-08T00:00:00"/>
    <d v="2025-08-08T00:00:00"/>
    <x v="0"/>
  </r>
  <r>
    <m/>
    <s v="AG-0031-25"/>
    <d v="2025-07-29T00:00:00"/>
    <d v="1899-12-30T17:57:00"/>
    <d v="2025-08-06T00:00:00"/>
    <x v="44"/>
    <s v="BG22789"/>
    <d v="2025-07-30T00:00:00"/>
    <d v="1899-12-30T12:18:00"/>
    <x v="23"/>
    <s v="PLANTA"/>
    <s v="CLORTETRAX 20 % X 25 KG"/>
    <n v="500"/>
    <n v="20"/>
    <n v="8100000"/>
    <d v="2025-08-07T00:00:00"/>
    <d v="2025-08-06T00:00:00"/>
    <x v="10"/>
  </r>
  <r>
    <m/>
    <s v="4500352919"/>
    <d v="2025-07-30T00:00:00"/>
    <d v="1899-12-30T09:24:00"/>
    <s v="8 DE AGOSTO"/>
    <x v="45"/>
    <s v="BG22762"/>
    <d v="2025-07-30T00:00:00"/>
    <d v="1899-12-30T12:24:00"/>
    <x v="2"/>
    <s v="BUGA"/>
    <s v="LOTUS X 10 KG"/>
    <n v="500"/>
    <n v="20"/>
    <n v="19250000"/>
    <d v="2025-07-31T00:00:00"/>
    <d v="2025-08-08T00:00:00"/>
    <x v="11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CIPROFLOX X 5 KG"/>
    <n v="10"/>
    <n v="2"/>
    <n v="520000"/>
    <d v="2025-07-31T00:00:00"/>
    <d v="2025-08-01T00:00:00"/>
    <x v="6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SMOOTH SWEET X 75 GR"/>
    <n v="0.75"/>
    <n v="10"/>
    <n v="1"/>
    <d v="2025-07-31T00:00:00"/>
    <d v="2025-08-01T00:00:00"/>
    <x v="6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HALQUINOX 800 X 25 KG"/>
    <n v="75"/>
    <n v="3"/>
    <n v="8025000"/>
    <d v="2025-07-31T00:00:00"/>
    <d v="2025-07-31T00:00:00"/>
    <x v="0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DINAMIX 800 X 25 KILOS"/>
    <n v="75"/>
    <n v="3"/>
    <n v="12300000"/>
    <d v="2025-07-31T00:00:00"/>
    <d v="2025-07-31T00:00:00"/>
    <x v="0"/>
  </r>
  <r>
    <m/>
    <m/>
    <d v="2025-07-30T00:00:00"/>
    <d v="1899-12-30T10:03:00"/>
    <d v="2025-07-31T00:00:00"/>
    <x v="48"/>
    <s v="BG22801"/>
    <d v="2025-07-30T00:00:00"/>
    <d v="1899-12-30T14:42:00"/>
    <x v="26"/>
    <s v="BODEGA DE BUCARAMANGA"/>
    <s v="ACCUREMAX 10 % X 25 KG"/>
    <n v="300"/>
    <n v="12"/>
    <n v="71100000"/>
    <d v="2025-07-31T00:00:00"/>
    <d v="2025-07-31T00:00:00"/>
    <x v="0"/>
  </r>
  <r>
    <m/>
    <m/>
    <d v="2025-07-31T00:00:00"/>
    <d v="1899-12-30T07:38:00"/>
    <d v="2025-07-31T00:00:00"/>
    <x v="49"/>
    <s v="BG22767"/>
    <d v="2025-07-31T00:00:00"/>
    <d v="1899-12-30T09:05:00"/>
    <x v="9"/>
    <s v="BUCARAMANGA"/>
    <s v="DQCICLIN X 1 KG"/>
    <n v="1"/>
    <n v="1"/>
    <n v="260000"/>
    <d v="2025-07-31T00:00:00"/>
    <d v="2025-07-31T00:00:00"/>
    <x v="0"/>
  </r>
  <r>
    <m/>
    <s v="4500352974"/>
    <d v="2025-07-30T00:00:00"/>
    <d v="1899-12-30T16:51:00"/>
    <d v="2025-08-04T00:00:00"/>
    <x v="50"/>
    <s v="BG22763"/>
    <d v="2025-07-31T00:00:00"/>
    <d v="1899-12-30T10:06:00"/>
    <x v="2"/>
    <s v="BELLO"/>
    <s v="FRACTAL P X 25 KG"/>
    <n v="200"/>
    <n v="8"/>
    <n v="5100000"/>
    <d v="2025-08-01T00:00:00"/>
    <d v="2025-08-04T00:00:00"/>
    <x v="3"/>
  </r>
  <r>
    <m/>
    <s v="A02-COC-277917"/>
    <d v="2025-07-30T00:00:00"/>
    <d v="1899-12-30T11:50:00"/>
    <d v="2025-08-06T00:00:00"/>
    <x v="51"/>
    <s v="BG22798"/>
    <d v="2025-07-31T00:00:00"/>
    <d v="1899-12-30T10:09:00"/>
    <x v="12"/>
    <s v="ITAGUI"/>
    <s v="CLORTETRAX 20 % X 25 KG"/>
    <n v="500"/>
    <n v="20"/>
    <n v="8000000"/>
    <d v="2025-08-06T00:00:00"/>
    <d v="2025-08-06T00:00:00"/>
    <x v="0"/>
  </r>
  <r>
    <m/>
    <s v="1227258"/>
    <d v="2025-07-30T00:00:00"/>
    <d v="1899-12-30T17:35:00"/>
    <d v="2025-08-01T00:00:00"/>
    <x v="52"/>
    <s v="BG22752"/>
    <d v="2025-07-31T00:00:00"/>
    <d v="1899-12-30T10:16:00"/>
    <x v="6"/>
    <s v="BARBOSA- ANTIOQUIA"/>
    <s v="CIGNUS X 20 KILOS"/>
    <n v="300"/>
    <n v="12"/>
    <n v="10500000"/>
    <d v="2025-08-04T00:00:00"/>
    <d v="2025-08-01T00:00:00"/>
    <x v="2"/>
  </r>
  <r>
    <s v="INVENTARIO"/>
    <s v="1227258"/>
    <d v="2025-07-30T00:00:00"/>
    <d v="1899-12-30T17:35:00"/>
    <d v="2025-08-01T00:00:00"/>
    <x v="52"/>
    <s v="BG22887"/>
    <d v="2025-07-31T00:00:00"/>
    <d v="1899-12-30T10:16:00"/>
    <x v="6"/>
    <s v="BARBOSA- ANTIOQUIA"/>
    <s v="CIGNUS X 20 KILOS"/>
    <n v="200"/>
    <n v="8"/>
    <n v="7000000"/>
    <d v="2025-08-04T00:00:00"/>
    <d v="2025-08-01T00:00:00"/>
    <x v="2"/>
  </r>
  <r>
    <m/>
    <s v="006-OC-027791"/>
    <d v="2025-08-31T00:00:00"/>
    <d v="1899-12-30T08:17:00"/>
    <d v="2025-08-01T00:00:00"/>
    <x v="53"/>
    <s v="BG22756"/>
    <d v="2025-07-31T00:00:00"/>
    <d v="1899-12-30T10:29:00"/>
    <x v="27"/>
    <s v="ITALCOL IBAGUE"/>
    <s v="LOTUS X 10 KG"/>
    <n v="120"/>
    <n v="12"/>
    <n v="4620000"/>
    <d v="2025-08-01T00:00:00"/>
    <d v="2025-08-01T00:00:00"/>
    <x v="0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FRACTAL P X 25 KG"/>
    <n v="1200"/>
    <n v="48"/>
    <n v="30600000"/>
    <d v="2025-08-15T00:00:00"/>
    <d v="2025-08-16T00:00:00"/>
    <x v="6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LOTUS X 10 KG"/>
    <n v="500"/>
    <n v="20"/>
    <n v="19250000"/>
    <d v="2025-08-15T00:00:00"/>
    <d v="2025-08-16T00:00:00"/>
    <x v="6"/>
  </r>
  <r>
    <m/>
    <s v="4500352919"/>
    <d v="2025-07-30T00:00:00"/>
    <d v="1899-12-30T09:24:00"/>
    <d v="2025-08-13T00:00:00"/>
    <x v="55"/>
    <s v="BG22870"/>
    <d v="2025-07-31T00:00:00"/>
    <d v="1899-12-30T10:35:00"/>
    <x v="2"/>
    <s v="BUGA"/>
    <s v="FRACTAL P X 25 KG"/>
    <n v="800"/>
    <n v="32"/>
    <n v="20400000"/>
    <d v="2025-08-29T00:00:00"/>
    <d v="2025-08-13T00:00:00"/>
    <x v="12"/>
  </r>
  <r>
    <m/>
    <s v="1227623"/>
    <d v="2025-07-31T00:00:00"/>
    <d v="1899-12-30T09:36:00"/>
    <d v="2025-08-05T00:00:00"/>
    <x v="56"/>
    <s v="BG22739"/>
    <d v="2025-07-31T00:00:00"/>
    <d v="1899-12-30T11:27:00"/>
    <x v="5"/>
    <s v="BUCARAMANGA"/>
    <s v="DINAMIX PREMIX X 25 KG"/>
    <n v="275"/>
    <n v="11"/>
    <n v="5975750"/>
    <d v="2025-08-06T00:00:00"/>
    <d v="2025-08-05T00:00:00"/>
    <x v="10"/>
  </r>
  <r>
    <m/>
    <s v="1227623"/>
    <d v="2025-07-31T00:00:00"/>
    <d v="1899-12-30T09:36:00"/>
    <d v="2025-08-14T00:00:00"/>
    <x v="57"/>
    <s v="BG22891"/>
    <d v="2025-07-31T00:00:00"/>
    <d v="1899-12-30T11:27:00"/>
    <x v="5"/>
    <s v="BUCARAMANGA"/>
    <s v="ACCUREMAX X 25 KG"/>
    <n v="25"/>
    <n v="1"/>
    <n v="1325000"/>
    <d v="2025-08-15T00:00:00"/>
    <d v="2025-08-14T00:00:00"/>
    <x v="1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AMOXIN X 1 KG"/>
    <n v="5"/>
    <n v="5"/>
    <n v="800000"/>
    <d v="2025-08-01T00:00:00"/>
    <d v="2025-08-01T00:00:00"/>
    <x v="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FOSMYCINA 90 X 500 GR"/>
    <n v="5"/>
    <n v="10"/>
    <n v="2650000"/>
    <d v="2025-08-01T00:00:00"/>
    <d v="2025-08-01T00:00:00"/>
    <x v="0"/>
  </r>
  <r>
    <m/>
    <s v="3016-0905"/>
    <d v="2025-07-31T00:00:00"/>
    <d v="1899-12-30T10:44:00"/>
    <d v="2025-08-01T00:00:00"/>
    <x v="59"/>
    <s v="BG22812"/>
    <d v="2025-07-31T00:00:00"/>
    <d v="1899-12-30T11:52:00"/>
    <x v="29"/>
    <s v="BOGOTA"/>
    <s v="ACCUREMAX 10 % X 25 KG"/>
    <n v="25"/>
    <n v="1"/>
    <n v="6000000"/>
    <d v="2025-08-01T00:00:00"/>
    <d v="2025-08-01T00:00:00"/>
    <x v="0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CLORTETRAX 20 % X 25 KG"/>
    <n v="300"/>
    <n v="12"/>
    <n v="471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LOTUS X 10 KG"/>
    <n v="380"/>
    <n v="15.2"/>
    <n v="133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FRACTAL P X 25 KG"/>
    <n v="400"/>
    <n v="16"/>
    <n v="10200000"/>
    <d v="2025-08-04T00:00:00"/>
    <d v="2025-08-02T00:00:00"/>
    <x v="5"/>
  </r>
  <r>
    <m/>
    <m/>
    <d v="2025-07-29T00:00:00"/>
    <d v="1899-12-30T13:05:00"/>
    <d v="2025-07-30T00:00:00"/>
    <x v="61"/>
    <s v="BG22774"/>
    <d v="2025-07-30T00:00:00"/>
    <d v="1899-12-30T11:03:00"/>
    <x v="31"/>
    <s v="RECOGER EN BODGA"/>
    <s v="CLORTETRAX 20 % X 25 KG"/>
    <n v="125"/>
    <n v="5"/>
    <n v="1975000"/>
    <d v="2025-07-30T00:00:00"/>
    <d v="2025-07-30T00:00:00"/>
    <x v="0"/>
  </r>
  <r>
    <m/>
    <m/>
    <d v="2025-07-29T00:00:00"/>
    <d v="1899-12-30T13:05:00"/>
    <d v="2025-07-30T00:00:00"/>
    <x v="62"/>
    <s v="BG22775"/>
    <d v="2025-07-29T00:00:00"/>
    <d v="1899-12-30T14:27:00"/>
    <x v="31"/>
    <s v="RECOGER EN BODGA"/>
    <s v="CLORTETRAX 20 % X 25 KG"/>
    <n v="600"/>
    <n v="24"/>
    <n v="13430000"/>
    <d v="2025-07-30T00:00:00"/>
    <d v="2025-07-30T00:00:00"/>
    <x v="0"/>
  </r>
  <r>
    <m/>
    <s v="020-OC-003397"/>
    <d v="2025-08-31T00:00:00"/>
    <d v="1899-12-30T08:17:00"/>
    <d v="2025-08-01T00:00:00"/>
    <x v="63"/>
    <s v="BG22757"/>
    <d v="2025-07-31T00:00:00"/>
    <d v="1899-12-30T12:40:00"/>
    <x v="27"/>
    <s v="ITALCOL IBAGUE"/>
    <s v="LOTUS X 10 KG"/>
    <n v="80"/>
    <n v="8"/>
    <n v="3080000"/>
    <d v="2025-08-01T00:00:00"/>
    <d v="2025-08-01T00:00:00"/>
    <x v="0"/>
  </r>
  <r>
    <m/>
    <s v="006-OC-027798"/>
    <d v="2025-08-31T00:00:00"/>
    <d v="1899-12-30T14:01:00"/>
    <d v="2025-08-01T00:00:00"/>
    <x v="64"/>
    <s v="BG22758"/>
    <d v="2025-07-31T00:00:00"/>
    <d v="1899-12-30T14:11:00"/>
    <x v="27"/>
    <s v="GIRARDOT"/>
    <s v="FRACTAL L X 20 KILOS"/>
    <n v="20"/>
    <n v="0.8"/>
    <n v="777000"/>
    <d v="2025-08-01T00:00:00"/>
    <d v="2025-08-01T00:00:00"/>
    <x v="0"/>
  </r>
  <r>
    <m/>
    <s v="P-1266"/>
    <d v="2025-08-31T00:00:00"/>
    <d v="1899-12-30T13:53:00"/>
    <d v="2025-08-01T00:00:00"/>
    <x v="65"/>
    <s v="BG22781"/>
    <d v="2025-07-31T00:00:00"/>
    <d v="1899-12-30T14:17:00"/>
    <x v="32"/>
    <s v="CALI"/>
    <s v="FRACTAL L X 20 KILOS"/>
    <n v="120"/>
    <n v="6"/>
    <n v="4620000"/>
    <d v="2025-08-01T00:00:00"/>
    <d v="2025-08-01T00:00:00"/>
    <x v="0"/>
  </r>
  <r>
    <m/>
    <s v="001-OC -00047080"/>
    <d v="2025-08-31T00:00:00"/>
    <d v="1899-12-30T14:00:00"/>
    <d v="2025-08-05T00:00:00"/>
    <x v="66"/>
    <s v="BG22813"/>
    <d v="2025-07-31T00:00:00"/>
    <d v="1899-12-30T14:18:00"/>
    <x v="33"/>
    <s v="EL LIMON"/>
    <s v="ROFLOX X 20 X 1 L"/>
    <n v="200"/>
    <n v="200"/>
    <n v="9331800"/>
    <d v="2025-08-01T00:00:00"/>
    <d v="2025-08-05T00:00:00"/>
    <x v="13"/>
  </r>
  <r>
    <m/>
    <m/>
    <d v="2025-08-01T00:00:00"/>
    <d v="1899-12-30T08:06:00"/>
    <d v="2025-08-02T00:00:00"/>
    <x v="67"/>
    <s v="BG22790"/>
    <d v="2025-08-01T00:00:00"/>
    <d v="1899-12-30T08:44:00"/>
    <x v="30"/>
    <s v="GIRARDOTA"/>
    <s v="TILVASYN X 25 KG"/>
    <n v="100"/>
    <n v="4"/>
    <n v="19520000"/>
    <d v="2025-08-02T00:00:00"/>
    <d v="2025-08-02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TILCOMIX ORAL X 1 LITRO"/>
    <n v="20"/>
    <n v="20"/>
    <n v="40446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SMOOTH SWEET X 75 GR"/>
    <n v="1.5"/>
    <n v="20"/>
    <n v="1.5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AMOXIN X 1 KG"/>
    <n v="20"/>
    <n v="20"/>
    <n v="30000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FENIFLOR ORAL X 500 GR"/>
    <n v="5"/>
    <n v="10"/>
    <n v="525000"/>
    <d v="2025-08-04T00:00:00"/>
    <d v="2025-08-04T00:00:00"/>
    <x v="0"/>
  </r>
  <r>
    <m/>
    <s v="OC 023"/>
    <d v="2025-07-31T00:00:00"/>
    <d v="1899-12-30T09:37:00"/>
    <d v="2025-08-04T00:00:00"/>
    <x v="69"/>
    <s v="BG22727"/>
    <d v="2025-08-01T00:00:00"/>
    <d v="1899-12-30T11:01:00"/>
    <x v="35"/>
    <s v="RECOGE EN BODEGA DE MEDELLIN"/>
    <s v="TILOMIIX 250 PREMIX X 25 KG"/>
    <n v="125"/>
    <n v="5"/>
    <n v="9375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AMOXIN X 1 KG"/>
    <n v="4"/>
    <n v="4"/>
    <n v="14031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CIPROFLOX X 1KG"/>
    <n v="4"/>
    <n v="4"/>
    <n v="234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SMOOTH SWEET X 75 GR"/>
    <n v="4"/>
    <n v="4"/>
    <n v="1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TRIMBAC X 5 KG"/>
    <n v="10"/>
    <n v="2"/>
    <n v="1600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FENIFLOR ORAL X 500 GR"/>
    <n v="4"/>
    <n v="8"/>
    <n v="408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NORFLOX X 1 KG"/>
    <n v="3"/>
    <n v="3"/>
    <n v="195000"/>
    <d v="2025-08-04T00:00:00"/>
    <d v="2025-08-04T00:00:00"/>
    <x v="0"/>
  </r>
  <r>
    <m/>
    <m/>
    <d v="2025-08-01T00:00:00"/>
    <d v="1899-12-30T09:06:00"/>
    <d v="2025-08-05T00:00:00"/>
    <x v="71"/>
    <s v="BG22726"/>
    <d v="2025-08-01T00:00:00"/>
    <d v="1899-12-30T11:38:00"/>
    <x v="36"/>
    <s v="ENTRERIOS"/>
    <s v="CLORTETRAX 20 % X 25 KG"/>
    <n v="150"/>
    <n v="6"/>
    <n v="2400000"/>
    <d v="2025-08-04T00:00:00"/>
    <d v="2025-08-05T00:00:00"/>
    <x v="6"/>
  </r>
  <r>
    <m/>
    <s v="COC-00000105"/>
    <d v="2025-08-01T00:00:00"/>
    <d v="1899-12-30T08:28:00"/>
    <d v="2025-08-04T00:00:00"/>
    <x v="72"/>
    <s v="BG22725"/>
    <d v="2025-08-01T00:00:00"/>
    <d v="1899-12-30T11:41:00"/>
    <x v="37"/>
    <s v="DON MATIAS"/>
    <s v="CLORTETRAX 20 % X 25 KG"/>
    <n v="350"/>
    <n v="14"/>
    <n v="5670000"/>
    <d v="2025-08-04T00:00:00"/>
    <d v="2025-08-04T00:00:00"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HALQUINOX 800 X 25 KG"/>
    <n v="400"/>
    <n v="16"/>
    <n v="41000000"/>
    <d v="2025-08-05T00:00:00"/>
    <d v="2025-08-05T00:00:00"/>
    <x v="0"/>
  </r>
  <r>
    <s v="ASC"/>
    <s v="001-SC-015321"/>
    <d v="2025-08-01T00:00:00"/>
    <d v="1899-12-30T11:38:00"/>
    <d v="2025-08-12T00:00:00"/>
    <x v="73"/>
    <s v="BG22874"/>
    <d v="2025-08-01T00:00:00"/>
    <d v="1899-12-30T12:59:00"/>
    <x v="38"/>
    <s v="YUMBO"/>
    <s v="CLORTETRAX 20 % X 25 KG"/>
    <n v="400"/>
    <n v="16"/>
    <n v="6400000"/>
    <d v="2025-08-05T00:00:00"/>
    <d v="2025-08-12T00:00:00"/>
    <x v="14"/>
  </r>
  <r>
    <s v="CANCELADO"/>
    <s v="001-SC-015321"/>
    <d v="2025-08-01T00:00:00"/>
    <d v="1899-12-30T11:38:00"/>
    <m/>
    <x v="73"/>
    <s v="-"/>
    <d v="2025-08-01T00:00:00"/>
    <d v="1899-12-30T12:59:00"/>
    <x v="38"/>
    <s v="YUMBO"/>
    <s v="CLORTETRAX 20 % X 25 KG"/>
    <n v="200"/>
    <n v="8"/>
    <n v="3200000"/>
    <d v="2025-08-05T00:00:00"/>
    <m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FENIFLOR PREMIX X 25 KG"/>
    <n v="25"/>
    <n v="1"/>
    <n v="1700000"/>
    <d v="2025-08-05T00:00:00"/>
    <d v="2025-08-05T00:00:00"/>
    <x v="0"/>
  </r>
  <r>
    <m/>
    <s v="MPN - 5,274"/>
    <d v="2025-08-01T00:00:00"/>
    <d v="1899-12-30T14:13:00"/>
    <d v="2025-08-05T00:00:00"/>
    <x v="74"/>
    <s v="BG22795 - BG22796"/>
    <d v="2025-08-01T00:00:00"/>
    <d v="1899-12-30T17:10:00"/>
    <x v="39"/>
    <s v="NUTREXCOL"/>
    <s v="CLORTETRAX 20 % X 25 KG"/>
    <n v="100"/>
    <n v="4"/>
    <n v="1600000"/>
    <d v="2025-08-05T00:00:00"/>
    <d v="2025-08-05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FENIFLOR ORAL X 500 GR"/>
    <n v="3.5"/>
    <n v="7"/>
    <n v="358750"/>
    <d v="2025-08-04T00:00:00"/>
    <d v="2025-08-04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NORFLOX X 1 KG"/>
    <n v="10"/>
    <n v="10"/>
    <n v="545000"/>
    <d v="2025-08-04T00:00:00"/>
    <d v="2025-08-04T00:00:00"/>
    <x v="0"/>
  </r>
  <r>
    <m/>
    <s v="1228256"/>
    <d v="2025-08-31T00:00:00"/>
    <d v="1899-12-30T18:21:00"/>
    <d v="2025-08-13T00:00:00"/>
    <x v="76"/>
    <s v="BG22753"/>
    <d v="2025-08-01T00:00:00"/>
    <d v="1899-12-30T15:51:00"/>
    <x v="6"/>
    <s v="RIVERA"/>
    <s v="ACCUREMAX X 25 KG"/>
    <n v="250"/>
    <n v="10"/>
    <n v="13250000"/>
    <d v="2025-08-06T00:00:00"/>
    <d v="2025-08-13T00:00:00"/>
    <x v="14"/>
  </r>
  <r>
    <m/>
    <s v="1228317 "/>
    <d v="2025-08-31T00:00:00"/>
    <d v="1899-12-30T20:47:00"/>
    <d v="2025-08-08T00:00:00"/>
    <x v="77"/>
    <s v="BG22740"/>
    <d v="2025-08-01T00:00:00"/>
    <d v="1899-12-30T15:53:00"/>
    <x v="5"/>
    <s v="BUCARAMANGA"/>
    <s v="FRACTAL P X 25 KG"/>
    <n v="4000"/>
    <n v="160"/>
    <n v="96000000"/>
    <d v="2025-08-07T00:00:00"/>
    <d v="2025-08-08T00:00:00"/>
    <x v="6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RACTAL P X 25 KG"/>
    <n v="2500"/>
    <n v="100"/>
    <n v="600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ENIFLOR PREMIX X 25 KG"/>
    <n v="500"/>
    <n v="20"/>
    <n v="2646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PROFLOX X 5 KG"/>
    <n v="400"/>
    <n v="16"/>
    <n v="186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MOOTH SWEET X 5 KG"/>
    <n v="30"/>
    <n v="1.2"/>
    <n v="3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MANAX X 25 KG"/>
    <n v="400"/>
    <n v="16"/>
    <n v="57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GNUS X 20 KILOS"/>
    <n v="100"/>
    <n v="4"/>
    <n v="345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"/>
    <n v="16"/>
    <n v="6216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AGAH X 25 KILOS"/>
    <n v="500"/>
    <n v="20"/>
    <n v="151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0"/>
    <n v="160"/>
    <n v="4264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DMB 11 X 25 KG"/>
    <n v="500"/>
    <n v="20"/>
    <n v="88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AVINOVA X 25 KG"/>
    <n v="25"/>
    <n v="1"/>
    <n v="467500"/>
    <d v="2025-08-05T00:00:00"/>
    <d v="2025-08-05T00:00:00"/>
    <x v="0"/>
  </r>
  <r>
    <m/>
    <s v="4500081757"/>
    <d v="2025-08-01T00:00:00"/>
    <d v="1899-12-30T08:50:00"/>
    <d v="2025-08-08T00:00:00"/>
    <x v="79"/>
    <s v="BG22815"/>
    <d v="2025-08-01T00:00:00"/>
    <d v="1899-12-30T16:43:00"/>
    <x v="40"/>
    <s v="GUARNE"/>
    <s v="CELERITY NP X 25 KG"/>
    <n v="10000"/>
    <n v="400"/>
    <n v="106600000"/>
    <d v="2025-08-08T00:00:00"/>
    <d v="2025-08-08T00:00:00"/>
    <x v="0"/>
  </r>
  <r>
    <m/>
    <n v="90824"/>
    <d v="2025-08-01T00:00:00"/>
    <d v="1899-12-30T09:55:00"/>
    <d v="2025-08-06T00:00:00"/>
    <x v="80"/>
    <s v="BG22800"/>
    <d v="2025-08-01T00:00:00"/>
    <d v="1899-12-30T16:50:00"/>
    <x v="41"/>
    <s v="BUGA"/>
    <s v="CLORTETRAX 20 % X 25 KG"/>
    <n v="450"/>
    <n v="18"/>
    <n v="7200000"/>
    <d v="2025-08-06T00:00:00"/>
    <d v="2025-08-06T00:00:00"/>
    <x v="0"/>
  </r>
  <r>
    <m/>
    <s v="004-OSC-48973"/>
    <d v="2025-08-01T00:00:00"/>
    <d v="1899-12-30T10:25:00"/>
    <d v="2025-08-05T00:00:00"/>
    <x v="81"/>
    <s v="BG22816"/>
    <d v="2025-08-01T00:00:00"/>
    <d v="1899-12-30T16:53:00"/>
    <x v="4"/>
    <s v="CARTAGO"/>
    <s v="DMB 11 X 25 KG"/>
    <n v="1100"/>
    <n v="44"/>
    <n v="20185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HALQUINOX 800 X 25 KG"/>
    <n v="200"/>
    <n v="8"/>
    <n v="20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FENIFLOR PREMIX X 25 KG"/>
    <n v="600"/>
    <n v="24"/>
    <n v="390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LORTETRAX 20 % X 25 KG"/>
    <n v="300"/>
    <n v="12"/>
    <n v="48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IPROFLOX X 5 KG"/>
    <n v="100"/>
    <n v="4"/>
    <n v="53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VASYN X 25 KG"/>
    <n v="150"/>
    <n v="6"/>
    <n v="28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OMIIX 250 PREMIX X 25 KG"/>
    <n v="25"/>
    <n v="1"/>
    <n v="1412000"/>
    <d v="2025-08-05T00:00:00"/>
    <d v="2025-08-05T00:00:00"/>
    <x v="0"/>
  </r>
  <r>
    <m/>
    <m/>
    <d v="2025-08-01T00:00:00"/>
    <d v="1899-12-30T17:00:00"/>
    <d v="2025-08-04T00:00:00"/>
    <x v="83"/>
    <s v="BG22768"/>
    <d v="2025-08-01T00:00:00"/>
    <d v="1899-12-30T17:13:00"/>
    <x v="9"/>
    <s v="BUCARAMANGA"/>
    <s v="CIPROFLOX X 1KG"/>
    <n v="2"/>
    <n v="2"/>
    <n v="113700"/>
    <d v="2025-08-05T00:00:00"/>
    <d v="2025-08-04T00:00:00"/>
    <x v="10"/>
  </r>
  <r>
    <m/>
    <s v="004-OSC-49013"/>
    <d v="2025-08-01T00:00:00"/>
    <d v="1899-12-30T14:43:00"/>
    <d v="2025-08-05T00:00:00"/>
    <x v="84"/>
    <s v="BG22817"/>
    <d v="2025-08-01T00:00:00"/>
    <d v="1899-12-30T17:15:00"/>
    <x v="4"/>
    <s v="CARTAGO"/>
    <s v="LOTUS X 10 KG"/>
    <n v="150"/>
    <n v="15"/>
    <n v="5775000"/>
    <d v="2025-08-05T00:00:00"/>
    <d v="2025-08-05T00:00:00"/>
    <x v="0"/>
  </r>
  <r>
    <m/>
    <s v="103-OCC-00036185"/>
    <d v="2025-08-01T00:00:00"/>
    <d v="1899-12-30T12:30:00"/>
    <d v="2025-08-05T00:00:00"/>
    <x v="85"/>
    <s v="BG22731"/>
    <d v="2025-08-01T00:00:00"/>
    <d v="1899-12-30T17:22:00"/>
    <x v="13"/>
    <s v="GIRARDOTA"/>
    <s v="FRACTAL P X 25 KG"/>
    <n v="1000"/>
    <n v="40"/>
    <n v="25500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FRACTAL P X 25 KG"/>
    <n v="150"/>
    <n v="6"/>
    <n v="3825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CLORTETRAX 20 % X 25 KG"/>
    <n v="200"/>
    <n v="8"/>
    <n v="324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ACCUREMAX 10 % X 25 KG"/>
    <n v="50"/>
    <n v="2"/>
    <n v="11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FRACTAL P X 25 KG"/>
    <n v="500"/>
    <n v="20"/>
    <n v="12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CLORTETRAX 20 % X 25 KG"/>
    <n v="300"/>
    <n v="12"/>
    <n v="4800000"/>
    <d v="2025-08-05T00:00:00"/>
    <d v="2025-08-05T00:00:00"/>
    <x v="0"/>
  </r>
  <r>
    <m/>
    <s v="001-OC-070222"/>
    <d v="2025-08-04T00:00:00"/>
    <d v="1899-12-30T08:01:00"/>
    <d v="2025-08-04T00:00:00"/>
    <x v="88"/>
    <s v="BG22759"/>
    <d v="2025-08-04T00:00:00"/>
    <d v="1899-12-30T10:52:00"/>
    <x v="27"/>
    <s v="BUGA"/>
    <s v="FOSMYCINA 90 X 500 GR"/>
    <n v="20"/>
    <n v="40"/>
    <n v="9919800"/>
    <d v="2025-08-04T00:00:00"/>
    <d v="2025-08-04T00:00:00"/>
    <x v="0"/>
  </r>
  <r>
    <m/>
    <s v="001-OC-070222"/>
    <d v="2025-08-04T00:00:00"/>
    <d v="1899-12-30T08:01:00"/>
    <d v="2025-08-06T00:00:00"/>
    <x v="89"/>
    <s v="BG22760"/>
    <d v="2025-08-04T00:00:00"/>
    <d v="1899-12-30T10:52:00"/>
    <x v="27"/>
    <s v="BUGA"/>
    <s v="FOSMYCINA 90 X 500 GR"/>
    <n v="32"/>
    <n v="64"/>
    <n v="15871680"/>
    <d v="2025-08-04T00:00:00"/>
    <d v="2025-08-06T00:00:00"/>
    <x v="4"/>
  </r>
  <r>
    <m/>
    <s v="1228632"/>
    <d v="2025-08-01T00:00:00"/>
    <d v="1899-12-30T12:23:00"/>
    <d v="2025-08-11T00:00:00"/>
    <x v="90"/>
    <s v="BG22848"/>
    <d v="2025-08-04T00:00:00"/>
    <d v="1899-12-30T12:24:00"/>
    <x v="6"/>
    <s v="BOGOTA"/>
    <s v="ACCUREMAX X 25 KG"/>
    <n v="150"/>
    <n v="6"/>
    <n v="7950000"/>
    <d v="2025-08-11T00:00:00"/>
    <d v="2025-08-11T00:00:00"/>
    <x v="0"/>
  </r>
  <r>
    <m/>
    <s v="1228768 "/>
    <d v="2025-08-01T00:00:00"/>
    <d v="1899-12-30T12:20:00"/>
    <d v="2025-08-08T00:00:00"/>
    <x v="91"/>
    <s v="BG22847"/>
    <d v="2025-08-04T00:00:00"/>
    <d v="1899-12-30T12:24:00"/>
    <x v="5"/>
    <s v="BUGA"/>
    <s v="ACCUREMAX X 25 KG"/>
    <n v="250"/>
    <n v="10"/>
    <n v="13250000"/>
    <d v="2025-08-11T00:00:00"/>
    <d v="2025-08-08T00:00:00"/>
    <x v="2"/>
  </r>
  <r>
    <m/>
    <s v="1228787"/>
    <d v="2025-08-01T00:00:00"/>
    <d v="1899-12-30T15:27:00"/>
    <d v="2025-08-06T00:00:00"/>
    <x v="92"/>
    <s v="BG22741"/>
    <d v="2025-08-04T00:00:00"/>
    <d v="1899-12-30T12:37:00"/>
    <x v="5"/>
    <s v="CIENAGA"/>
    <s v="LOTUS X 10 KG"/>
    <n v="20"/>
    <n v="2"/>
    <n v="690000"/>
    <d v="2025-08-05T00:00:00"/>
    <d v="2025-08-06T00:00:00"/>
    <x v="6"/>
  </r>
  <r>
    <m/>
    <s v="1228914"/>
    <d v="2025-08-01T00:00:00"/>
    <d v="1899-12-30T16:50:00"/>
    <d v="2025-08-05T00:00:00"/>
    <x v="93"/>
    <s v="BG22742"/>
    <d v="2025-08-04T00:00:00"/>
    <d v="1899-12-30T12:40:00"/>
    <x v="5"/>
    <s v="BUCARAMANGA"/>
    <s v="LOTUS X 10 KG"/>
    <n v="40"/>
    <n v="4"/>
    <n v="1380000"/>
    <d v="2025-08-06T00:00:00"/>
    <d v="2025-08-05T00:00:00"/>
    <x v="10"/>
  </r>
  <r>
    <m/>
    <s v="1228945"/>
    <d v="2025-08-01T00:00:00"/>
    <d v="1899-12-30T17:09:00"/>
    <d v="2025-08-08T00:00:00"/>
    <x v="94"/>
    <s v="BG22846"/>
    <d v="2025-08-04T00:00:00"/>
    <d v="1899-12-30T12:55:00"/>
    <x v="6"/>
    <s v="CARTAGO"/>
    <s v="ACCUREMAX X 25 KG"/>
    <n v="100"/>
    <n v="4"/>
    <n v="5300000"/>
    <d v="2025-08-11T00:00:00"/>
    <d v="2025-08-08T00:00:00"/>
    <x v="2"/>
  </r>
  <r>
    <s v="INVENTARIO"/>
    <s v="1229052 "/>
    <d v="2025-08-01T00:00:00"/>
    <d v="1899-12-30T19:46:00"/>
    <d v="2025-08-08T00:00:00"/>
    <x v="95"/>
    <s v="BG22845"/>
    <d v="2025-08-04T00:00:00"/>
    <d v="1899-12-30T12:57:00"/>
    <x v="5"/>
    <s v="MOSQUERA"/>
    <s v="TILCOMIX PREMIX S X 5 KG"/>
    <n v="75"/>
    <n v="15"/>
    <n v="9922500"/>
    <d v="2025-08-08T00:00:00"/>
    <d v="2025-08-08T00:00:00"/>
    <x v="0"/>
  </r>
  <r>
    <m/>
    <s v="4500353403"/>
    <d v="2025-08-02T00:00:00"/>
    <d v="1899-12-30T12:34:00"/>
    <d v="2025-08-12T00:00:00"/>
    <x v="96"/>
    <s v="BG22865"/>
    <d v="2025-08-04T00:00:00"/>
    <d v="1899-12-30T13:13:00"/>
    <x v="2"/>
    <s v="BELLO"/>
    <s v="FRACTAL P X 25 KG"/>
    <n v="200"/>
    <n v="8"/>
    <n v="5100000"/>
    <d v="2025-08-15T00:00:00"/>
    <d v="2025-08-12T00:00:00"/>
    <x v="2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HALQUINOX 800 X 25 KG"/>
    <n v="2000"/>
    <n v="80"/>
    <n v="145734000"/>
    <d v="2025-08-05T00:00:00"/>
    <d v="2025-08-05T00:00:00"/>
    <x v="0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DINAMIX 800 X 25 KILOS"/>
    <n v="1000"/>
    <n v="40"/>
    <n v="123150000"/>
    <d v="2025-08-05T00:00:00"/>
    <d v="2025-08-05T00:00:00"/>
    <x v="0"/>
  </r>
  <r>
    <m/>
    <s v="1229348 "/>
    <d v="2025-08-04T00:00:00"/>
    <d v="1899-12-30T09:08:00"/>
    <d v="2025-08-05T00:00:00"/>
    <x v="98"/>
    <s v="BG22748"/>
    <d v="2025-08-04T00:00:00"/>
    <d v="1899-12-30T13:25:00"/>
    <x v="43"/>
    <s v="CALDAS- ANTIOQUIA"/>
    <s v="FRACTAL L X 20 KILOS"/>
    <n v="160"/>
    <n v="6.4"/>
    <n v="5520000"/>
    <d v="2025-08-05T00:00:00"/>
    <d v="2025-08-05T00:00:00"/>
    <x v="0"/>
  </r>
  <r>
    <m/>
    <s v="OCO-00009626"/>
    <d v="2025-08-04T00:00:00"/>
    <d v="1899-12-30T11:16:00"/>
    <d v="2025-08-08T00:00:00"/>
    <x v="99"/>
    <s v="BG22818"/>
    <d v="2025-08-04T00:00:00"/>
    <d v="1899-12-30T13:29:00"/>
    <x v="44"/>
    <s v="BOGOTA"/>
    <s v="NORFLOX X 1 KG"/>
    <n v="96"/>
    <n v="96"/>
    <n v="5328000"/>
    <d v="2025-08-05T00:00:00"/>
    <d v="2025-08-08T00:00:00"/>
    <x v="3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NEOCYN X 25 KG "/>
    <n v="200"/>
    <n v="8"/>
    <n v="14000000"/>
    <d v="2025-08-06T00:00:00"/>
    <d v="2025-08-06T00:00:00"/>
    <x v="0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DMB 11 X 25 KG"/>
    <n v="1000"/>
    <n v="40"/>
    <n v="18200000"/>
    <d v="2025-08-06T00:00:00"/>
    <d v="2025-08-06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OSMYCINA 90 X 500 GR"/>
    <n v="5"/>
    <n v="10"/>
    <n v="2475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ENIFLOR ORAL X 500 GR"/>
    <n v="10"/>
    <n v="20"/>
    <n v="972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AMOXIN X 1 KG"/>
    <n v="30"/>
    <n v="30"/>
    <n v="4350000"/>
    <d v="2025-08-13T00:00:00"/>
    <d v="2025-08-13T00:00:00"/>
    <x v="0"/>
  </r>
  <r>
    <m/>
    <s v="90.931"/>
    <d v="2025-08-04T00:00:00"/>
    <d v="1899-12-30T11:41:00"/>
    <d v="2025-08-06T00:00:00"/>
    <x v="102"/>
    <s v="BG22799"/>
    <d v="2025-08-04T00:00:00"/>
    <d v="1899-12-30T13:38:00"/>
    <x v="41"/>
    <s v="BUGA"/>
    <s v="FRACTAL L X 20 KILOS"/>
    <n v="1200"/>
    <n v="60"/>
    <n v="46620000"/>
    <d v="2025-08-06T00:00:00"/>
    <d v="2025-08-06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OSMYCINA 90 X 500 GR"/>
    <n v="10"/>
    <n v="20"/>
    <n v="495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ENIFLOR ORAL X 500 GR"/>
    <n v="500"/>
    <n v="1000"/>
    <n v="486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NORFLOX X 1 KG"/>
    <n v="30"/>
    <n v="30"/>
    <n v="18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AMOXIN X 1 KG"/>
    <n v="60"/>
    <n v="60"/>
    <n v="8700000"/>
    <d v="2025-08-13T00:00:00"/>
    <d v="2025-08-13T00:00:00"/>
    <x v="0"/>
  </r>
  <r>
    <m/>
    <s v="90.930"/>
    <d v="2025-08-04T00:00:00"/>
    <d v="1899-12-30T11:41:00"/>
    <d v="2025-08-19T00:00:00"/>
    <x v="104"/>
    <s v="BG22922"/>
    <d v="2025-08-04T00:00:00"/>
    <d v="1899-12-30T13:55:00"/>
    <x v="47"/>
    <s v="BUGA"/>
    <s v="AMOXIN X 1 KG"/>
    <n v="12"/>
    <n v="12"/>
    <n v="1740000"/>
    <d v="2025-08-20T00:00:00"/>
    <d v="2025-08-19T00:00:00"/>
    <x v="1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OSMYCINA 90 X 500 GR"/>
    <n v="10"/>
    <n v="20"/>
    <n v="495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ENIFLOR ORAL X 500 GR"/>
    <n v="500"/>
    <n v="1000"/>
    <n v="486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NORFLOX X 1 KG"/>
    <n v="30"/>
    <n v="30"/>
    <n v="18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AMOXIN X 1 KG"/>
    <n v="60"/>
    <n v="60"/>
    <n v="8700000"/>
    <d v="2025-08-06T00:00:00"/>
    <d v="2025-08-06T00:00:00"/>
    <x v="0"/>
  </r>
  <r>
    <m/>
    <s v="OC-COMPR-18079"/>
    <d v="2025-08-04T00:00:00"/>
    <d v="1899-12-30T12:14:00"/>
    <d v="2025-08-05T00:00:00"/>
    <x v="106"/>
    <s v="BG22745"/>
    <d v="2025-08-04T00:00:00"/>
    <d v="1899-12-30T14:03:00"/>
    <x v="19"/>
    <s v="RICAURTE"/>
    <s v="DQCICLIN X 1 KG"/>
    <n v="20"/>
    <n v="20"/>
    <n v="5000000"/>
    <d v="2025-08-06T00:00:00"/>
    <d v="2025-08-05T00:00:00"/>
    <x v="10"/>
  </r>
  <r>
    <m/>
    <s v="4503783234 "/>
    <d v="2025-08-04T00:00:00"/>
    <d v="1899-12-30T12:59:00"/>
    <d v="2025-08-05T00:00:00"/>
    <x v="107"/>
    <s v="BG22785"/>
    <d v="2025-08-04T00:00:00"/>
    <d v="1899-12-30T14:15:00"/>
    <x v="48"/>
    <s v="BUCARAMANGA"/>
    <s v="NORFLOX X 1 KG"/>
    <n v="144"/>
    <n v="144"/>
    <n v="7956000"/>
    <d v="2025-08-06T00:00:00"/>
    <d v="2025-08-05T00:00:00"/>
    <x v="10"/>
  </r>
  <r>
    <m/>
    <n v="4500138962"/>
    <d v="2025-08-04T00:00:00"/>
    <d v="1899-12-30T14:01:00"/>
    <d v="2025-08-05T00:00:00"/>
    <x v="108"/>
    <s v="BG22784"/>
    <d v="2025-08-04T00:00:00"/>
    <d v="1899-12-30T14:24:00"/>
    <x v="49"/>
    <s v="FUSAGASUGA"/>
    <s v="FOSMYCINA 90 X 500 GR"/>
    <n v="12"/>
    <n v="24"/>
    <n v="6090240"/>
    <d v="2025-08-06T00:00:00"/>
    <d v="2025-08-05T00:00:00"/>
    <x v="10"/>
  </r>
  <r>
    <m/>
    <s v="1229557 "/>
    <d v="2025-08-04T00:00:00"/>
    <d v="1899-12-30T13:15:00"/>
    <d v="2025-08-05T00:00:00"/>
    <x v="109"/>
    <s v="BG22754"/>
    <d v="2025-08-04T00:00:00"/>
    <d v="1899-12-30T14:27:00"/>
    <x v="6"/>
    <s v="BOGOTA"/>
    <s v="DINAMIX PREMIX X 25 KG"/>
    <n v="775"/>
    <n v="31"/>
    <n v="16840750"/>
    <d v="2025-08-05T00:00:00"/>
    <d v="2025-08-05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TILOMIIX 250 PREMIX X 25 KG"/>
    <n v="500"/>
    <n v="20"/>
    <n v="2545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AVINOVA X 25 KG"/>
    <n v="75"/>
    <n v="3"/>
    <n v="14025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FRACTAL P X 25 KG"/>
    <n v="200"/>
    <n v="8"/>
    <n v="480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MONECYL X 25 KG"/>
    <n v="1000"/>
    <n v="40"/>
    <n v="188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IPROFLOX X 5 KG"/>
    <n v="100"/>
    <n v="4"/>
    <n v="550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ENIFLOR PREMIX X 25 KG"/>
    <n v="25"/>
    <n v="1"/>
    <n v="18125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RACTAL P X 25 KG"/>
    <n v="100"/>
    <n v="4"/>
    <n v="25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ELMANAX X 25 KG"/>
    <n v="250"/>
    <n v="10"/>
    <n v="4328750"/>
    <d v="2025-08-06T00:00:00"/>
    <d v="2025-08-06T00:00:00"/>
    <x v="0"/>
  </r>
  <r>
    <s v="INVENTARIO"/>
    <s v="1229765"/>
    <d v="2025-08-04T00:00:00"/>
    <d v="1899-12-30T16:56:00"/>
    <d v="2025-08-09T00:00:00"/>
    <x v="112"/>
    <s v="BG22844"/>
    <d v="2025-08-05T00:00:00"/>
    <d v="1899-12-30T11:00:00"/>
    <x v="6"/>
    <s v="ENVIGADO"/>
    <s v="TILCOMIX PREMIX S X 5 KG"/>
    <n v="225"/>
    <n v="45"/>
    <n v="29767500"/>
    <d v="2025-08-06T00:00:00"/>
    <d v="2025-08-09T00:00:00"/>
    <x v="3"/>
  </r>
  <r>
    <s v="INVENTARIO"/>
    <s v="1229861 "/>
    <d v="2025-08-04T00:00:00"/>
    <d v="1899-12-30T17:39:00"/>
    <d v="2025-08-12T00:00:00"/>
    <x v="113"/>
    <s v="BG22843"/>
    <d v="2025-08-05T00:00:00"/>
    <d v="1899-12-30T12:27:00"/>
    <x v="6"/>
    <s v="CARTAGO"/>
    <s v="TILCOMIX PREMIX S X 5 KG"/>
    <n v="25"/>
    <n v="5"/>
    <n v="3307500"/>
    <d v="2025-08-06T00:00:00"/>
    <d v="2025-08-12T00:00:00"/>
    <x v="9"/>
  </r>
  <r>
    <m/>
    <s v="1229902"/>
    <d v="2025-08-04T00:00:00"/>
    <d v="1899-12-30T19:12:00"/>
    <d v="2025-08-06T00:00:00"/>
    <x v="114"/>
    <s v="BG22749"/>
    <d v="2025-08-05T00:00:00"/>
    <d v="1899-12-30T12:34:00"/>
    <x v="43"/>
    <s v="PEREIRA"/>
    <s v="FOSMYCINA 90 X 500 GR"/>
    <n v="60"/>
    <n v="120"/>
    <n v="24648000"/>
    <d v="2025-08-06T00:00:00"/>
    <d v="2025-08-06T00:00:00"/>
    <x v="0"/>
  </r>
  <r>
    <m/>
    <s v="1230210"/>
    <d v="2025-08-05T00:00:00"/>
    <d v="1899-12-30T10:59:00"/>
    <d v="2025-08-09T00:00:00"/>
    <x v="115"/>
    <s v="BG22743"/>
    <d v="2025-08-05T00:00:00"/>
    <d v="1899-12-30T12:36:00"/>
    <x v="5"/>
    <s v="CIENAGA"/>
    <s v="ACCUREMAX X 25 KG"/>
    <n v="100"/>
    <n v="4"/>
    <n v="5300000"/>
    <d v="2025-08-08T00:00:00"/>
    <d v="2025-08-09T00:00:00"/>
    <x v="6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LORTETRAX 20 % X 25 KG"/>
    <n v="50"/>
    <n v="2"/>
    <n v="1015000"/>
    <d v="2025-08-06T00:00:00"/>
    <d v="2025-08-08T00:00:00"/>
    <x v="4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IGNUS X 20 KILOS"/>
    <n v="20"/>
    <n v="1"/>
    <n v="880000"/>
    <d v="2025-08-06T00:00:00"/>
    <d v="2025-08-08T00:00:00"/>
    <x v="4"/>
  </r>
  <r>
    <s v="INVENTARIO"/>
    <s v="OC-COMPR-18406"/>
    <d v="2025-08-05T00:00:00"/>
    <d v="1899-12-30T11:39:00"/>
    <d v="2025-08-20T00:00:00"/>
    <x v="116"/>
    <s v="BG22953"/>
    <d v="2025-08-05T00:00:00"/>
    <d v="1899-12-30T13:15:00"/>
    <x v="19"/>
    <s v="RICAURTE"/>
    <s v="CIGNUS X 20 KILOS"/>
    <n v="380"/>
    <n v="19"/>
    <n v="16720000"/>
    <d v="2025-08-06T00:00:00"/>
    <d v="2025-08-20T00:00:00"/>
    <x v="15"/>
  </r>
  <r>
    <m/>
    <s v="5503647874"/>
    <d v="2025-08-05T00:00:00"/>
    <d v="1899-12-30T07:53:00"/>
    <d v="2025-08-06T00:00:00"/>
    <x v="117"/>
    <s v="BG22821"/>
    <d v="2025-08-05T00:00:00"/>
    <d v="1899-12-30T13:23:00"/>
    <x v="51"/>
    <s v="BUCARAMANGA"/>
    <s v="TRIMBAC X 5 KG"/>
    <n v="50"/>
    <n v="10"/>
    <n v="7125000"/>
    <d v="2025-08-06T00:00:00"/>
    <d v="2025-08-06T00:00:00"/>
    <x v="0"/>
  </r>
  <r>
    <m/>
    <s v="OC7556"/>
    <d v="2025-08-05T00:00:00"/>
    <d v="1899-12-30T14:30:00"/>
    <d v="2025-08-06T00:00:00"/>
    <x v="118"/>
    <s v="BG22822"/>
    <d v="2025-08-05T00:00:00"/>
    <d v="1899-12-30T14:44:00"/>
    <x v="52"/>
    <s v="ALBATEQ"/>
    <s v="DINAMIX PREMIX X 25 KG"/>
    <n v="250"/>
    <n v="10"/>
    <n v="6519000"/>
    <d v="2025-08-06T00:00:00"/>
    <d v="2025-08-06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ICRO AID X 25 KG"/>
    <n v="250"/>
    <n v="10"/>
    <n v="130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DMB 11 X 25 KG"/>
    <n v="1500"/>
    <n v="60"/>
    <n v="26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IPROFLOX X 5 KG"/>
    <n v="600"/>
    <n v="24"/>
    <n v="279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MOOTH SWEET X 5 KG"/>
    <n v="45"/>
    <n v="1.8"/>
    <n v="45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ELERITY NP X 25 KG"/>
    <n v="5000"/>
    <n v="200"/>
    <n v="53300000"/>
    <d v="2025-08-08T00:00:00"/>
    <d v="2025-08-08T00:00:00"/>
    <x v="0"/>
  </r>
  <r>
    <s v="INVENTARIO"/>
    <s v="4500081859"/>
    <d v="2025-08-05T00:00:00"/>
    <d v="1899-12-30T12:21:00"/>
    <d v="2025-08-09T00:00:00"/>
    <x v="119"/>
    <s v="BG22803"/>
    <d v="2025-08-05T00:00:00"/>
    <d v="1899-12-30T16:43:00"/>
    <x v="0"/>
    <s v="MEDELLIN"/>
    <s v="TILCOMIX PREMIX S X 5 KG"/>
    <n v="500"/>
    <n v="200"/>
    <n v="66150000"/>
    <d v="2025-08-08T00:00:00"/>
    <d v="2025-08-09T00:00:00"/>
    <x v="6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TILOMIIX 250 PREMIX X 25 KG"/>
    <n v="1000"/>
    <n v="40"/>
    <n v="49900000"/>
    <d v="2025-08-08T00:00:00"/>
    <d v="2025-08-08T00:00:00"/>
    <x v="0"/>
  </r>
  <r>
    <s v="INVENTARIO"/>
    <s v="4500081859"/>
    <d v="2025-08-05T00:00:00"/>
    <d v="1899-12-30T12:21:00"/>
    <d v="2025-08-08T00:00:00"/>
    <x v="119"/>
    <s v="BG22872"/>
    <d v="2025-08-05T00:00:00"/>
    <d v="1899-12-30T16:43:00"/>
    <x v="0"/>
    <s v="MEDELLIN"/>
    <s v="FRACTAL P X 25 KG"/>
    <n v="50"/>
    <n v="2"/>
    <n v="126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RACTAL P X 25 KG"/>
    <n v="950"/>
    <n v="38"/>
    <n v="23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ONECYL X 25 KG"/>
    <n v="1000"/>
    <n v="40"/>
    <n v="18850000"/>
    <d v="2025-08-08T00:00:00"/>
    <d v="2025-08-08T00:00:00"/>
    <x v="0"/>
  </r>
  <r>
    <s v="INVENTARIO"/>
    <s v="4500081859"/>
    <d v="2025-08-05T00:00:00"/>
    <d v="1899-12-30T12:21:00"/>
    <d v="2025-08-22T00:00:00"/>
    <x v="119"/>
    <s v="BG22959"/>
    <d v="2025-08-05T00:00:00"/>
    <d v="1899-12-30T16:43:00"/>
    <x v="0"/>
    <s v="MEDELLIN"/>
    <s v="CIGNUS X 20 KILOS"/>
    <n v="100"/>
    <n v="4"/>
    <n v="3450000"/>
    <d v="2025-08-08T00:00:00"/>
    <d v="2025-08-22T00:00:00"/>
    <x v="15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AMOXIN X 1 KG"/>
    <n v="100"/>
    <n v="4"/>
    <n v="13355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NEOCYN X 25 KG "/>
    <n v="300"/>
    <n v="12"/>
    <n v="1851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LOTUS X 10 KG"/>
    <n v="1000"/>
    <n v="40"/>
    <n v="318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AGAH X 25 KILOS"/>
    <n v="500"/>
    <n v="20"/>
    <n v="151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ENIFLOR PREMIX X 25 KG"/>
    <n v="300"/>
    <n v="12"/>
    <n v="15876000"/>
    <d v="2025-08-08T00:00:00"/>
    <d v="2025-08-08T00:00:00"/>
    <x v="0"/>
  </r>
  <r>
    <s v="INVENTARIO"/>
    <s v="4500353459"/>
    <d v="2025-08-05T00:00:00"/>
    <d v="1899-12-30T14:03:00"/>
    <d v="2025-08-11T00:00:00"/>
    <x v="120"/>
    <s v="BG22842"/>
    <d v="2025-08-06T00:00:00"/>
    <d v="1899-12-30T09:05:00"/>
    <x v="2"/>
    <s v="BELLO"/>
    <s v="FRACTAL P X 25 KG"/>
    <n v="100"/>
    <n v="4"/>
    <n v="2550000"/>
    <d v="2025-08-08T00:00:00"/>
    <d v="2025-08-11T00:00:00"/>
    <x v="3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NEOCYN X 25 KG "/>
    <n v="25"/>
    <n v="1"/>
    <n v="18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DINAMIX 200 PREMIX X 25 KG"/>
    <n v="25"/>
    <n v="1"/>
    <n v="13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CLORTETRAX 20 % X 25 KG"/>
    <n v="25"/>
    <n v="1"/>
    <n v="4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FENIFLOR PREMIX X 25 KG"/>
    <n v="20"/>
    <n v="4"/>
    <n v="1380000"/>
    <d v="2025-08-06T00:00:00"/>
    <d v="2025-08-06T00:00:00"/>
    <x v="0"/>
  </r>
  <r>
    <m/>
    <s v="OC 024"/>
    <d v="2025-08-05T00:00:00"/>
    <d v="1899-12-30T15:52:00"/>
    <d v="2025-08-08T00:00:00"/>
    <x v="122"/>
    <s v="BG22823"/>
    <d v="2025-08-06T00:00:00"/>
    <d v="1899-12-30T09:44:00"/>
    <x v="35"/>
    <s v="ITAGUI"/>
    <s v="DQCICLIN X 1 KG"/>
    <n v="20"/>
    <n v="20"/>
    <n v="5700000"/>
    <d v="2025-08-06T00:00:00"/>
    <d v="2025-08-08T00:00:00"/>
    <x v="4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HALQUINOX 800 X 25 KG"/>
    <n v="1000"/>
    <n v="40"/>
    <n v="72867000"/>
    <d v="2025-08-06T00:00:00"/>
    <d v="2025-08-06T00:00:00"/>
    <x v="0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DINAMIX 800 X 25 KILOS"/>
    <n v="100"/>
    <n v="4"/>
    <n v="12315000"/>
    <d v="2025-08-06T00:00:00"/>
    <d v="2025-08-06T00:00:00"/>
    <x v="0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TILOMIX ORAL X 1 KG"/>
    <n v="200"/>
    <n v="200"/>
    <n v="44268000"/>
    <d v="2025-08-15T00:00:00"/>
    <d v="2025-08-28T00:00:00"/>
    <x v="16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SMOOTH SWEET X 75 GR"/>
    <n v="15"/>
    <n v="200"/>
    <n v="15"/>
    <d v="2025-08-15T00:00:00"/>
    <d v="2025-08-28T00:00:00"/>
    <x v="16"/>
  </r>
  <r>
    <m/>
    <s v="4500353591"/>
    <s v="6/08/2025"/>
    <d v="1899-12-30T12:00:00"/>
    <d v="2025-08-06T00:00:00"/>
    <x v="125"/>
    <s v="BG22824"/>
    <d v="2025-08-06T00:00:00"/>
    <d v="1899-12-30T11:39:00"/>
    <x v="54"/>
    <s v="BUCARAMANGA"/>
    <s v="FRACTAL L X 20 KILOS"/>
    <n v="40"/>
    <n v="1.6"/>
    <n v="1554000"/>
    <d v="2025-08-06T00:00:00"/>
    <d v="2025-08-06T00:00:00"/>
    <x v="0"/>
  </r>
  <r>
    <m/>
    <n v="4500353591"/>
    <d v="2025-08-04T00:00:00"/>
    <d v="1899-12-30T12:00:00"/>
    <d v="2025-08-05T00:00:00"/>
    <x v="126"/>
    <s v="BG22824"/>
    <d v="2025-08-04T00:00:00"/>
    <d v="1899-12-30T12:44:00"/>
    <x v="54"/>
    <s v="BUCARAMANGA"/>
    <s v="FRACTAL L X 20 KILOS"/>
    <n v="20"/>
    <n v="0.8"/>
    <n v="777000"/>
    <d v="2025-08-04T00:00:00"/>
    <d v="2025-08-05T00:00:00"/>
    <x v="6"/>
  </r>
  <r>
    <m/>
    <n v="4500353591"/>
    <d v="2025-08-04T00:00:00"/>
    <d v="1899-12-30T12:00:00"/>
    <d v="2025-08-08T00:00:00"/>
    <x v="127"/>
    <s v="BG22824"/>
    <d v="2025-08-04T00:00:00"/>
    <d v="1899-12-30T12:44:00"/>
    <x v="54"/>
    <s v="BUCARAMANGA"/>
    <s v="FRACTAL L X 20 KILOS"/>
    <n v="20"/>
    <n v="0.8"/>
    <n v="777000"/>
    <d v="2025-08-04T00:00:00"/>
    <d v="2025-08-08T00:00:00"/>
    <x v="13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MB 11 X 25 KG"/>
    <n v="300"/>
    <n v="12"/>
    <n v="585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INAMIX 800 X 25 KILOS"/>
    <n v="50"/>
    <n v="2"/>
    <n v="865725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QCICLIN X 1 KG"/>
    <n v="70"/>
    <n v="2.8"/>
    <n v="172725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FENIFLOR PREMIX X 25 KG"/>
    <n v="25"/>
    <n v="1"/>
    <n v="1725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FRACTAL P X 25 KG"/>
    <n v="200"/>
    <n v="8"/>
    <n v="510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ESPELIN 88 X 5 KG"/>
    <n v="30"/>
    <n v="1.2"/>
    <n v="1620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TILCOMIX PREMIX S X 5 KG"/>
    <n v="50"/>
    <n v="2"/>
    <n v="850500"/>
    <d v="2025-08-08T00:00:00"/>
    <d v="2025-08-08T00:00:00"/>
    <x v="0"/>
  </r>
  <r>
    <m/>
    <s v="4500353483"/>
    <d v="2025-08-05T00:00:00"/>
    <d v="1899-12-30T18:14:00"/>
    <d v="2025-08-08T00:00:00"/>
    <x v="129"/>
    <s v="BG22825"/>
    <d v="2025-08-06T00:00:00"/>
    <d v="1899-12-30T13:12:00"/>
    <x v="54"/>
    <s v="BUCARAMANGA"/>
    <s v="CIPROFLOX X 1KG"/>
    <n v="97"/>
    <n v="98"/>
    <n v="5423000"/>
    <d v="2025-08-06T00:00:00"/>
    <d v="2025-08-08T00:00:00"/>
    <x v="4"/>
  </r>
  <r>
    <m/>
    <s v="4500353483"/>
    <d v="2025-08-05T00:00:00"/>
    <d v="1899-12-30T18:14:00"/>
    <d v="2025-08-08T00:00:00"/>
    <x v="130"/>
    <s v="BG22825"/>
    <d v="2025-08-06T00:00:00"/>
    <d v="1899-12-30T13:12:00"/>
    <x v="54"/>
    <s v="BUCARAMANGA"/>
    <s v="CIPROFLOX X 1KG"/>
    <n v="3"/>
    <n v="2"/>
    <n v="168000"/>
    <d v="2025-08-06T00:00:00"/>
    <d v="2025-08-08T00:00:00"/>
    <x v="4"/>
  </r>
  <r>
    <m/>
    <m/>
    <d v="2025-08-06T00:00:00"/>
    <d v="1899-12-30T10:33:00"/>
    <d v="2025-08-08T00:00:00"/>
    <x v="131"/>
    <s v="BG22828"/>
    <d v="2025-08-06T00:00:00"/>
    <d v="1899-12-30T13:17:00"/>
    <x v="9"/>
    <s v="BUCARAMANGA"/>
    <s v="CIPROFLOX X 1KG"/>
    <n v="1"/>
    <n v="1"/>
    <n v="56850"/>
    <d v="2025-08-06T00:00:00"/>
    <d v="2025-08-08T00:00:00"/>
    <x v="4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FENIFLOR PREMIX X 25 KG"/>
    <n v="250"/>
    <n v="10"/>
    <n v="17250000"/>
    <d v="2025-08-06T00:00:00"/>
    <d v="2025-08-06T00:00:00"/>
    <x v="0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ESPELIN 88 X 25 KG"/>
    <n v="100"/>
    <n v="4"/>
    <n v="5400000"/>
    <d v="2025-08-06T00:00:00"/>
    <d v="2025-08-06T00:00:00"/>
    <x v="0"/>
  </r>
  <r>
    <m/>
    <s v="101-OCC-33841"/>
    <d v="2025-08-06T00:00:00"/>
    <d v="1899-12-30T11:28:00"/>
    <d v="2025-08-12T00:00:00"/>
    <x v="133"/>
    <s v="BG22830"/>
    <d v="2025-08-06T00:00:00"/>
    <d v="1899-12-30T13:28:00"/>
    <x v="13"/>
    <s v="PALMIRA"/>
    <s v="DMB 11 X 25 KG"/>
    <n v="500"/>
    <n v="20"/>
    <n v="9100000"/>
    <d v="2025-08-08T00:00:00"/>
    <d v="2025-08-12T00:00:00"/>
    <x v="13"/>
  </r>
  <r>
    <s v="TRANSPORTE "/>
    <m/>
    <d v="2025-08-06T00:00:00"/>
    <d v="1899-12-30T13:40:00"/>
    <d v="2025-08-11T00:00:00"/>
    <x v="134"/>
    <s v="BG22831"/>
    <d v="2025-08-06T00:00:00"/>
    <d v="1899-12-30T14:36:00"/>
    <x v="9"/>
    <s v="CUCUTA"/>
    <s v="TILVASYN X 25 KG"/>
    <n v="25"/>
    <n v="1"/>
    <n v="5375000"/>
    <d v="2025-08-08T00:00:00"/>
    <d v="2025-08-11T00:00:00"/>
    <x v="3"/>
  </r>
  <r>
    <s v="INVENTARIO"/>
    <m/>
    <d v="2025-08-06T00:00:00"/>
    <d v="1899-12-30T14:50:00"/>
    <d v="2025-08-15T00:00:00"/>
    <x v="135"/>
    <s v="BG22987"/>
    <d v="2025-08-06T00:00:00"/>
    <d v="1899-12-30T14:58:00"/>
    <x v="56"/>
    <s v="BUCARAMANGA"/>
    <s v="CIGNUS X 20 KILOS"/>
    <n v="20"/>
    <n v="0.8"/>
    <n v="760000"/>
    <d v="2025-08-08T00:00:00"/>
    <d v="2025-08-15T00:00:00"/>
    <x v="14"/>
  </r>
  <r>
    <m/>
    <s v="10544"/>
    <d v="2025-08-06T00:00:00"/>
    <d v="1899-12-30T14:39:00"/>
    <d v="2025-08-08T00:00:00"/>
    <x v="136"/>
    <s v="BG22956"/>
    <d v="2025-08-06T00:00:00"/>
    <d v="1899-12-30T14:57:00"/>
    <x v="10"/>
    <s v="BUCARAMANGA"/>
    <s v="FOSMYCINA 90 X 500 GR"/>
    <n v="7"/>
    <n v="14"/>
    <n v="3605000"/>
    <d v="2025-08-06T00:00:00"/>
    <d v="2025-08-08T00:00:00"/>
    <x v="4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NEOCYN X 1 KG "/>
    <n v="10"/>
    <n v="10"/>
    <n v="720000"/>
    <d v="2025-08-08T00:00:00"/>
    <d v="2025-08-08T00:00:00"/>
    <x v="0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FOSMYCINA 90 X 500 GR"/>
    <n v="3.5"/>
    <n v="7"/>
    <n v="1855000"/>
    <d v="2025-08-08T00:00:00"/>
    <d v="2025-08-08T00:00:00"/>
    <x v="0"/>
  </r>
  <r>
    <m/>
    <m/>
    <d v="2025-08-06T00:00:00"/>
    <d v="1899-12-30T13:46:00"/>
    <d v="2025-08-12T00:00:00"/>
    <x v="138"/>
    <s v="BG22832"/>
    <d v="2025-08-06T00:00:00"/>
    <d v="1899-12-30T15:03:00"/>
    <x v="57"/>
    <s v="CUCUTA"/>
    <s v="CELERITY NP X 25 KG"/>
    <n v="250"/>
    <n v="10"/>
    <n v="4200000"/>
    <d v="2025-08-08T00:00:00"/>
    <d v="2025-08-12T00:00:00"/>
    <x v="13"/>
  </r>
  <r>
    <m/>
    <s v="004-OSC-49041"/>
    <d v="2025-08-06T00:00:00"/>
    <d v="1899-12-30T08:09:00"/>
    <d v="2025-08-11T00:00:00"/>
    <x v="139"/>
    <s v="BG22833"/>
    <d v="2025-08-06T00:00:00"/>
    <d v="1899-12-30T15:20:00"/>
    <x v="4"/>
    <s v="CARTAGO"/>
    <s v="FRACTAL P X 25 KG"/>
    <n v="1000"/>
    <n v="40"/>
    <n v="25500000"/>
    <d v="2025-08-11T00:00:00"/>
    <d v="2025-08-11T00:00:00"/>
    <x v="0"/>
  </r>
  <r>
    <m/>
    <s v=" 1230804 "/>
    <d v="2025-08-05T00:00:00"/>
    <d v="1899-12-30T20:50:00"/>
    <d v="2025-08-11T00:00:00"/>
    <x v="140"/>
    <s v="BG22841"/>
    <d v="2025-08-08T00:00:00"/>
    <d v="1899-12-30T10:09:00"/>
    <x v="6"/>
    <s v="ENVIGADO"/>
    <s v="ACCUREMAX X 25 KG"/>
    <n v="100"/>
    <n v="4"/>
    <n v="5300000"/>
    <d v="2025-08-11T00:00:00"/>
    <d v="2025-08-11T00:00:00"/>
    <x v="0"/>
  </r>
  <r>
    <s v="INVENTARIO"/>
    <s v="1230884 "/>
    <d v="2025-08-06T00:00:00"/>
    <d v="1899-12-30T07:36:00"/>
    <d v="2025-08-21T00:00:00"/>
    <x v="141"/>
    <s v="BG22949"/>
    <d v="2025-08-08T00:00:00"/>
    <d v="1899-12-30T10:11:00"/>
    <x v="6"/>
    <s v="BARBOSA- ANTIOQUIA"/>
    <s v="CIGNUS X 20 KILOS"/>
    <n v="500"/>
    <n v="20"/>
    <n v="17250000"/>
    <d v="2025-08-12T00:00:00"/>
    <d v="2025-08-21T00:00:00"/>
    <x v="17"/>
  </r>
  <r>
    <m/>
    <s v="1231041 "/>
    <d v="2025-08-06T00:00:00"/>
    <d v="1899-12-30T09:55:00"/>
    <d v="2025-08-11T00:00:00"/>
    <x v="142"/>
    <s v="BG22840"/>
    <d v="2025-08-08T00:00:00"/>
    <d v="1899-12-30T10:15:00"/>
    <x v="5"/>
    <s v="CIENAGA"/>
    <s v="DINAMIX PREMIX X 25 KG"/>
    <n v="75"/>
    <n v="3"/>
    <n v="1629750"/>
    <d v="2025-08-11T00:00:00"/>
    <d v="2025-08-11T00:00:00"/>
    <x v="0"/>
  </r>
  <r>
    <m/>
    <s v="4500353703"/>
    <d v="2025-08-06T00:00:00"/>
    <d v="1899-12-30T16:48:00"/>
    <d v="2025-08-12T00:00:00"/>
    <x v="143"/>
    <s v="BG22826"/>
    <d v="2025-08-08T00:00:00"/>
    <d v="1899-12-30T10:18:00"/>
    <x v="54"/>
    <s v="BUCARAMANGA"/>
    <s v="CIPROFLOX X  5 KG"/>
    <n v="200"/>
    <n v="8"/>
    <n v="11200000"/>
    <d v="2025-08-11T00:00:00"/>
    <d v="2025-08-12T00:00:00"/>
    <x v="6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FRACTAL P X 25 KG"/>
    <n v="1250"/>
    <n v="50"/>
    <n v="31875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LOTUS X 10 KG"/>
    <n v="500"/>
    <n v="20"/>
    <n v="19400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DMB 11 X 25 KG"/>
    <n v="50"/>
    <n v="2"/>
    <n v="1000000"/>
    <d v="2025-08-11T00:00:00"/>
    <d v="2025-08-09T00:00:00"/>
    <x v="5"/>
  </r>
  <r>
    <m/>
    <s v="1231837 "/>
    <d v="2025-08-07T00:00:00"/>
    <d v="1899-12-30T15:54:00"/>
    <d v="2025-08-11T00:00:00"/>
    <x v="145"/>
    <s v="BG22839"/>
    <d v="2025-08-08T00:00:00"/>
    <d v="1899-12-30T10:29:00"/>
    <x v="5"/>
    <s v="MOSQUERA"/>
    <s v="FENIFLOR PREMIX X 25 KG"/>
    <n v="100"/>
    <n v="4"/>
    <n v="5292000"/>
    <d v="2025-08-12T00:00:00"/>
    <d v="2025-08-11T00:00:00"/>
    <x v="10"/>
  </r>
  <r>
    <m/>
    <s v="POP-00006980"/>
    <d v="2025-08-08T00:00:00"/>
    <d v="1899-12-30T07:31:00"/>
    <d v="2025-08-11T00:00:00"/>
    <x v="146"/>
    <s v="BG22838"/>
    <d v="2025-08-08T00:00:00"/>
    <d v="1899-12-30T12:14:00"/>
    <x v="58"/>
    <s v="MEJIA"/>
    <s v="DMB 11 X 25 KG"/>
    <n v="150"/>
    <n v="6"/>
    <n v="2730000"/>
    <d v="2025-08-11T00:00:00"/>
    <d v="2025-08-11T00:00:00"/>
    <x v="0"/>
  </r>
  <r>
    <m/>
    <s v="236-ORC-00008741"/>
    <d v="2025-08-08T00:00:00"/>
    <d v="1899-12-30T08:00:00"/>
    <d v="2025-08-14T00:00:00"/>
    <x v="147"/>
    <s v="BG22886"/>
    <d v="2025-08-08T00:00:00"/>
    <d v="1899-12-30T12:19:00"/>
    <x v="59"/>
    <s v="IBAGUE"/>
    <s v="DINAMIX PREMIX X 25 KG"/>
    <n v="3000"/>
    <n v="120"/>
    <n v="76128000"/>
    <d v="2025-08-14T00:00:00"/>
    <d v="2025-08-14T00:00:00"/>
    <x v="0"/>
  </r>
  <r>
    <s v="INVENTARIO"/>
    <s v="236-ORC-00008741"/>
    <d v="2025-08-08T00:00:00"/>
    <d v="1899-12-30T08:00:00"/>
    <d v="2025-08-26T00:00:00"/>
    <x v="147"/>
    <s v="BG23028"/>
    <d v="2025-08-08T00:00:00"/>
    <d v="1899-12-30T12:19:00"/>
    <x v="59"/>
    <s v="IBAGUE"/>
    <s v="DINAMIX PREMIX X 25 KG"/>
    <n v="2600"/>
    <n v="104"/>
    <n v="65977600"/>
    <d v="2025-08-27T00:00:00"/>
    <d v="2025-08-26T00:00:00"/>
    <x v="10"/>
  </r>
  <r>
    <m/>
    <s v="1232057 "/>
    <d v="2025-08-08T00:00:00"/>
    <d v="1899-12-30T09:19:00"/>
    <d v="2025-08-12T00:00:00"/>
    <x v="148"/>
    <s v="BG22837"/>
    <d v="2025-08-08T00:00:00"/>
    <d v="1899-12-30T12:30:00"/>
    <x v="5"/>
    <s v="BUGA"/>
    <s v="ACCUREMAX X 25 KG"/>
    <n v="225"/>
    <n v="9"/>
    <n v="11925000"/>
    <d v="2025-08-11T00:00:00"/>
    <d v="2025-08-12T00:00:00"/>
    <x v="6"/>
  </r>
  <r>
    <m/>
    <s v="1232088"/>
    <d v="2025-08-08T00:00:00"/>
    <d v="1899-12-30T09:39:00"/>
    <d v="2025-08-15T00:00:00"/>
    <x v="149"/>
    <s v="BG22905"/>
    <d v="2025-08-08T00:00:00"/>
    <d v="1899-12-30T12:33:00"/>
    <x v="5"/>
    <s v="BUCARAMANGA"/>
    <s v="ACCUREMAX X 25 KG"/>
    <n v="25"/>
    <n v="1"/>
    <n v="1325000"/>
    <d v="2025-08-18T00:00:00"/>
    <d v="2025-08-15T00:00:00"/>
    <x v="2"/>
  </r>
  <r>
    <m/>
    <s v="1232096 "/>
    <d v="2025-08-08T00:00:00"/>
    <d v="1899-12-30T09:41:00"/>
    <d v="2025-08-12T00:00:00"/>
    <x v="150"/>
    <s v="BG22862"/>
    <d v="2025-08-08T00:00:00"/>
    <d v="1899-12-30T12:35:00"/>
    <x v="6"/>
    <s v="ENVIGADO"/>
    <s v="TILCOMIX PREMIX S X 5 KG"/>
    <n v="200"/>
    <n v="8"/>
    <n v="26460000"/>
    <d v="2025-08-12T00:00:00"/>
    <d v="2025-08-12T00:00:00"/>
    <x v="0"/>
  </r>
  <r>
    <m/>
    <m/>
    <d v="2025-08-08T00:00:00"/>
    <d v="1899-12-30T09:57:00"/>
    <d v="2025-08-09T00:00:00"/>
    <x v="151"/>
    <s v="BG22834"/>
    <d v="2025-08-08T00:00:00"/>
    <d v="1899-12-30T12:40:00"/>
    <x v="60"/>
    <s v="GRANADA"/>
    <s v="CLORTETRAX 20 % X 25 KG"/>
    <n v="200"/>
    <n v="8"/>
    <n v="3680000"/>
    <d v="2025-08-12T00:00:00"/>
    <d v="2025-08-09T00:00:00"/>
    <x v="2"/>
  </r>
  <r>
    <m/>
    <m/>
    <d v="2025-08-08T00:00:00"/>
    <d v="1899-12-30T12:25:00"/>
    <d v="2025-08-11T00:00:00"/>
    <x v="152"/>
    <s v="BG22836"/>
    <d v="2025-08-08T00:00:00"/>
    <d v="1899-12-30T14:34:00"/>
    <x v="61"/>
    <s v="NEIVA"/>
    <s v="FRACTAL P X 25 KG"/>
    <n v="1000"/>
    <n v="40"/>
    <n v="25500000"/>
    <d v="2025-08-12T00:00:00"/>
    <d v="2025-08-11T00:00:00"/>
    <x v="1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DMB 11 X 25 KG"/>
    <n v="1000"/>
    <n v="40"/>
    <n v="18350000"/>
    <d v="2025-08-11T00:00:00"/>
    <d v="2025-08-11T00:00:00"/>
    <x v="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CELMANAX X 25 KG"/>
    <n v="50"/>
    <n v="2"/>
    <n v="810000"/>
    <d v="2025-08-11T00:00:00"/>
    <d v="2025-08-11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800"/>
    <n v="32"/>
    <n v="12432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FRACTAL P X 25 KG"/>
    <n v="2000"/>
    <n v="80"/>
    <n v="480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MANAX X 25 KG"/>
    <n v="500"/>
    <n v="20"/>
    <n v="7125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5000"/>
    <n v="200"/>
    <n v="533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DMB 11 X 25 KG"/>
    <n v="1500"/>
    <n v="60"/>
    <n v="264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LOTUS X 10 KG"/>
    <n v="1000"/>
    <n v="40"/>
    <n v="318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MONECYL X 25 KG"/>
    <n v="1000"/>
    <n v="40"/>
    <n v="1885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TILOMIIX 250 PREMIX X 25 KG"/>
    <n v="1000"/>
    <n v="40"/>
    <n v="49900000"/>
    <d v="2025-08-12T00:00:00"/>
    <d v="2025-08-12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AGAH X 25 KILOS"/>
    <n v="400"/>
    <n v="16"/>
    <n v="12080000"/>
    <d v="2025-08-11T00:00:00"/>
    <d v="2025-08-11T00:00:00"/>
    <x v="0"/>
  </r>
  <r>
    <m/>
    <s v="4500081994"/>
    <d v="2025-08-08T00:00:00"/>
    <d v="1899-12-30T16:31:00"/>
    <d v="2025-08-11T00:00:00"/>
    <x v="155"/>
    <s v="BG23007"/>
    <d v="2025-08-11T00:00:00"/>
    <d v="1899-12-30T09:00:00"/>
    <x v="0"/>
    <s v="CELTA"/>
    <s v="DMB 11 X 25 KG"/>
    <n v="400"/>
    <n v="16"/>
    <n v="704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ACCUREMAX 20% X 25 KG"/>
    <n v="25"/>
    <n v="1"/>
    <n v="110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MONECYL X 25 KG"/>
    <n v="1700"/>
    <n v="68"/>
    <n v="32045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CIPROFLOX X 5 KG"/>
    <n v="80"/>
    <n v="3.2"/>
    <n v="372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MOOTH SWEET X 5 KG"/>
    <n v="5"/>
    <n v="0.2"/>
    <n v="5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FRACTAL P X 25 KG"/>
    <n v="300"/>
    <n v="12"/>
    <n v="72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TILOMIIX 250 PREMIX X 25 KG"/>
    <n v="300"/>
    <n v="12"/>
    <n v="1497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KIRA 24 X 25 KG"/>
    <n v="300"/>
    <n v="12"/>
    <n v="5703000"/>
    <d v="2025-08-11T00:00:00"/>
    <d v="2025-08-11T00:00:00"/>
    <x v="0"/>
  </r>
  <r>
    <m/>
    <s v="1232168 "/>
    <d v="2025-08-08T00:00:00"/>
    <d v="1899-12-30T10:38:00"/>
    <d v="2025-08-13T00:00:00"/>
    <x v="156"/>
    <s v="BG22859"/>
    <d v="2025-08-11T00:00:00"/>
    <d v="1899-12-30T10:01:00"/>
    <x v="5"/>
    <s v="CIENAGA"/>
    <s v="ACCUREMAX X 25 KG"/>
    <n v="150"/>
    <n v="6"/>
    <n v="7950000"/>
    <d v="2025-08-12T00:00:00"/>
    <d v="2025-08-13T00:00:00"/>
    <x v="6"/>
  </r>
  <r>
    <m/>
    <s v="1232473 "/>
    <d v="2025-08-08T00:00:00"/>
    <d v="1899-12-30T14:56:00"/>
    <d v="2025-08-12T00:00:00"/>
    <x v="157"/>
    <s v="BG22858"/>
    <d v="2025-08-11T00:00:00"/>
    <d v="1899-12-30T10:04:00"/>
    <x v="5"/>
    <s v="ITAGUI"/>
    <s v="LOTUS X 10 KG"/>
    <n v="40"/>
    <n v="4"/>
    <n v="138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CIPROFLOX X 5 KG"/>
    <n v="80"/>
    <n v="16"/>
    <n v="436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SMOOTH SWEET X 75 GR"/>
    <n v="6"/>
    <n v="80"/>
    <n v="6"/>
    <d v="2025-08-12T00:00:00"/>
    <d v="2025-08-12T00:00:00"/>
    <x v="0"/>
  </r>
  <r>
    <m/>
    <s v="1232576"/>
    <d v="2025-08-08T00:00:00"/>
    <d v="1899-12-30T16:33:00"/>
    <d v="2025-08-12T00:00:00"/>
    <x v="159"/>
    <s v="BG22857"/>
    <d v="2025-08-11T00:00:00"/>
    <d v="1899-12-30T10:10:00"/>
    <x v="5"/>
    <s v="BUGA"/>
    <s v="FENIFLOR PREMIX X 25 KG"/>
    <n v="50"/>
    <n v="2"/>
    <n v="2646000"/>
    <d v="2025-08-12T00:00:00"/>
    <d v="2025-08-12T00:00:00"/>
    <x v="0"/>
  </r>
  <r>
    <m/>
    <s v="1232583 "/>
    <d v="2025-08-08T00:00:00"/>
    <d v="1899-12-30T16:35:00"/>
    <d v="2025-08-12T00:00:00"/>
    <x v="160"/>
    <s v="BG22856"/>
    <d v="2025-08-11T00:00:00"/>
    <d v="1899-12-30T10:16:00"/>
    <x v="6"/>
    <s v="ENVIGADO"/>
    <s v="ACCUREMAX X 25 KG"/>
    <n v="300"/>
    <n v="12"/>
    <n v="15900000"/>
    <d v="2025-08-12T00:00:00"/>
    <d v="2025-08-12T00:00:00"/>
    <x v="0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SAGAH X 25 KILOS"/>
    <n v="50"/>
    <n v="2"/>
    <n v="1750000"/>
    <d v="2025-08-12T00:00:00"/>
    <d v="2025-08-14T00:00:00"/>
    <x v="4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CLORTETRAX 20 % X 25 KG"/>
    <n v="700"/>
    <n v="28"/>
    <n v="11200000"/>
    <d v="2025-08-12T00:00:00"/>
    <d v="2025-08-14T00:00:00"/>
    <x v="4"/>
  </r>
  <r>
    <m/>
    <s v="001-OSC-63691"/>
    <d v="2025-08-11T00:00:00"/>
    <d v="1899-12-30T09:08:00"/>
    <d v="2025-08-11T00:00:00"/>
    <x v="162"/>
    <s v="BG22854"/>
    <d v="2025-08-11T00:00:00"/>
    <d v="1899-12-30T10:34:00"/>
    <x v="4"/>
    <s v="BELLO"/>
    <s v="DMB 11 X 25 KG"/>
    <n v="2000"/>
    <n v="80"/>
    <n v="36700000"/>
    <d v="2025-08-12T00:00:00"/>
    <d v="2025-08-11T00:00:00"/>
    <x v="1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HALQUINOX 500 X 25 KG"/>
    <n v="500"/>
    <n v="20"/>
    <s v="65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DINAMIX 200 PREMIX X 25 KG"/>
    <n v="300"/>
    <n v="12"/>
    <s v="33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NEOCYN X 25 KG "/>
    <n v="200"/>
    <n v="8"/>
    <s v="295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CIPROFLOX X 5 KG"/>
    <n v="120"/>
    <n v="24"/>
    <s v="1617,6USD"/>
    <d v="2025-08-21T00:00:00"/>
    <d v="2025-08-21T00:00:00"/>
    <x v="0"/>
  </r>
  <r>
    <m/>
    <s v="OC PENDIENTE"/>
    <d v="2025-08-11T00:00:00"/>
    <d v="1899-12-30T07:15:00"/>
    <d v="2025-08-13T00:00:00"/>
    <x v="164"/>
    <s v="BG22851"/>
    <d v="2025-08-11T00:00:00"/>
    <d v="1899-12-30T11:29:00"/>
    <x v="11"/>
    <s v="EL BRUJAL"/>
    <s v="NEOCYN X 25 KG "/>
    <n v="300"/>
    <n v="12"/>
    <n v="20400000"/>
    <d v="2025-08-12T00:00:00"/>
    <d v="2025-08-13T00:00:00"/>
    <x v="6"/>
  </r>
  <r>
    <m/>
    <s v="10584"/>
    <d v="2025-08-11T00:00:00"/>
    <d v="1899-12-30T07:20:00"/>
    <d v="2025-08-11T00:00:00"/>
    <x v="165"/>
    <s v="BG22942"/>
    <d v="2025-08-11T00:00:00"/>
    <d v="1899-12-30T11:32:00"/>
    <x v="10"/>
    <s v="BUCARAMANGA"/>
    <s v="FOSMYCINA 90 X 500 GR"/>
    <n v="5"/>
    <n v="10"/>
    <n v="2575000"/>
    <d v="2025-08-12T00:00:00"/>
    <d v="2025-08-11T00:00:00"/>
    <x v="10"/>
  </r>
  <r>
    <m/>
    <s v="4503785261"/>
    <d v="2025-08-11T00:00:00"/>
    <d v="1899-12-30T07:31:00"/>
    <d v="2025-08-14T00:00:00"/>
    <x v="166"/>
    <s v="BG22885"/>
    <d v="2025-08-11T00:00:00"/>
    <d v="1899-12-30T11:36:00"/>
    <x v="63"/>
    <s v="BUGA"/>
    <s v="DMB 11 X 25 KG"/>
    <n v="9200"/>
    <n v="368"/>
    <n v="163300000"/>
    <d v="2025-08-14T00:00:00"/>
    <d v="2025-08-14T00:00:00"/>
    <x v="0"/>
  </r>
  <r>
    <m/>
    <m/>
    <d v="2025-08-11T00:00:00"/>
    <d v="1899-12-30T07:33:00"/>
    <d v="2025-08-11T00:00:00"/>
    <x v="167"/>
    <s v="BG22973"/>
    <d v="2025-08-11T00:00:00"/>
    <d v="1899-12-30T11:47:00"/>
    <x v="9"/>
    <s v="BUCARAMANGA"/>
    <s v="FENIFLOR ORAL X 500 GR"/>
    <d v="2025-05-12T00:00:00"/>
    <n v="25"/>
    <n v="137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TILCOMIX ORAL X 1 LITRO"/>
    <n v="5"/>
    <n v="5"/>
    <n v="112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SMOOTH SWEET X 75 GR"/>
    <n v="750"/>
    <n v="10"/>
    <n v="0.75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ROFLOX X 1 LITRO"/>
    <n v="10"/>
    <n v="10"/>
    <n v="550000"/>
    <d v="2025-08-11T00:00:00"/>
    <d v="2025-08-11T00:00:00"/>
    <x v="0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TILCOMIX ORAL X 1 LITRO"/>
    <n v="5"/>
    <n v="5"/>
    <n v="1125000"/>
    <d v="2025-08-11T00:00:00"/>
    <d v="2025-08-13T00:00:00"/>
    <x v="4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FENIFLOR ORAL X 500 GR"/>
    <n v="10"/>
    <n v="20"/>
    <n v="1100000"/>
    <d v="2025-08-11T00:00:00"/>
    <d v="2025-08-13T00:00:00"/>
    <x v="4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CIPROFLOX X 5 KG"/>
    <n v="100"/>
    <n v="4"/>
    <n v="530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5 KG"/>
    <n v="5"/>
    <n v="0.2"/>
    <n v="5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75 GR"/>
    <n v="2.5"/>
    <n v="0.1"/>
    <n v="2.2999999999999998"/>
    <d v="2025-08-12T00:00:00"/>
    <d v="2025-08-13T00:00:00"/>
    <x v="6"/>
  </r>
  <r>
    <s v="TRANSPORTE "/>
    <m/>
    <d v="2025-08-11T00:00:00"/>
    <d v="1899-12-30T10:07:00"/>
    <d v="2025-08-13T00:00:00"/>
    <x v="170"/>
    <s v="BG22850"/>
    <d v="2025-08-11T00:00:00"/>
    <d v="1899-12-30T12:13:00"/>
    <x v="37"/>
    <s v="SANTA ROSA DE OSOS"/>
    <s v="CLORTETRAX 20 % X 25 KG"/>
    <n v="200"/>
    <n v="8"/>
    <n v="324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DMB 11 X 25 KG"/>
    <n v="50"/>
    <n v="2"/>
    <n v="9317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NEOCYN X 25 KG "/>
    <n v="200"/>
    <n v="8"/>
    <n v="14400000"/>
    <d v="2025-08-12T00:00:00"/>
    <d v="2025-08-13T00:00:00"/>
    <x v="6"/>
  </r>
  <r>
    <m/>
    <m/>
    <d v="2025-08-11T00:00:00"/>
    <d v="1899-12-30T11:51:00"/>
    <d v="2025-08-11T00:00:00"/>
    <x v="171"/>
    <s v="BG22849"/>
    <d v="2025-08-11T00:00:00"/>
    <d v="1899-12-30T12:26:00"/>
    <x v="65"/>
    <s v="BUCARAMANGA"/>
    <s v="FOSMYCINA 90 X 500 GR"/>
    <n v="2.5"/>
    <n v="5"/>
    <n v="1300520"/>
    <d v="2025-08-11T00:00:00"/>
    <d v="2025-08-11T00:00:00"/>
    <x v="0"/>
  </r>
  <r>
    <m/>
    <s v="91.206"/>
    <d v="2025-08-11T00:00:00"/>
    <d v="1899-12-30T11:38:00"/>
    <d v="2025-08-13T00:00:00"/>
    <x v="172"/>
    <s v="BG22853"/>
    <d v="2025-08-11T00:00:00"/>
    <d v="1899-12-30T12:31:00"/>
    <x v="41"/>
    <s v="BUGA"/>
    <s v="AMOXIN X 1 KG"/>
    <n v="14"/>
    <n v="14"/>
    <n v="2030000"/>
    <d v="2025-08-12T00:00:00"/>
    <d v="2025-08-13T00:00:00"/>
    <x v="6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CLORTETRAX 20 % X 25 KG"/>
    <n v="600"/>
    <n v="24"/>
    <n v="12120000"/>
    <d v="2025-08-15T00:00:00"/>
    <d v="2025-08-15T00:00:00"/>
    <x v="0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ACCUREMAX 10 % X 25 KG"/>
    <n v="50"/>
    <n v="2"/>
    <n v="12000000"/>
    <d v="2025-08-15T00:00:00"/>
    <d v="2025-08-15T00:00:00"/>
    <x v="0"/>
  </r>
  <r>
    <m/>
    <s v="005-OSC-9650"/>
    <d v="2025-08-11T00:00:00"/>
    <d v="1899-12-30T09:50:00"/>
    <d v="2025-08-15T00:00:00"/>
    <x v="174"/>
    <s v="BG22907"/>
    <d v="2025-08-11T00:00:00"/>
    <d v="1899-12-30T12:38:00"/>
    <x v="4"/>
    <s v="MOSQUERA"/>
    <s v="CLORTETRAX 20 % X 25 KG"/>
    <n v="2000"/>
    <n v="80"/>
    <n v="32600000"/>
    <d v="2025-08-15T00:00:00"/>
    <d v="2025-08-15T00:00:00"/>
    <x v="0"/>
  </r>
  <r>
    <m/>
    <s v="OCO-00009661"/>
    <d v="2025-08-11T00:00:00"/>
    <d v="1899-12-30T13:23:00"/>
    <d v="2025-08-12T00:00:00"/>
    <x v="175"/>
    <s v="BG22852"/>
    <d v="2025-08-11T00:00:00"/>
    <d v="1899-12-30T14:12:00"/>
    <x v="44"/>
    <s v="BOGOTA"/>
    <s v="NORFLOX X 1 KG"/>
    <n v="96"/>
    <n v="96"/>
    <n v="5328000"/>
    <d v="2025-08-12T00:00:00"/>
    <d v="2025-08-12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AMOXIN X 1 KG"/>
    <n v="10"/>
    <n v="10"/>
    <n v="150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FENIFLOR ORAL X 500 GR"/>
    <n v="50"/>
    <n v="100"/>
    <n v="525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NEOCYN X 1 KG "/>
    <n v="10"/>
    <n v="10"/>
    <n v="700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DMB 11 X 25 KG"/>
    <n v="875"/>
    <n v="35"/>
    <n v="18075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TILVASYN X 25 KG"/>
    <n v="25"/>
    <n v="1"/>
    <n v="5375000"/>
    <d v="2025-08-13T00:00:00"/>
    <d v="2025-08-13T00:00:00"/>
    <x v="0"/>
  </r>
  <r>
    <m/>
    <s v="1233493"/>
    <d v="2025-08-11T00:00:00"/>
    <d v="1899-12-30T14:51:00"/>
    <d v="2025-08-13T00:00:00"/>
    <x v="178"/>
    <s v="BG22868"/>
    <d v="2025-08-12T00:00:00"/>
    <d v="1899-12-30T10:15:00"/>
    <x v="5"/>
    <s v="BUGA"/>
    <s v="FENIFLOR PREMIX X 25 KG"/>
    <n v="75"/>
    <n v="3"/>
    <n v="3969000"/>
    <d v="2025-08-13T00:00:00"/>
    <d v="2025-08-13T00:00:00"/>
    <x v="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AMOXIN X 1 KG"/>
    <n v="150"/>
    <n v="150"/>
    <n v="21207000"/>
    <d v="2025-08-20T00:00:00"/>
    <d v="2025-08-19T00:00:00"/>
    <x v="1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CLORTETRAX 20 % X 25 KG"/>
    <n v="500"/>
    <n v="20"/>
    <n v="8100000"/>
    <d v="2025-08-20T00:00:00"/>
    <d v="2025-08-19T00:00:00"/>
    <x v="10"/>
  </r>
  <r>
    <m/>
    <s v="1233680 "/>
    <d v="2025-08-11T00:00:00"/>
    <d v="1899-12-30T16:28:00"/>
    <d v="2025-08-13T00:00:00"/>
    <x v="180"/>
    <s v="BG22867"/>
    <d v="2025-08-12T00:00:00"/>
    <d v="1899-12-30T10:25:00"/>
    <x v="6"/>
    <s v="ENVIGADO"/>
    <s v="LOTUS X 10 KG"/>
    <n v="60"/>
    <n v="6"/>
    <n v="2070000"/>
    <d v="2025-08-12T00:00:00"/>
    <d v="2025-08-13T00:00:00"/>
    <x v="6"/>
  </r>
  <r>
    <m/>
    <s v="001-OSC-63770"/>
    <d v="2025-08-11T00:00:00"/>
    <d v="1899-12-30T16:52:00"/>
    <d v="2025-08-15T00:00:00"/>
    <x v="181"/>
    <s v="BG22898"/>
    <d v="2025-08-12T00:00:00"/>
    <d v="1899-12-30T10:29:00"/>
    <x v="4"/>
    <s v="BELLO"/>
    <s v="LOTUS X 10 KG"/>
    <n v="200"/>
    <n v="20"/>
    <n v="7700000"/>
    <d v="2025-08-18T00:00:00"/>
    <d v="2025-08-15T00:00:00"/>
    <x v="2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CLORTETRAX 20 % X 25 KG"/>
    <n v="400"/>
    <n v="16"/>
    <n v="64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ACCUREMAX 10 % X 25 KG"/>
    <n v="25"/>
    <n v="1"/>
    <n v="5875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DINAMIX 800 X 25 KILOS"/>
    <n v="25"/>
    <n v="1"/>
    <n v="4100000"/>
    <d v="2025-08-15T00:00:00"/>
    <d v="2025-08-15T00:00:00"/>
    <x v="0"/>
  </r>
  <r>
    <s v="INVENTARIO"/>
    <s v="001-OC -00008166"/>
    <d v="2025-08-11T00:00:00"/>
    <d v="1899-12-30T18:05:00"/>
    <d v="2025-08-15T00:00:00"/>
    <x v="182"/>
    <s v="BG22957"/>
    <d v="2025-08-12T00:00:00"/>
    <d v="1899-12-30T12:00:00"/>
    <x v="25"/>
    <s v="YUMBO"/>
    <s v="CIGNUS X 20 KILOS"/>
    <n v="100"/>
    <n v="4"/>
    <n v="42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FRACTAL P X 25 KG"/>
    <n v="300"/>
    <n v="12"/>
    <n v="765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HALQUINOX 800 X 25 KG"/>
    <n v="25"/>
    <n v="1"/>
    <n v="2675000"/>
    <d v="2025-08-15T00:00:00"/>
    <d v="2025-08-15T00:00:00"/>
    <x v="0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CLORTETRAX 20 % X 25 KG"/>
    <n v="400"/>
    <n v="16"/>
    <n v="64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ACCUREMAX 10 % X 25 KG"/>
    <n v="50"/>
    <n v="2"/>
    <n v="1175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INAMIX 800 X 25 KILOS"/>
    <n v="50"/>
    <n v="2"/>
    <n v="82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MB 11 X 25 KG"/>
    <n v="50"/>
    <n v="2"/>
    <n v="975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FRACTAL P X 25 KG"/>
    <n v="200"/>
    <n v="8"/>
    <n v="51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HALQUINOX 800 X 25 KG"/>
    <n v="50"/>
    <n v="2"/>
    <n v="2675000"/>
    <d v="2025-08-21T00:00:00"/>
    <d v="2025-08-15T00:00:00"/>
    <x v="18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DMB 11 X 25 KG"/>
    <n v="100"/>
    <n v="4"/>
    <n v="1950000"/>
    <d v="2025-08-28T00:00:00"/>
    <d v="2025-08-26T00:00:00"/>
    <x v="5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CIGNUS X 20 KILOS"/>
    <n v="100"/>
    <n v="4"/>
    <n v="4200000"/>
    <d v="2025-08-28T00:00:00"/>
    <d v="2025-08-26T00:00:00"/>
    <x v="5"/>
  </r>
  <r>
    <m/>
    <s v="1234287"/>
    <d v="2025-08-12T00:00:00"/>
    <d v="1899-12-30T11:11:00"/>
    <d v="2025-08-14T00:00:00"/>
    <x v="185"/>
    <s v="BG22890"/>
    <d v="2025-08-12T00:00:00"/>
    <d v="1899-12-30T13:00:00"/>
    <x v="6"/>
    <s v="BOGOTA"/>
    <s v="FENIFLOR PREMIX X 25 KG"/>
    <n v="75"/>
    <n v="3"/>
    <n v="3969000"/>
    <d v="2025-08-15T00:00:00"/>
    <d v="2025-08-14T00:00:00"/>
    <x v="10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DINAMIX PREMIX X 25 KG"/>
    <n v="250"/>
    <n v="10"/>
    <n v="6500000"/>
    <d v="2025-08-13T00:00:00"/>
    <d v="2025-08-14T00:00:00"/>
    <x v="6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MONECYL X 25 KG"/>
    <n v="50"/>
    <n v="2"/>
    <n v="1050000"/>
    <d v="2025-08-13T00:00:00"/>
    <d v="2025-08-14T00:00:00"/>
    <x v="6"/>
  </r>
  <r>
    <m/>
    <s v="4500354094"/>
    <d v="2025-08-12T00:00:00"/>
    <d v="1899-12-30T11:39:00"/>
    <d v="2025-08-26T00:00:00"/>
    <x v="187"/>
    <s v="BG23005"/>
    <d v="2025-08-13T00:00:00"/>
    <d v="1899-12-30T09:30:00"/>
    <x v="2"/>
    <s v="BUGA"/>
    <s v="FRACTAL P X 25 KG"/>
    <n v="1200"/>
    <n v="48"/>
    <n v="30600000"/>
    <d v="2025-08-26T00:00:00"/>
    <d v="2025-08-26T00:00:00"/>
    <x v="0"/>
  </r>
  <r>
    <m/>
    <s v="1234614 "/>
    <d v="2025-08-12T00:00:00"/>
    <d v="1899-12-30T15:22:00"/>
    <d v="2025-08-25T00:00:00"/>
    <x v="188"/>
    <s v="BG22948"/>
    <d v="2025-08-13T00:00:00"/>
    <d v="1899-12-30T09:34:00"/>
    <x v="6"/>
    <s v="CARTAGO"/>
    <s v="ACCUREMAX X 25 KG"/>
    <n v="50"/>
    <n v="2"/>
    <n v="2650000"/>
    <d v="2025-08-26T00:00:00"/>
    <d v="2025-08-25T00:00:00"/>
    <x v="10"/>
  </r>
  <r>
    <m/>
    <s v="1234641 "/>
    <d v="2025-08-12T00:00:00"/>
    <d v="1899-12-30T15:38:00"/>
    <d v="2025-08-14T00:00:00"/>
    <x v="189"/>
    <s v="BG22971"/>
    <d v="2025-08-13T00:00:00"/>
    <d v="1899-12-30T10:51:00"/>
    <x v="43"/>
    <s v="BUCARAMANGA"/>
    <s v="CIPROFLOX X 5 KG"/>
    <n v="60"/>
    <n v="12"/>
    <n v="3270000"/>
    <d v="2025-08-13T00:00:00"/>
    <d v="2025-08-14T00:00:00"/>
    <x v="6"/>
  </r>
  <r>
    <m/>
    <s v="1234641 "/>
    <d v="2025-08-12T00:00:00"/>
    <d v="1899-12-30T15:38:00"/>
    <d v="2025-08-14T00:00:00"/>
    <x v="190"/>
    <s v="BG23038"/>
    <d v="2025-08-13T00:00:00"/>
    <d v="1899-12-30T10:51:00"/>
    <x v="43"/>
    <s v="BUCARAMANGA"/>
    <s v="SMOOTH SWEET X 75 GR"/>
    <n v="4.5"/>
    <n v="60"/>
    <n v="4.5"/>
    <d v="2025-08-13T00:00:00"/>
    <d v="2025-08-14T00:00:00"/>
    <x v="6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MB 11 X 25 KG"/>
    <n v="25"/>
    <n v="1"/>
    <n v="480000"/>
    <d v="2025-08-19T00:00:00"/>
    <d v="2025-08-19T00:00:00"/>
    <x v="0"/>
  </r>
  <r>
    <s v="INVENTARIO"/>
    <s v="A02-COC-280783"/>
    <d v="2025-08-12T00:00:00"/>
    <d v="1899-12-30T15:52:00"/>
    <d v="2025-08-21T00:00:00"/>
    <x v="191"/>
    <s v="BG22955"/>
    <d v="2025-08-13T00:00:00"/>
    <d v="1899-12-30T11:04:00"/>
    <x v="12"/>
    <s v="ITAGUI"/>
    <s v="CIGNUS X 20 KILOS"/>
    <n v="60"/>
    <n v="2.4"/>
    <n v="2520000"/>
    <d v="2025-08-19T00:00:00"/>
    <d v="2025-08-21T00:00:00"/>
    <x v="4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INAMIX 800 X 25 KILOS"/>
    <n v="400"/>
    <n v="16"/>
    <n v="65600000"/>
    <d v="2025-08-19T00:00:00"/>
    <d v="2025-08-19T00:00:00"/>
    <x v="0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MONECYL X 25 KG"/>
    <n v="4000"/>
    <n v="160"/>
    <n v="82000000"/>
    <d v="2025-08-19T00:00:00"/>
    <d v="2025-08-19T00:00:00"/>
    <x v="0"/>
  </r>
  <r>
    <m/>
    <s v="28507"/>
    <d v="2025-08-13T00:00:00"/>
    <d v="1899-12-30T07:27:00"/>
    <d v="2025-08-20T00:00:00"/>
    <x v="192"/>
    <s v="BG22889"/>
    <d v="2025-08-13T00:00:00"/>
    <d v="1899-12-30T11:06:00"/>
    <x v="68"/>
    <s v="LA MESA"/>
    <s v="DQCICLIN X 1 KG"/>
    <n v="7"/>
    <n v="7"/>
    <n v="1960000"/>
    <d v="2025-08-14T00:00:00"/>
    <d v="2025-08-20T00:00:00"/>
    <x v="9"/>
  </r>
  <r>
    <m/>
    <s v="4500354301"/>
    <d v="2025-08-13T00:00:00"/>
    <d v="1899-12-30T08:19:00"/>
    <d v="2025-08-26T00:00:00"/>
    <x v="193"/>
    <s v="BG23004"/>
    <d v="2025-08-13T00:00:00"/>
    <d v="1899-12-30T11:29:00"/>
    <x v="2"/>
    <s v="BUGA"/>
    <s v="LOTUS X 10 KG"/>
    <n v="800"/>
    <n v="80"/>
    <n v="30800000"/>
    <d v="2025-08-26T00:00:00"/>
    <d v="2025-08-26T00:00:00"/>
    <x v="0"/>
  </r>
  <r>
    <m/>
    <s v="1235043 "/>
    <d v="2025-08-13T00:00:00"/>
    <d v="1899-12-30T08:52:00"/>
    <d v="2025-08-15T00:00:00"/>
    <x v="194"/>
    <s v="BG22904"/>
    <d v="2025-08-13T00:00:00"/>
    <d v="1899-12-30T11:31:00"/>
    <x v="5"/>
    <s v="BUGA"/>
    <s v="CELERITY NP X 25 KG"/>
    <n v="50"/>
    <n v="2"/>
    <n v="675000"/>
    <d v="2025-08-18T00:00:00"/>
    <d v="2025-08-15T00:00:00"/>
    <x v="2"/>
  </r>
  <r>
    <m/>
    <m/>
    <d v="2025-08-13T00:00:00"/>
    <d v="1899-12-30T11:22:00"/>
    <d v="2025-08-14T00:00:00"/>
    <x v="195"/>
    <s v="BG22894"/>
    <d v="2025-08-13T00:00:00"/>
    <d v="1899-12-30T12:11:00"/>
    <x v="31"/>
    <s v="RECOGE EN BODEGA"/>
    <s v="CLORTETRAX 20 % X 25 KG"/>
    <n v="200"/>
    <n v="8"/>
    <n v="3160000"/>
    <d v="2025-08-14T00:00:00"/>
    <d v="2025-08-14T00:00:00"/>
    <x v="0"/>
  </r>
  <r>
    <m/>
    <s v="Y-001-2831"/>
    <d v="2025-08-13T00:00:00"/>
    <d v="1899-12-30T11:48:00"/>
    <d v="2025-08-15T00:00:00"/>
    <x v="196"/>
    <s v="BG22888"/>
    <d v="2025-08-13T00:00:00"/>
    <d v="1899-12-30T12:14:00"/>
    <x v="69"/>
    <s v="PALMIRA"/>
    <s v="DMB 11 X 25 KG"/>
    <n v="75"/>
    <n v="3"/>
    <n v="1462500"/>
    <d v="2025-08-14T00:00:00"/>
    <d v="2025-08-15T00:00:00"/>
    <x v="6"/>
  </r>
  <r>
    <m/>
    <s v="4503792904"/>
    <d v="2025-08-13T00:00:00"/>
    <d v="1899-12-30T13:01:00"/>
    <d v="2025-08-15T00:00:00"/>
    <x v="197"/>
    <s v="BG22895"/>
    <d v="2025-08-13T00:00:00"/>
    <d v="1899-12-30T14:17:00"/>
    <x v="63"/>
    <s v="BUGA"/>
    <s v="CLORTETRAX 20 % X 25 KG"/>
    <n v="5000"/>
    <n v="200"/>
    <n v="77500000"/>
    <d v="2025-08-15T00:00:00"/>
    <d v="2025-08-15T00:00:00"/>
    <x v="0"/>
  </r>
  <r>
    <m/>
    <s v="4503792905"/>
    <d v="2025-08-13T00:00:00"/>
    <d v="1899-12-30T13:01:00"/>
    <d v="2025-08-22T00:00:00"/>
    <x v="198"/>
    <s v="BG22972"/>
    <d v="2025-08-13T00:00:00"/>
    <d v="1899-12-30T14:17:00"/>
    <x v="63"/>
    <s v="BUGA"/>
    <s v="CLORTETRAX 20 % X 25 KG"/>
    <n v="5000"/>
    <n v="200"/>
    <n v="77500000"/>
    <d v="2025-08-22T00:00:00"/>
    <d v="2025-08-22T00:00:00"/>
    <x v="0"/>
  </r>
  <r>
    <m/>
    <s v="4500354287"/>
    <d v="2025-08-13T00:00:00"/>
    <d v="1899-12-30T14:00:00"/>
    <d v="2025-08-14T00:00:00"/>
    <x v="199"/>
    <s v="BG22893"/>
    <d v="2025-08-13T00:00:00"/>
    <d v="1899-12-30T14:21:00"/>
    <x v="54"/>
    <s v="BUCARAMANGA"/>
    <s v="CIPROFLOX X 5 KG"/>
    <n v="200"/>
    <n v="80"/>
    <n v="11200000"/>
    <d v="2025-08-14T00:00:00"/>
    <d v="2025-08-14T00:00:00"/>
    <x v="0"/>
  </r>
  <r>
    <m/>
    <s v="OSC 62557"/>
    <d v="2025-06-25T00:00:00"/>
    <d v="1899-12-30T11:05:00"/>
    <s v="JULIO"/>
    <x v="200"/>
    <s v="BG22892"/>
    <d v="2025-06-25T00:00:00"/>
    <d v="1899-12-30T11:50:00"/>
    <x v="4"/>
    <s v="BELLO"/>
    <s v="FRACTAL P X 25 KG"/>
    <n v="75"/>
    <n v="3"/>
    <n v="1912500"/>
    <d v="2025-07-02T00:00:00"/>
    <s v="JULIO"/>
    <x v="0"/>
  </r>
  <r>
    <m/>
    <s v="OC-COMPR-18076"/>
    <d v="2025-08-12T00:00:00"/>
    <d v="1899-12-30T14:26:00"/>
    <d v="2025-08-15T00:00:00"/>
    <x v="201"/>
    <s v="BG22910"/>
    <d v="2025-08-13T00:00:00"/>
    <d v="1899-12-30T16:13:00"/>
    <x v="19"/>
    <s v="RICAURTE"/>
    <s v="BIMMU X 25 KG"/>
    <n v="190"/>
    <n v="7.6"/>
    <n v="6650000"/>
    <d v="2025-08-14T00:00:00"/>
    <d v="2025-08-15T00:00:00"/>
    <x v="6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HALQUINOX 800 X 25 KG"/>
    <n v="2500"/>
    <n v="100"/>
    <n v="182167500"/>
    <d v="2025-08-15T00:00:00"/>
    <d v="2025-08-15T00:00:00"/>
    <x v="0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DINAMIX 800 X 25 KILOS"/>
    <n v="1500"/>
    <n v="60"/>
    <n v="184725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TILOMIIX 250 PREMIX X 25 KG"/>
    <n v="1000"/>
    <n v="40"/>
    <n v="499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ERITY NP X 25 KG"/>
    <n v="2000"/>
    <n v="80"/>
    <n v="2132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MANAX X 25 KG"/>
    <n v="250"/>
    <n v="10"/>
    <n v="35625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DMB 11 X 25 KG"/>
    <n v="2000"/>
    <n v="80"/>
    <n v="352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FENIFLOR PREMIX X 25 KG"/>
    <n v="300"/>
    <n v="12"/>
    <n v="15876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NEOCYN X 25 KG "/>
    <n v="400"/>
    <n v="16"/>
    <n v="2468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AMOXIN X 1 KG"/>
    <n v="200"/>
    <n v="8"/>
    <n v="271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IPROFLOX X 5 KG"/>
    <n v="300"/>
    <n v="12"/>
    <n v="13950000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CIPROFLOX X 5 KG"/>
    <n v="700"/>
    <n v="28"/>
    <n v="3255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SMOOTH SWEET X 5 KG"/>
    <n v="30"/>
    <n v="1.2"/>
    <n v="30"/>
    <d v="2025-08-15T00:00:00"/>
    <d v="2025-08-15T00:00:00"/>
    <x v="0"/>
  </r>
  <r>
    <s v="INVENTARIO"/>
    <s v="4500082125"/>
    <d v="2025-08-13T00:00:00"/>
    <d v="1899-12-30T18:21:00"/>
    <d v="2025-08-15T00:00:00"/>
    <x v="204"/>
    <s v="BG23047"/>
    <d v="2025-08-14T00:00:00"/>
    <d v="1899-12-30T08:30:00"/>
    <x v="0"/>
    <s v="MEDELLIN"/>
    <s v="SMOOTH SWEET X 5 KG"/>
    <n v="15"/>
    <n v="0.6"/>
    <n v="15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SMOOTH SWEET X 5 KG"/>
    <n v="30"/>
    <n v="1.2"/>
    <n v="45"/>
    <d v="2025-08-15T00:00:00"/>
    <d v="2025-08-15T00:00:00"/>
    <x v="0"/>
  </r>
  <r>
    <s v="INVENTARIO"/>
    <s v="1235660 "/>
    <d v="2025-08-14T00:00:00"/>
    <d v="1899-12-30T07:18:00"/>
    <d v="2025-08-23T00:00:00"/>
    <x v="205"/>
    <s v="BG22943"/>
    <d v="2025-08-14T00:00:00"/>
    <d v="1899-12-30T11:59:00"/>
    <x v="6"/>
    <s v="BOGOTA"/>
    <s v="DINAMIX PREMIX X 25 KG"/>
    <n v="75"/>
    <n v="3"/>
    <n v="1629750"/>
    <d v="2025-08-18T00:00:00"/>
    <d v="2025-08-23T00:00:00"/>
    <x v="8"/>
  </r>
  <r>
    <m/>
    <s v="1235660 "/>
    <d v="2025-08-14T00:00:00"/>
    <d v="1899-12-30T07:18:00"/>
    <d v="2025-08-15T00:00:00"/>
    <x v="206"/>
    <s v="BG22903"/>
    <d v="2025-08-14T00:00:00"/>
    <d v="1899-12-30T11:59:00"/>
    <x v="6"/>
    <s v="BOGOTA"/>
    <s v="DINAMIX PREMIX X 25 KG"/>
    <n v="200"/>
    <n v="8"/>
    <n v="4346000"/>
    <d v="2025-08-18T00:00:00"/>
    <d v="2025-08-15T00:00:00"/>
    <x v="2"/>
  </r>
  <r>
    <m/>
    <s v="1235660 "/>
    <d v="2025-08-14T00:00:00"/>
    <d v="1899-12-30T07:18:00"/>
    <d v="2025-08-15T00:00:00"/>
    <x v="207"/>
    <s v="BG22902"/>
    <d v="2025-08-14T00:00:00"/>
    <d v="1899-12-30T11:59:00"/>
    <x v="6"/>
    <s v="BOGOTA"/>
    <s v="LOTUS X 10 KG"/>
    <n v="60"/>
    <n v="6"/>
    <n v="2070000"/>
    <d v="2025-08-18T00:00:00"/>
    <d v="2025-08-15T00:00:00"/>
    <x v="2"/>
  </r>
  <r>
    <m/>
    <s v="022-OC-005268"/>
    <d v="2025-08-14T00:00:00"/>
    <d v="1899-12-30T07:36:00"/>
    <d v="2025-08-15T00:00:00"/>
    <x v="208"/>
    <s v="BG22901"/>
    <d v="2025-08-14T00:00:00"/>
    <d v="1899-12-30T12:09:00"/>
    <x v="27"/>
    <s v="ITALCOL FUNZA"/>
    <s v="LOTUS X 10 KG"/>
    <n v="200"/>
    <n v="8"/>
    <n v="7700000"/>
    <d v="2025-08-15T00:00:00"/>
    <d v="2025-08-15T00:00:00"/>
    <x v="0"/>
  </r>
  <r>
    <m/>
    <s v="1235875"/>
    <d v="2025-08-14T00:00:00"/>
    <d v="1899-12-30T08:50:00"/>
    <d v="2025-08-15T00:00:00"/>
    <x v="209"/>
    <s v="BG22900"/>
    <d v="2025-08-14T00:00:00"/>
    <d v="1899-12-30T12:12:00"/>
    <x v="5"/>
    <s v="BUCARAMANGA"/>
    <s v="TILVASYN X 25 KG"/>
    <n v="50"/>
    <n v="2"/>
    <n v="8750000"/>
    <d v="2025-08-15T00:00:00"/>
    <d v="2025-08-15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MANAX X 25 KG"/>
    <n v="500"/>
    <n v="20"/>
    <n v="7125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LOTUS X 10 KG"/>
    <n v="1000"/>
    <n v="40"/>
    <n v="31800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ERITY NP X 25 KG"/>
    <n v="2000"/>
    <n v="80"/>
    <n v="21320000"/>
    <d v="2025-08-20T00:00:00"/>
    <d v="2025-08-20T00:00:00"/>
    <x v="0"/>
  </r>
  <r>
    <m/>
    <s v="4500082142"/>
    <d v="2025-08-14T00:00:00"/>
    <d v="1899-12-30T10:10:00"/>
    <d v="2025-08-15T00:00:00"/>
    <x v="211"/>
    <s v="BG22914"/>
    <d v="2025-08-14T00:00:00"/>
    <d v="1899-12-30T10:43:00"/>
    <x v="0"/>
    <s v="MEDELLIN"/>
    <s v="CELERITY NP X 25 KG"/>
    <n v="600"/>
    <n v="24"/>
    <n v="9324000"/>
    <d v="2025-08-15T00:00:00"/>
    <d v="2025-08-15T00:00:00"/>
    <x v="0"/>
  </r>
  <r>
    <m/>
    <s v="P-1286"/>
    <d v="2025-08-14T00:00:00"/>
    <d v="1899-12-30T11:42:00"/>
    <d v="2025-08-15T00:00:00"/>
    <x v="212"/>
    <s v="BG22899"/>
    <d v="2025-08-14T00:00:00"/>
    <d v="1899-12-30T12:46:00"/>
    <x v="32"/>
    <s v="CALI"/>
    <s v="FOSMYCINA 90 X 500 GR"/>
    <n v="4.5"/>
    <n v="9"/>
    <m/>
    <d v="2025-08-15T00:00:00"/>
    <d v="2025-08-15T00:00:00"/>
    <x v="0"/>
  </r>
  <r>
    <s v="SAC ( MAL FACTURADO)"/>
    <n v="1202632"/>
    <d v="2025-06-25T00:00:00"/>
    <d v="1899-12-30T14:02:00"/>
    <m/>
    <x v="213"/>
    <s v="BG23045"/>
    <d v="2025-06-26T00:00:00"/>
    <d v="1899-12-30T11:49:00"/>
    <x v="43"/>
    <s v="CALDAS - ANTIOQUIA"/>
    <s v="FOSMYCINA 90 X 500 GR"/>
    <n v="12.5"/>
    <n v="25"/>
    <n v="5135000"/>
    <d v="2025-07-03T00:00:00"/>
    <m/>
    <x v="0"/>
  </r>
  <r>
    <m/>
    <m/>
    <d v="2025-08-14T00:00:00"/>
    <d v="1899-12-30T10:30:00"/>
    <d v="2025-08-15T00:00:00"/>
    <x v="214"/>
    <s v="BG22912"/>
    <d v="2025-08-15T00:00:00"/>
    <d v="1899-12-30T09:13:00"/>
    <x v="70"/>
    <s v="SABANETA"/>
    <s v="ROFLOX X 1 LITRO"/>
    <n v="7"/>
    <n v="7"/>
    <n v="446250"/>
    <d v="2025-08-15T00:00:00"/>
    <d v="2025-08-15T00:00:00"/>
    <x v="0"/>
  </r>
  <r>
    <m/>
    <s v="4500139591"/>
    <d v="2025-08-15T00:00:00"/>
    <d v="1899-12-30T08:07:00"/>
    <d v="2025-08-15T00:00:00"/>
    <x v="215"/>
    <s v="BG22909"/>
    <d v="2025-08-15T00:00:00"/>
    <d v="1899-12-30T09:17:00"/>
    <x v="49"/>
    <s v="FUSAGASUGA"/>
    <s v="FOSMYCINA 90 X 500 GR"/>
    <n v="24"/>
    <n v="48"/>
    <n v="12180000"/>
    <d v="2025-08-15T00:00:00"/>
    <d v="2025-08-15T00:00:00"/>
    <x v="0"/>
  </r>
  <r>
    <m/>
    <s v="432-25"/>
    <d v="2025-08-14T00:00:00"/>
    <d v="1899-12-30T14:58:00"/>
    <d v="2025-08-20T00:00:00"/>
    <x v="216"/>
    <s v="BG22919"/>
    <d v="2025-08-15T00:00:00"/>
    <d v="1899-12-30T10:01:00"/>
    <x v="22"/>
    <s v="RIONEGRO"/>
    <s v="FRACTAL P X 25 KG"/>
    <n v="250"/>
    <n v="10"/>
    <n v="6375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FRACTAL L X 20 KILOS"/>
    <n v="60"/>
    <n v="3"/>
    <n v="2310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ROFLOX X 1 LITRO"/>
    <n v="5"/>
    <n v="5"/>
    <n v="275000"/>
    <d v="2025-08-18T00:00:00"/>
    <d v="2025-08-20T00:00:00"/>
    <x v="4"/>
  </r>
  <r>
    <s v="INVENTARIO"/>
    <s v="1236319"/>
    <d v="2025-08-14T00:00:00"/>
    <d v="1899-12-30T15:35:00"/>
    <s v="DIA DE HOY"/>
    <x v="218"/>
    <s v="BG22940"/>
    <d v="2025-08-15T00:00:00"/>
    <d v="1899-12-30T10:49:00"/>
    <x v="5"/>
    <s v="BUGA"/>
    <s v="DINAMIX PREMIX X 25 KG"/>
    <n v="75"/>
    <n v="3"/>
    <n v="1629750"/>
    <d v="2025-08-18T00:00:00"/>
    <d v="2025-08-18T00:00:00"/>
    <x v="0"/>
  </r>
  <r>
    <m/>
    <s v="A02-COC-281283"/>
    <d v="2025-08-14T00:00:00"/>
    <d v="1899-12-30T15:55:00"/>
    <d v="2025-08-19T00:00:00"/>
    <x v="219"/>
    <s v="BG22917"/>
    <d v="2025-08-15T00:00:00"/>
    <d v="1899-12-30T10:52:00"/>
    <x v="12"/>
    <s v="ITAGUI"/>
    <s v="CLORTETRAX 20 % X 25 KG"/>
    <n v="2500"/>
    <n v="100"/>
    <n v="40000000"/>
    <d v="2025-08-19T00:00:00"/>
    <d v="2025-08-19T00:00:00"/>
    <x v="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LOTUS X 10 KG"/>
    <n v="100"/>
    <n v="4"/>
    <n v="385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CELMANAX X 25 KG"/>
    <n v="50"/>
    <n v="2"/>
    <n v="81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FRACTAL P X 25 KG"/>
    <n v="1000"/>
    <n v="40"/>
    <n v="25500000"/>
    <d v="2025-08-21T00:00:00"/>
    <d v="2025-08-20T00:00:00"/>
    <x v="10"/>
  </r>
  <r>
    <m/>
    <s v="1236496"/>
    <d v="2025-08-14T00:00:00"/>
    <d v="1899-12-30T18:21:00"/>
    <d v="2025-08-19T00:00:00"/>
    <x v="221"/>
    <s v="BG22970"/>
    <d v="2025-08-15T00:00:00"/>
    <d v="1899-12-30T11:40:00"/>
    <x v="43"/>
    <s v="CALDAS - ANTIOQUIA"/>
    <s v="ROFLOX X 1 LITRO"/>
    <n v="72"/>
    <n v="72"/>
    <n v="3355200"/>
    <d v="2025-08-18T00:00:00"/>
    <d v="2025-08-19T00:00:00"/>
    <x v="6"/>
  </r>
  <r>
    <m/>
    <s v="1236797 "/>
    <d v="2025-08-15T00:00:00"/>
    <d v="1899-12-30T08:57:00"/>
    <d v="2025-08-25T00:00:00"/>
    <x v="222"/>
    <s v="BG23002"/>
    <d v="2025-08-15T00:00:00"/>
    <d v="1899-12-30T11:44:00"/>
    <x v="6"/>
    <s v="BOGOTA"/>
    <s v="ACCUREMAX X 25 KG"/>
    <n v="150"/>
    <n v="6"/>
    <n v="7950000"/>
    <d v="2025-08-25T00:00:00"/>
    <d v="2025-08-2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TILOMIX ORAL X 1 KG"/>
    <n v="1"/>
    <n v="1"/>
    <n v="210800"/>
    <d v="2025-08-15T00:00:00"/>
    <d v="2025-08-1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SMOOTH SWEET X 15 GR"/>
    <n v="1.4999999999999999E-2"/>
    <n v="1"/>
    <n v="1"/>
    <d v="2025-08-15T00:00:00"/>
    <d v="2025-08-15T00:00:00"/>
    <x v="0"/>
  </r>
  <r>
    <m/>
    <s v="1236978 "/>
    <d v="2025-08-15T00:00:00"/>
    <d v="1899-12-30T11:36:00"/>
    <d v="2025-08-22T00:00:00"/>
    <x v="224"/>
    <s v="BG22968"/>
    <d v="2025-08-15T00:00:00"/>
    <d v="1899-12-30T12:16:00"/>
    <x v="5"/>
    <s v="BUGA"/>
    <s v="ACCUREMAX X 25 KG"/>
    <n v="275"/>
    <n v="11"/>
    <n v="14575000"/>
    <d v="2025-08-25T00:00:00"/>
    <d v="2025-08-22T00:00:00"/>
    <x v="2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5 KG"/>
    <n v="165"/>
    <n v="6.6"/>
    <n v="8745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SMOOTH SWEET X 5 KG"/>
    <n v="30"/>
    <n v="6"/>
    <n v="3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VASYN X 25 KG"/>
    <n v="150"/>
    <n v="6"/>
    <n v="30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COMIX PREMIX S X 5 KG"/>
    <n v="100"/>
    <n v="4"/>
    <n v="16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1KG"/>
    <n v="35"/>
    <n v="35"/>
    <n v="1855000"/>
    <d v="2025-08-18T00:00:00"/>
    <d v="2025-08-19T00:00:00"/>
    <x v="6"/>
  </r>
  <r>
    <m/>
    <s v="No. COC-00000140"/>
    <d v="2025-08-15T00:00:00"/>
    <d v="1899-12-30T12:12:00"/>
    <d v="2025-08-19T00:00:00"/>
    <x v="226"/>
    <s v="BG22923"/>
    <d v="2025-08-15T00:00:00"/>
    <d v="1899-12-30T13:01:00"/>
    <x v="37"/>
    <s v="DON MATIAS"/>
    <s v="CIPROFLOX X 5 KG"/>
    <n v="100"/>
    <n v="20"/>
    <n v="5300000"/>
    <d v="2025-08-18T00:00:00"/>
    <d v="2025-08-19T00:00:00"/>
    <x v="6"/>
  </r>
  <r>
    <m/>
    <m/>
    <d v="2025-08-15T00:00:00"/>
    <d v="1899-12-30T12:43:00"/>
    <d v="2025-08-19T00:00:00"/>
    <x v="227"/>
    <s v="BG22915"/>
    <d v="2025-08-15T00:00:00"/>
    <d v="1899-12-30T13:17:00"/>
    <x v="34"/>
    <s v="DON MATIAS"/>
    <s v="FRACTAL L X 20 KILOS"/>
    <n v="40"/>
    <n v="1.6"/>
    <n v="1540000"/>
    <d v="2025-08-18T00:00:00"/>
    <d v="2025-08-19T00:00:00"/>
    <x v="6"/>
  </r>
  <r>
    <m/>
    <m/>
    <d v="2025-08-15T00:00:00"/>
    <d v="1899-12-30T13:00:00"/>
    <d v="2025-08-19T00:00:00"/>
    <x v="228"/>
    <s v="BG22920"/>
    <d v="2025-08-15T00:00:00"/>
    <d v="1899-12-30T14:48:00"/>
    <x v="72"/>
    <s v="BARCON"/>
    <s v="CLORTETRAX 20 % X 25 KG"/>
    <n v="450"/>
    <n v="18"/>
    <n v="7110000"/>
    <d v="2025-08-20T00:00:00"/>
    <d v="2025-08-19T00:00:00"/>
    <x v="10"/>
  </r>
  <r>
    <s v="CANCELADO"/>
    <s v="OSC 62557"/>
    <d v="2025-06-25T00:00:00"/>
    <d v="1899-12-30T11:05:00"/>
    <s v="3 DE JULIO"/>
    <x v="200"/>
    <s v="BG22892"/>
    <d v="2025-06-25T00:00:00"/>
    <d v="1899-12-30T11:50:00"/>
    <x v="4"/>
    <s v="BELLO"/>
    <s v="FRACTAL P X 25 KG"/>
    <n v="75"/>
    <n v="3"/>
    <n v="1912500"/>
    <d v="2025-07-02T00:00:00"/>
    <s v="3 DE JULIO"/>
    <x v="0"/>
  </r>
  <r>
    <m/>
    <s v="4503791390"/>
    <d v="2025-08-15T00:00:00"/>
    <d v="1899-12-30T12:48:00"/>
    <d v="2025-08-21T00:00:00"/>
    <x v="229"/>
    <s v="BG22939"/>
    <d v="2025-08-19T00:00:00"/>
    <d v="1899-12-30T08:10:00"/>
    <x v="63"/>
    <s v="BUGA"/>
    <s v="SAGAH X 25 KILOS"/>
    <n v="200"/>
    <n v="8"/>
    <n v="6200000"/>
    <d v="2025-08-20T00:00:00"/>
    <d v="2025-08-21T00:00:00"/>
    <x v="6"/>
  </r>
  <r>
    <m/>
    <s v="4503791401"/>
    <d v="2025-08-15T00:00:00"/>
    <d v="1899-12-30T12:48:00"/>
    <d v="2025-08-21T00:00:00"/>
    <x v="230"/>
    <s v="BG22938"/>
    <d v="2025-08-19T00:00:00"/>
    <d v="1899-12-30T08:10:00"/>
    <x v="48"/>
    <s v="BUGA"/>
    <s v="SAGAH X 25 KILOS"/>
    <n v="11000"/>
    <n v="440"/>
    <n v="341000000"/>
    <d v="2025-08-20T00:00:00"/>
    <d v="2025-08-21T00:00:00"/>
    <x v="6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DMB 11 X 25 KG"/>
    <n v="125"/>
    <n v="5"/>
    <n v="2486000"/>
    <d v="2025-08-20T00:00:00"/>
    <d v="2025-08-20T00:00:00"/>
    <x v="0"/>
  </r>
  <r>
    <s v="TRANSPORTE "/>
    <s v="CFMP-1350"/>
    <d v="2025-08-16T00:00:00"/>
    <d v="1899-12-30T10:20:00"/>
    <d v="2025-08-20T00:00:00"/>
    <x v="231"/>
    <s v="BG22925"/>
    <d v="2025-08-19T00:00:00"/>
    <d v="1899-12-30T08:24:00"/>
    <x v="14"/>
    <s v="NUTRITEC"/>
    <s v="CLORTETRAX 20 % X 25 KG"/>
    <n v="650"/>
    <n v="26"/>
    <n v="10530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FRACTAL P X 25 KG"/>
    <n v="370"/>
    <n v="14.8"/>
    <n v="8925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HALQUINOX 800 X 25 KG"/>
    <n v="75"/>
    <n v="3"/>
    <n v="7687500"/>
    <d v="2025-08-20T00:00:00"/>
    <d v="2025-08-20T00:00:00"/>
    <x v="0"/>
  </r>
  <r>
    <s v="INVENTARIO"/>
    <s v="CFMP-1350"/>
    <d v="2025-08-16T00:00:00"/>
    <d v="1899-12-30T10:20:00"/>
    <d v="2025-08-25T00:00:00"/>
    <x v="231"/>
    <s v="BG22954"/>
    <d v="2025-08-19T00:00:00"/>
    <d v="1899-12-30T08:24:00"/>
    <x v="14"/>
    <s v="NUTRITEC"/>
    <s v="CIGNUS X 20 KILOS"/>
    <n v="40"/>
    <n v="1.6"/>
    <n v="1680000"/>
    <d v="2025-08-20T00:00:00"/>
    <d v="2025-08-25T00:00:00"/>
    <x v="8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FRACTAL P X 25 KG"/>
    <n v="200"/>
    <n v="8"/>
    <n v="4800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MONECYL X 25 KG"/>
    <n v="700"/>
    <n v="28"/>
    <n v="13195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PRENEO X 25 KG"/>
    <n v="50"/>
    <n v="2"/>
    <n v="31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CLORTETRAX 20 % X 25 KG"/>
    <n v="2000"/>
    <n v="80"/>
    <n v="326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DMB 11 X 25 KG"/>
    <n v="1000"/>
    <n v="40"/>
    <n v="18350000"/>
    <d v="2025-08-20T00:00:00"/>
    <d v="2025-08-20T00:00:00"/>
    <x v="0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1 KG"/>
    <n v="15"/>
    <n v="0.6"/>
    <n v="912300"/>
    <d v="2025-08-20T00:00:00"/>
    <d v="2025-08-21T00:00:00"/>
    <x v="6"/>
  </r>
  <r>
    <s v="INVENTARIO"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5 KG"/>
    <n v="25"/>
    <n v="1"/>
    <n v="1520500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SMOOTH SWEET X 75 GR"/>
    <n v="3"/>
    <n v="0.12"/>
    <n v="3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DQCICLIN X 1 KG"/>
    <n v="20"/>
    <n v="0.8"/>
    <n v="4700000"/>
    <d v="2025-08-20T00:00:00"/>
    <d v="2025-08-21T00:00:00"/>
    <x v="6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TILVASYN X 25 KG"/>
    <n v="200"/>
    <n v="8"/>
    <n v="39040000"/>
    <d v="2025-08-22T00:00:00"/>
    <d v="2025-08-22T00:00:00"/>
    <x v="0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CLORTETRAX 20 % X 25 KG"/>
    <n v="3000"/>
    <n v="120"/>
    <n v="47100000"/>
    <d v="2025-08-22T00:00:00"/>
    <d v="2025-08-22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HALQUINOX 800 X 25 KG"/>
    <n v="3000"/>
    <n v="120"/>
    <n v="218601000"/>
    <d v="2025-08-20T00:00:00"/>
    <d v="2025-08-20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DINAMIX 800 X 25 KILOS"/>
    <n v="1000"/>
    <n v="40"/>
    <n v="12515000"/>
    <d v="2025-08-20T00:00:00"/>
    <d v="2025-08-20T00:00:00"/>
    <x v="0"/>
  </r>
  <r>
    <s v="INVENTARIO"/>
    <s v="1237232 "/>
    <d v="2025-08-15T00:00:00"/>
    <d v="1899-12-30T15:38:00"/>
    <d v="2025-08-21T00:00:00"/>
    <x v="237"/>
    <s v="BG22966"/>
    <d v="2025-08-19T00:00:00"/>
    <d v="1899-12-30T12:04:00"/>
    <x v="43"/>
    <s v="BUCARAMANGA"/>
    <s v="CIPROFLOX X 5 KG"/>
    <n v="100"/>
    <n v="4"/>
    <n v="5450000"/>
    <d v="2025-08-22T00:00:00"/>
    <d v="2025-08-21T00:00:00"/>
    <x v="10"/>
  </r>
  <r>
    <m/>
    <s v="1237232 "/>
    <d v="2025-08-15T00:00:00"/>
    <d v="1899-12-30T15:38:00"/>
    <d v="2025-08-21T00:00:00"/>
    <x v="237"/>
    <s v="BG22966"/>
    <d v="2025-08-19T00:00:00"/>
    <d v="1899-12-30T12:04:00"/>
    <x v="43"/>
    <s v="BUCARAMANGA"/>
    <s v="SMOOTH SWEET X 75 GR"/>
    <n v="7.5"/>
    <n v="100"/>
    <n v="7.5"/>
    <d v="2025-08-22T00:00:00"/>
    <d v="2025-08-21T00:00:00"/>
    <x v="1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CLORTETRAX 20 % X 25 KG"/>
    <n v="3000"/>
    <n v="120"/>
    <n v="48900000"/>
    <d v="2025-08-22T00:00:00"/>
    <d v="2025-08-22T00:00:00"/>
    <x v="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DMB 11 X 25 KG"/>
    <n v="500"/>
    <n v="20"/>
    <n v="9175000"/>
    <d v="2025-08-22T00:00:00"/>
    <d v="2025-08-22T00:00:00"/>
    <x v="0"/>
  </r>
  <r>
    <m/>
    <m/>
    <d v="2025-08-18T00:00:00"/>
    <d v="1899-12-30T21:18:00"/>
    <d v="2025-08-20T00:00:00"/>
    <x v="239"/>
    <s v="BG22965"/>
    <d v="2025-08-19T00:00:00"/>
    <d v="1899-12-30T12:18:00"/>
    <x v="73"/>
    <s v="BUGA"/>
    <s v="MONECYL X 25 KG"/>
    <n v="100"/>
    <n v="4"/>
    <n v="2100000"/>
    <d v="2025-08-20T00:00:00"/>
    <d v="2025-08-20T00:00:00"/>
    <x v="0"/>
  </r>
  <r>
    <m/>
    <s v="OCO-00009710"/>
    <d v="2025-08-19T00:00:00"/>
    <d v="1899-12-30T08:54:00"/>
    <d v="2025-08-20T00:00:00"/>
    <x v="240"/>
    <s v="BG22930"/>
    <d v="2025-08-19T00:00:00"/>
    <d v="1899-12-30T12:20:00"/>
    <x v="44"/>
    <s v="BOGOTA"/>
    <s v="NORFLOX X 1 KG"/>
    <n v="96"/>
    <n v="96"/>
    <n v="5328000"/>
    <d v="2025-08-20T00:00:00"/>
    <d v="2025-08-20T00:00:00"/>
    <x v="0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DINAMIX 200 PREMIX X 25 KG"/>
    <n v="25"/>
    <n v="1"/>
    <n v="1446250"/>
    <d v="2025-08-20T00:00:00"/>
    <d v="2025-08-21T00:00:00"/>
    <x v="6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CLORTETRAX 20 % X 25 KG"/>
    <n v="125"/>
    <n v="5"/>
    <n v="2312500"/>
    <d v="2025-08-20T00:00:00"/>
    <d v="2025-08-21T00:00:00"/>
    <x v="6"/>
  </r>
  <r>
    <m/>
    <m/>
    <d v="2025-08-19T00:00:00"/>
    <d v="1899-12-30T12:50:00"/>
    <d v="2025-08-19T00:00:00"/>
    <x v="242"/>
    <s v="BG22975"/>
    <d v="2025-08-19T00:00:00"/>
    <d v="1899-12-30T12:55:00"/>
    <x v="75"/>
    <s v="SANTA ROSA DE OSOS"/>
    <s v="FENIFLOR PREMIX X 5 KG"/>
    <n v="25"/>
    <n v="1"/>
    <n v="1620000"/>
    <d v="2025-08-20T00:00:00"/>
    <d v="2025-08-19T00:00:00"/>
    <x v="10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CIPROFLOX X 1 KG"/>
    <n v="200"/>
    <n v="200"/>
    <n v="11400000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SMOOTH SWEET X 5 KG"/>
    <n v="15"/>
    <n v="3"/>
    <n v="15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FENIFLOR PREMIX X 5 KG"/>
    <n v="270"/>
    <n v="54"/>
    <n v="14580000"/>
    <d v="2025-08-20T00:00:00"/>
    <d v="2025-08-21T00:00:00"/>
    <x v="6"/>
  </r>
  <r>
    <m/>
    <s v="OC-1-493"/>
    <d v="2025-08-19T00:00:00"/>
    <d v="1899-12-30T10:46:00"/>
    <d v="2025-08-21T00:00:00"/>
    <x v="244"/>
    <s v="BG22927"/>
    <d v="2025-08-19T00:00:00"/>
    <d v="1899-12-30T13:15:00"/>
    <x v="76"/>
    <s v="YARUMAL"/>
    <s v="CLORTETRAX 20 % X 25 KG"/>
    <n v="100"/>
    <n v="4"/>
    <n v="1600000"/>
    <d v="2025-08-20T00:00:00"/>
    <d v="2025-08-21T00:00:00"/>
    <x v="6"/>
  </r>
  <r>
    <m/>
    <m/>
    <d v="2025-08-19T00:00:00"/>
    <d v="1899-12-30T12:00:00"/>
    <d v="2025-08-20T00:00:00"/>
    <x v="245"/>
    <s v="BG22928"/>
    <d v="2025-08-19T00:00:00"/>
    <d v="1899-12-30T13:30:00"/>
    <x v="77"/>
    <s v="GRANADA"/>
    <s v="DINAMIX 200 PREMIX X 25 KG"/>
    <n v="100"/>
    <n v="4"/>
    <n v="5450000"/>
    <d v="2025-08-20T00:00:00"/>
    <d v="2025-08-20T00:00:00"/>
    <x v="0"/>
  </r>
  <r>
    <m/>
    <s v="691"/>
    <d v="2025-08-19T00:00:00"/>
    <d v="1899-12-30T06:53:00"/>
    <d v="2025-08-20T00:00:00"/>
    <x v="246"/>
    <s v="BG22931"/>
    <d v="2025-08-19T00:00:00"/>
    <d v="1899-12-30T15:01:00"/>
    <x v="78"/>
    <s v="LERIDA"/>
    <s v="FRACTAL P X 25 KG"/>
    <n v="550"/>
    <n v="22"/>
    <n v="14025000"/>
    <d v="2025-08-21T00:00:00"/>
    <d v="2025-08-20T00:00:00"/>
    <x v="10"/>
  </r>
  <r>
    <s v="INVENTARIO"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IPROFLOX X 1 KG"/>
    <n v="100"/>
    <n v="4"/>
    <n v="5500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FRACTAL P X 25 KG"/>
    <n v="150"/>
    <n v="6"/>
    <n v="382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TILCOMIX PREMIX S X 5 KG"/>
    <n v="25"/>
    <n v="1"/>
    <n v="387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SMOOTH SWEET X 5 KG"/>
    <n v="15"/>
    <n v="5"/>
    <n v="15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ACCUREMAX X 25 KG"/>
    <n v="100"/>
    <n v="4"/>
    <n v="64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FRACTAL P X 25 KG"/>
    <n v="200"/>
    <n v="8"/>
    <n v="51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ERITY NP X 25 KG"/>
    <n v="100"/>
    <n v="4"/>
    <n v="1617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DMB 11 X 25 KG"/>
    <n v="200"/>
    <n v="8"/>
    <n v="4100000"/>
    <d v="2025-08-21T00:00:00"/>
    <d v="2025-08-21T00:00:00"/>
    <x v="0"/>
  </r>
  <r>
    <m/>
    <s v="103-OCC-36339"/>
    <d v="2025-08-19T00:00:00"/>
    <d v="1899-12-30T15:49:00"/>
    <d v="2025-08-21T00:00:00"/>
    <x v="249"/>
    <s v="BG22932"/>
    <d v="2025-08-19T00:00:00"/>
    <d v="1899-12-30T16:06:00"/>
    <x v="13"/>
    <s v="GIRARDOTA"/>
    <s v="FRACTAL P X 25 KG"/>
    <n v="600"/>
    <n v="24"/>
    <n v="15300000"/>
    <d v="2025-08-21T00:00:00"/>
    <d v="2025-08-21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IGNUS X 20 KILOS"/>
    <n v="600"/>
    <n v="24"/>
    <n v="20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LOTUS X 25 KG"/>
    <n v="4000"/>
    <n v="160"/>
    <n v="127200000"/>
    <d v="2025-08-21T00:00:00"/>
    <d v="2025-08-22T00:00:00"/>
    <x v="6"/>
  </r>
  <r>
    <s v="INVENTARIO"/>
    <s v="4500082246"/>
    <d v="2025-08-19T00:00:00"/>
    <d v="1899-12-30T22:20:00"/>
    <d v="2025-08-22T00:00:00"/>
    <x v="250"/>
    <s v="BG22952"/>
    <d v="2025-08-20T00:00:00"/>
    <d v="1899-12-30T08:15:00"/>
    <x v="0"/>
    <s v="MEDELLIN"/>
    <s v="CIPROFLOX X 5 KG"/>
    <n v="1000"/>
    <n v="40"/>
    <n v="46500000"/>
    <d v="2025-08-21T00:00:00"/>
    <d v="2025-08-22T00:00:00"/>
    <x v="6"/>
  </r>
  <r>
    <m/>
    <s v="4500082246"/>
    <d v="2025-08-19T00:00:00"/>
    <d v="1899-12-30T22:20:00"/>
    <d v="2025-08-28T00:00:00"/>
    <x v="250"/>
    <s v="BG22952"/>
    <d v="2025-08-20T00:00:00"/>
    <d v="1899-12-30T08:15:00"/>
    <x v="0"/>
    <s v="MEDELLIN"/>
    <s v="SMOOTH SWEET X 5 KG"/>
    <n v="25"/>
    <n v="1"/>
    <n v="25"/>
    <d v="2025-08-21T00:00:00"/>
    <d v="2025-08-28T00:00:00"/>
    <x v="14"/>
  </r>
  <r>
    <s v="INVENTARIO"/>
    <s v="4500082246"/>
    <d v="2025-08-19T00:00:00"/>
    <d v="1899-12-30T22:20:00"/>
    <d v="2025-08-28T00:00:00"/>
    <x v="250"/>
    <s v="BG23047"/>
    <d v="2025-08-20T00:00:00"/>
    <d v="1899-12-30T08:15:00"/>
    <x v="0"/>
    <s v="MEDELLIN"/>
    <s v="SMOOTH SWEET X 5 KG"/>
    <n v="50"/>
    <n v="2"/>
    <n v="50"/>
    <d v="2025-08-21T00:00:00"/>
    <d v="2025-08-28T00:00:00"/>
    <x v="14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NEOCYN X 25 KG "/>
    <n v="700"/>
    <n v="28"/>
    <n v="4319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ERITY NP X 25 KG"/>
    <n v="5000"/>
    <n v="200"/>
    <n v="533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TILOMIIX 250 PREMIX X 25 KG"/>
    <n v="800"/>
    <n v="32"/>
    <n v="3992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AMOXIN X 1 KG"/>
    <n v="200"/>
    <n v="8"/>
    <n v="271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MANAX X 25 KG"/>
    <n v="400"/>
    <n v="16"/>
    <n v="5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DMB 11 X 25 KG"/>
    <n v="1000"/>
    <n v="40"/>
    <n v="176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FENIFLOR PREMIX X 25 KG"/>
    <n v="150"/>
    <n v="6"/>
    <n v="7938000"/>
    <d v="2025-08-22T00:00:00"/>
    <d v="2025-08-22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MICRO AID X 25 KG"/>
    <n v="50"/>
    <n v="2"/>
    <n v="2600000"/>
    <d v="2025-08-22T00:00:00"/>
    <d v="2025-08-22T00:00:00"/>
    <x v="0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NORFLOX X 1 KG"/>
    <n v="10"/>
    <n v="10"/>
    <n v="68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TILCOMIX ORAL X 1 LITRO"/>
    <n v="10"/>
    <n v="10"/>
    <n v="231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SMOOTH SWEET X 75 GR"/>
    <n v="0.75"/>
    <n v="10"/>
    <n v="1"/>
    <d v="2025-08-21T00:00:00"/>
    <d v="2025-08-22T00:00:00"/>
    <x v="6"/>
  </r>
  <r>
    <s v="INVENTARIO"/>
    <s v="1238232 "/>
    <d v="2025-08-19T00:00:00"/>
    <d v="1899-12-30T15:44:00"/>
    <d v="2025-08-26T00:00:00"/>
    <x v="252"/>
    <s v="BG23022"/>
    <d v="2025-08-20T00:00:00"/>
    <d v="1899-12-30T10:15:00"/>
    <x v="6"/>
    <s v="RIVERA"/>
    <s v="DINAMIX PREMIX X 25 KG"/>
    <n v="175"/>
    <n v="7"/>
    <n v="3802750"/>
    <d v="2025-08-25T00:00:00"/>
    <d v="2025-08-26T00:00:00"/>
    <x v="6"/>
  </r>
  <r>
    <s v="CANCELADO"/>
    <s v="1238232 "/>
    <d v="2025-08-19T00:00:00"/>
    <d v="1899-12-30T15:44:00"/>
    <m/>
    <x v="253"/>
    <s v="CANCELADO"/>
    <d v="2025-08-20T00:00:00"/>
    <d v="1899-12-30T10:15:00"/>
    <x v="6"/>
    <s v="RIVERA"/>
    <s v="DINAMIX PREMIX X 25 KG"/>
    <n v="100"/>
    <n v="4"/>
    <n v="2173000"/>
    <d v="2025-08-25T00:00:00"/>
    <m/>
    <x v="0"/>
  </r>
  <r>
    <m/>
    <s v="1238251 "/>
    <d v="2025-08-19T00:00:00"/>
    <d v="1899-12-30T16:07:00"/>
    <d v="2025-08-22T00:00:00"/>
    <x v="254"/>
    <s v="BG22964"/>
    <d v="2025-08-20T00:00:00"/>
    <d v="1899-12-30T10:21:00"/>
    <x v="5"/>
    <s v="BUGA"/>
    <s v="FENIFLOR PREMIX X 25 KG"/>
    <n v="125"/>
    <n v="5"/>
    <n v="6615000"/>
    <d v="2025-08-25T00:00:00"/>
    <d v="2025-08-22T00:00:00"/>
    <x v="2"/>
  </r>
  <r>
    <m/>
    <s v="1238286"/>
    <d v="2025-08-19T00:00:00"/>
    <d v="1899-12-30T16:22:00"/>
    <d v="2025-08-26T00:00:00"/>
    <x v="255"/>
    <s v="BG23013"/>
    <d v="2025-08-20T00:00:00"/>
    <d v="1899-12-30T12:29:00"/>
    <x v="6"/>
    <s v="CARTAGO"/>
    <s v="ACCUREMAX X 25 KG"/>
    <n v="100"/>
    <n v="4"/>
    <n v="5300000"/>
    <d v="2025-08-28T00:00:00"/>
    <d v="2025-08-26T00:00:00"/>
    <x v="5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AMOXIN X 1 KG"/>
    <n v="150"/>
    <n v="150"/>
    <n v="21207000"/>
    <d v="2025-08-21T00:00:00"/>
    <d v="2025-08-21T00:00:00"/>
    <x v="0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FRACTAL P X 25 KG"/>
    <n v="200"/>
    <n v="8"/>
    <n v="5100000"/>
    <d v="2025-08-21T00:00:00"/>
    <d v="2025-08-21T00:00:00"/>
    <x v="0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FENIFLOR ORAL X 500 GR"/>
    <n v="30"/>
    <n v="60"/>
    <n v="3300000"/>
    <d v="2025-08-21T00:00:00"/>
    <d v="2025-08-22T00:00:00"/>
    <x v="6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AMOXIN X 1 KG"/>
    <n v="30"/>
    <n v="30"/>
    <n v="4500000"/>
    <d v="2025-08-21T00:00:00"/>
    <d v="2025-08-22T00:00:00"/>
    <x v="6"/>
  </r>
  <r>
    <m/>
    <m/>
    <d v="2025-08-20T00:00:00"/>
    <d v="1899-12-30T09:55:00"/>
    <d v="2025-08-22T00:00:00"/>
    <x v="258"/>
    <s v="BG23027"/>
    <d v="2025-08-20T00:00:00"/>
    <d v="1899-12-30T12:55:00"/>
    <x v="79"/>
    <s v="EL ROBLE"/>
    <s v="TILVASYN X 5 KG"/>
    <n v="5"/>
    <n v="1"/>
    <n v="1000000"/>
    <d v="2025-08-22T00:00:00"/>
    <d v="2025-08-22T00:00:00"/>
    <x v="0"/>
  </r>
  <r>
    <m/>
    <s v="60574 "/>
    <d v="2025-08-19T00:00:00"/>
    <d v="1899-12-30T16:52:00"/>
    <d v="2025-08-21T00:00:00"/>
    <x v="259"/>
    <s v="BG22986"/>
    <d v="2025-08-20T00:00:00"/>
    <d v="1899-12-30T13:02:00"/>
    <x v="56"/>
    <s v="BUCARAMANGA"/>
    <s v="CIGNUS X 20 KILOS"/>
    <n v="300"/>
    <n v="12"/>
    <n v="11400000"/>
    <d v="2025-08-22T00:00:00"/>
    <d v="2025-08-21T00:00:00"/>
    <x v="10"/>
  </r>
  <r>
    <m/>
    <s v="10786"/>
    <d v="2025-08-20T00:00:00"/>
    <d v="1899-12-30T07:58:00"/>
    <d v="2025-08-20T00:00:00"/>
    <x v="260"/>
    <s v="BG23014"/>
    <d v="2025-08-20T00:00:00"/>
    <d v="1899-12-30T13:06:00"/>
    <x v="10"/>
    <s v="LEBRIJA"/>
    <s v="FOSMYCINA 90 X 500 GR"/>
    <n v="8"/>
    <n v="16"/>
    <n v="4120000"/>
    <d v="2025-08-20T00:00:00"/>
    <d v="2025-08-20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AMOXIN X 1 KG"/>
    <n v="70"/>
    <n v="2.8"/>
    <n v="10493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NEOCYN X 1 KG "/>
    <n v="25"/>
    <n v="1"/>
    <n v="1570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FRACTAL L X 20 KILOS"/>
    <n v="100"/>
    <n v="5"/>
    <n v="3885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FRACTAL P X 25 KG"/>
    <n v="100"/>
    <n v="4"/>
    <n v="2550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LOTUS X 10 KG"/>
    <n v="200"/>
    <n v="8"/>
    <n v="7760000"/>
    <d v="2025-08-21T00:00:00"/>
    <d v="2025-08-21T00:00:00"/>
    <x v="0"/>
  </r>
  <r>
    <m/>
    <s v="Y-001-2839"/>
    <d v="2025-08-20T00:00:00"/>
    <d v="1899-12-30T17:44:00"/>
    <d v="2025-08-21T00:00:00"/>
    <x v="263"/>
    <s v="BG22958"/>
    <d v="2025-08-21T00:00:00"/>
    <d v="1899-12-30T08:51:00"/>
    <x v="69"/>
    <s v="RECOGE EN BODEGA"/>
    <s v="FENIFLOR ORAL X 500 GR"/>
    <n v="15"/>
    <n v="30"/>
    <n v="1749000"/>
    <d v="2025-08-21T00:00:00"/>
    <d v="2025-08-21T00:00:00"/>
    <x v="0"/>
  </r>
  <r>
    <m/>
    <s v="1239316 "/>
    <d v="2025-08-20T00:00:00"/>
    <d v="1899-12-30T16:13:00"/>
    <d v="2025-08-25T00:00:00"/>
    <x v="264"/>
    <s v="BG22963"/>
    <d v="2025-08-21T00:00:00"/>
    <d v="1899-12-30T09:11:00"/>
    <x v="5"/>
    <s v="CIENAGA"/>
    <s v="ACCUREMAX X 25 KG"/>
    <n v="250"/>
    <n v="10"/>
    <n v="13250000"/>
    <d v="2025-08-27T00:00:00"/>
    <d v="2025-08-25T00:00:00"/>
    <x v="5"/>
  </r>
  <r>
    <m/>
    <s v="1239366 "/>
    <d v="2025-08-20T00:00:00"/>
    <d v="1899-12-30T16:32:00"/>
    <d v="2025-08-27T00:00:00"/>
    <x v="265"/>
    <s v="BG23041"/>
    <d v="2025-08-21T00:00:00"/>
    <d v="1899-12-30T09:11:00"/>
    <x v="5"/>
    <s v="MOSQUERA"/>
    <s v="ACCUREMAX X 25 KG"/>
    <n v="250"/>
    <n v="10"/>
    <n v="13250000"/>
    <d v="2025-08-27T00:00:00"/>
    <d v="2025-08-27T00:00:00"/>
    <x v="0"/>
  </r>
  <r>
    <m/>
    <m/>
    <d v="2025-08-20T00:00:00"/>
    <d v="1899-12-30T15:28:00"/>
    <d v="2025-08-23T00:00:00"/>
    <x v="266"/>
    <s v="BG22962"/>
    <d v="2025-08-21T00:00:00"/>
    <d v="1899-12-30T09:24:00"/>
    <x v="19"/>
    <s v="RICAURTE"/>
    <s v="CLORTETRAX 20 % X 25 KG"/>
    <n v="50"/>
    <n v="2"/>
    <n v="1015000"/>
    <d v="2025-08-22T00:00:00"/>
    <d v="2025-08-23T00:00:00"/>
    <x v="6"/>
  </r>
  <r>
    <m/>
    <s v="OC-COMP-18406"/>
    <d v="2025-08-20T00:00:00"/>
    <d v="1899-12-30T15:28:00"/>
    <d v="2025-08-27T00:00:00"/>
    <x v="267"/>
    <s v="BG23017"/>
    <d v="2025-08-21T00:00:00"/>
    <d v="1899-12-30T11:22:00"/>
    <x v="19"/>
    <s v="RICAURTE"/>
    <s v="BIMMU X 25 KG"/>
    <n v="300"/>
    <n v="12"/>
    <n v="10500000"/>
    <d v="2025-08-22T00:00:00"/>
    <d v="2025-08-27T00:00:00"/>
    <x v="8"/>
  </r>
  <r>
    <m/>
    <s v="5503698655"/>
    <d v="2025-08-20T00:00:00"/>
    <d v="1899-12-30T16:37:00"/>
    <d v="2025-08-25T00:00:00"/>
    <x v="268"/>
    <s v="BG22996"/>
    <d v="2025-08-21T00:00:00"/>
    <d v="1899-12-30T09:36:00"/>
    <x v="51"/>
    <s v="CAVASA"/>
    <s v="NEOCYN X 25 KG "/>
    <n v="1000"/>
    <n v="40"/>
    <n v="67500000"/>
    <d v="2025-08-25T00:00:00"/>
    <d v="2025-08-25T00:00:00"/>
    <x v="0"/>
  </r>
  <r>
    <s v="INVENTARIO"/>
    <s v=" 1239481"/>
    <d v="2025-08-20T00:00:00"/>
    <d v="1899-12-30T17:36:00"/>
    <d v="2025-08-27T00:00:00"/>
    <x v="269"/>
    <s v="BG23035"/>
    <d v="2025-08-21T00:00:00"/>
    <d v="1899-12-30T09:39:00"/>
    <x v="5"/>
    <s v="BUGA"/>
    <s v="DINAMIX PREMIX X 25 KG"/>
    <n v="100"/>
    <n v="4"/>
    <n v="2173000"/>
    <d v="2025-08-27T00:00:00"/>
    <d v="2025-08-27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DINAMIX 800 X 25 KILOS"/>
    <n v="300"/>
    <n v="12"/>
    <n v="36945000"/>
    <d v="2025-08-26T00:00:00"/>
    <d v="2025-08-26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HALQUINOX 800 X 25 KG"/>
    <n v="3000"/>
    <n v="120"/>
    <n v="218601000"/>
    <d v="2025-08-26T00:00:00"/>
    <d v="2025-08-26T00:00:00"/>
    <x v="0"/>
  </r>
  <r>
    <m/>
    <s v="1239701 "/>
    <d v="2025-08-21T00:00:00"/>
    <d v="1899-12-30T08:13:00"/>
    <d v="2025-08-27T00:00:00"/>
    <x v="271"/>
    <s v="BG23021"/>
    <d v="2025-08-21T00:00:00"/>
    <d v="1899-12-30T12:27:00"/>
    <x v="6"/>
    <s v="BARBOSA ANTIOQUIA"/>
    <s v="CIGNUS X 20 KILOS"/>
    <n v="1000"/>
    <n v="50"/>
    <n v="34500000"/>
    <d v="2025-08-27T00:00:00"/>
    <d v="2025-08-27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HALQUINOX 800 X 25 KG"/>
    <n v="200"/>
    <n v="8"/>
    <n v="205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ENIFLOR PREMIX X 25 KG"/>
    <n v="750"/>
    <n v="30"/>
    <n v="48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ILOMIIX 250 PREMIX X 25 KG"/>
    <n v="50"/>
    <n v="2"/>
    <n v="2825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IPROFLOX X 5 KG"/>
    <n v="100"/>
    <n v="4"/>
    <n v="53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YLVASIN X 25 KG"/>
    <n v="25"/>
    <n v="1"/>
    <n v="4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RACTAL P X 25 KG"/>
    <n v="25"/>
    <n v="1"/>
    <n v="6375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LORTETRAX 20 % X 25 KG"/>
    <n v="200"/>
    <n v="8"/>
    <n v="32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SMOOTH SWEET X 75 GR"/>
    <n v="7.5"/>
    <n v="100"/>
    <n v="7.5"/>
    <d v="2025-08-25T00:00:00"/>
    <d v="2025-08-25T00:00:00"/>
    <x v="0"/>
  </r>
  <r>
    <m/>
    <s v="P-1301"/>
    <d v="2025-08-21T00:00:00"/>
    <d v="1899-12-30T11:33:00"/>
    <d v="2025-08-22T00:00:00"/>
    <x v="273"/>
    <s v="BG22982"/>
    <d v="2025-08-21T00:00:00"/>
    <d v="1899-12-30T13:08:00"/>
    <x v="32"/>
    <s v="CALI"/>
    <s v="FOSMYCINA 90 X 500 GR"/>
    <n v="1"/>
    <n v="2"/>
    <n v="501176"/>
    <d v="2025-08-22T00:00:00"/>
    <d v="2025-08-22T00:00:00"/>
    <x v="0"/>
  </r>
  <r>
    <m/>
    <s v="COC-00001807"/>
    <d v="2025-08-21T00:00:00"/>
    <d v="1899-12-30T16:20:00"/>
    <d v="2025-08-22T00:00:00"/>
    <x v="274"/>
    <s v="BG22989"/>
    <d v="2025-08-22T00:00:00"/>
    <d v="1899-12-30T08:51:00"/>
    <x v="31"/>
    <s v="RECOGE EN BODEGA"/>
    <s v="CLORTETRAX 20 % X 25 KG"/>
    <n v="300"/>
    <n v="12"/>
    <n v="4740000"/>
    <d v="2025-08-22T00:00:00"/>
    <d v="2025-08-22T00:00:00"/>
    <x v="0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FRACTAL P X 25 KG"/>
    <n v="75"/>
    <n v="3"/>
    <n v="1912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CLORTETRAX 20 % X 25 KG"/>
    <n v="2000"/>
    <n v="80"/>
    <n v="32600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DMB 11 X 25 KG"/>
    <n v="3000"/>
    <n v="120"/>
    <n v="55050000"/>
    <d v="2025-08-27T00:00:00"/>
    <d v="2025-08-25T00:00:00"/>
    <x v="5"/>
  </r>
  <r>
    <m/>
    <s v="1240347"/>
    <d v="2025-08-21T00:00:00"/>
    <d v="1899-12-30T16:07:00"/>
    <d v="2025-08-27T00:00:00"/>
    <x v="276"/>
    <s v="BG23012"/>
    <d v="2025-08-22T00:00:00"/>
    <d v="1899-12-30T11:11:00"/>
    <x v="5"/>
    <s v="BUCARAMANGA"/>
    <s v="ACCUREMAX X 25 KG"/>
    <n v="25"/>
    <n v="1"/>
    <n v="1325000"/>
    <d v="2025-08-26T00:00:00"/>
    <d v="2025-08-27T00:00:00"/>
    <x v="6"/>
  </r>
  <r>
    <m/>
    <s v="1240347"/>
    <d v="2025-08-21T00:00:00"/>
    <d v="1899-12-30T16:07:00"/>
    <d v="2025-08-27T00:00:00"/>
    <x v="277"/>
    <s v="BG23011"/>
    <d v="2025-08-22T00:00:00"/>
    <d v="1899-12-30T11:11:00"/>
    <x v="5"/>
    <s v="BUCARAMANGA"/>
    <s v="TILVASYN X 25 KG"/>
    <n v="25"/>
    <n v="1"/>
    <n v="4375000"/>
    <d v="2025-08-26T00:00:00"/>
    <d v="2025-08-27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FRACTAL P X 25 KG"/>
    <n v="275"/>
    <n v="11"/>
    <n v="7012500"/>
    <d v="2025-08-25T00:00:00"/>
    <d v="2025-08-26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LOTUS X 10 KG"/>
    <n v="440"/>
    <n v="44"/>
    <n v="17072000"/>
    <d v="2025-08-25T00:00:00"/>
    <d v="2025-08-26T00:00:00"/>
    <x v="6"/>
  </r>
  <r>
    <m/>
    <s v="1240844 "/>
    <d v="2025-08-22T00:00:00"/>
    <d v="1899-12-30T09:36:00"/>
    <d v="2025-08-26T00:00:00"/>
    <x v="279"/>
    <s v="BG23001"/>
    <d v="2025-08-22T00:00:00"/>
    <d v="1899-12-30T11:24:00"/>
    <x v="5"/>
    <s v="CIENAGA"/>
    <s v="LOTUS X 10 KG"/>
    <n v="20"/>
    <n v="2"/>
    <n v="690000"/>
    <d v="2025-08-25T00:00:00"/>
    <d v="2025-08-26T00:00:00"/>
    <x v="6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LOTUS X 10 KG"/>
    <n v="160"/>
    <n v="6.4"/>
    <n v="5600000"/>
    <d v="2025-08-25T00:00:00"/>
    <d v="2025-08-25T00:00:00"/>
    <x v="0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FRACTAL P X 25 KG"/>
    <n v="100"/>
    <n v="4"/>
    <n v="2550000"/>
    <d v="2025-08-25T00:00:00"/>
    <d v="2025-08-25T00:00:00"/>
    <x v="0"/>
  </r>
  <r>
    <m/>
    <s v="91.880"/>
    <d v="2025-08-22T00:00:00"/>
    <d v="1899-12-30T10:48:00"/>
    <d v="2025-08-26T00:00:00"/>
    <x v="281"/>
    <s v="BG23000"/>
    <d v="2025-08-22T00:00:00"/>
    <d v="1899-12-30T11:44:00"/>
    <x v="41"/>
    <s v="BUGA"/>
    <s v="CLORTETRAX 20 % X 25 KG"/>
    <n v="150"/>
    <n v="6"/>
    <n v="24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FRACTAL P X 25 KG"/>
    <n v="1000"/>
    <n v="40"/>
    <n v="255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DMB 11 X 25 KG"/>
    <n v="200"/>
    <n v="8"/>
    <n v="3640000"/>
    <d v="2025-08-25T00:00:00"/>
    <d v="2025-08-26T00:00:00"/>
    <x v="6"/>
  </r>
  <r>
    <m/>
    <m/>
    <d v="2025-08-22T00:00:00"/>
    <d v="1899-12-30T12:25:00"/>
    <d v="2025-08-26T00:00:00"/>
    <x v="283"/>
    <s v="BG23024"/>
    <d v="2025-08-22T00:00:00"/>
    <d v="1899-12-30T14:22:00"/>
    <x v="81"/>
    <s v="RISARALDA"/>
    <s v="CLORTETRAX 20 % X 25 KG"/>
    <n v="100"/>
    <n v="4"/>
    <n v="1700000"/>
    <d v="2025-08-25T00:00:00"/>
    <d v="2025-08-26T00:00:00"/>
    <x v="6"/>
  </r>
  <r>
    <m/>
    <m/>
    <d v="2025-08-22T00:00:00"/>
    <d v="1899-12-30T12:35:00"/>
    <d v="2025-08-26T00:00:00"/>
    <x v="283"/>
    <s v="BG23024"/>
    <d v="2025-08-22T00:00:00"/>
    <d v="1899-12-30T14:22:00"/>
    <x v="81"/>
    <s v="RISARALDA"/>
    <s v="TILVASYN X 25 KG"/>
    <n v="50"/>
    <n v="2"/>
    <n v="10750000"/>
    <d v="2025-08-25T00:00:00"/>
    <d v="2025-08-26T00:00:00"/>
    <x v="6"/>
  </r>
  <r>
    <s v="CANCELADO"/>
    <m/>
    <d v="2025-08-22T00:00:00"/>
    <d v="1899-12-30T14:00:00"/>
    <s v="FRACCIONAMIENTO"/>
    <x v="284"/>
    <m/>
    <d v="2025-08-22T00:00:00"/>
    <d v="1899-12-30T14:26:00"/>
    <x v="79"/>
    <s v="EL ROBLE"/>
    <s v="TILVASYN X 5 KG"/>
    <n v="10"/>
    <n v="2"/>
    <n v="2000000"/>
    <d v="2025-08-25T00:00:00"/>
    <s v="FRACCIONAMIENTO"/>
    <x v="0"/>
  </r>
  <r>
    <m/>
    <m/>
    <d v="2025-08-22T00:00:00"/>
    <d v="1899-12-30T14:30:00"/>
    <d v="2025-08-26T00:00:00"/>
    <x v="285"/>
    <s v="BG22999"/>
    <d v="2025-08-22T00:00:00"/>
    <d v="1899-12-30T14:35:00"/>
    <x v="82"/>
    <s v="BUGA"/>
    <s v="CLORTETRAX 20 % X 25 KG"/>
    <n v="200"/>
    <n v="8"/>
    <n v="3260000"/>
    <d v="2025-08-25T00:00:00"/>
    <d v="2025-08-26T00:00:00"/>
    <x v="6"/>
  </r>
  <r>
    <m/>
    <m/>
    <d v="2025-08-25T00:00:00"/>
    <d v="1899-12-30T08:00:00"/>
    <d v="2025-08-26T00:00:00"/>
    <x v="286"/>
    <s v="BG23020"/>
    <d v="2025-08-25T00:00:00"/>
    <d v="1899-12-30T08:50:00"/>
    <x v="83"/>
    <s v="RECOGE EN BODEGA"/>
    <s v="CLORTETRAX 20 % X 25 KG"/>
    <n v="400"/>
    <n v="16"/>
    <n v="6320000"/>
    <d v="2025-08-25T00:00:00"/>
    <d v="2025-08-26T00:00:00"/>
    <x v="6"/>
  </r>
  <r>
    <s v="INVENTARIO"/>
    <s v="1241128"/>
    <d v="2025-08-22T00:00:00"/>
    <d v="1899-12-30T14:19:00"/>
    <d v="2025-08-27T00:00:00"/>
    <x v="287"/>
    <s v="BG23034"/>
    <d v="2025-08-25T00:00:00"/>
    <d v="1899-12-30T12:01:00"/>
    <x v="6"/>
    <s v="CARTAGO"/>
    <s v="DINAMIX PREMIX X 25 KG"/>
    <n v="50"/>
    <n v="2"/>
    <n v="1086500"/>
    <d v="2025-08-26T00:00:00"/>
    <d v="2025-08-27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CIPROFLOX X 5 KG"/>
    <n v="5"/>
    <n v="1"/>
    <m/>
    <d v="2025-08-25T00:00:00"/>
    <d v="2025-08-26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SMOOTH SWEET X 75 GR"/>
    <n v="0.375"/>
    <n v="5"/>
    <m/>
    <d v="2025-08-25T00:00:00"/>
    <d v="2025-08-26T00:00:00"/>
    <x v="6"/>
  </r>
  <r>
    <m/>
    <s v="005-OSC-9721"/>
    <d v="2025-08-22T00:00:00"/>
    <d v="1899-12-30T14:30:00"/>
    <d v="2025-08-27T00:00:00"/>
    <x v="289"/>
    <s v="BG23040"/>
    <d v="2025-08-25T00:00:00"/>
    <d v="1899-12-30T12:17:00"/>
    <x v="4"/>
    <s v="MOSQUERA"/>
    <s v="DMB 11 X 25 KG"/>
    <n v="500"/>
    <n v="20"/>
    <n v="9175000"/>
    <d v="2025-08-27T00:00:00"/>
    <d v="2025-08-27T00:00:00"/>
    <x v="0"/>
  </r>
  <r>
    <m/>
    <s v="001-OSC-64169"/>
    <d v="2025-08-22T00:00:00"/>
    <d v="1899-12-30T16:00:00"/>
    <d v="2025-08-26T00:00:00"/>
    <x v="290"/>
    <s v="BG23008"/>
    <d v="2025-08-25T00:00:00"/>
    <d v="1899-12-30T12:26:00"/>
    <x v="4"/>
    <s v="BELLO"/>
    <s v="DMB 11 X 25 KG"/>
    <n v="400"/>
    <n v="16"/>
    <n v="7340000"/>
    <d v="2025-08-25T00:00:00"/>
    <d v="2025-08-26T00:00:00"/>
    <x v="6"/>
  </r>
  <r>
    <m/>
    <s v="001-SC-015404"/>
    <d v="2025-08-22T00:00:00"/>
    <d v="1899-12-30T14:56:00"/>
    <d v="2025-08-26T00:00:00"/>
    <x v="291"/>
    <s v="BG23018"/>
    <d v="2025-08-25T00:00:00"/>
    <d v="1899-12-30T13:03:00"/>
    <x v="38"/>
    <s v="ARMENIA"/>
    <s v="FENIFLOR PREMIX X 5 KG"/>
    <n v="25"/>
    <n v="1"/>
    <n v="1725000"/>
    <d v="2025-08-26T00:00:00"/>
    <d v="2025-08-26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LOTUS X 25 KG"/>
    <n v="100"/>
    <n v="4"/>
    <n v="385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ELMANAX X 25 KG"/>
    <n v="50"/>
    <n v="2"/>
    <n v="81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LORTETRAX 20 % X 25 KG"/>
    <n v="1000"/>
    <n v="40"/>
    <n v="16300000"/>
    <d v="2025-08-28T00:00:00"/>
    <d v="2025-08-28T00:00:00"/>
    <x v="0"/>
  </r>
  <r>
    <m/>
    <s v="4500355106"/>
    <d v="2025-08-22T00:00:00"/>
    <d v="1899-12-30T16:51:00"/>
    <d v="2025-08-27T00:00:00"/>
    <x v="293"/>
    <s v="BG23010"/>
    <d v="2025-08-25T00:00:00"/>
    <d v="1899-12-30T14:26:00"/>
    <x v="54"/>
    <s v="BUCARAMANGA"/>
    <s v="FRACTAL L X 20 KILOS"/>
    <n v="300"/>
    <n v="15"/>
    <n v="11655000"/>
    <d v="2025-08-26T00:00:00"/>
    <d v="2025-08-27T00:00:00"/>
    <x v="6"/>
  </r>
  <r>
    <m/>
    <s v="1241879 "/>
    <d v="2025-08-22T00:00:00"/>
    <d v="1899-12-30T08:37:00"/>
    <d v="2025-08-28T00:00:00"/>
    <x v="294"/>
    <s v="BG23019"/>
    <d v="2025-08-25T00:00:00"/>
    <d v="1899-12-30T14:28:00"/>
    <x v="6"/>
    <s v="ENVIGADO"/>
    <s v="FRACTAL P X 25 KG"/>
    <n v="75"/>
    <n v="3"/>
    <n v="1800000"/>
    <d v="2025-08-26T00:00:00"/>
    <d v="2025-08-28T00:00:00"/>
    <x v="4"/>
  </r>
  <r>
    <m/>
    <m/>
    <d v="2025-08-25T00:00:00"/>
    <d v="1899-12-30T15:12:00"/>
    <d v="2025-08-26T00:00:00"/>
    <x v="295"/>
    <s v="BG23009"/>
    <d v="2025-08-25T00:00:00"/>
    <d v="1899-12-30T15:02:00"/>
    <x v="28"/>
    <s v="BUGA"/>
    <s v="CLORTETRAX 20 % X 25 KG"/>
    <n v="25"/>
    <n v="1"/>
    <n v="425000"/>
    <d v="2025-08-26T00:00:00"/>
    <d v="2025-08-26T00:00:00"/>
    <x v="0"/>
  </r>
  <r>
    <s v="CARTERA"/>
    <m/>
    <d v="2025-08-25T00:00:00"/>
    <d v="1899-12-30T15:00:00"/>
    <d v="2025-08-27T00:00:00"/>
    <x v="296"/>
    <s v="BG23033"/>
    <d v="2025-08-25T00:00:00"/>
    <d v="1899-12-30T15:40:00"/>
    <x v="84"/>
    <s v="BUCARAMANGA"/>
    <s v="FOSMYCINA 90 X 500 GR"/>
    <n v="10"/>
    <n v="20"/>
    <n v="5202080"/>
    <d v="2025-08-25T00:00:00"/>
    <d v="2025-08-27T00:00:00"/>
    <x v="4"/>
  </r>
  <r>
    <m/>
    <s v="1241736"/>
    <d v="2025-08-24T00:00:00"/>
    <d v="1899-12-30T14:17:00"/>
    <d v="2025-08-27T00:00:00"/>
    <x v="297"/>
    <s v="BG23039"/>
    <d v="2025-08-25T00:00:00"/>
    <d v="1899-12-30T15:48:00"/>
    <x v="5"/>
    <s v="MOSQUERA"/>
    <s v="DINAMIX 200 PREMIX X 25 KG"/>
    <n v="100"/>
    <n v="4"/>
    <n v="3990000"/>
    <d v="2025-08-28T00:00:00"/>
    <d v="2025-08-27T00:00:00"/>
    <x v="1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ESPELIN 88 X 25 KG"/>
    <n v="400"/>
    <n v="16"/>
    <n v="148216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ENIFLOR PREMIX X 25 KG"/>
    <n v="100"/>
    <n v="4"/>
    <n v="5292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RACTAL P X 25 KG"/>
    <n v="100"/>
    <n v="4"/>
    <n v="240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TILOMIX 250 PREMIX X 25 KG"/>
    <n v="500"/>
    <n v="20"/>
    <n v="2495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MONECYL X 25 KG"/>
    <n v="1200"/>
    <n v="48"/>
    <n v="2262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SAGAH X 25 KILOS"/>
    <n v="100"/>
    <n v="4"/>
    <n v="3020000"/>
    <d v="2025-08-27T00:00:00"/>
    <d v="2025-08-27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1 KG"/>
    <n v="169"/>
    <n v="6.76"/>
    <n v="101738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OSMYCINA 90 X 500 GR"/>
    <n v="60"/>
    <n v="2.4"/>
    <n v="3007056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1KG"/>
    <n v="64"/>
    <n v="2.56"/>
    <n v="44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5 KG"/>
    <n v="55"/>
    <n v="2.2000000000000002"/>
    <n v="30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LORTETRAX 20 % X 25 KG"/>
    <n v="150"/>
    <n v="6"/>
    <n v="24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ENIFLOR ORAL X 500 GR"/>
    <n v="65.5"/>
    <n v="2.62"/>
    <n v="6681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DQCICLIN X 1 KG"/>
    <n v="51"/>
    <n v="2.04"/>
    <n v="1479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5 KG"/>
    <n v="50"/>
    <n v="2"/>
    <n v="301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25 KG "/>
    <n v="125"/>
    <n v="5"/>
    <n v="875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25 KG"/>
    <n v="250"/>
    <n v="10"/>
    <n v="140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TILVASYN X 25 KG"/>
    <n v="25"/>
    <n v="1"/>
    <n v="5250000"/>
    <d v="2025-08-25T00:00:00"/>
    <d v="2025-08-25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DQCICLIN X 1 KG"/>
    <n v="6"/>
    <n v="6"/>
    <n v="1948116"/>
    <d v="2025-08-26T00:00:00"/>
    <d v="2025-08-26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FOSMYCINA 90 X 500 GR"/>
    <n v="7.5"/>
    <n v="15"/>
    <n v="3901560"/>
    <d v="2025-08-26T00:00:00"/>
    <d v="2025-08-26T00:00:00"/>
    <x v="0"/>
  </r>
  <r>
    <m/>
    <s v="47162"/>
    <d v="2025-08-25T00:00:00"/>
    <d v="1899-12-30T11:52:00"/>
    <s v="ela en mandar y servir 27/08/2025"/>
    <x v="301"/>
    <s v="BG23037"/>
    <d v="2025-08-26T00:00:00"/>
    <d v="1899-12-30T09:50:00"/>
    <x v="79"/>
    <s v="EL ROBLE"/>
    <s v="TILVASYN X 5 KG"/>
    <n v="5"/>
    <n v="1"/>
    <n v="1000000"/>
    <d v="2025-08-27T00:00:00"/>
    <d v="2025-08-27T00:00:00"/>
    <x v="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CLORTETRAX 20 % X 25 KG"/>
    <n v="500"/>
    <n v="20"/>
    <n v="8100000"/>
    <d v="2025-08-28T00:00:00"/>
    <d v="2025-08-27T00:00:00"/>
    <x v="1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SALINOMIX 12% X 25 KG"/>
    <n v="75"/>
    <n v="3"/>
    <n v="900000"/>
    <d v="2025-08-28T00:00:00"/>
    <d v="2025-08-27T00:00:00"/>
    <x v="1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AMOXIN X 1 KG"/>
    <n v="30"/>
    <n v="1.2"/>
    <n v="48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OMIX 250 PREMIX X 25 KG"/>
    <n v="35"/>
    <n v="1.4"/>
    <n v="155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FENIFLOR PREMIX X 25 KG"/>
    <n v="25"/>
    <n v="1"/>
    <n v="18125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COMIX PREMIX S X 5 KG"/>
    <n v="25"/>
    <n v="1"/>
    <n v="3875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PROFLOX X 5 KG"/>
    <n v="200"/>
    <n v="8"/>
    <n v="110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SMOOTH SWEET X 75 GR"/>
    <n v="15"/>
    <n v="200"/>
    <n v="15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GNUS X 20 KILOS"/>
    <n v="60"/>
    <n v="3"/>
    <n v="252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ELMANAX X 25 KG"/>
    <n v="500"/>
    <n v="20"/>
    <n v="8657500"/>
    <d v="2025-08-27T00:00:00"/>
    <d v="2025-08-27T00:00:00"/>
    <x v="0"/>
  </r>
  <r>
    <m/>
    <s v="1242991 "/>
    <d v="2025-08-26T00:00:00"/>
    <d v="1899-12-30T11:19:00"/>
    <d v="2025-08-27T00:00:00"/>
    <x v="304"/>
    <s v="BG23038"/>
    <d v="2025-08-26T00:00:00"/>
    <d v="1899-12-30T12:14:00"/>
    <x v="43"/>
    <s v="BUCARAMANGA"/>
    <s v="CIPROFLOX X 5 KG"/>
    <n v="80"/>
    <n v="3.2"/>
    <n v="4360000"/>
    <d v="2025-08-27T00:00:00"/>
    <d v="2025-08-27T00:00:00"/>
    <x v="0"/>
  </r>
  <r>
    <m/>
    <s v="1242991 "/>
    <d v="2025-08-26T00:00:00"/>
    <d v="1899-12-30T11:19:00"/>
    <d v="2025-08-27T00:00:00"/>
    <x v="305"/>
    <s v="BG23038"/>
    <d v="2025-08-26T00:00:00"/>
    <d v="1899-12-30T12:14:00"/>
    <x v="43"/>
    <s v="BUCARAMANGA"/>
    <s v="SMOOTH SWEET X 75 GR"/>
    <n v="6"/>
    <n v="80"/>
    <n v="6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HALQUINOX 800 X 25 KG"/>
    <n v="500"/>
    <n v="20"/>
    <n v="36433500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DINAMIX 800 X 25 KILOS"/>
    <n v="350"/>
    <n v="14"/>
    <n v="43102500"/>
    <d v="2025-08-27T00:00:00"/>
    <d v="2025-08-27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FENIFLOR PREMIX X 25 KG"/>
    <n v="1000"/>
    <n v="40"/>
    <n v="529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TILOMIX 250 PREMIX X 25 KG"/>
    <n v="2000"/>
    <n v="80"/>
    <n v="998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CCUREMAX 20% X 25 KG"/>
    <n v="400"/>
    <n v="16"/>
    <n v="176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MANAX X 25 KG"/>
    <n v="1000"/>
    <n v="40"/>
    <n v="1425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MB 11 X 25 KG"/>
    <n v="2500"/>
    <n v="100"/>
    <n v="44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PROFLOX X 5 KG"/>
    <n v="200"/>
    <n v="8"/>
    <n v="9300000"/>
    <d v="2025-08-28T00:00:00"/>
    <d v="2025-08-28T00:00:00"/>
    <x v="0"/>
  </r>
  <r>
    <s v="INVENTARIO"/>
    <s v="4500082398"/>
    <d v="2025-08-26T00:00:00"/>
    <d v="1899-12-30T12:41:00"/>
    <d v="2025-08-28T00:00:00"/>
    <x v="307"/>
    <s v="BG23048"/>
    <d v="2025-08-26T00:00:00"/>
    <d v="1899-12-30T16:33:00"/>
    <x v="0"/>
    <s v="MEDELLIN"/>
    <s v="SMOOTH SWEET X 5 KG"/>
    <n v="75"/>
    <n v="3"/>
    <n v="75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ONECYL X 25 KG"/>
    <n v="1200"/>
    <n v="48"/>
    <n v="226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GNUS X 20 KILOS"/>
    <n v="260"/>
    <n v="10.4"/>
    <n v="897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ERITY NP X 25 KG"/>
    <n v="3000"/>
    <n v="120"/>
    <n v="3198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MOXIN X 1 KG"/>
    <n v="200"/>
    <n v="8"/>
    <n v="27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SAGAH X 25 KILOS"/>
    <n v="500"/>
    <n v="20"/>
    <n v="15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ICRO AID X 25 KG"/>
    <n v="100"/>
    <n v="4"/>
    <n v="52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QCICLIN X 1 KG"/>
    <n v="40"/>
    <n v="1.6"/>
    <n v="7000000"/>
    <d v="2025-08-28T00:00:00"/>
    <d v="2025-08-28T00:00:00"/>
    <x v="0"/>
  </r>
  <r>
    <m/>
    <s v="4500082414"/>
    <d v="2025-08-26T00:00:00"/>
    <d v="1899-12-30T16:51:00"/>
    <d v="2025-08-28T00:00:00"/>
    <x v="308"/>
    <s v="BG23049"/>
    <d v="2025-08-26T00:00:00"/>
    <d v="1899-12-30T17:09:00"/>
    <x v="0"/>
    <s v="MEDELLIN"/>
    <s v="DMB 11 X 25 KG"/>
    <n v="2000"/>
    <n v="80"/>
    <m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ROFLOX X 1 LITRO"/>
    <n v="4"/>
    <n v="4"/>
    <n v="220000"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NORFLOX X 1 KG"/>
    <n v="1"/>
    <n v="1"/>
    <n v="65000"/>
    <d v="2025-08-28T00:00:00"/>
    <d v="2025-08-28T00:00:00"/>
    <x v="0"/>
  </r>
  <r>
    <m/>
    <s v="NA"/>
    <d v="2025-08-28T00:00:00"/>
    <d v="1899-12-30T07:00:00"/>
    <d v="2025-08-28T00:00:00"/>
    <x v="310"/>
    <s v="BG23129"/>
    <d v="2025-08-28T00:00:00"/>
    <d v="1899-12-30T08:25:00"/>
    <x v="87"/>
    <s v="SANTA ROSA DE OSOS"/>
    <s v="ROFLOX X 1 LITRO"/>
    <n v="2"/>
    <n v="2"/>
    <n v="110000"/>
    <d v="2025-08-28T00:00:00"/>
    <d v="2025-08-28T00:00:00"/>
    <x v="0"/>
  </r>
  <r>
    <m/>
    <s v="NA"/>
    <d v="2025-08-28T00:00:00"/>
    <d v="1899-12-30T08:38:00"/>
    <d v="2025-08-29T00:00:00"/>
    <x v="311"/>
    <s v="BG23056"/>
    <d v="2025-08-28T00:00:00"/>
    <d v="1899-12-30T09:24:00"/>
    <x v="88"/>
    <s v="VILLAVICENCIO"/>
    <s v="HALQUINOX 800 X 25 KG"/>
    <n v="25"/>
    <n v="1"/>
    <n v="2874375"/>
    <d v="2025-08-30T00:00:00"/>
    <d v="2025-08-29T00:00:00"/>
    <x v="10"/>
  </r>
  <r>
    <m/>
    <s v="01-OC -00003850"/>
    <d v="2025-08-27T00:00:00"/>
    <d v="1899-12-30T10:21:00"/>
    <d v="2025-08-29T00:00:00"/>
    <x v="312"/>
    <s v="BG23051"/>
    <d v="2025-08-27T00:00:00"/>
    <d v="1899-12-30T13:24:00"/>
    <x v="7"/>
    <s v="NUTRITEC"/>
    <s v="DMB 11 X 25 KG"/>
    <n v="125"/>
    <n v="5"/>
    <n v="2425000"/>
    <d v="2025-08-28T00:00:00"/>
    <d v="2025-08-29T00:00:00"/>
    <x v="6"/>
  </r>
  <r>
    <m/>
    <s v="OC00001612BX"/>
    <d v="2025-08-27T00:00:00"/>
    <d v="1899-12-30T11:16:00"/>
    <d v="2025-08-30T00:00:00"/>
    <x v="313"/>
    <s v="BG23057"/>
    <d v="2025-08-27T00:00:00"/>
    <d v="1899-12-30T14:57:00"/>
    <x v="8"/>
    <s v="SABANETA"/>
    <s v="CLORTETRAX 20 % X 25 KG"/>
    <n v="500"/>
    <n v="20"/>
    <n v="8000000"/>
    <d v="2025-09-02T00:00:00"/>
    <d v="2025-08-30T00:00:00"/>
    <x v="2"/>
  </r>
  <r>
    <m/>
    <s v=" 1242824"/>
    <d v="2025-08-26T00:00:00"/>
    <d v="1899-12-30T09:10:00"/>
    <d v="2025-08-30T00:00:00"/>
    <x v="314"/>
    <s v="BG23059"/>
    <d v="2025-08-26T00:00:00"/>
    <d v="1899-12-30T12:04:00"/>
    <x v="89"/>
    <s v="CARTAGO"/>
    <s v="DINAMIX PREMIX X 25 KG"/>
    <n v="50"/>
    <n v="2"/>
    <n v="1086500"/>
    <d v="2025-09-03T00:00:00"/>
    <d v="2025-08-30T00:00:00"/>
    <x v="19"/>
  </r>
  <r>
    <m/>
    <m/>
    <d v="2025-08-25T00:00:00"/>
    <d v="1899-12-30T15:12:00"/>
    <d v="2025-08-30T00:00:00"/>
    <x v="315"/>
    <s v="BG23060"/>
    <d v="2025-08-25T00:00:00"/>
    <d v="1899-12-30T15:02:00"/>
    <x v="28"/>
    <s v="BUGA"/>
    <s v="CLORTETRAX 20 % X 25 KG"/>
    <n v="25"/>
    <n v="1"/>
    <n v="425000"/>
    <d v="2025-09-02T00:00:00"/>
    <d v="2025-08-30T00:00:0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6">
  <r>
    <x v="0"/>
    <n v="4700008344"/>
    <d v="2025-12-01T00:00:00"/>
    <d v="1899-12-30T12:02:00"/>
    <m/>
    <x v="0"/>
    <s v="BG25544"/>
    <d v="2026-03-19T00:00:00"/>
    <d v="1899-12-30T09:00:00"/>
    <x v="0"/>
    <s v="MEDELLIN"/>
    <s v="CLORTETRAX 20 X 25 KG"/>
    <n v="52000"/>
    <n v="2080"/>
    <n v="661180000"/>
    <d v="2026-03-14T00:00:00"/>
  </r>
  <r>
    <x v="0"/>
    <n v="4700008464"/>
    <d v="2025-12-01T00:00:00"/>
    <d v="1899-12-30T12:02:00"/>
    <m/>
    <x v="1"/>
    <s v="BG25545"/>
    <d v="2026-03-19T00:00:00"/>
    <d v="1899-12-30T08:45:00"/>
    <x v="0"/>
    <s v="MEDELLIN"/>
    <s v="CLORTETRAX 20 X 25 KG"/>
    <n v="26000"/>
    <n v="1040"/>
    <n v="333970000"/>
    <d v="2026-03-14T00:00:00"/>
  </r>
  <r>
    <x v="0"/>
    <s v="25-413-PD"/>
    <m/>
    <m/>
    <m/>
    <x v="2"/>
    <s v="BG25630"/>
    <d v="2026-03-26T00:00:00"/>
    <d v="1899-12-30T07:57:00"/>
    <x v="1"/>
    <s v="ECUADOR"/>
    <s v="DMB 11 X 25 KG"/>
    <n v="10000"/>
    <n v="400"/>
    <s v="12790 USD"/>
    <d v="2026-03-26T00:00:00"/>
  </r>
  <r>
    <x v="0"/>
    <s v="OC PENDIENTE"/>
    <m/>
    <m/>
    <m/>
    <x v="3"/>
    <s v="BG25374"/>
    <d v="2026-01-08T00:00:00"/>
    <d v="1899-12-30T08:30:00"/>
    <x v="1"/>
    <s v="ECUADOR"/>
    <s v="MONECYL X 25 KG"/>
    <n v="10000"/>
    <n v="400"/>
    <n v="161880000"/>
    <d v="2026-03-27T00:00:00"/>
  </r>
  <r>
    <x v="0"/>
    <n v="7000398994"/>
    <d v="2025-01-20T00:00:00"/>
    <d v="1899-12-30T10:40:00"/>
    <m/>
    <x v="4"/>
    <s v="BG25448"/>
    <d v="2026-03-04T00:00:00"/>
    <d v="1899-12-30T12:40:00"/>
    <x v="2"/>
    <s v="REFRILOGISTICA"/>
    <s v="MICRO AID X 25 KG"/>
    <n v="1625"/>
    <n v="65"/>
    <n v="106843750"/>
    <d v="2026-03-11T00:00:00"/>
  </r>
  <r>
    <x v="0"/>
    <n v="4500371435"/>
    <d v="2026-02-18T00:00:00"/>
    <d v="1899-12-30T18:07:00"/>
    <m/>
    <x v="5"/>
    <s v="BG25393"/>
    <d v="2026-02-17T00:00:00"/>
    <d v="1899-12-30T12:30:00"/>
    <x v="3"/>
    <s v="BUGA"/>
    <s v="FRACTAL P X 25 KG"/>
    <n v="550"/>
    <n v="22"/>
    <n v="14465000"/>
    <d v="2025-03-08T00:00:00"/>
  </r>
  <r>
    <x v="0"/>
    <n v="4500371435"/>
    <d v="2026-02-18T00:00:00"/>
    <d v="1899-12-30T18:07:00"/>
    <m/>
    <x v="5"/>
    <s v="BG25393"/>
    <d v="2026-02-17T00:00:00"/>
    <d v="1899-12-30T12:30:00"/>
    <x v="3"/>
    <s v="BUGA"/>
    <s v="LOTUS X 10 KG"/>
    <n v="625"/>
    <n v="25"/>
    <n v="25312500"/>
    <d v="2025-03-08T00:00:00"/>
  </r>
  <r>
    <x v="0"/>
    <n v="4500371435"/>
    <d v="2026-02-18T00:00:00"/>
    <d v="1899-12-30T18:07:00"/>
    <m/>
    <x v="5"/>
    <s v="BG25393"/>
    <d v="2026-02-17T00:00:00"/>
    <d v="1899-12-30T12:30:00"/>
    <x v="3"/>
    <s v="BUGA"/>
    <s v="TILVASYYN x 25 KG"/>
    <n v="50"/>
    <n v="2"/>
    <n v="9500000"/>
    <d v="2025-03-08T00:00:00"/>
  </r>
  <r>
    <x v="0"/>
    <n v="4500371435"/>
    <d v="2026-02-18T00:00:00"/>
    <d v="1899-12-30T18:07:00"/>
    <m/>
    <x v="6"/>
    <s v="BG25230"/>
    <d v="2026-02-17T00:00:00"/>
    <d v="1899-12-30T12:30:00"/>
    <x v="3"/>
    <s v="BUGA"/>
    <s v="FRACTAL P X 25 KG"/>
    <n v="550"/>
    <n v="22"/>
    <n v="13807500"/>
    <d v="2026-03-16T00:00:00"/>
  </r>
  <r>
    <x v="0"/>
    <n v="4500371435"/>
    <d v="2026-02-18T00:00:00"/>
    <d v="1899-12-30T18:07:00"/>
    <m/>
    <x v="6"/>
    <s v="BG25230"/>
    <d v="2026-02-17T00:00:00"/>
    <d v="1899-12-30T12:30:00"/>
    <x v="3"/>
    <s v="BUGA"/>
    <s v="LOTUS X 10 KG"/>
    <n v="625"/>
    <n v="25"/>
    <n v="8100000"/>
    <d v="2026-03-16T00:00:00"/>
  </r>
  <r>
    <x v="0"/>
    <s v="OC00003147BX"/>
    <d v="2026-02-19T00:00:00"/>
    <d v="1899-12-30T08:49:00"/>
    <m/>
    <x v="7"/>
    <s v="BG25363"/>
    <d v="2026-02-17T00:00:00"/>
    <d v="1899-12-30T12:43:00"/>
    <x v="4"/>
    <s v="SABANETA"/>
    <s v="CLORTETRAX 20 X 25 KG"/>
    <n v="1200"/>
    <n v="48"/>
    <n v="19200000"/>
    <d v="2026-03-03T00:00:00"/>
  </r>
  <r>
    <x v="0"/>
    <n v="1366212"/>
    <d v="2026-02-20T00:00:00"/>
    <d v="1899-12-30T17:01:00"/>
    <m/>
    <x v="8"/>
    <s v="BG25360"/>
    <d v="2026-02-25T00:00:00"/>
    <d v="1899-12-30T12:56:00"/>
    <x v="5"/>
    <s v="BUGA"/>
    <s v="FENIFLOR PREMIX X 25 Kg"/>
    <n v="150"/>
    <n v="6"/>
    <n v="7779000"/>
    <d v="2026-03-04T00:00:00"/>
  </r>
  <r>
    <x v="0"/>
    <n v="1002046391"/>
    <d v="2026-02-23T00:00:00"/>
    <d v="1899-12-30T16:43:00"/>
    <m/>
    <x v="9"/>
    <s v="BG25379"/>
    <d v="2026-02-25T00:00:00"/>
    <d v="1899-12-30T13:14:00"/>
    <x v="6"/>
    <s v="MOSQUERA"/>
    <s v="ACCUREMAX 10% X 25 KG"/>
    <n v="100"/>
    <n v="4"/>
    <n v="24000000"/>
    <d v="2026-03-09T00:00:00"/>
  </r>
  <r>
    <x v="0"/>
    <s v="100-CON-00024529"/>
    <d v="2026-02-24T00:00:00"/>
    <d v="1899-12-30T07:00:00"/>
    <m/>
    <x v="10"/>
    <s v="BG25300"/>
    <d v="2026-02-25T00:00:00"/>
    <d v="1899-12-30T13:20:00"/>
    <x v="7"/>
    <s v="GIRARDOTA"/>
    <s v="LOTUS X 10 KG"/>
    <n v="300"/>
    <n v="12"/>
    <n v="12150000"/>
    <d v="2026-03-02T00:00:00"/>
  </r>
  <r>
    <x v="0"/>
    <s v="100-CON-00024529"/>
    <d v="2026-02-24T00:00:00"/>
    <d v="1899-12-30T07:00:00"/>
    <m/>
    <x v="10"/>
    <s v="BG25300"/>
    <d v="2026-02-25T00:00:00"/>
    <d v="1899-12-30T13:20:00"/>
    <x v="7"/>
    <s v="GIRARDOTA"/>
    <s v="FRACTAL P X 25 KG"/>
    <n v="150"/>
    <n v="6"/>
    <n v="3945000"/>
    <d v="2026-03-02T00:00:00"/>
  </r>
  <r>
    <x v="0"/>
    <s v="100-CON-00024529"/>
    <d v="2026-02-24T00:00:00"/>
    <d v="1899-12-30T07:00:00"/>
    <m/>
    <x v="10"/>
    <s v="BG25300"/>
    <d v="2026-02-25T00:00:00"/>
    <d v="1899-12-30T13:20:00"/>
    <x v="7"/>
    <s v="GIRARDOTA"/>
    <s v="DMB 11 X 25 KG"/>
    <n v="300"/>
    <n v="12"/>
    <n v="5850000"/>
    <d v="2026-03-02T00:00:00"/>
  </r>
  <r>
    <x v="0"/>
    <s v="100-CON-00024530"/>
    <d v="2026-02-24T00:00:00"/>
    <d v="1899-12-30T07:00:00"/>
    <m/>
    <x v="11"/>
    <s v="BG25299"/>
    <d v="2026-02-25T00:00:00"/>
    <d v="1899-12-30T13:20:00"/>
    <x v="7"/>
    <s v="GIRARDOTA"/>
    <s v="LOTUS X 10 KG"/>
    <n v="250"/>
    <n v="10"/>
    <n v="10125000"/>
    <d v="2026-03-02T00:00:00"/>
  </r>
  <r>
    <x v="0"/>
    <s v="100-CON-00024530"/>
    <d v="2026-02-24T00:00:00"/>
    <d v="1899-12-30T07:00:00"/>
    <m/>
    <x v="11"/>
    <s v="BG25299"/>
    <d v="2026-02-25T00:00:00"/>
    <d v="1899-12-30T13:20:00"/>
    <x v="7"/>
    <s v="GIRARDOTA"/>
    <s v="FRACTAL P X 25 KG"/>
    <n v="200"/>
    <n v="8"/>
    <n v="5260000"/>
    <d v="2026-03-02T00:00:00"/>
  </r>
  <r>
    <x v="0"/>
    <n v="49743"/>
    <d v="2026-02-24T00:00:00"/>
    <d v="1899-12-30T12:17:00"/>
    <m/>
    <x v="12"/>
    <s v="BG25359"/>
    <d v="2026-02-25T00:00:00"/>
    <d v="1899-12-30T14:42:00"/>
    <x v="8"/>
    <s v="HATILLO"/>
    <s v="FRACTAL L X 20 LITROS"/>
    <n v="20"/>
    <n v="1"/>
    <n v="800000"/>
    <d v="2026-03-05T00:00:00"/>
  </r>
  <r>
    <x v="0"/>
    <n v="4700008790"/>
    <d v="2026-02-25T00:00:00"/>
    <d v="1899-12-30T08:56:00"/>
    <m/>
    <x v="13"/>
    <s v="BG25407"/>
    <d v="2026-02-26T00:00:00"/>
    <d v="1899-12-30T12:44:00"/>
    <x v="9"/>
    <s v="PERU"/>
    <s v="CLORTETRAX 20 X 25 KG"/>
    <n v="1000"/>
    <n v="40"/>
    <s v="3700 USD"/>
    <d v="3036-03-15T00:00:00"/>
  </r>
  <r>
    <x v="0"/>
    <n v="4700008790"/>
    <d v="2026-02-25T00:00:00"/>
    <d v="1899-12-30T08:56:00"/>
    <m/>
    <x v="13"/>
    <s v="BG25407"/>
    <d v="2026-02-26T00:00:00"/>
    <d v="1899-12-30T12:44:00"/>
    <x v="9"/>
    <s v="PERU"/>
    <s v="AVINOVA X 25 KG"/>
    <n v="900"/>
    <n v="36"/>
    <s v="900 USD"/>
    <d v="3036-03-15T00:00:00"/>
  </r>
  <r>
    <x v="0"/>
    <s v="006-OC-029221_x000a_"/>
    <d v="2026-02-25T00:00:00"/>
    <d v="1899-12-30T13:15:00"/>
    <m/>
    <x v="14"/>
    <s v="BG25358"/>
    <d v="2026-02-25T00:00:00"/>
    <d v="1899-12-30T14:59:00"/>
    <x v="10"/>
    <s v="ITALCOL IBAGUE"/>
    <s v="LOTUS X 25 KG"/>
    <n v="675"/>
    <n v="27"/>
    <n v="27337500"/>
    <d v="2026-02-27T00:00:00"/>
  </r>
  <r>
    <x v="0"/>
    <s v="001-OC -00008932"/>
    <d v="2026-02-25T00:00:00"/>
    <d v="1899-12-30T13:14:00"/>
    <m/>
    <x v="15"/>
    <s v="BG25357"/>
    <d v="2026-02-25T00:00:00"/>
    <d v="1899-12-30T15:03:00"/>
    <x v="11"/>
    <s v="YUMBO"/>
    <s v="KIRA X 25 KG"/>
    <n v="100"/>
    <n v="4"/>
    <n v="2100000"/>
    <d v="2026-03-09T00:00:00"/>
  </r>
  <r>
    <x v="0"/>
    <s v="999-OCN-00021847"/>
    <d v="2026-02-25T00:00:00"/>
    <d v="1899-12-30T14:18:00"/>
    <m/>
    <x v="16"/>
    <s v="BG25353"/>
    <d v="2026-02-26T00:00:00"/>
    <d v="1899-12-30T15:30:00"/>
    <x v="12"/>
    <s v="EL BRUJAL"/>
    <s v="FRACTAL P X 25 KG"/>
    <n v="1000"/>
    <n v="40"/>
    <n v="25500000"/>
    <d v="3026-03-02T00:00:00"/>
  </r>
  <r>
    <x v="0"/>
    <s v="999-OCN-00021846"/>
    <d v="2026-02-25T00:00:00"/>
    <d v="1899-12-30T14:18:00"/>
    <m/>
    <x v="17"/>
    <s v="BG25352"/>
    <d v="2026-02-26T00:00:00"/>
    <d v="1899-12-30T15:30:00"/>
    <x v="12"/>
    <s v="LEBRIJA"/>
    <s v="FRACTAL P X 25 KG"/>
    <n v="3500"/>
    <n v="140"/>
    <n v="89250000"/>
    <d v="3026-03-02T00:00:00"/>
  </r>
  <r>
    <x v="0"/>
    <s v="103-occ-38294"/>
    <d v="2026-02-25T00:00:00"/>
    <d v="1899-12-30T17:28:00"/>
    <m/>
    <x v="18"/>
    <s v="BG25351"/>
    <d v="2026-02-26T00:00:00"/>
    <d v="1899-12-30T15:36:00"/>
    <x v="13"/>
    <s v="GIRARDOTA"/>
    <s v="FRACTAL P X 25 KG"/>
    <n v="1500"/>
    <n v="60"/>
    <n v="39450000"/>
    <d v="3026-03-02T00:00:00"/>
  </r>
  <r>
    <x v="0"/>
    <n v="1372909"/>
    <d v="2026-02-26T00:00:00"/>
    <d v="1899-12-30T09:15:00"/>
    <m/>
    <x v="19"/>
    <s v="BG25350"/>
    <d v="2026-02-26T00:00:00"/>
    <d v="1899-12-30T15:42:00"/>
    <x v="14"/>
    <s v="BOGOTA"/>
    <s v="DINAMIX PREMIX X 25 KG"/>
    <n v="75"/>
    <n v="3"/>
    <n v="1629750"/>
    <d v="2026-03-06T00:00:00"/>
  </r>
  <r>
    <x v="0"/>
    <n v="1373106"/>
    <d v="2026-02-26T00:00:00"/>
    <d v="1899-12-30T11:02:00"/>
    <m/>
    <x v="20"/>
    <s v="BG25349"/>
    <d v="2026-02-26T00:00:00"/>
    <d v="1899-12-30T15:59:00"/>
    <x v="5"/>
    <s v="MOSQUERA"/>
    <s v="TRIMBAC X 5 KG"/>
    <n v="75"/>
    <n v="3"/>
    <n v="11025000"/>
    <d v="2026-03-02T00:00:00"/>
  </r>
  <r>
    <x v="1"/>
    <n v="1373106"/>
    <d v="2026-02-26T00:00:00"/>
    <d v="1899-12-30T11:02:00"/>
    <m/>
    <x v="20"/>
    <s v="BG25400"/>
    <d v="2026-02-26T00:00:00"/>
    <d v="1899-12-30T15:59:00"/>
    <x v="5"/>
    <s v="MOSQUERA"/>
    <s v="BIMMU X 25 KG"/>
    <n v="100"/>
    <n v="4"/>
    <n v="3000000"/>
    <d v="2026-03-02T00:00:00"/>
  </r>
  <r>
    <x v="0"/>
    <n v="1373106"/>
    <d v="2026-02-26T00:00:00"/>
    <d v="1899-12-30T11:02:00"/>
    <m/>
    <x v="20"/>
    <s v="BG25349"/>
    <d v="2026-02-26T00:00:00"/>
    <d v="1899-12-30T15:59:00"/>
    <x v="5"/>
    <s v="MOSQUERA"/>
    <s v="FRACTAL P X 25 KG"/>
    <n v="100"/>
    <n v="4"/>
    <n v="2475000"/>
    <d v="2026-03-02T00:00:00"/>
  </r>
  <r>
    <x v="1"/>
    <s v="4500087191_x000a_"/>
    <d v="2026-02-26T00:00:00"/>
    <d v="1899-12-30T11:31:00"/>
    <m/>
    <x v="21"/>
    <s v="BG25468"/>
    <d v="2026-02-26T00:00:00"/>
    <d v="1899-12-30T16:05:00"/>
    <x v="0"/>
    <s v="MEDELLIN"/>
    <s v="FRACTAL P X 25 KG"/>
    <n v="1000"/>
    <n v="40"/>
    <n v="2475000"/>
    <d v="2026-03-03T00:00:00"/>
  </r>
  <r>
    <x v="0"/>
    <n v="42000009917"/>
    <d v="2026-02-27T00:00:00"/>
    <d v="1899-12-30T10:16:00"/>
    <m/>
    <x v="22"/>
    <s v="BG25369"/>
    <d v="2026-02-27T00:00:00"/>
    <d v="1899-12-30T11:28:00"/>
    <x v="15"/>
    <s v="SAN ANTONIO DE PRADO"/>
    <s v="PROYECTO TILVASYN X 5 KG"/>
    <n v="40"/>
    <n v="2"/>
    <n v="8400000"/>
    <d v="2026-03-02T00:00:00"/>
  </r>
  <r>
    <x v="0"/>
    <n v="42000009917"/>
    <d v="2026-02-27T00:00:00"/>
    <d v="1899-12-30T10:16:00"/>
    <m/>
    <x v="22"/>
    <s v="BG25369"/>
    <d v="2026-02-27T00:00:00"/>
    <d v="1899-12-30T11:28:00"/>
    <x v="15"/>
    <s v="SAN ANTONIO DE PRADO"/>
    <s v="FENIFLOR ORAL X 500 GR"/>
    <n v="263"/>
    <n v="11"/>
    <n v="28930000"/>
    <d v="2026-03-02T00:00:00"/>
  </r>
  <r>
    <x v="0"/>
    <n v="4500087191"/>
    <d v="2026-02-26T00:00:00"/>
    <d v="1899-12-30T11:31:00"/>
    <m/>
    <x v="23"/>
    <s v="BG25348"/>
    <d v="2026-02-27T00:00:00"/>
    <d v="1899-12-30T11:34:00"/>
    <x v="0"/>
    <s v="MEDELLIN"/>
    <s v="MONECYL X 25 KG"/>
    <n v="1000"/>
    <n v="40"/>
    <n v="19250000"/>
    <d v="2026-03-03T00:00:00"/>
  </r>
  <r>
    <x v="0"/>
    <n v="4500087191"/>
    <d v="2026-02-26T00:00:00"/>
    <d v="1899-12-30T11:31:00"/>
    <m/>
    <x v="23"/>
    <s v="BG25348"/>
    <d v="2026-02-27T00:00:00"/>
    <d v="1899-12-30T11:34:00"/>
    <x v="0"/>
    <s v="MEDELLIN"/>
    <s v="NEOCYN X 25 KG"/>
    <n v="300"/>
    <n v="12"/>
    <n v="18510000"/>
    <d v="2026-03-03T00:00:00"/>
  </r>
  <r>
    <x v="0"/>
    <n v="4500087191"/>
    <d v="2026-02-26T00:00:00"/>
    <d v="1899-12-30T11:31:00"/>
    <m/>
    <x v="23"/>
    <s v="BG25348"/>
    <d v="2026-02-27T00:00:00"/>
    <d v="1899-12-30T11:34:00"/>
    <x v="0"/>
    <s v="MEDELLIN"/>
    <s v="DQCICLIN X 1 KG"/>
    <n v="400"/>
    <n v="16"/>
    <n v="7000000"/>
    <d v="2026-03-03T00:00:00"/>
  </r>
  <r>
    <x v="0"/>
    <n v="4500087191"/>
    <d v="2026-02-26T00:00:00"/>
    <d v="1899-12-30T11:31:00"/>
    <m/>
    <x v="23"/>
    <s v="BG25348"/>
    <d v="2026-02-27T00:00:00"/>
    <d v="1899-12-30T11:34:00"/>
    <x v="0"/>
    <s v="MEDELLIN"/>
    <s v="ACCUREMAX 20% X 25 KG"/>
    <n v="200"/>
    <n v="8"/>
    <n v="89760000"/>
    <d v="2026-03-03T00:00:00"/>
  </r>
  <r>
    <x v="0"/>
    <n v="4500087191"/>
    <d v="2026-02-26T00:00:00"/>
    <d v="1899-12-30T11:31:00"/>
    <m/>
    <x v="23"/>
    <s v="BG25348"/>
    <d v="2026-02-27T00:00:00"/>
    <d v="1899-12-30T11:34:00"/>
    <x v="0"/>
    <s v="MEDELLIN"/>
    <s v="KIRA X 25 KG"/>
    <n v="250"/>
    <n v="10"/>
    <n v="4918000"/>
    <d v="2026-03-03T00:00:00"/>
  </r>
  <r>
    <x v="0"/>
    <n v="1373153"/>
    <d v="2026-02-26T00:00:00"/>
    <d v="1899-12-30T11:45:00"/>
    <m/>
    <x v="24"/>
    <s v="BG25347"/>
    <d v="2026-02-27T00:00:00"/>
    <d v="1899-12-30T11:39:00"/>
    <x v="16"/>
    <s v="BUCARAMANGA"/>
    <s v="CIPROFLOX X 5 KG"/>
    <n v="15"/>
    <n v="1"/>
    <n v="787500"/>
    <d v="2026-02-27T00:00:00"/>
  </r>
  <r>
    <x v="0"/>
    <n v="1373153"/>
    <d v="2026-02-26T00:00:00"/>
    <d v="1899-12-30T11:45:00"/>
    <m/>
    <x v="24"/>
    <s v="BG25347"/>
    <d v="2026-02-27T00:00:00"/>
    <d v="1899-12-30T11:39:00"/>
    <x v="16"/>
    <s v="BUCARAMANGA"/>
    <s v="FOSMYCINA 90 X 500 GR"/>
    <n v="5.5"/>
    <n v="0"/>
    <n v="2349875"/>
    <d v="2026-02-27T00:00:00"/>
  </r>
  <r>
    <x v="0"/>
    <n v="1373153"/>
    <d v="2026-02-26T00:00:00"/>
    <d v="1899-12-30T11:45:00"/>
    <m/>
    <x v="25"/>
    <s v="BG25346"/>
    <d v="2026-02-27T00:00:00"/>
    <d v="1899-12-30T11:39:00"/>
    <x v="16"/>
    <s v="BUCARAMANGA"/>
    <s v="SMOOTH SWEET X 75 GR"/>
    <n v="1.125"/>
    <n v="0"/>
    <n v="0"/>
    <d v="2026-02-27T00:00:00"/>
  </r>
  <r>
    <x v="2"/>
    <n v="1373424"/>
    <d v="2026-02-26T00:00:00"/>
    <d v="1899-12-30T15:30:00"/>
    <m/>
    <x v="26"/>
    <s v="BG25345"/>
    <d v="2026-02-27T00:00:00"/>
    <d v="1899-12-30T11:52:00"/>
    <x v="5"/>
    <s v="BUCARAMANGA"/>
    <s v="FRACTAL P X 25 KG"/>
    <n v="400"/>
    <n v="16"/>
    <n v="9900000"/>
    <d v="2026-02-27T00:00:00"/>
  </r>
  <r>
    <x v="0"/>
    <s v="A02-COC-317127"/>
    <d v="2026-02-26T00:00:00"/>
    <d v="1899-12-30T19:49:00"/>
    <m/>
    <x v="27"/>
    <s v="BG25343"/>
    <d v="2026-02-27T00:00:00"/>
    <d v="1899-12-30T11:58:00"/>
    <x v="17"/>
    <s v="ITAGUI"/>
    <s v="DMB 11 X 25 KG"/>
    <n v="50"/>
    <n v="2"/>
    <n v="960000"/>
    <d v="2026-03-09T00:00:00"/>
  </r>
  <r>
    <x v="0"/>
    <s v="A02-COC-317127"/>
    <d v="2026-02-26T00:00:00"/>
    <d v="1899-12-30T19:49:00"/>
    <m/>
    <x v="27"/>
    <s v="BG25343"/>
    <d v="2026-02-27T00:00:00"/>
    <d v="1899-12-30T11:58:00"/>
    <x v="17"/>
    <s v="ITAGUI"/>
    <s v="DINAMIX 800 X 25 KG"/>
    <n v="500"/>
    <n v="20"/>
    <n v="82000000"/>
    <d v="2026-03-09T00:00:00"/>
  </r>
  <r>
    <x v="0"/>
    <s v="A02-COC-317127"/>
    <d v="2026-02-26T00:00:00"/>
    <d v="1899-12-30T19:49:00"/>
    <m/>
    <x v="28"/>
    <s v="-"/>
    <d v="2026-02-27T00:00:00"/>
    <d v="1899-12-30T11:58:00"/>
    <x v="17"/>
    <s v="ITAGUI"/>
    <s v="CIGNUS"/>
    <n v="50"/>
    <n v="0"/>
    <n v="0"/>
    <n v="0"/>
  </r>
  <r>
    <x v="0"/>
    <m/>
    <d v="2026-02-27T00:00:00"/>
    <d v="1899-12-30T11:00:00"/>
    <m/>
    <x v="29"/>
    <s v="BG25343"/>
    <d v="2026-02-27T00:00:00"/>
    <d v="1899-12-30T12:07:00"/>
    <x v="18"/>
    <s v="RECOGE EN BODEGA"/>
    <s v="CLORTETRAX 20 X 25 KG"/>
    <n v="100"/>
    <n v="4"/>
    <n v="1580000"/>
    <d v="2026-02-27T00:00:00"/>
  </r>
  <r>
    <x v="0"/>
    <m/>
    <d v="2026-02-27T00:00:00"/>
    <d v="1899-12-30T08:48:00"/>
    <m/>
    <x v="30"/>
    <s v="BG25342"/>
    <d v="2026-02-27T00:00:00"/>
    <d v="1899-12-30T12:10:00"/>
    <x v="19"/>
    <s v="NEIVA"/>
    <s v="FRACTAL P X 25 KG"/>
    <n v="1000"/>
    <n v="40"/>
    <n v="26300000"/>
    <d v="2026-02-03T00:00:00"/>
  </r>
  <r>
    <x v="0"/>
    <m/>
    <d v="2026-02-27T00:00:00"/>
    <d v="1899-12-30T08:57:00"/>
    <m/>
    <x v="31"/>
    <s v="BG25453"/>
    <d v="2026-02-27T00:00:00"/>
    <d v="1899-12-30T12:14:00"/>
    <x v="20"/>
    <s v="MAICAO"/>
    <s v="ACCUREMAX 10% X 25 KG"/>
    <n v="75"/>
    <n v="3"/>
    <n v="0"/>
    <d v="2026-02-03T00:00:00"/>
  </r>
  <r>
    <x v="3"/>
    <m/>
    <d v="2026-02-27T00:00:00"/>
    <d v="1899-12-30T08:57:00"/>
    <m/>
    <x v="32"/>
    <s v="BG25452"/>
    <d v="2026-02-27T00:00:00"/>
    <d v="1899-12-30T12:14:00"/>
    <x v="20"/>
    <s v="MAICAO"/>
    <s v="ACCUREMAX 10% X 25 KG"/>
    <n v="525"/>
    <n v="21"/>
    <n v="136275000"/>
    <d v="2026-02-03T00:00:00"/>
  </r>
  <r>
    <x v="4"/>
    <s v="OC PENDIENTE"/>
    <d v="2026-02-27T00:00:00"/>
    <d v="1899-12-30T11:23:00"/>
    <m/>
    <x v="33"/>
    <s v="-"/>
    <d v="2026-02-27T00:00:00"/>
    <d v="1899-12-30T12:18:00"/>
    <x v="21"/>
    <s v="BOGOTA"/>
    <s v="ROFLOX X 1 LITRO"/>
    <n v="6"/>
    <n v="0"/>
    <n v="300000"/>
    <d v="2036-03-02T00:00:00"/>
  </r>
  <r>
    <x v="0"/>
    <s v="Y-001-3044"/>
    <d v="2026-02-27T00:00:00"/>
    <d v="1899-12-30T12:09:00"/>
    <m/>
    <x v="34"/>
    <s v="BG25294"/>
    <d v="2026-02-27T00:00:00"/>
    <d v="1899-12-30T12:23:00"/>
    <x v="22"/>
    <s v="BOGOTA"/>
    <s v="ROFLOX X 1 LITRO"/>
    <n v="6"/>
    <n v="0"/>
    <n v="294000"/>
    <d v="2036-03-02T00:00:00"/>
  </r>
  <r>
    <x v="0"/>
    <s v="PC-INS-00487"/>
    <d v="2026-02-27T00:00:00"/>
    <d v="1899-12-30T12:20:00"/>
    <m/>
    <x v="35"/>
    <s v="BG25341"/>
    <d v="2026-02-27T00:00:00"/>
    <d v="1899-12-30T13:20:00"/>
    <x v="23"/>
    <s v="PEREIRA"/>
    <s v="FENIFLOR ORAL X 500 GR"/>
    <n v="5"/>
    <n v="0"/>
    <n v="512500"/>
    <d v="2036-03-02T00:00:00"/>
  </r>
  <r>
    <x v="0"/>
    <s v="PC-INS-00487"/>
    <d v="2026-02-27T00:00:00"/>
    <d v="1899-12-30T12:20:00"/>
    <m/>
    <x v="35"/>
    <s v="BG25341"/>
    <d v="2026-02-27T00:00:00"/>
    <d v="1899-12-30T13:20:00"/>
    <x v="23"/>
    <s v="PEREIRA"/>
    <s v="NORFLOX X 1 LITRO"/>
    <n v="3"/>
    <n v="0"/>
    <n v="163500"/>
    <d v="2036-03-02T00:00:00"/>
  </r>
  <r>
    <x v="0"/>
    <s v="006-OC-029224"/>
    <d v="2026-02-27T00:00:00"/>
    <d v="1899-12-30T12:56:00"/>
    <m/>
    <x v="36"/>
    <s v="BG25340"/>
    <d v="2026-02-27T00:00:00"/>
    <d v="1899-12-30T13:29:00"/>
    <x v="10"/>
    <s v="GIRARDOT"/>
    <s v="FRACTAL L X 20 LITROS"/>
    <n v="20"/>
    <n v="1"/>
    <n v="810000"/>
    <d v="2026-03-03T00:00:00"/>
  </r>
  <r>
    <x v="0"/>
    <s v="006-OC-029226"/>
    <d v="2026-02-27T00:00:00"/>
    <d v="1899-12-30T12:56:00"/>
    <m/>
    <x v="37"/>
    <s v="BG25339"/>
    <d v="2026-02-27T00:00:00"/>
    <d v="1899-12-30T13:29:00"/>
    <x v="10"/>
    <s v="PEDREJALES"/>
    <s v="FRACTAL L X 20 LITROS"/>
    <n v="720"/>
    <n v="29"/>
    <n v="29160000"/>
    <d v="2026-03-03T00:00:00"/>
  </r>
  <r>
    <x v="0"/>
    <m/>
    <d v="2026-02-27T00:00:00"/>
    <d v="1899-12-30T14:00:00"/>
    <m/>
    <x v="38"/>
    <s v="BG25338"/>
    <d v="2026-02-27T00:00:00"/>
    <d v="1899-12-30T14:43:00"/>
    <x v="24"/>
    <s v="BUGA"/>
    <s v="ACCUREMAX X 25 KG"/>
    <n v="50"/>
    <n v="2"/>
    <n v="3194500"/>
    <d v="2026-03-03T00:00:00"/>
  </r>
  <r>
    <x v="0"/>
    <m/>
    <d v="2026-02-27T00:00:00"/>
    <d v="1899-12-30T13:59:00"/>
    <m/>
    <x v="39"/>
    <s v="BG25337"/>
    <d v="2026-02-27T00:00:00"/>
    <d v="1899-12-30T15:53:00"/>
    <x v="25"/>
    <s v="BUCARAMANGA"/>
    <s v="DQCICLIN X 1 KG"/>
    <n v="5"/>
    <n v="0"/>
    <n v="1250000"/>
    <d v="2026-02-27T00:00:00"/>
  </r>
  <r>
    <x v="0"/>
    <s v="001-SC-015897"/>
    <d v="2026-03-02T00:00:00"/>
    <d v="1899-12-30T09:30:00"/>
    <m/>
    <x v="40"/>
    <s v="BG25336"/>
    <d v="2026-03-02T00:00:00"/>
    <d v="1899-12-30T10:20:00"/>
    <x v="26"/>
    <s v="ARMENIA"/>
    <s v="HALQUINOX 800 X 25 KG"/>
    <n v="100"/>
    <n v="4"/>
    <n v="10250000"/>
    <d v="3026-03-03T00:00:00"/>
  </r>
  <r>
    <x v="0"/>
    <s v="001-SC-015897"/>
    <d v="2026-03-02T00:00:00"/>
    <d v="1899-12-30T09:30:00"/>
    <m/>
    <x v="40"/>
    <s v="BG25336"/>
    <d v="2026-03-02T00:00:00"/>
    <d v="1899-12-30T10:20:00"/>
    <x v="26"/>
    <s v="ARMENIA"/>
    <s v="CLORTETRAX 20 X 25 KG"/>
    <n v="1000"/>
    <n v="40"/>
    <n v="16000000"/>
    <d v="3026-03-03T00:00:00"/>
  </r>
  <r>
    <x v="0"/>
    <s v="001-SC-015897"/>
    <d v="2026-03-02T00:00:00"/>
    <d v="1899-12-30T09:30:00"/>
    <m/>
    <x v="40"/>
    <s v="BG25336"/>
    <d v="2026-03-02T00:00:00"/>
    <d v="1899-12-30T10:20:00"/>
    <x v="26"/>
    <s v="ARMENIA"/>
    <s v="TILCOMIX PREMIX S X 5 KG"/>
    <n v="200"/>
    <n v="8"/>
    <n v="32000000"/>
    <d v="3026-03-03T00:00:00"/>
  </r>
  <r>
    <x v="0"/>
    <m/>
    <m/>
    <m/>
    <m/>
    <x v="41"/>
    <s v="BG25399"/>
    <d v="2026-03-02T00:00:00"/>
    <d v="1899-12-30T11:16:00"/>
    <x v="27"/>
    <s v="GUATEMALA"/>
    <s v="HALQUINOX 500 X 25 KG"/>
    <n v="2000"/>
    <n v="80"/>
    <s v="25580 USD"/>
    <d v="2026-03-05T00:00:00"/>
  </r>
  <r>
    <x v="0"/>
    <s v="001-SC-015896"/>
    <d v="2026-03-02T00:00:00"/>
    <d v="1899-12-30T09:30:00"/>
    <m/>
    <x v="42"/>
    <s v="BG25335"/>
    <d v="2026-03-02T00:00:00"/>
    <d v="1899-12-30T10:30:00"/>
    <x v="23"/>
    <s v="NUTREXCOL"/>
    <s v="HALQUINOX 800 X 25 KG"/>
    <n v="300"/>
    <n v="12"/>
    <n v="30750000"/>
    <d v="2026-03-03T00:00:00"/>
  </r>
  <r>
    <x v="0"/>
    <s v="001-SC-015896"/>
    <d v="2026-03-02T00:00:00"/>
    <d v="1899-12-30T09:30:00"/>
    <m/>
    <x v="42"/>
    <s v="BG25335"/>
    <d v="2026-03-02T00:00:00"/>
    <d v="1899-12-30T10:30:00"/>
    <x v="23"/>
    <s v="NUTREXCOL"/>
    <s v="TILCOMIX PREMIX S X 5 KG"/>
    <n v="50"/>
    <n v="2"/>
    <n v="7515000"/>
    <d v="2026-03-03T00:00:00"/>
  </r>
  <r>
    <x v="0"/>
    <s v="001-SC-015896"/>
    <d v="2026-03-02T00:00:00"/>
    <d v="1899-12-30T09:30:00"/>
    <m/>
    <x v="42"/>
    <s v="BG25335"/>
    <d v="2026-03-02T00:00:00"/>
    <d v="1899-12-30T10:30:00"/>
    <x v="23"/>
    <s v="NUTREXCOL"/>
    <s v="FENIFLOR PREMIX X 25 Kg"/>
    <n v="1500"/>
    <n v="60"/>
    <n v="97500000"/>
    <d v="2026-03-03T00:00:00"/>
  </r>
  <r>
    <x v="0"/>
    <s v="001-SC-015896"/>
    <d v="2026-03-02T00:00:00"/>
    <d v="1899-12-30T09:30:00"/>
    <m/>
    <x v="42"/>
    <s v="BG25335"/>
    <d v="2026-03-02T00:00:00"/>
    <d v="1899-12-30T10:30:00"/>
    <x v="23"/>
    <s v="NUTREXCOL"/>
    <s v="CIPROFLOX X 5 KG"/>
    <n v="100"/>
    <n v="4"/>
    <n v="5300000"/>
    <d v="2026-03-03T00:00:00"/>
  </r>
  <r>
    <x v="0"/>
    <s v="001-SC-015896"/>
    <d v="2026-03-02T00:00:00"/>
    <d v="1899-12-30T09:30:00"/>
    <m/>
    <x v="42"/>
    <s v="BG25335"/>
    <d v="2026-03-02T00:00:00"/>
    <d v="1899-12-30T10:30:00"/>
    <x v="23"/>
    <s v="NUTREXCOL"/>
    <s v="FRACTAL P X 25 KG"/>
    <n v="100"/>
    <n v="4"/>
    <n v="2550000"/>
    <d v="2026-03-03T00:00:00"/>
  </r>
  <r>
    <x v="0"/>
    <s v="001-SC-015896"/>
    <d v="2026-03-02T00:00:00"/>
    <d v="1899-12-30T09:30:00"/>
    <m/>
    <x v="42"/>
    <s v="BG25335"/>
    <d v="2026-03-02T00:00:00"/>
    <d v="1899-12-30T10:30:00"/>
    <x v="23"/>
    <s v="NUTREXCOL"/>
    <s v="TILVASYYN x 25 KG"/>
    <n v="200"/>
    <n v="8"/>
    <n v="38000000"/>
    <d v="2026-03-03T00:00:00"/>
  </r>
  <r>
    <x v="0"/>
    <s v="001-SC-015896"/>
    <d v="2026-03-02T00:00:00"/>
    <d v="1899-12-30T09:30:00"/>
    <m/>
    <x v="43"/>
    <s v="BG25334"/>
    <d v="2026-03-02T00:00:00"/>
    <d v="1899-12-30T10:30:00"/>
    <x v="23"/>
    <s v="NUTREXCOL"/>
    <s v="SMOOTH SWEET X 75 GR"/>
    <n v="7.5"/>
    <n v="0"/>
    <n v="0"/>
    <d v="2026-03-03T00:00:00"/>
  </r>
  <r>
    <x v="0"/>
    <n v="1374617"/>
    <d v="2026-02-27T00:00:00"/>
    <d v="1899-12-30T16:06:00"/>
    <m/>
    <x v="44"/>
    <s v="BG25333"/>
    <d v="2026-03-02T00:00:00"/>
    <d v="1899-12-30T13:00:00"/>
    <x v="14"/>
    <s v="CARTAGO"/>
    <s v="TILVASYYN x 25 KG"/>
    <n v="25"/>
    <n v="1"/>
    <n v="4505000"/>
    <d v="2026-03-04T00:00:00"/>
  </r>
  <r>
    <x v="0"/>
    <n v="4500087121"/>
    <d v="2026-02-27T00:00:00"/>
    <d v="1899-12-30T16:06:00"/>
    <m/>
    <x v="45"/>
    <s v="BG25332"/>
    <d v="2026-03-02T00:00:00"/>
    <d v="1899-12-30T13:02:00"/>
    <x v="28"/>
    <s v="PREMEX CELTA"/>
    <s v="HALQUINOX 800 X 25 KG"/>
    <n v="800"/>
    <n v="32"/>
    <n v="58293600"/>
    <d v="2026-03-03T00:00:00"/>
  </r>
  <r>
    <x v="0"/>
    <n v="4500087121"/>
    <d v="2026-02-27T00:00:00"/>
    <d v="1899-12-30T16:06:00"/>
    <m/>
    <x v="45"/>
    <s v="BG25332"/>
    <d v="2026-03-02T00:00:00"/>
    <d v="1899-12-30T13:02:00"/>
    <x v="28"/>
    <s v="PREMEX CELTA"/>
    <s v="DINAMIX 800 X 25 KG"/>
    <n v="50"/>
    <n v="2"/>
    <n v="6145000"/>
    <d v="2026-03-03T00:00:00"/>
  </r>
  <r>
    <x v="0"/>
    <s v="001-OSC-00071837"/>
    <d v="2026-02-28T00:00:00"/>
    <d v="1899-12-30T11:32:00"/>
    <m/>
    <x v="46"/>
    <s v="BG25331"/>
    <d v="2026-03-02T00:00:00"/>
    <d v="1899-12-30T13:05:00"/>
    <x v="29"/>
    <s v="BELLO"/>
    <s v="DMB 11 X 25 KG"/>
    <n v="2000"/>
    <n v="80"/>
    <n v="39000000"/>
    <d v="2026-02-04T00:00:00"/>
  </r>
  <r>
    <x v="0"/>
    <s v="007-OC-051524"/>
    <d v="2026-03-01T00:00:00"/>
    <d v="1899-12-30T21:29:00"/>
    <m/>
    <x v="47"/>
    <s v="BG25330"/>
    <d v="2026-03-02T00:00:00"/>
    <d v="1899-12-30T13:07:00"/>
    <x v="10"/>
    <s v="ITALCOL GIRON"/>
    <s v="LOTUS X 25 KG"/>
    <n v="150"/>
    <n v="6"/>
    <n v="6075000"/>
    <d v="2026-02-04T00:00:00"/>
  </r>
  <r>
    <x v="0"/>
    <n v="1375326"/>
    <d v="2026-03-02T00:00:00"/>
    <d v="1899-12-30T10:05:00"/>
    <m/>
    <x v="48"/>
    <s v="BG25329"/>
    <d v="2026-03-02T00:00:00"/>
    <d v="1899-12-30T13:10:00"/>
    <x v="14"/>
    <s v="BOGOTA"/>
    <s v="TILVASYYN x 25 KG"/>
    <n v="50"/>
    <n v="2"/>
    <n v="9010000"/>
    <d v="2026-02-03T00:00:00"/>
  </r>
  <r>
    <x v="0"/>
    <n v="4500147866"/>
    <d v="2026-03-02T00:00:00"/>
    <d v="1899-12-30T09:45:00"/>
    <m/>
    <x v="49"/>
    <s v="BG25328"/>
    <d v="2026-03-02T00:00:00"/>
    <d v="1899-12-30T13:12:00"/>
    <x v="30"/>
    <s v="FUSAGASUGA"/>
    <s v="FOSMYCINA 90 X 500 GR"/>
    <n v="7"/>
    <n v="0"/>
    <n v="3640000"/>
    <d v="2026-02-03T00:00:00"/>
  </r>
  <r>
    <x v="0"/>
    <s v="N/A"/>
    <d v="2026-03-02T00:00:00"/>
    <d v="1899-12-30T11:10:00"/>
    <m/>
    <x v="50"/>
    <s v="BG25327"/>
    <d v="2026-03-02T00:00:00"/>
    <d v="1899-12-30T13:17:00"/>
    <x v="25"/>
    <s v="BUCARAMANGA"/>
    <s v="AMOXIN X 1 KILO"/>
    <n v="2"/>
    <n v="0"/>
    <n v="320000"/>
    <d v="2026-02-03T00:00:00"/>
  </r>
  <r>
    <x v="0"/>
    <n v="4500147961"/>
    <d v="2026-03-02T00:00:00"/>
    <d v="1899-12-30T12:33:00"/>
    <m/>
    <x v="51"/>
    <s v="BG25298"/>
    <d v="2026-03-02T00:00:00"/>
    <d v="1899-12-30T13:23:00"/>
    <x v="31"/>
    <s v="CIENAGA"/>
    <s v="CIPROFLOX X 5 KG"/>
    <n v="75"/>
    <n v="3"/>
    <n v="4290000"/>
    <d v="2026-03-04T00:00:00"/>
  </r>
  <r>
    <x v="5"/>
    <n v="4504000613"/>
    <d v="2026-03-02T00:00:00"/>
    <d v="1899-12-30T13:20:00"/>
    <m/>
    <x v="52"/>
    <s v="BG25470"/>
    <d v="2026-03-02T00:00:00"/>
    <d v="1899-12-30T14:35:00"/>
    <x v="32"/>
    <s v="BUGA"/>
    <s v="DMB 11 X 25 KG"/>
    <n v="1500"/>
    <n v="60"/>
    <n v="26635000"/>
    <d v="2026-03-04T00:00:00"/>
  </r>
  <r>
    <x v="0"/>
    <n v="4500087143"/>
    <d v="2026-02-24T00:00:00"/>
    <d v="1899-12-30T14:31:00"/>
    <m/>
    <x v="53"/>
    <s v="BG25361"/>
    <d v="2026-02-25T00:00:00"/>
    <d v="1899-12-30T09:56:00"/>
    <x v="0"/>
    <s v="MEDELLIN"/>
    <s v="FRACTAL P X 25 KG"/>
    <n v="2000"/>
    <n v="80"/>
    <n v="49500000"/>
    <d v="2026-02-27T00:00:00"/>
  </r>
  <r>
    <x v="0"/>
    <s v="N/A"/>
    <d v="2026-03-02T00:00:00"/>
    <d v="1899-12-30T17:31:00"/>
    <m/>
    <x v="54"/>
    <s v="BG25326"/>
    <d v="2026-03-03T00:00:00"/>
    <d v="1899-12-30T09:57:00"/>
    <x v="33"/>
    <s v="LOMA DEL ESCOBERO"/>
    <s v="NORFLOX X 1 LITRO"/>
    <n v="5"/>
    <n v="0"/>
    <n v="325000"/>
    <d v="2026-03-03T00:00:00"/>
  </r>
  <r>
    <x v="0"/>
    <n v="4500087252"/>
    <d v="2026-03-02T00:00:00"/>
    <d v="1899-12-30T15:20:00"/>
    <m/>
    <x v="55"/>
    <s v="BG25325"/>
    <d v="2026-03-03T00:00:00"/>
    <d v="1899-12-30T10:02:00"/>
    <x v="0"/>
    <s v="MEDELLIN"/>
    <s v="TILOMIX 250 PREMIX X 25 KG"/>
    <n v="3000"/>
    <n v="120"/>
    <n v="155700000"/>
    <d v="2026-03-04T00:00:00"/>
  </r>
  <r>
    <x v="0"/>
    <n v="4500087252"/>
    <d v="2026-03-02T00:00:00"/>
    <d v="1899-12-30T15:20:00"/>
    <m/>
    <x v="55"/>
    <s v="BG25325"/>
    <d v="2026-03-03T00:00:00"/>
    <d v="1899-12-30T10:02:00"/>
    <x v="0"/>
    <s v="MEDELLIN"/>
    <s v="MONECYL X 25 KG"/>
    <n v="625"/>
    <n v="25"/>
    <n v="12031250"/>
    <d v="2026-03-04T00:00:00"/>
  </r>
  <r>
    <x v="1"/>
    <n v="4500087252"/>
    <d v="2026-03-02T00:00:00"/>
    <d v="1899-12-30T15:20:00"/>
    <m/>
    <x v="55"/>
    <s v="BG25370"/>
    <d v="2026-03-03T00:00:00"/>
    <d v="1899-12-30T10:02:00"/>
    <x v="0"/>
    <s v="MEDELLIN"/>
    <s v="MONECYL X 25 KG"/>
    <n v="1375"/>
    <n v="55"/>
    <n v="26468750"/>
    <d v="2026-03-04T00:00:00"/>
  </r>
  <r>
    <x v="0"/>
    <n v="4500087252"/>
    <d v="2026-03-02T00:00:00"/>
    <d v="1899-12-30T15:20:00"/>
    <m/>
    <x v="55"/>
    <s v="BG25325"/>
    <d v="2026-03-03T00:00:00"/>
    <d v="1899-12-30T10:02:00"/>
    <x v="0"/>
    <s v="MEDELLIN"/>
    <s v="CIPROFLOX X 5 KG"/>
    <n v="800"/>
    <n v="32"/>
    <n v="42000000"/>
    <d v="2026-03-04T00:00:00"/>
  </r>
  <r>
    <x v="0"/>
    <n v="4500087252"/>
    <d v="2026-03-02T00:00:00"/>
    <d v="1899-12-30T15:20:00"/>
    <m/>
    <x v="56"/>
    <s v="BG25324"/>
    <d v="2026-03-03T00:00:00"/>
    <d v="1899-12-30T10:02:00"/>
    <x v="0"/>
    <s v="MEDELLIN"/>
    <s v="10 kg SMOOTH SWEET"/>
    <n v="60"/>
    <n v="2"/>
    <n v="0"/>
    <d v="2026-03-04T00:00:00"/>
  </r>
  <r>
    <x v="0"/>
    <m/>
    <d v="2026-03-02T00:00:00"/>
    <d v="1899-12-30T17:00:00"/>
    <m/>
    <x v="57"/>
    <s v="BG25293"/>
    <d v="2026-03-03T00:00:00"/>
    <d v="1899-12-30T10:30:00"/>
    <x v="34"/>
    <s v="SABANETA"/>
    <s v="FRACTAL L X 20 LITROS"/>
    <n v="80"/>
    <n v="3"/>
    <n v="3200000"/>
    <d v="2026-02-03T00:00:00"/>
  </r>
  <r>
    <x v="0"/>
    <n v="1375663"/>
    <d v="2026-03-02T00:00:00"/>
    <d v="1899-12-30T16:03:00"/>
    <m/>
    <x v="58"/>
    <s v="BG25323"/>
    <d v="2026-03-03T00:00:00"/>
    <d v="1899-12-30T11:11:00"/>
    <x v="16"/>
    <s v="CALDAS - ANTIOQUIA"/>
    <s v="FOSMYCINA 90 X 500 GR"/>
    <n v="20"/>
    <n v="1"/>
    <n v="8545000"/>
    <d v="2026-03-06T00:00:00"/>
  </r>
  <r>
    <x v="6"/>
    <s v="001-SC-015906"/>
    <d v="2026-03-02T00:00:00"/>
    <d v="1899-12-30T17:56:00"/>
    <m/>
    <x v="59"/>
    <s v="-"/>
    <d v="2026-03-03T00:00:00"/>
    <d v="1899-12-30T11:24:00"/>
    <x v="26"/>
    <s v="ARMENIA"/>
    <s v="TILVASYYN x 25 KG"/>
    <n v="300"/>
    <n v="12"/>
    <n v="63000000"/>
    <d v="2026-03-04T00:00:00"/>
  </r>
  <r>
    <x v="0"/>
    <s v="001-SC-015907"/>
    <d v="2026-03-03T00:00:00"/>
    <d v="1899-12-30T07:59:00"/>
    <m/>
    <x v="60"/>
    <s v="BG25321"/>
    <d v="2026-03-03T00:00:00"/>
    <d v="1899-12-30T11:32:00"/>
    <x v="23"/>
    <s v="NUTREXCOL"/>
    <s v="ACCUREMAX 10% X 25 KG"/>
    <n v="100"/>
    <n v="4"/>
    <n v="23800000"/>
    <d v="2026-03-04T00:00:00"/>
  </r>
  <r>
    <x v="0"/>
    <s v="001-SC-015907"/>
    <d v="2026-03-03T00:00:00"/>
    <d v="1899-12-30T07:59:00"/>
    <m/>
    <x v="60"/>
    <s v="BG25321"/>
    <d v="2026-03-03T00:00:00"/>
    <d v="1899-12-30T11:32:00"/>
    <x v="23"/>
    <s v="NUTREXCOL"/>
    <s v="TILOMIX 250 PREMIX X 25 KG"/>
    <n v="50"/>
    <n v="2"/>
    <n v="2825000"/>
    <d v="2026-03-04T00:00:00"/>
  </r>
  <r>
    <x v="0"/>
    <m/>
    <d v="2026-03-03T00:00:00"/>
    <d v="1899-12-30T07:31:00"/>
    <m/>
    <x v="61"/>
    <s v="BG25320"/>
    <d v="2026-03-03T00:00:00"/>
    <d v="1899-12-30T11:41:00"/>
    <x v="35"/>
    <s v="MEDELLIN"/>
    <s v="DINAMIX 800 X 25 KG"/>
    <n v="50"/>
    <n v="2"/>
    <n v="8200000"/>
    <d v="2026-03-04T00:00:00"/>
  </r>
  <r>
    <x v="0"/>
    <m/>
    <d v="2026-03-03T00:00:00"/>
    <d v="1899-12-30T07:31:00"/>
    <m/>
    <x v="61"/>
    <s v="BG25320"/>
    <d v="2026-03-03T00:00:00"/>
    <d v="1899-12-30T11:41:00"/>
    <x v="35"/>
    <s v="MEDELLIN"/>
    <s v="DQCICLIN X 1 KG"/>
    <n v="50"/>
    <n v="2"/>
    <n v="11500000"/>
    <d v="2026-03-04T00:00:00"/>
  </r>
  <r>
    <x v="0"/>
    <m/>
    <d v="2026-03-03T00:00:00"/>
    <d v="1899-12-30T07:31:00"/>
    <m/>
    <x v="61"/>
    <s v="BG25320"/>
    <d v="2026-03-03T00:00:00"/>
    <d v="1899-12-30T11:41:00"/>
    <x v="35"/>
    <s v="MEDELLIN"/>
    <s v="FENIFLOR PREMIX X 25 Kg"/>
    <n v="25"/>
    <n v="1"/>
    <n v="1700000"/>
    <d v="2026-03-04T00:00:00"/>
  </r>
  <r>
    <x v="0"/>
    <m/>
    <d v="2026-03-03T00:00:00"/>
    <d v="1899-12-30T07:31:00"/>
    <m/>
    <x v="61"/>
    <s v="BG25320"/>
    <d v="2026-03-03T00:00:00"/>
    <d v="1899-12-30T11:41:00"/>
    <x v="35"/>
    <s v="MEDELLIN"/>
    <s v="ACCUREMAX 10% X 25 KG"/>
    <n v="25"/>
    <n v="1"/>
    <n v="6000000"/>
    <d v="2026-03-04T00:00:00"/>
  </r>
  <r>
    <x v="0"/>
    <m/>
    <d v="2026-03-03T00:00:00"/>
    <d v="1899-12-30T07:31:00"/>
    <m/>
    <x v="62"/>
    <s v="BG25317"/>
    <d v="2026-03-03T00:00:00"/>
    <d v="1899-12-30T11:41:00"/>
    <x v="35"/>
    <s v="MEDELLIN"/>
    <s v="ACCUREMAX 10% X 25 KG"/>
    <n v="50"/>
    <n v="2"/>
    <n v="12000000"/>
    <d v="2026-03-05T00:00:00"/>
  </r>
  <r>
    <x v="0"/>
    <m/>
    <d v="2026-03-03T00:00:00"/>
    <d v="1899-12-30T07:31:00"/>
    <m/>
    <x v="62"/>
    <s v="BG25317"/>
    <d v="2026-03-03T00:00:00"/>
    <d v="1899-12-30T11:41:00"/>
    <x v="35"/>
    <s v="MEDELLIN"/>
    <s v="TILCOMIX PREMIX S X 5 KG"/>
    <n v="25"/>
    <n v="1"/>
    <n v="4000000"/>
    <d v="2026-03-05T00:00:00"/>
  </r>
  <r>
    <x v="1"/>
    <m/>
    <d v="2026-03-03T00:00:00"/>
    <d v="1899-12-30T07:31:00"/>
    <m/>
    <x v="63"/>
    <s v="BG25304"/>
    <d v="2026-03-03T00:00:00"/>
    <d v="1899-12-30T11:41:00"/>
    <x v="35"/>
    <s v="MEDELLIN"/>
    <s v="ESPELIN 88 X 25 KG"/>
    <n v="25"/>
    <n v="1"/>
    <n v="1287500"/>
    <d v="2026-03-05T00:00:00"/>
  </r>
  <r>
    <x v="7"/>
    <m/>
    <d v="2026-03-03T00:00:00"/>
    <d v="1899-12-30T07:48:00"/>
    <m/>
    <x v="64"/>
    <m/>
    <d v="2026-03-03T00:00:00"/>
    <d v="1899-12-30T11:51:00"/>
    <x v="36"/>
    <s v="ARMENIA"/>
    <s v="FENIFLOR ORAL X 500 GR"/>
    <n v="10"/>
    <n v="0"/>
    <n v="972000"/>
    <d v="2026-03-05T00:00:00"/>
  </r>
  <r>
    <x v="0"/>
    <s v="ORC-2603001"/>
    <d v="2026-03-03T00:00:00"/>
    <d v="1899-12-30T10:17:00"/>
    <m/>
    <x v="65"/>
    <s v="BG25319"/>
    <d v="2026-03-03T00:00:00"/>
    <d v="1899-12-30T12:00:00"/>
    <x v="37"/>
    <s v="MANIZALES"/>
    <s v="CELMANAX X 25 KG"/>
    <n v="250"/>
    <n v="10"/>
    <n v="4250000"/>
    <d v="2026-03-05T00:00:00"/>
  </r>
  <r>
    <x v="0"/>
    <s v="OC-030008"/>
    <d v="2026-03-03T00:00:00"/>
    <d v="1899-12-30T08:32:00"/>
    <m/>
    <x v="65"/>
    <s v="BG25318"/>
    <d v="2026-03-03T00:00:00"/>
    <d v="1899-12-30T12:03:00"/>
    <x v="38"/>
    <s v="BUCARAMANGA"/>
    <s v="FRACTAL P X 25 KG"/>
    <n v="75"/>
    <n v="3"/>
    <n v="1912500"/>
    <d v="2026-03-05T00:00:00"/>
  </r>
  <r>
    <x v="0"/>
    <s v="OCO-0045149"/>
    <d v="2026-03-03T00:00:00"/>
    <d v="1899-12-30T07:50:00"/>
    <m/>
    <x v="66"/>
    <s v="BG25316"/>
    <d v="2026-03-03T00:00:00"/>
    <d v="1899-12-30T12:21:00"/>
    <x v="39"/>
    <s v="TULUA"/>
    <s v="AMOXIN X 1 KILO"/>
    <n v="80"/>
    <n v="3"/>
    <n v="11992000"/>
    <d v="2026-03-05T00:00:00"/>
  </r>
  <r>
    <x v="0"/>
    <m/>
    <d v="2026-03-03T00:00:00"/>
    <d v="1899-12-30T10:58:00"/>
    <m/>
    <x v="67"/>
    <s v="BG25314"/>
    <d v="2026-03-03T00:00:00"/>
    <d v="1899-12-30T12:55:00"/>
    <x v="40"/>
    <s v="BUCARAMANGA"/>
    <s v="DQCICLIN X 1 KG"/>
    <n v="25"/>
    <n v="1"/>
    <n v="6250000"/>
    <d v="2025-03-03T00:00:00"/>
  </r>
  <r>
    <x v="0"/>
    <m/>
    <d v="2026-03-03T00:00:00"/>
    <d v="1899-12-30T10:58:00"/>
    <m/>
    <x v="67"/>
    <s v="BG25314"/>
    <d v="2026-03-03T00:00:00"/>
    <d v="1899-12-30T12:55:00"/>
    <x v="40"/>
    <s v="BUCARAMANGA"/>
    <s v="FOSMYCINA 90 X 500 GR"/>
    <n v="6"/>
    <n v="0"/>
    <n v="3114000"/>
    <d v="2025-03-03T00:00:00"/>
  </r>
  <r>
    <x v="0"/>
    <m/>
    <d v="2026-03-03T00:00:00"/>
    <d v="1899-12-30T10:58:00"/>
    <m/>
    <x v="67"/>
    <s v="BG25314"/>
    <d v="2026-03-03T00:00:00"/>
    <d v="1899-12-30T12:55:00"/>
    <x v="40"/>
    <s v="BUCARAMANGA"/>
    <s v="TILOMIX ORAL X 1 KG"/>
    <n v="30"/>
    <n v="1"/>
    <n v="7035000"/>
    <d v="2025-03-03T00:00:00"/>
  </r>
  <r>
    <x v="0"/>
    <m/>
    <d v="2026-03-03T00:00:00"/>
    <d v="1899-12-30T10:58:00"/>
    <m/>
    <x v="68"/>
    <s v="BG25295"/>
    <d v="2026-03-03T00:00:00"/>
    <d v="1899-12-30T12:55:00"/>
    <x v="40"/>
    <s v="BUCARAMANGA"/>
    <s v="SMOOTH SWEET X 75 GR"/>
    <n v="0.45"/>
    <n v="0"/>
    <n v="0"/>
    <d v="2025-03-03T00:00:00"/>
  </r>
  <r>
    <x v="1"/>
    <m/>
    <d v="2026-03-03T00:00:00"/>
    <d v="1899-12-30T10:58:00"/>
    <m/>
    <x v="69"/>
    <s v="BG25309"/>
    <m/>
    <m/>
    <x v="40"/>
    <s v="BUCARAMANGA"/>
    <s v="AMOXIN X 1 KILO"/>
    <n v="10"/>
    <n v="0"/>
    <n v="0"/>
    <d v="2025-03-03T00:00:00"/>
  </r>
  <r>
    <x v="0"/>
    <s v="3016-1269"/>
    <d v="2026-03-03T00:00:00"/>
    <d v="1899-12-30T12:00:00"/>
    <m/>
    <x v="70"/>
    <s v="BG25313"/>
    <d v="2026-03-03T00:00:00"/>
    <d v="1899-12-30T13:59:00"/>
    <x v="41"/>
    <s v="BOGOTA"/>
    <s v="CIPROFLOX X 5 KG"/>
    <n v="40"/>
    <n v="2"/>
    <n v="2440000"/>
    <d v="2026-03-04T00:00:00"/>
  </r>
  <r>
    <x v="0"/>
    <s v="3016-1269"/>
    <d v="2026-03-03T00:00:00"/>
    <d v="1899-12-30T12:00:00"/>
    <m/>
    <x v="71"/>
    <s v="BG25312"/>
    <d v="2026-03-03T00:00:00"/>
    <d v="1899-12-30T13:59:00"/>
    <x v="41"/>
    <s v="BOGOTA"/>
    <s v="SMOOTH SWEET X 75 GR"/>
    <n v="3"/>
    <n v="0"/>
    <n v="0"/>
    <d v="2026-03-04T00:00:00"/>
  </r>
  <r>
    <x v="0"/>
    <m/>
    <d v="2026-03-03T00:00:00"/>
    <d v="1899-12-30T11:40:00"/>
    <m/>
    <x v="72"/>
    <s v="BG25297"/>
    <d v="2026-03-03T00:00:00"/>
    <d v="1899-12-30T14:51:00"/>
    <x v="42"/>
    <s v="DON MATIAS"/>
    <s v="DQCICLIN X 1 KG"/>
    <n v="4"/>
    <n v="0"/>
    <n v="1000000"/>
    <d v="2026-03-03T00:00:00"/>
  </r>
  <r>
    <x v="0"/>
    <m/>
    <d v="2026-03-03T00:00:00"/>
    <d v="1899-12-30T11:40:00"/>
    <m/>
    <x v="72"/>
    <s v="BG25297"/>
    <d v="2026-03-03T00:00:00"/>
    <d v="1899-12-30T14:51:00"/>
    <x v="42"/>
    <s v="DON MATIAS"/>
    <s v="FOSMYCINA 90 X 500 GR"/>
    <n v="4"/>
    <n v="0"/>
    <n v="2080000"/>
    <d v="2026-03-03T00:00:00"/>
  </r>
  <r>
    <x v="0"/>
    <s v="004-OSC-00051146"/>
    <d v="2026-03-03T00:00:00"/>
    <d v="1899-12-30T13:33:00"/>
    <m/>
    <x v="73"/>
    <s v="BG25311"/>
    <d v="2026-03-03T00:00:00"/>
    <d v="1899-12-30T15:22:00"/>
    <x v="29"/>
    <s v="CARTAGO"/>
    <s v="DMB 11 X 25 KG"/>
    <n v="1000"/>
    <n v="40"/>
    <n v="19500000"/>
    <d v="2026-03-06T00:00:00"/>
  </r>
  <r>
    <x v="0"/>
    <s v="103-OCC-38380"/>
    <d v="2026-03-03T00:00:00"/>
    <d v="1899-12-30T14:12:00"/>
    <m/>
    <x v="74"/>
    <s v="BG25296"/>
    <d v="2026-03-03T00:00:00"/>
    <d v="1899-12-30T15:30:00"/>
    <x v="13"/>
    <s v="GIRARDOTA"/>
    <s v="DINAMIX PREMIX X 25 KG"/>
    <n v="500"/>
    <n v="20"/>
    <n v="12750000"/>
    <d v="2026-03-06T00:00:00"/>
  </r>
  <r>
    <x v="0"/>
    <m/>
    <d v="2026-03-03T00:00:00"/>
    <d v="1899-12-30T15:08:00"/>
    <m/>
    <x v="75"/>
    <s v="BG25310"/>
    <d v="2026-03-03T00:00:00"/>
    <d v="1899-12-30T16:41:00"/>
    <x v="18"/>
    <s v="RECOGE EN BODEGA"/>
    <s v="CLORTETRAX 20 X 25 KG"/>
    <n v="400"/>
    <n v="16"/>
    <n v="6320000"/>
    <d v="2026-03-04T00:00:00"/>
  </r>
  <r>
    <x v="0"/>
    <m/>
    <d v="2026-02-27T00:00:00"/>
    <d v="1899-12-30T13:59:00"/>
    <m/>
    <x v="76"/>
    <s v="BG25307"/>
    <d v="2026-03-04T00:00:00"/>
    <d v="1899-12-30T07:42:00"/>
    <x v="25"/>
    <s v="BUCARAMANGA"/>
    <s v="DQCICLIN X 1 KG"/>
    <n v="2"/>
    <n v="0"/>
    <n v="500000"/>
    <d v="2026-03-04T00:00:00"/>
  </r>
  <r>
    <x v="0"/>
    <s v="020-CAL"/>
    <d v="2026-03-03T00:00:00"/>
    <d v="1899-12-30T12:03:00"/>
    <m/>
    <x v="77"/>
    <s v="BG25308"/>
    <d v="2026-03-04T00:00:00"/>
    <d v="1899-12-30T07:55:00"/>
    <x v="43"/>
    <s v="CALI"/>
    <s v="AMOXIN X 1 KILO"/>
    <n v="10"/>
    <n v="0"/>
    <n v="1550000"/>
    <d v="2026-03-04T00:00:00"/>
  </r>
  <r>
    <x v="0"/>
    <s v="020-CAL"/>
    <d v="2026-03-03T00:00:00"/>
    <d v="1899-12-30T12:03:00"/>
    <m/>
    <x v="77"/>
    <s v="BG25308"/>
    <d v="2026-03-04T00:00:00"/>
    <d v="1899-12-30T07:55:00"/>
    <x v="43"/>
    <s v="CALI"/>
    <s v="FOSMYCINA 90 X 500 GR"/>
    <n v="6"/>
    <n v="0"/>
    <n v="3120000"/>
    <d v="2026-03-04T00:00:00"/>
  </r>
  <r>
    <x v="0"/>
    <n v="4500198561"/>
    <d v="2026-03-03T00:00:00"/>
    <d v="1899-12-30T16:01:00"/>
    <m/>
    <x v="78"/>
    <s v="BG25378"/>
    <d v="2026-03-04T00:00:00"/>
    <d v="1899-12-30T08:17:00"/>
    <x v="44"/>
    <s v="PUERTO LOPEZ"/>
    <s v="DMB 11 X 25 KG"/>
    <n v="3500"/>
    <n v="140"/>
    <n v="71480500"/>
    <d v="2026-03-05T00:00:00"/>
  </r>
  <r>
    <x v="0"/>
    <n v="4500198635"/>
    <d v="2026-03-03T00:00:00"/>
    <d v="1899-12-30T16:01:00"/>
    <m/>
    <x v="79"/>
    <s v="BG25377"/>
    <d v="2026-03-04T00:00:00"/>
    <d v="1899-12-30T08:17:00"/>
    <x v="44"/>
    <s v="PUERTO LOPEZ"/>
    <s v="NEOCYN X 25 KG"/>
    <n v="200"/>
    <n v="8"/>
    <n v="13500000"/>
    <d v="2026-03-05T00:00:00"/>
  </r>
  <r>
    <x v="0"/>
    <s v="0024"/>
    <d v="2026-03-03T00:00:00"/>
    <d v="1899-12-30T14:24:00"/>
    <m/>
    <x v="80"/>
    <s v="BG25306"/>
    <d v="2026-03-04T00:00:00"/>
    <d v="1899-12-30T08:40:00"/>
    <x v="45"/>
    <s v="GRANADA"/>
    <s v="DINAMIX 200 PREMIX X 25 KG"/>
    <n v="125"/>
    <n v="5"/>
    <n v="6625000"/>
    <d v="2026-03-06T00:00:00"/>
  </r>
  <r>
    <x v="0"/>
    <s v="0024"/>
    <d v="2026-03-03T00:00:00"/>
    <d v="1899-12-30T14:24:00"/>
    <m/>
    <x v="80"/>
    <s v="BG25306"/>
    <d v="2026-03-04T00:00:00"/>
    <d v="1899-12-30T08:40:00"/>
    <x v="45"/>
    <s v="GRANADA"/>
    <s v="CLORTETRAX 20 X 25 KG"/>
    <n v="225"/>
    <n v="9"/>
    <n v="3600000"/>
    <d v="2026-03-06T00:00:00"/>
  </r>
  <r>
    <x v="0"/>
    <s v="OC-COMPR-22004"/>
    <d v="2026-03-03T00:00:00"/>
    <d v="1899-12-30T11:33:00"/>
    <m/>
    <x v="81"/>
    <s v="BG25373"/>
    <d v="2026-03-04T00:00:00"/>
    <d v="1899-12-30T08:45:00"/>
    <x v="46"/>
    <s v="RICAURTE"/>
    <s v="BIMMU X 25 KG"/>
    <n v="100"/>
    <n v="4"/>
    <n v="3500000"/>
    <d v="2026-03-09T00:00:00"/>
  </r>
  <r>
    <x v="0"/>
    <s v="OC-COMPR-22004"/>
    <d v="2026-03-03T00:00:00"/>
    <d v="1899-12-30T11:33:00"/>
    <m/>
    <x v="81"/>
    <s v="BG25373"/>
    <d v="2026-03-04T00:00:00"/>
    <d v="1899-12-30T08:45:00"/>
    <x v="46"/>
    <s v="RICAURTE"/>
    <s v="CLORTETRAX 20 X 25 KG"/>
    <n v="25"/>
    <n v="1"/>
    <n v="481250"/>
    <d v="2026-03-09T00:00:00"/>
  </r>
  <r>
    <x v="0"/>
    <s v="COC-00000388"/>
    <d v="2026-03-03T00:00:00"/>
    <d v="1899-12-30T14:56:00"/>
    <m/>
    <x v="82"/>
    <s v="BG25395"/>
    <d v="2026-03-04T00:00:00"/>
    <d v="1899-12-30T08:54:00"/>
    <x v="47"/>
    <s v="DON MATIAS"/>
    <s v="TILVASYYN x 25 KG"/>
    <n v="150"/>
    <n v="6"/>
    <n v="30000000"/>
    <d v="2026-02-11T00:00:00"/>
  </r>
  <r>
    <x v="0"/>
    <n v="1376826"/>
    <d v="2026-03-04T00:00:00"/>
    <d v="1899-12-30T08:46:00"/>
    <m/>
    <x v="83"/>
    <s v="BG25305"/>
    <d v="2026-03-04T00:00:00"/>
    <d v="1899-12-30T10:26:00"/>
    <x v="14"/>
    <s v="CARTAGO"/>
    <s v="ESPELIN 88 X 25 KG"/>
    <n v="75"/>
    <n v="3"/>
    <n v="2917500"/>
    <d v="2026-02-05T00:00:00"/>
  </r>
  <r>
    <x v="0"/>
    <m/>
    <d v="2026-03-04T00:00:00"/>
    <d v="1899-12-30T10:46:00"/>
    <m/>
    <x v="84"/>
    <s v="BG25462"/>
    <d v="2026-03-04T00:00:00"/>
    <d v="1899-12-30T11:16:00"/>
    <x v="20"/>
    <s v="MAICAO"/>
    <s v="MONECYL X 25 KG"/>
    <n v="25"/>
    <n v="1"/>
    <n v="0"/>
    <d v="2026-02-06T00:00:00"/>
  </r>
  <r>
    <x v="7"/>
    <m/>
    <d v="2026-03-04T00:00:00"/>
    <d v="1899-12-30T10:46:00"/>
    <m/>
    <x v="85"/>
    <s v="BG25450"/>
    <d v="2026-03-04T00:00:00"/>
    <d v="1899-12-30T11:16:00"/>
    <x v="20"/>
    <s v="MAICAO"/>
    <s v="MONECYL X 25 KG"/>
    <n v="75"/>
    <n v="3"/>
    <n v="1575000"/>
    <d v="2026-02-06T00:00:00"/>
  </r>
  <r>
    <x v="7"/>
    <m/>
    <d v="2026-03-04T00:00:00"/>
    <d v="1899-12-30T10:46:00"/>
    <m/>
    <x v="85"/>
    <s v="BG25450"/>
    <d v="2026-03-04T00:00:00"/>
    <d v="1899-12-30T11:16:00"/>
    <x v="20"/>
    <s v="MAICAO"/>
    <s v="DINAMIX 200 PREMIX X 25 KG"/>
    <n v="275"/>
    <n v="11"/>
    <n v="14025000"/>
    <d v="2026-02-06T00:00:00"/>
  </r>
  <r>
    <x v="0"/>
    <n v="1376444"/>
    <d v="2026-03-03T00:00:00"/>
    <d v="1899-12-30T15:33:00"/>
    <m/>
    <x v="86"/>
    <s v="BG25303"/>
    <d v="2026-03-04T00:00:00"/>
    <d v="1899-12-30T11:30:00"/>
    <x v="16"/>
    <s v="BUCARAMANGA"/>
    <s v="CIPROFLOX X 5 KG"/>
    <n v="30"/>
    <n v="1"/>
    <n v="1575000"/>
    <d v="2026-03-04T00:00:00"/>
  </r>
  <r>
    <x v="0"/>
    <n v="1376444"/>
    <d v="2026-03-03T00:00:00"/>
    <d v="1899-12-30T15:33:00"/>
    <m/>
    <x v="87"/>
    <s v="BG25302"/>
    <d v="2026-03-04T00:00:00"/>
    <d v="1899-12-30T11:30:00"/>
    <x v="16"/>
    <s v="BUCARAMANGA"/>
    <s v="SMOOTH SWEET X 75 GR"/>
    <n v="2.25"/>
    <n v="0"/>
    <n v="0"/>
    <d v="2026-03-04T00:00:00"/>
  </r>
  <r>
    <x v="0"/>
    <n v="1376409"/>
    <d v="2026-03-03T00:00:00"/>
    <d v="1899-12-30T14:47:00"/>
    <m/>
    <x v="88"/>
    <s v="BG25376"/>
    <d v="2026-03-04T00:00:00"/>
    <d v="1899-12-30T12:16:00"/>
    <x v="5"/>
    <s v="MOSQUERA"/>
    <s v="FENIFLOR PREMIX X 25 Kg"/>
    <n v="100"/>
    <n v="4"/>
    <n v="5186000"/>
    <d v="2026-03-09T00:00:00"/>
  </r>
  <r>
    <x v="0"/>
    <n v="4500087287"/>
    <d v="2026-03-03T00:00:00"/>
    <d v="1899-12-30T17:00:00"/>
    <m/>
    <x v="89"/>
    <s v="BG25301"/>
    <d v="2026-03-04T00:00:00"/>
    <d v="1899-12-30T12:19:00"/>
    <x v="0"/>
    <s v="CELTA"/>
    <s v="MONECYL X 25 KG"/>
    <n v="1500"/>
    <n v="60"/>
    <n v="28875000"/>
    <d v="2026-03-05T00:00:00"/>
  </r>
  <r>
    <x v="0"/>
    <n v="4500087287"/>
    <d v="2026-03-03T00:00:00"/>
    <d v="1899-12-30T17:00:00"/>
    <m/>
    <x v="89"/>
    <s v="BG25301"/>
    <d v="2026-03-04T00:00:00"/>
    <d v="1899-12-30T12:19:00"/>
    <x v="0"/>
    <s v="CELTA"/>
    <s v="FRACTAL P X 25 KG"/>
    <n v="150"/>
    <n v="6"/>
    <n v="3721000"/>
    <d v="2026-03-05T00:00:00"/>
  </r>
  <r>
    <x v="0"/>
    <n v="4500087287"/>
    <d v="2026-03-03T00:00:00"/>
    <d v="1899-12-30T17:00:00"/>
    <m/>
    <x v="89"/>
    <s v="BG25301"/>
    <d v="2026-03-04T00:00:00"/>
    <d v="1899-12-30T12:19:00"/>
    <x v="0"/>
    <s v="CELTA"/>
    <s v="LOTUS X 25 KG"/>
    <n v="100"/>
    <n v="4"/>
    <n v="3450000"/>
    <d v="2026-03-05T00:00:00"/>
  </r>
  <r>
    <x v="0"/>
    <n v="4500087309"/>
    <d v="2026-03-04T00:00:00"/>
    <d v="1899-12-30T10:51:00"/>
    <m/>
    <x v="90"/>
    <s v="BG25368"/>
    <d v="2026-03-04T00:00:00"/>
    <d v="1899-12-30T12:27:00"/>
    <x v="0"/>
    <s v="MEDELLIN"/>
    <s v="NEOCYN X 25 KG"/>
    <n v="600"/>
    <n v="24"/>
    <n v="37020000"/>
    <d v="2026-03-06T00:00:00"/>
  </r>
  <r>
    <x v="0"/>
    <n v="4500087309"/>
    <d v="2026-03-04T00:00:00"/>
    <d v="1899-12-30T10:51:00"/>
    <m/>
    <x v="90"/>
    <s v="BG25368"/>
    <d v="2026-03-04T00:00:00"/>
    <d v="1899-12-30T12:27:00"/>
    <x v="0"/>
    <s v="MEDELLIN"/>
    <s v="KIRA X 25 KG"/>
    <n v="600"/>
    <n v="24"/>
    <n v="11805000"/>
    <d v="2026-03-06T00:00:00"/>
  </r>
  <r>
    <x v="0"/>
    <n v="4500087309"/>
    <d v="2026-03-04T00:00:00"/>
    <d v="1899-12-30T10:51:00"/>
    <m/>
    <x v="90"/>
    <s v="BG25368"/>
    <d v="2026-03-04T00:00:00"/>
    <d v="1899-12-30T12:27:00"/>
    <x v="0"/>
    <s v="MEDELLIN"/>
    <s v="CIPROFLOX X 5 KG"/>
    <n v="400"/>
    <n v="16"/>
    <n v="21000000"/>
    <d v="2026-03-06T00:00:00"/>
  </r>
  <r>
    <x v="0"/>
    <n v="4500087309"/>
    <d v="2026-03-04T00:00:00"/>
    <d v="1899-12-30T10:51:00"/>
    <m/>
    <x v="91"/>
    <s v="BG25367"/>
    <d v="2026-03-04T00:00:00"/>
    <d v="1899-12-30T12:27:00"/>
    <x v="0"/>
    <s v="MEDELLIN"/>
    <s v="10 kg SMOOTH SWEET"/>
    <n v="30"/>
    <n v="1"/>
    <n v="0"/>
    <d v="2026-03-06T00:00:00"/>
  </r>
  <r>
    <x v="0"/>
    <n v="4500087309"/>
    <d v="2026-03-04T00:00:00"/>
    <d v="1899-12-30T10:51:00"/>
    <m/>
    <x v="92"/>
    <s v="BG25449"/>
    <d v="2026-03-04T00:00:00"/>
    <d v="1899-12-30T12:27:00"/>
    <x v="0"/>
    <s v="MEDELLIN"/>
    <s v="FRACTAL P X 25 KG"/>
    <n v="3000"/>
    <n v="120"/>
    <n v="74250000"/>
    <d v="2026-03-06T00:00:00"/>
  </r>
  <r>
    <x v="0"/>
    <n v="4500087327"/>
    <d v="2026-03-04T00:00:00"/>
    <d v="1899-12-30T10:51:00"/>
    <m/>
    <x v="93"/>
    <s v="BG25366"/>
    <d v="2026-03-04T00:00:00"/>
    <d v="1899-12-30T12:34:00"/>
    <x v="0"/>
    <s v="MEDELLIN"/>
    <s v="AMOXIN X 1 KILO"/>
    <n v="200"/>
    <n v="8"/>
    <n v="27100000"/>
    <d v="2026-03-06T00:00:00"/>
  </r>
  <r>
    <x v="0"/>
    <m/>
    <d v="2026-03-05T00:00:00"/>
    <d v="1899-12-30T08:00:00"/>
    <m/>
    <x v="94"/>
    <s v="BG25365"/>
    <d v="2026-03-05T00:00:00"/>
    <d v="1899-12-30T08:32:00"/>
    <x v="42"/>
    <s v="DON MATIAS"/>
    <s v="DQCICLIN X 1 KG"/>
    <n v="7"/>
    <n v="0"/>
    <n v="1750000"/>
    <d v="2026-03-05T00:00:00"/>
  </r>
  <r>
    <x v="0"/>
    <m/>
    <d v="2026-03-04T00:00:00"/>
    <d v="1899-12-30T16:28:00"/>
    <m/>
    <x v="95"/>
    <s v="BG25364"/>
    <d v="2026-03-05T00:00:00"/>
    <d v="1899-12-30T08:34:00"/>
    <x v="25"/>
    <s v="BUCARAMANGA"/>
    <s v="TRIMBAC X 5 KG"/>
    <n v="5"/>
    <n v="0"/>
    <n v="850000"/>
    <d v="2026-03-05T00:00:00"/>
  </r>
  <r>
    <x v="0"/>
    <s v="001-OCN-00013796"/>
    <d v="2026-03-04T00:00:00"/>
    <d v="1899-12-30T15:24:00"/>
    <m/>
    <x v="96"/>
    <s v="BG25484"/>
    <d v="2026-03-05T00:00:00"/>
    <d v="1899-12-30T09:46:00"/>
    <x v="48"/>
    <s v="MOSQUERA"/>
    <s v="SAGAH X 25 KG"/>
    <n v="300"/>
    <n v="12"/>
    <n v="10500000"/>
    <d v="2026-03-16T00:00:00"/>
  </r>
  <r>
    <x v="0"/>
    <m/>
    <d v="2026-03-05T00:00:00"/>
    <d v="1899-12-30T09:53:00"/>
    <m/>
    <x v="97"/>
    <s v="BG25372"/>
    <d v="2026-03-05T00:00:00"/>
    <d v="1899-12-30T10:32:00"/>
    <x v="49"/>
    <s v="BUGA"/>
    <s v="FOSMYCINA 90 X 500 GR"/>
    <n v="100"/>
    <n v="4"/>
    <n v="51480000"/>
    <d v="2026-03-06T00:00:00"/>
  </r>
  <r>
    <x v="0"/>
    <n v="65732"/>
    <d v="2026-03-05T00:00:00"/>
    <d v="1899-12-30T08:04:00"/>
    <m/>
    <x v="98"/>
    <s v="BG25483"/>
    <d v="2026-03-05T00:00:00"/>
    <d v="1899-12-30T11:11:00"/>
    <x v="21"/>
    <s v="BUCARAMANGA"/>
    <s v="CELMANAX X 25 KG"/>
    <n v="700"/>
    <n v="28"/>
    <n v="12495000"/>
    <d v="2026-03-06T00:00:00"/>
  </r>
  <r>
    <x v="0"/>
    <n v="65731"/>
    <d v="2026-03-05T00:00:00"/>
    <d v="1899-12-30T08:04:00"/>
    <m/>
    <x v="99"/>
    <s v="BG25482"/>
    <d v="2026-03-05T00:00:00"/>
    <d v="1899-12-30T11:11:00"/>
    <x v="21"/>
    <s v="BUCARAMANGA"/>
    <s v="DMB 11 X 25 KG"/>
    <n v="50"/>
    <n v="2"/>
    <n v="1021150"/>
    <d v="2026-03-06T00:00:00"/>
  </r>
  <r>
    <x v="0"/>
    <n v="4504002371"/>
    <d v="2026-03-05T00:00:00"/>
    <d v="1899-12-30T08:11:00"/>
    <m/>
    <x v="100"/>
    <s v="BG25422"/>
    <d v="2026-03-05T00:00:00"/>
    <d v="1899-12-30T11:20:00"/>
    <x v="50"/>
    <s v="BUGA"/>
    <s v="DMB 11 X 25 KG"/>
    <n v="5600"/>
    <n v="224"/>
    <n v="99400000"/>
    <d v="2026-03-09T00:00:00"/>
  </r>
  <r>
    <x v="0"/>
    <n v="4504002371"/>
    <d v="2026-03-05T00:00:00"/>
    <d v="1899-12-30T08:11:00"/>
    <m/>
    <x v="101"/>
    <s v="BG25574"/>
    <d v="2026-03-05T00:00:00"/>
    <d v="1899-12-30T11:20:00"/>
    <x v="50"/>
    <s v="BUGA"/>
    <s v="DMB 11 X 25 KG"/>
    <n v="5600"/>
    <n v="224"/>
    <n v="99400000"/>
    <d v="2026-03-16T00:00:00"/>
  </r>
  <r>
    <x v="0"/>
    <n v="4504002371"/>
    <d v="2026-03-05T00:00:00"/>
    <d v="1899-12-30T08:11:00"/>
    <m/>
    <x v="102"/>
    <s v="BG25628"/>
    <d v="2026-03-05T00:00:00"/>
    <d v="1899-12-30T11:20:00"/>
    <x v="50"/>
    <s v="BUGA"/>
    <s v="DMB 11 X 25 KG"/>
    <n v="5600"/>
    <n v="224"/>
    <n v="99400000"/>
    <d v="2026-03-25T00:00:00"/>
  </r>
  <r>
    <x v="0"/>
    <n v="1377704"/>
    <d v="2026-03-05T00:00:00"/>
    <d v="1899-12-30T08:33:00"/>
    <m/>
    <x v="103"/>
    <s v="BG25421"/>
    <d v="2026-03-05T00:00:00"/>
    <d v="1899-12-30T11:40:00"/>
    <x v="5"/>
    <s v="BUCARAMANGA"/>
    <s v="TILVASYYN x 25 KG"/>
    <n v="75"/>
    <n v="3"/>
    <n v="13515000"/>
    <d v="2026-03-12T00:00:00"/>
  </r>
  <r>
    <x v="0"/>
    <s v="OC 043"/>
    <d v="2026-03-05T00:00:00"/>
    <d v="1899-12-30T10:22:00"/>
    <m/>
    <x v="104"/>
    <s v="BG25371"/>
    <d v="2026-03-05T00:00:00"/>
    <d v="1899-12-30T12:09:00"/>
    <x v="51"/>
    <s v="ITAGUI"/>
    <s v="FOSMYCINA 90 X 500 GR"/>
    <n v="10"/>
    <n v="20"/>
    <n v="5190000"/>
    <d v="2026-03-05T00:00:00"/>
  </r>
  <r>
    <x v="0"/>
    <n v="4500373026"/>
    <d v="2026-03-05T00:00:00"/>
    <d v="1899-12-30T08:46:00"/>
    <m/>
    <x v="105"/>
    <s v="BG25588"/>
    <d v="2026-03-05T00:00:00"/>
    <d v="1899-12-30T08:46:00"/>
    <x v="3"/>
    <s v="BUGA"/>
    <s v="LOTUS X 25 KG"/>
    <n v="400"/>
    <n v="20"/>
    <n v="16200000"/>
    <d v="2026-03-24T00:00:00"/>
  </r>
  <r>
    <x v="7"/>
    <m/>
    <d v="2026-02-24T00:00:00"/>
    <d v="1899-12-30T09:48:00"/>
    <m/>
    <x v="106"/>
    <s v="BG25355"/>
    <d v="2025-02-24T00:00:00"/>
    <d v="1899-12-30T12:43:00"/>
    <x v="34"/>
    <s v="DON MATIAS"/>
    <s v="TILCOMIX ORAL X 1 LITRO"/>
    <n v="20"/>
    <n v="1"/>
    <n v="4500000"/>
    <d v="2026-02-25T00:00:00"/>
  </r>
  <r>
    <x v="7"/>
    <m/>
    <d v="2026-02-24T00:00:00"/>
    <d v="1899-12-30T09:48:00"/>
    <m/>
    <x v="107"/>
    <s v="BG25354"/>
    <d v="2025-02-24T00:00:00"/>
    <d v="1899-12-30T12:43:00"/>
    <x v="34"/>
    <s v="DON MATIAS"/>
    <s v="SMOOT SWEET X 75 GR"/>
    <n v="1.5"/>
    <n v="0"/>
    <n v="0"/>
    <d v="2026-02-25T00:00:00"/>
  </r>
  <r>
    <x v="7"/>
    <m/>
    <d v="2026-02-24T00:00:00"/>
    <d v="1899-12-30T09:48:00"/>
    <m/>
    <x v="108"/>
    <s v="BG25362"/>
    <d v="2025-02-24T00:00:00"/>
    <d v="1899-12-30T12:43:00"/>
    <x v="34"/>
    <s v="DON MATIAS"/>
    <s v="TILCOMIX ORAL X 1 LITRO"/>
    <n v="10"/>
    <n v="0"/>
    <n v="2250000"/>
    <d v="2026-02-25T00:00:00"/>
  </r>
  <r>
    <x v="6"/>
    <m/>
    <d v="2026-02-24T00:00:00"/>
    <d v="1899-12-30T09:48:00"/>
    <m/>
    <x v="109"/>
    <s v="BG25356"/>
    <d v="2025-02-24T00:00:00"/>
    <d v="1899-12-30T12:43:00"/>
    <x v="34"/>
    <s v="DON MATIAS"/>
    <s v="SMOOT SWEET X 75 GR"/>
    <n v="0.75"/>
    <n v="0"/>
    <n v="0"/>
    <d v="2026-02-25T00:00:00"/>
  </r>
  <r>
    <x v="0"/>
    <m/>
    <d v="2026-03-06T00:00:00"/>
    <d v="1899-12-30T08:17:00"/>
    <m/>
    <x v="110"/>
    <s v="BG25375"/>
    <d v="2026-03-06T00:00:00"/>
    <d v="1899-12-30T09:50:00"/>
    <x v="34"/>
    <s v="DON MATIAS"/>
    <s v="FENIFLOR ORAL X 500 GR"/>
    <n v="50"/>
    <n v="2"/>
    <n v="5100000"/>
    <d v="3026-03-06T00:00:00"/>
  </r>
  <r>
    <x v="0"/>
    <m/>
    <d v="2026-03-06T00:00:00"/>
    <d v="1899-12-30T08:17:00"/>
    <m/>
    <x v="110"/>
    <s v="BG25375"/>
    <d v="2026-03-06T00:00:00"/>
    <d v="1899-12-30T09:50:00"/>
    <x v="34"/>
    <s v="DON MATIAS"/>
    <s v="TILCOMIX ORAL X 1 LITRO"/>
    <n v="30"/>
    <n v="1"/>
    <n v="6750000"/>
    <d v="3026-03-06T00:00:00"/>
  </r>
  <r>
    <x v="0"/>
    <m/>
    <d v="2026-03-06T00:00:00"/>
    <d v="1899-12-30T08:17:00"/>
    <m/>
    <x v="110"/>
    <s v="BG25375"/>
    <d v="2026-03-06T00:00:00"/>
    <d v="1899-12-30T09:50:00"/>
    <x v="34"/>
    <s v="DON MATIAS"/>
    <s v="FRACTAL L X 20 LITROS"/>
    <n v="100"/>
    <n v="4"/>
    <n v="4000000"/>
    <d v="3026-03-06T00:00:00"/>
  </r>
  <r>
    <x v="0"/>
    <m/>
    <d v="2026-03-06T00:00:00"/>
    <d v="1899-12-30T08:17:00"/>
    <m/>
    <x v="111"/>
    <s v="BG25380"/>
    <d v="2026-03-06T00:00:00"/>
    <d v="1899-12-30T09:50:00"/>
    <x v="34"/>
    <s v="DON MATIAS"/>
    <s v="SMOOTH SWEET X 75 GR"/>
    <n v="2.25"/>
    <n v="0"/>
    <n v="0"/>
    <d v="3026-03-06T00:00:00"/>
  </r>
  <r>
    <x v="0"/>
    <n v="5504426752"/>
    <d v="2026-03-06T00:00:00"/>
    <d v="1899-12-30T10:00:00"/>
    <m/>
    <x v="112"/>
    <s v="BG25479"/>
    <d v="2026-03-06T00:00:00"/>
    <d v="1899-12-30T10:13:00"/>
    <x v="52"/>
    <s v="ESMERALDA"/>
    <s v="ROFLOX X 1 LITRO"/>
    <n v="100"/>
    <n v="4"/>
    <n v="4650000"/>
    <d v="2026-03-06T00:00:00"/>
  </r>
  <r>
    <x v="0"/>
    <s v="BODEGA CONSIGNACION"/>
    <d v="2026-03-06T00:00:00"/>
    <d v="1899-12-30T07:11:00"/>
    <m/>
    <x v="113"/>
    <s v="BG25385"/>
    <d v="2026-03-06T00:00:00"/>
    <d v="1899-12-30T10:20:00"/>
    <x v="28"/>
    <s v="PREMEX MEDELLIN"/>
    <s v="HALQUINOX 800 X 25 KG"/>
    <n v="3000"/>
    <n v="120"/>
    <n v="218601000"/>
    <d v="3026-03-06T00:00:00"/>
  </r>
  <r>
    <x v="0"/>
    <s v="BODEGA CONSIGNACION"/>
    <d v="2026-03-06T00:00:00"/>
    <d v="1899-12-30T07:11:00"/>
    <m/>
    <x v="113"/>
    <s v="BG25385"/>
    <d v="2026-03-06T00:00:00"/>
    <d v="1899-12-30T10:20:00"/>
    <x v="28"/>
    <s v="PREMEX MEDELLIN"/>
    <s v="DINAMIX 800 X 25 KG"/>
    <n v="1000"/>
    <n v="40"/>
    <n v="122901000"/>
    <d v="3026-03-06T00:00:00"/>
  </r>
  <r>
    <x v="1"/>
    <m/>
    <d v="2026-03-06T00:00:00"/>
    <m/>
    <m/>
    <x v="114"/>
    <s v="BG25582"/>
    <d v="2026-03-06T00:00:00"/>
    <d v="1899-12-30T14:35:00"/>
    <x v="12"/>
    <s v="LEBRIJA"/>
    <s v="AMOXIN X 1 KILO"/>
    <n v="80"/>
    <n v="3"/>
    <n v="12400000"/>
    <d v="3026-03-06T00:00:00"/>
  </r>
  <r>
    <x v="0"/>
    <s v="OC PENDIENTE"/>
    <d v="2026-03-06T00:00:00"/>
    <d v="1899-12-30T11:02:00"/>
    <m/>
    <x v="115"/>
    <s v="BG25583"/>
    <d v="2026-03-06T00:00:00"/>
    <d v="1899-12-30T11:35:00"/>
    <x v="12"/>
    <s v="LEBRIJA"/>
    <s v="NEOCYN X 25 KG"/>
    <n v="400"/>
    <n v="16"/>
    <n v="27000000"/>
    <d v="3026-03-06T00:00:00"/>
  </r>
  <r>
    <x v="0"/>
    <m/>
    <d v="2026-02-05T00:00:00"/>
    <d v="1899-12-30T15:53:00"/>
    <m/>
    <x v="116"/>
    <s v="BG25382"/>
    <d v="2026-03-06T00:00:00"/>
    <d v="1899-12-30T11:40:00"/>
    <x v="25"/>
    <s v="BUCARAMANGA"/>
    <s v="DQCICLIN X 1 KG"/>
    <n v="2"/>
    <n v="0"/>
    <n v="500000"/>
    <d v="3026-03-06T00:00:00"/>
  </r>
  <r>
    <x v="0"/>
    <m/>
    <d v="2026-02-05T00:00:00"/>
    <d v="1899-12-30T15:53:00"/>
    <m/>
    <x v="116"/>
    <s v="BG25382"/>
    <d v="2026-03-06T00:00:00"/>
    <d v="1899-12-30T11:40:00"/>
    <x v="25"/>
    <s v="BUCARAMANGA"/>
    <s v="FOSMYCINA 90 X 500 GR"/>
    <n v="3"/>
    <n v="0"/>
    <n v="1560000"/>
    <d v="3026-03-06T00:00:00"/>
  </r>
  <r>
    <x v="0"/>
    <m/>
    <d v="2026-02-05T00:00:00"/>
    <d v="1899-12-30T16:16:00"/>
    <m/>
    <x v="117"/>
    <s v="BG25480"/>
    <d v="2026-03-06T00:00:00"/>
    <d v="1899-12-30T11:48:00"/>
    <x v="52"/>
    <s v="MANANTIALES"/>
    <s v="ROFLOX X 1 LITRO"/>
    <n v="50"/>
    <n v="2"/>
    <n v="2325000"/>
    <d v="2026-03-16T00:00:00"/>
  </r>
  <r>
    <x v="0"/>
    <s v="004-OSC-00051198"/>
    <d v="2026-03-06T00:00:00"/>
    <d v="1899-12-30T08:59:00"/>
    <m/>
    <x v="118"/>
    <s v="BG25447"/>
    <d v="2026-03-06T00:00:00"/>
    <d v="1899-12-30T11:55:00"/>
    <x v="29"/>
    <s v="CARTAGO"/>
    <s v="DMB 11 X 25 KG"/>
    <n v="1000"/>
    <n v="40"/>
    <n v="19500000"/>
    <d v="2026-03-10T00:00:00"/>
  </r>
  <r>
    <x v="0"/>
    <m/>
    <d v="2026-03-06T00:00:00"/>
    <d v="1899-12-30T12:58:00"/>
    <m/>
    <x v="119"/>
    <s v="BG25387"/>
    <d v="2026-03-06T00:00:00"/>
    <d v="1899-12-30T14:22:00"/>
    <x v="25"/>
    <s v="BUCARAMANGA"/>
    <s v="DQCICLIN X 1 KG"/>
    <n v="8"/>
    <n v="0"/>
    <n v="2000000"/>
    <d v="3026-03-06T00:00:00"/>
  </r>
  <r>
    <x v="0"/>
    <m/>
    <d v="2026-03-06T00:00:00"/>
    <d v="1899-12-30T12:58:00"/>
    <m/>
    <x v="119"/>
    <s v="BG25387"/>
    <d v="2026-03-06T00:00:00"/>
    <d v="1899-12-30T14:22:00"/>
    <x v="25"/>
    <s v="BUCARAMANGA"/>
    <s v="FENIFLOR ORAL X 500 GR"/>
    <n v="10"/>
    <n v="0"/>
    <n v="1050000"/>
    <d v="3026-03-06T00:00:00"/>
  </r>
  <r>
    <x v="0"/>
    <m/>
    <d v="2026-03-06T00:00:00"/>
    <d v="1899-12-30T12:58:00"/>
    <m/>
    <x v="119"/>
    <s v="BG25387"/>
    <d v="2026-03-06T00:00:00"/>
    <d v="1899-12-30T14:22:00"/>
    <x v="25"/>
    <s v="BUCARAMANGA"/>
    <s v="NEOCYN X 1 KG"/>
    <n v="20"/>
    <n v="1"/>
    <n v="1440000"/>
    <d v="3026-03-06T00:00:00"/>
  </r>
  <r>
    <x v="0"/>
    <m/>
    <d v="2026-03-06T00:00:00"/>
    <d v="1899-12-30T12:58:00"/>
    <m/>
    <x v="119"/>
    <s v="BG25387 - BG25406"/>
    <d v="2026-03-06T00:00:00"/>
    <d v="1899-12-30T14:22:00"/>
    <x v="25"/>
    <s v="BUCARAMANGA"/>
    <s v="TILOMIX ORAL X 1 KG"/>
    <n v="4"/>
    <n v="0"/>
    <n v="942000"/>
    <d v="3026-03-06T00:00:00"/>
  </r>
  <r>
    <x v="0"/>
    <m/>
    <d v="2026-03-06T00:00:00"/>
    <d v="1899-12-30T12:58:00"/>
    <m/>
    <x v="119"/>
    <s v="BG25406"/>
    <d v="2026-03-06T00:00:00"/>
    <d v="1899-12-30T14:22:00"/>
    <x v="25"/>
    <s v="BUCARAMANGA"/>
    <s v="ROFLOX X 1 LITRO"/>
    <n v="10"/>
    <n v="0"/>
    <n v="500000"/>
    <d v="3026-03-06T00:00:00"/>
  </r>
  <r>
    <x v="0"/>
    <m/>
    <d v="2026-03-06T00:00:00"/>
    <d v="1899-12-30T12:58:00"/>
    <m/>
    <x v="120"/>
    <s v="BG25386"/>
    <d v="2026-03-06T00:00:00"/>
    <d v="1899-12-30T14:22:00"/>
    <x v="25"/>
    <s v="BUCARAMANGA"/>
    <s v="SMOOTH SWEET X 75 GR"/>
    <n v="9"/>
    <n v="0"/>
    <n v="0"/>
    <d v="3026-03-06T00:00:00"/>
  </r>
  <r>
    <x v="6"/>
    <s v="COC-00000001"/>
    <d v="2026-03-06T00:00:00"/>
    <d v="1899-12-30T14:30:00"/>
    <m/>
    <x v="121"/>
    <s v="BG25446"/>
    <d v="2026-03-06T00:00:00"/>
    <d v="1899-12-30T14:53:00"/>
    <x v="53"/>
    <s v="SABANETA"/>
    <s v="ROFLOX X 1 LITRO"/>
    <n v="10"/>
    <n v="0"/>
    <n v="550000"/>
    <d v="3026-03-06T00:00:00"/>
  </r>
  <r>
    <x v="6"/>
    <s v="COC-00000001"/>
    <d v="2026-03-06T00:00:00"/>
    <d v="1899-12-30T14:30:00"/>
    <m/>
    <x v="122"/>
    <s v="BG25445"/>
    <d v="2026-03-06T00:00:00"/>
    <d v="1899-12-30T14:53:00"/>
    <x v="53"/>
    <s v="SABANETA"/>
    <s v="ROFLOX X 1 LITRO"/>
    <n v="5"/>
    <n v="0"/>
    <n v="275000"/>
    <d v="3026-03-06T00:00:00"/>
  </r>
  <r>
    <x v="0"/>
    <s v="005-OCC-10838"/>
    <d v="2026-03-06T00:00:00"/>
    <d v="1899-12-30T14:58:00"/>
    <m/>
    <x v="123"/>
    <s v="BG25444"/>
    <d v="2026-03-06T00:00:00"/>
    <d v="1899-12-30T15:00:00"/>
    <x v="29"/>
    <s v="MOSQUERA"/>
    <s v="ACCUREMAX X 25 KG"/>
    <n v="25"/>
    <n v="1"/>
    <n v="1580000"/>
    <d v="3026-03-06T00:00:00"/>
  </r>
  <r>
    <x v="0"/>
    <m/>
    <d v="2026-03-09T00:00:00"/>
    <d v="1899-12-30T07:39:00"/>
    <m/>
    <x v="124"/>
    <s v="BG25443"/>
    <d v="2026-03-09T00:00:00"/>
    <d v="1899-12-30T11:12:00"/>
    <x v="54"/>
    <s v="BUGA"/>
    <s v="CIPROFLOX X 5 KG"/>
    <n v="150"/>
    <n v="6"/>
    <n v="8430000"/>
    <d v="2026-03-10T00:00:00"/>
  </r>
  <r>
    <x v="0"/>
    <m/>
    <d v="2026-03-09T00:00:00"/>
    <d v="1899-12-30T07:39:00"/>
    <m/>
    <x v="124"/>
    <s v="BG25443"/>
    <d v="2026-03-09T00:00:00"/>
    <d v="1899-12-30T11:12:00"/>
    <x v="54"/>
    <s v="BUGA"/>
    <s v="NEOCYN X 25 KG"/>
    <n v="150"/>
    <n v="6"/>
    <n v="10650000"/>
    <d v="2026-03-10T00:00:00"/>
  </r>
  <r>
    <x v="0"/>
    <m/>
    <d v="2026-03-09T00:00:00"/>
    <d v="1899-12-30T07:39:00"/>
    <m/>
    <x v="124"/>
    <s v="BG25443"/>
    <d v="2026-03-09T00:00:00"/>
    <d v="1899-12-30T11:12:00"/>
    <x v="54"/>
    <s v="BUGA"/>
    <s v="CLORTETRAX 20 X 25 KG"/>
    <n v="200"/>
    <n v="8"/>
    <n v="3200000"/>
    <d v="2026-03-10T00:00:00"/>
  </r>
  <r>
    <x v="0"/>
    <m/>
    <d v="2026-03-09T00:00:00"/>
    <d v="1899-12-30T07:39:00"/>
    <m/>
    <x v="125"/>
    <s v="BG25467"/>
    <d v="2026-03-09T00:00:00"/>
    <d v="1899-12-30T11:12:00"/>
    <x v="54"/>
    <s v="BUGA"/>
    <s v="SMOOTH SWEET X 75 GR"/>
    <n v="11.25"/>
    <n v="0"/>
    <n v="0"/>
    <d v="2026-03-10T00:00:00"/>
  </r>
  <r>
    <x v="0"/>
    <m/>
    <d v="2026-03-09T00:00:00"/>
    <d v="1899-12-30T08:50:00"/>
    <m/>
    <x v="126"/>
    <s v="BG25420"/>
    <d v="2026-03-09T00:00:00"/>
    <d v="1899-12-30T11:26:00"/>
    <x v="55"/>
    <s v="BUCARAMANGA"/>
    <s v="AVINOVA X 25 KG"/>
    <n v="25"/>
    <n v="1"/>
    <n v="600000"/>
    <d v="2026-03-10T00:00:00"/>
  </r>
  <r>
    <x v="0"/>
    <n v="1379625"/>
    <d v="2026-03-09T00:00:00"/>
    <d v="1899-12-30T07:15:00"/>
    <m/>
    <x v="127"/>
    <s v="BG25391"/>
    <d v="2026-03-09T00:00:00"/>
    <d v="1899-12-30T11:39:00"/>
    <x v="16"/>
    <s v="BUCARAMANGA"/>
    <s v="CIPROFLOX X 5 KG"/>
    <n v="100"/>
    <n v="4"/>
    <n v="5250000"/>
    <d v="2026-03-09T00:00:00"/>
  </r>
  <r>
    <x v="0"/>
    <n v="1379625"/>
    <d v="2026-03-09T00:00:00"/>
    <d v="1899-12-30T07:15:00"/>
    <m/>
    <x v="128"/>
    <s v="BG25390"/>
    <d v="2026-03-09T00:00:00"/>
    <d v="1899-12-30T11:39:00"/>
    <x v="16"/>
    <s v="BUCARAMANGA"/>
    <s v="SMOOTH SWEET X 75 GR"/>
    <n v="7.5"/>
    <n v="0"/>
    <n v="0"/>
    <d v="2026-03-09T00:00:00"/>
  </r>
  <r>
    <x v="7"/>
    <n v="100817"/>
    <d v="2026-03-09T00:00:00"/>
    <d v="1899-12-30T08:11:00"/>
    <m/>
    <x v="129"/>
    <s v="BG25670"/>
    <d v="2026-03-09T00:00:00"/>
    <d v="1899-12-30T11:48:00"/>
    <x v="56"/>
    <s v="BUGA"/>
    <s v="FRACTAL L X 20 LITROS"/>
    <n v="400"/>
    <n v="16"/>
    <n v="16000000"/>
    <d v="2026-03-11T00:00:00"/>
  </r>
  <r>
    <x v="7"/>
    <n v="100818"/>
    <d v="2026-03-09T00:00:00"/>
    <d v="1899-12-30T08:11:00"/>
    <m/>
    <x v="130"/>
    <s v="BG25673"/>
    <d v="2026-03-09T00:00:00"/>
    <d v="1899-12-30T11:50:00"/>
    <x v="56"/>
    <s v="BUGA"/>
    <s v="FENIFLOR ORAL X 500 GR"/>
    <n v="400"/>
    <n v="16"/>
    <n v="38880000"/>
    <d v="2026-03-11T00:00:00"/>
  </r>
  <r>
    <x v="0"/>
    <n v="1379877"/>
    <d v="2026-03-09T00:00:00"/>
    <d v="1899-12-30T10:15:00"/>
    <m/>
    <x v="131"/>
    <s v="BG25394"/>
    <d v="2026-03-09T00:00:00"/>
    <d v="1899-12-30T12:44:00"/>
    <x v="16"/>
    <s v="BUCARAMANGA"/>
    <s v="FOSMYCINA 90 X 500 GR"/>
    <n v="10"/>
    <n v="0"/>
    <n v="4272500"/>
    <d v="2026-03-09T00:00:00"/>
  </r>
  <r>
    <x v="0"/>
    <m/>
    <d v="2026-03-09T00:00:00"/>
    <d v="1899-12-30T14:00:00"/>
    <m/>
    <x v="132"/>
    <s v="BG25398"/>
    <d v="2026-03-09T00:00:00"/>
    <d v="1899-12-30T14:45:00"/>
    <x v="57"/>
    <s v="RECOGE EN BODEGA"/>
    <s v="DQCICLIN X 1 KG"/>
    <n v="30"/>
    <n v="1"/>
    <n v="7500000"/>
    <d v="2026-03-09T00:00:00"/>
  </r>
  <r>
    <x v="0"/>
    <s v="OC PENDIENTE"/>
    <d v="2026-03-09T00:00:00"/>
    <d v="1899-12-30T16:14:00"/>
    <m/>
    <x v="133"/>
    <s v="BG25442"/>
    <d v="2026-03-09T00:00:00"/>
    <d v="1899-12-30T17:06:00"/>
    <x v="29"/>
    <s v="CARTAGO"/>
    <s v="CLORTETRAX 20 X 25 KG"/>
    <n v="950"/>
    <n v="38"/>
    <n v="15010000"/>
    <d v="2026-03-11T00:00:00"/>
  </r>
  <r>
    <x v="0"/>
    <s v="OC PENDIENTE"/>
    <d v="2026-03-09T00:00:00"/>
    <d v="1899-12-30T16:14:00"/>
    <m/>
    <x v="133"/>
    <s v="BG25442"/>
    <d v="2026-03-09T00:00:00"/>
    <d v="1899-12-30T17:06:00"/>
    <x v="29"/>
    <s v="CARTAGO"/>
    <s v="TILVASYYN x 25 KG"/>
    <n v="50"/>
    <n v="2"/>
    <m/>
    <d v="2026-03-11T00:00:00"/>
  </r>
  <r>
    <x v="0"/>
    <n v="1379896"/>
    <d v="2026-03-09T00:00:00"/>
    <d v="1899-12-30T10:18:00"/>
    <m/>
    <x v="134"/>
    <s v="BG25419"/>
    <d v="2026-03-09T00:00:00"/>
    <d v="1899-12-30T17:10:00"/>
    <x v="16"/>
    <s v="CALDAS - ANTIOQUIA"/>
    <s v="CIPROFLOX X 5 KG"/>
    <n v="200"/>
    <n v="8"/>
    <m/>
    <d v="2026-03-11T00:00:00"/>
  </r>
  <r>
    <x v="0"/>
    <n v="1379896"/>
    <d v="2026-03-09T00:00:00"/>
    <d v="1899-12-30T10:18:00"/>
    <m/>
    <x v="134"/>
    <s v="BG25419"/>
    <d v="2026-03-09T00:00:00"/>
    <d v="1899-12-30T17:10:00"/>
    <x v="16"/>
    <s v="CALDAS - ANTIOQUIA"/>
    <s v="ROFLOX X 1 LITRO"/>
    <n v="144"/>
    <n v="6"/>
    <m/>
    <d v="2026-03-11T00:00:00"/>
  </r>
  <r>
    <x v="0"/>
    <n v="1379896"/>
    <d v="2026-03-09T00:00:00"/>
    <d v="1899-12-30T10:18:00"/>
    <m/>
    <x v="135"/>
    <s v="BG25418"/>
    <d v="2026-03-09T00:00:00"/>
    <d v="1899-12-30T17:10:00"/>
    <x v="16"/>
    <s v="CALDAS - ANTIOQUIA"/>
    <s v="SMOOTH SWEET X 75 GR"/>
    <n v="15"/>
    <n v="1"/>
    <n v="0"/>
    <d v="2026-03-11T00:00:00"/>
  </r>
  <r>
    <x v="0"/>
    <n v="4500087433"/>
    <d v="2026-03-09T00:00:00"/>
    <d v="1899-12-30T10:41:00"/>
    <m/>
    <x v="136"/>
    <s v="BG25417"/>
    <d v="2026-03-09T00:00:00"/>
    <d v="1899-12-30T17:28:00"/>
    <x v="0"/>
    <s v="CELTA"/>
    <s v="200 R MONECYL X 25 KG"/>
    <n v="2500"/>
    <n v="100"/>
    <n v="48125000"/>
    <d v="2026-03-10T00:00:00"/>
  </r>
  <r>
    <x v="0"/>
    <n v="4500087433"/>
    <d v="2026-03-09T00:00:00"/>
    <d v="1899-12-30T10:41:00"/>
    <m/>
    <x v="136"/>
    <s v="BG25417"/>
    <d v="2026-03-09T00:00:00"/>
    <d v="1899-12-30T17:28:00"/>
    <x v="0"/>
    <s v="CELTA"/>
    <s v="KIRA X 25 KG"/>
    <n v="600"/>
    <n v="24"/>
    <n v="11805000"/>
    <d v="2026-03-10T00:00:00"/>
  </r>
  <r>
    <x v="0"/>
    <n v="4500087433"/>
    <d v="2026-03-09T00:00:00"/>
    <d v="1899-12-30T10:41:00"/>
    <m/>
    <x v="136"/>
    <s v="BG25417"/>
    <d v="2026-03-09T00:00:00"/>
    <d v="1899-12-30T17:28:00"/>
    <x v="0"/>
    <s v="CELTA"/>
    <s v="MONECYL X 25 KG"/>
    <n v="1600"/>
    <n v="64"/>
    <n v="30800000"/>
    <d v="2026-03-10T00:00:00"/>
  </r>
  <r>
    <x v="0"/>
    <n v="4500087433"/>
    <d v="2026-03-09T00:00:00"/>
    <d v="1899-12-30T10:41:00"/>
    <m/>
    <x v="136"/>
    <s v="BG25417"/>
    <d v="2026-03-09T00:00:00"/>
    <d v="1899-12-30T17:28:00"/>
    <x v="0"/>
    <s v="CELTA"/>
    <s v="DMB 11 X 25 KG"/>
    <n v="100"/>
    <n v="4"/>
    <n v="1760000"/>
    <d v="2026-03-10T00:00:00"/>
  </r>
  <r>
    <x v="0"/>
    <n v="4500087433"/>
    <d v="2026-03-09T00:00:00"/>
    <d v="1899-12-30T10:41:00"/>
    <m/>
    <x v="136"/>
    <s v="BG25417"/>
    <d v="2026-03-09T00:00:00"/>
    <d v="1899-12-30T17:28:00"/>
    <x v="0"/>
    <s v="CELTA"/>
    <s v="FRACTAL P X 25 KG"/>
    <n v="200"/>
    <n v="8"/>
    <n v="4950000"/>
    <d v="2026-03-10T00:00:00"/>
  </r>
  <r>
    <x v="0"/>
    <n v="4500087433"/>
    <d v="2026-03-09T00:00:00"/>
    <d v="1899-12-30T10:41:00"/>
    <m/>
    <x v="137"/>
    <s v="BG25416"/>
    <d v="2026-03-09T00:00:00"/>
    <d v="1899-12-30T17:28:00"/>
    <x v="0"/>
    <s v="CELTA"/>
    <s v="LOTUS X 25 KG"/>
    <n v="100"/>
    <n v="4"/>
    <n v="3450000"/>
    <d v="2026-03-10T00:00:00"/>
  </r>
  <r>
    <x v="0"/>
    <n v="1379900"/>
    <d v="2026-03-09T00:00:00"/>
    <d v="1899-12-30T10:18:00"/>
    <m/>
    <x v="138"/>
    <s v="BG25405"/>
    <d v="2026-03-09T00:00:00"/>
    <d v="1899-12-30T17:35:00"/>
    <x v="16"/>
    <s v="BUCARAMANGA"/>
    <s v="FOSMYCINA 90 X 500 GR"/>
    <n v="12"/>
    <n v="0"/>
    <n v="5127000"/>
    <d v="2026-03-10T00:00:00"/>
  </r>
  <r>
    <x v="0"/>
    <m/>
    <d v="2026-03-09T00:00:00"/>
    <d v="1899-12-30T14:30:00"/>
    <m/>
    <x v="139"/>
    <s v="BG25404"/>
    <d v="2026-03-09T00:00:00"/>
    <d v="1899-12-30T01:47:00"/>
    <x v="25"/>
    <s v="BUCARAMANGA"/>
    <s v="FOSMYCINA 90 X 500 GR"/>
    <n v="4"/>
    <n v="0"/>
    <n v="2080000"/>
    <d v="2026-03-10T00:00:00"/>
  </r>
  <r>
    <x v="0"/>
    <s v="CFMP-1860"/>
    <d v="2026-03-09T00:00:00"/>
    <d v="1899-12-30T17:56:00"/>
    <m/>
    <x v="140"/>
    <s v="BG25315"/>
    <d v="2026-03-10T00:00:00"/>
    <d v="1899-12-30T07:25:00"/>
    <x v="39"/>
    <s v="NUTRITEC"/>
    <s v="DMB 11 X 25 KG"/>
    <n v="50"/>
    <n v="2"/>
    <n v="994500"/>
    <d v="2026-03-11T00:00:00"/>
  </r>
  <r>
    <x v="0"/>
    <s v="CFMP-1860"/>
    <d v="2026-03-09T00:00:00"/>
    <d v="1899-12-30T17:56:00"/>
    <m/>
    <x v="140"/>
    <s v="BG25315"/>
    <d v="2026-03-10T00:00:00"/>
    <d v="1899-12-30T07:25:00"/>
    <x v="39"/>
    <s v="NUTRITEC"/>
    <s v="FRACTAL P X 25 KG"/>
    <n v="600"/>
    <n v="24"/>
    <n v="15300000"/>
    <d v="2026-03-11T00:00:00"/>
  </r>
  <r>
    <x v="0"/>
    <s v="CFMP-1860"/>
    <d v="2026-03-09T00:00:00"/>
    <d v="1899-12-30T17:56:00"/>
    <m/>
    <x v="140"/>
    <s v="BG25315"/>
    <d v="2026-03-10T00:00:00"/>
    <d v="1899-12-30T07:25:00"/>
    <x v="39"/>
    <s v="NUTRITEC"/>
    <s v="CLORTETRAX 20 X 25 KG"/>
    <n v="700"/>
    <n v="28"/>
    <n v="11340000"/>
    <d v="2026-03-11T00:00:00"/>
  </r>
  <r>
    <x v="0"/>
    <s v="CFMP-1860"/>
    <d v="2026-03-09T00:00:00"/>
    <d v="1899-12-30T17:56:00"/>
    <m/>
    <x v="140"/>
    <s v="BG25315"/>
    <d v="2026-03-10T00:00:00"/>
    <d v="1899-12-30T07:25:00"/>
    <x v="39"/>
    <s v="NUTRITEC"/>
    <s v="HALQUINOX 800 X 25 KG"/>
    <n v="75"/>
    <n v="3"/>
    <n v="7687500"/>
    <d v="2026-03-11T00:00:00"/>
  </r>
  <r>
    <x v="0"/>
    <s v="CFMP-1860"/>
    <d v="2026-03-09T00:00:00"/>
    <d v="1899-12-30T17:56:00"/>
    <m/>
    <x v="140"/>
    <s v="BG25315"/>
    <d v="2026-03-10T00:00:00"/>
    <d v="1899-12-30T07:25:00"/>
    <x v="39"/>
    <s v="NUTRITEC"/>
    <s v="DINAMIX 800 X 25 KG"/>
    <n v="50"/>
    <n v="2"/>
    <n v="8210000"/>
    <d v="2026-03-11T00:00:00"/>
  </r>
  <r>
    <x v="0"/>
    <s v="105-OCC-00017435"/>
    <d v="2026-03-09T00:00:00"/>
    <d v="1899-12-30T16:57:00"/>
    <m/>
    <x v="141"/>
    <s v="BG25403"/>
    <d v="2026-03-10T00:00:00"/>
    <d v="1899-12-30T07:39:00"/>
    <x v="13"/>
    <s v="PEREIRA"/>
    <s v="DMB 11 X 25 KG"/>
    <n v="1000"/>
    <n v="40"/>
    <n v="19500000"/>
    <d v="2026-03-11T00:00:00"/>
  </r>
  <r>
    <x v="0"/>
    <n v="1379915"/>
    <d v="2026-03-09T00:00:00"/>
    <d v="1899-12-30T10:33:00"/>
    <m/>
    <x v="142"/>
    <s v="BG25414"/>
    <d v="2026-03-10T00:00:00"/>
    <d v="1899-12-30T07:42:00"/>
    <x v="14"/>
    <s v="CARTAGO"/>
    <s v="ESPELIN 88 X 25 KG"/>
    <n v="50"/>
    <n v="2"/>
    <n v="1950000"/>
    <d v="2026-03-11T00:00:00"/>
  </r>
  <r>
    <x v="0"/>
    <n v="1380339"/>
    <d v="2026-03-09T00:00:00"/>
    <d v="1899-12-30T16:32:00"/>
    <m/>
    <x v="143"/>
    <s v="BG25402"/>
    <d v="2026-03-10T00:00:00"/>
    <d v="1899-12-30T08:17:00"/>
    <x v="16"/>
    <s v="CALDAS - ANTIOQUIA"/>
    <s v="TILCOMIX ORAL X 1 LITRO"/>
    <n v="13"/>
    <n v="1"/>
    <n v="2992600"/>
    <d v="2026-03-10T00:00:00"/>
  </r>
  <r>
    <x v="0"/>
    <n v="1380339"/>
    <d v="2026-03-09T00:00:00"/>
    <d v="1899-12-30T16:32:00"/>
    <m/>
    <x v="144"/>
    <s v="BG25401"/>
    <d v="2026-03-10T00:00:00"/>
    <d v="1899-12-30T08:17:00"/>
    <x v="16"/>
    <s v="CALDAS - ANTIOQUIA"/>
    <s v="SMOOTH SWEET X 75 GR"/>
    <n v="1"/>
    <n v="0"/>
    <n v="0"/>
    <d v="2026-03-10T00:00:00"/>
  </r>
  <r>
    <x v="0"/>
    <n v="1380290"/>
    <d v="2026-03-09T00:00:00"/>
    <d v="1899-12-30T16:03:00"/>
    <m/>
    <x v="145"/>
    <s v="BG25441"/>
    <d v="2026-03-10T00:00:00"/>
    <d v="1899-12-30T08:22:00"/>
    <x v="14"/>
    <s v="BOGOTA"/>
    <s v="FENIFLOR PREMIX X 25 Kg"/>
    <n v="50"/>
    <n v="2"/>
    <n v="2593000"/>
    <d v="2026-03-12T00:00:00"/>
  </r>
  <r>
    <x v="0"/>
    <s v="01-OC -00004093"/>
    <d v="2026-02-25T00:00:00"/>
    <d v="1899-12-30T13:48:00"/>
    <m/>
    <x v="146"/>
    <s v="BG25392"/>
    <d v="2026-02-25T00:00:00"/>
    <d v="1899-12-30T15:05:00"/>
    <x v="58"/>
    <s v="NUTRITEC"/>
    <s v="DMB 11 X 25 KG"/>
    <n v="175"/>
    <n v="7"/>
    <n v="3412000"/>
    <d v="2026-02-27T00:00:00"/>
  </r>
  <r>
    <x v="0"/>
    <s v="01-OC -00004093"/>
    <d v="2026-02-25T00:00:00"/>
    <d v="1899-12-30T13:48:00"/>
    <m/>
    <x v="147"/>
    <s v="BG25548"/>
    <d v="2026-02-25T00:00:00"/>
    <d v="1899-12-30T15:05:00"/>
    <x v="58"/>
    <s v="NUTRITEC"/>
    <s v="ACCUREMAX 10% X 25 KG"/>
    <n v="25"/>
    <n v="1"/>
    <n v="6000000"/>
    <d v="2026-02-27T00:00:00"/>
  </r>
  <r>
    <x v="0"/>
    <s v="022-OC-005763"/>
    <d v="2026-03-09T00:00:00"/>
    <d v="1899-12-30T09:33:00"/>
    <m/>
    <x v="148"/>
    <s v="BG25413"/>
    <d v="2026-03-10T00:00:00"/>
    <d v="1899-12-30T10:48:00"/>
    <x v="10"/>
    <s v="RECOGE EN BODEGA"/>
    <s v="CIPROFLOX X 1 KG"/>
    <n v="4"/>
    <n v="0"/>
    <n v="232000"/>
    <d v="2026-03-10T00:00:00"/>
  </r>
  <r>
    <x v="0"/>
    <s v="022-OC-005763"/>
    <d v="2026-03-09T00:00:00"/>
    <d v="1899-12-30T09:33:00"/>
    <m/>
    <x v="149"/>
    <s v="BG25440"/>
    <d v="2026-03-10T00:00:00"/>
    <d v="1899-12-30T10:48:00"/>
    <x v="10"/>
    <s v="RECOGE EN BODEGA"/>
    <s v="SMOOTH SWEET X 75 GR"/>
    <n v="0.3"/>
    <n v="0"/>
    <n v="0"/>
    <d v="2026-03-10T00:00:00"/>
  </r>
  <r>
    <x v="0"/>
    <m/>
    <d v="2026-03-09T00:00:00"/>
    <d v="1899-12-30T10:45:00"/>
    <m/>
    <x v="150"/>
    <s v="BG25412"/>
    <d v="2026-03-10T00:00:00"/>
    <d v="1899-12-30T10:57:00"/>
    <x v="18"/>
    <s v="RECOGE EN BODEGA"/>
    <s v="CLORTETRAX 20 X 25 KG"/>
    <n v="600"/>
    <n v="24"/>
    <n v="9480000"/>
    <d v="2026-03-10T00:00:00"/>
  </r>
  <r>
    <x v="0"/>
    <n v="1380941"/>
    <d v="2026-03-09T00:00:00"/>
    <d v="1899-12-30T10:33:00"/>
    <m/>
    <x v="151"/>
    <s v="BG25411"/>
    <d v="2026-03-10T00:00:00"/>
    <d v="1899-12-30T11:33:00"/>
    <x v="14"/>
    <s v="CARTAGO"/>
    <s v="ESPELIN 88 X 25 KG"/>
    <n v="100"/>
    <n v="4"/>
    <n v="3900000"/>
    <d v="2026-03-11T00:00:00"/>
  </r>
  <r>
    <x v="0"/>
    <n v="1380909"/>
    <d v="2026-03-09T00:00:00"/>
    <d v="1899-12-30T12:03:00"/>
    <m/>
    <x v="152"/>
    <s v="BG25410"/>
    <d v="2026-03-10T00:00:00"/>
    <d v="1899-12-30T12:14:00"/>
    <x v="14"/>
    <s v="RIVERA"/>
    <s v="TILVASYYN x 25 KG"/>
    <n v="50"/>
    <n v="2"/>
    <n v="9010000"/>
    <d v="2026-03-13T00:00:00"/>
  </r>
  <r>
    <x v="0"/>
    <s v="103-OCC-38469"/>
    <d v="2026-03-10T00:00:00"/>
    <d v="1899-12-30T11:18:00"/>
    <m/>
    <x v="153"/>
    <s v="BG25439"/>
    <d v="2026-03-10T00:00:00"/>
    <d v="1899-12-30T12:20:00"/>
    <x v="13"/>
    <s v="GIRARDOTA"/>
    <s v="DINAMIX PREMIX X 25 KG"/>
    <n v="200"/>
    <n v="8"/>
    <n v="5260000"/>
    <d v="2026-03-13T00:00:00"/>
  </r>
  <r>
    <x v="0"/>
    <s v="103-OCC-38469"/>
    <d v="2026-03-10T00:00:00"/>
    <d v="1899-12-30T11:18:00"/>
    <m/>
    <x v="153"/>
    <s v="BG25439"/>
    <d v="2026-03-10T00:00:00"/>
    <d v="1899-12-30T12:20:00"/>
    <x v="13"/>
    <s v="GIRARDOTA"/>
    <s v="DMB 11 X 25 KG"/>
    <n v="200"/>
    <n v="8"/>
    <n v="3900000"/>
    <d v="2026-03-13T00:00:00"/>
  </r>
  <r>
    <x v="0"/>
    <s v="103-OCC-38469"/>
    <d v="2026-03-10T00:00:00"/>
    <d v="1899-12-30T11:18:00"/>
    <m/>
    <x v="153"/>
    <s v="BG25439"/>
    <d v="2026-03-10T00:00:00"/>
    <d v="1899-12-30T12:20:00"/>
    <x v="13"/>
    <s v="GIRARDOTA"/>
    <s v="FRACTAL P X 25 KG"/>
    <n v="1000"/>
    <n v="40"/>
    <n v="26300000"/>
    <d v="2026-03-13T00:00:00"/>
  </r>
  <r>
    <x v="0"/>
    <n v="13173"/>
    <d v="2026-03-10T00:00:00"/>
    <d v="1899-12-30T13:44:00"/>
    <m/>
    <x v="154"/>
    <s v="BG25409"/>
    <d v="2026-03-10T00:00:00"/>
    <d v="1899-12-30T14:03:00"/>
    <x v="59"/>
    <s v="BUCARAMANGA"/>
    <s v="ROFLOX X 1 LITRO"/>
    <n v="12"/>
    <n v="0"/>
    <n v="600000"/>
    <d v="2026-03-10T00:00:00"/>
  </r>
  <r>
    <x v="0"/>
    <n v="5504426752"/>
    <d v="2026-03-06T00:00:00"/>
    <d v="1899-12-30T10:00:00"/>
    <m/>
    <x v="155"/>
    <s v="BG25481"/>
    <d v="2026-03-10T00:00:00"/>
    <d v="1899-12-30T14:06:00"/>
    <x v="52"/>
    <s v="ESMERALDA"/>
    <s v="ROFLOX X 1 LITRO"/>
    <n v="100"/>
    <n v="4"/>
    <n v="4650000"/>
    <d v="2026-03-10T00:00:00"/>
  </r>
  <r>
    <x v="0"/>
    <s v="OC PENDIENTE"/>
    <d v="2026-03-10T00:00:00"/>
    <d v="1899-12-30T14:00:00"/>
    <m/>
    <x v="156"/>
    <s v="-"/>
    <d v="2026-03-10T00:00:00"/>
    <d v="1899-12-30T14:06:00"/>
    <x v="52"/>
    <s v="ESMERALDA"/>
    <s v="NORFLOX X 1 LITRO"/>
    <n v="100"/>
    <n v="4"/>
    <n v="6000000"/>
    <d v="2026-03-12T00:00:00"/>
  </r>
  <r>
    <x v="0"/>
    <m/>
    <d v="2026-03-10T00:00:00"/>
    <d v="1899-12-30T14:10:00"/>
    <m/>
    <x v="157"/>
    <s v="BG25437"/>
    <d v="2026-03-10T00:00:00"/>
    <d v="1899-12-30T14:19:00"/>
    <x v="60"/>
    <s v="BOGOTA"/>
    <s v="DINAMIX 600 X 250 GR"/>
    <n v="23"/>
    <n v="1"/>
    <n v="3974998"/>
    <d v="2026-03-11T00:00:00"/>
  </r>
  <r>
    <x v="0"/>
    <m/>
    <d v="2026-03-10T00:00:00"/>
    <d v="1899-12-30T14:10:00"/>
    <m/>
    <x v="158"/>
    <s v="BG25438"/>
    <d v="2026-03-10T00:00:00"/>
    <d v="1899-12-30T14:19:00"/>
    <x v="60"/>
    <s v="BOGOTA"/>
    <s v="DINAMIX 600 X 250 GR"/>
    <n v="28"/>
    <n v="1"/>
    <n v="4839128"/>
    <d v="2026-03-11T00:00:00"/>
  </r>
  <r>
    <x v="0"/>
    <m/>
    <d v="2026-03-10T00:00:00"/>
    <d v="1899-12-30T14:10:00"/>
    <m/>
    <x v="159"/>
    <s v="BG25436"/>
    <d v="2026-03-10T00:00:00"/>
    <d v="1899-12-30T14:19:00"/>
    <x v="60"/>
    <s v="BOGOTA"/>
    <s v="SMOOTH SWEET X 75 GR"/>
    <n v="3.8250000000000002"/>
    <n v="0"/>
    <n v="0"/>
    <d v="2026-03-11T00:00:00"/>
  </r>
  <r>
    <x v="8"/>
    <m/>
    <d v="2026-03-10T00:00:00"/>
    <d v="1899-12-30T10:30:00"/>
    <m/>
    <x v="160"/>
    <s v="-"/>
    <d v="2026-03-10T00:00:00"/>
    <d v="1899-12-30T15:55:00"/>
    <x v="61"/>
    <s v="SANTA ROSA DE OSOS"/>
    <s v="DINAMIX 800 X 25 KG"/>
    <n v="50"/>
    <n v="2"/>
    <n v="5391000"/>
    <d v="2026-02-12T00:00:00"/>
  </r>
  <r>
    <x v="0"/>
    <m/>
    <d v="2026-03-10T00:00:00"/>
    <d v="1899-12-30T10:30:00"/>
    <m/>
    <x v="160"/>
    <s v="BG25460"/>
    <d v="2026-03-10T00:00:00"/>
    <d v="1899-12-30T15:55:00"/>
    <x v="61"/>
    <s v="SANTA ROSA DE OSOS"/>
    <s v="DMB 11 X 25 KG"/>
    <n v="350"/>
    <n v="14"/>
    <n v="6825000"/>
    <d v="2026-02-12T00:00:00"/>
  </r>
  <r>
    <x v="0"/>
    <m/>
    <d v="2026-03-10T00:00:00"/>
    <d v="1899-12-30T10:30:00"/>
    <m/>
    <x v="160"/>
    <s v="BG25460"/>
    <d v="2026-03-10T00:00:00"/>
    <d v="1899-12-30T15:55:00"/>
    <x v="61"/>
    <s v="SANTA ROSA DE OSOS"/>
    <s v="CLORTETRAX 20 X 25 KG"/>
    <n v="300"/>
    <n v="12"/>
    <n v="4800000"/>
    <d v="2026-02-12T00:00:00"/>
  </r>
  <r>
    <x v="0"/>
    <m/>
    <d v="2026-03-10T00:00:00"/>
    <d v="1899-12-30T10:30:00"/>
    <m/>
    <x v="160"/>
    <s v="BG25460"/>
    <d v="2026-03-10T00:00:00"/>
    <d v="1899-12-30T15:55:00"/>
    <x v="61"/>
    <s v="SANTA ROSA DE OSOS"/>
    <s v="FENIFLOR PREMIX X 25 Kg"/>
    <n v="150"/>
    <n v="6"/>
    <n v="10200000"/>
    <d v="2026-02-12T00:00:00"/>
  </r>
  <r>
    <x v="0"/>
    <m/>
    <d v="2026-03-10T00:00:00"/>
    <d v="1899-12-30T10:30:00"/>
    <m/>
    <x v="161"/>
    <s v="BG25514"/>
    <d v="2026-03-10T00:00:00"/>
    <d v="1899-12-30T15:55:00"/>
    <x v="61"/>
    <s v="SANTA ROSA DE OSOS"/>
    <s v="CLORTETRAX 20 X 25 KG"/>
    <n v="300"/>
    <n v="12"/>
    <n v="4800000"/>
    <d v="2026-03-18T00:00:00"/>
  </r>
  <r>
    <x v="0"/>
    <m/>
    <d v="2026-03-10T00:00:00"/>
    <d v="1899-12-30T10:30:00"/>
    <m/>
    <x v="161"/>
    <s v="BG25514"/>
    <d v="2026-03-10T00:00:00"/>
    <d v="1899-12-30T15:55:00"/>
    <x v="61"/>
    <s v="SANTA ROSA DE OSOS"/>
    <s v="FENIFLOR PREMIX X 25 Kg"/>
    <n v="150"/>
    <n v="6"/>
    <n v="10200000"/>
    <d v="2026-03-18T00:00:00"/>
  </r>
  <r>
    <x v="6"/>
    <m/>
    <d v="2026-03-10T00:00:00"/>
    <d v="1899-12-30T10:30:00"/>
    <m/>
    <x v="162"/>
    <s v="BG25595"/>
    <d v="2026-03-10T00:00:00"/>
    <d v="1899-12-30T15:55:00"/>
    <x v="61"/>
    <s v="SANTA ROSA DE OSOS"/>
    <s v="DMB 11 X 25 KG"/>
    <n v="350"/>
    <n v="14"/>
    <n v="6825000"/>
    <d v="2026-03-25T00:00:00"/>
  </r>
  <r>
    <x v="6"/>
    <m/>
    <d v="2026-03-10T00:00:00"/>
    <d v="1899-12-30T10:30:00"/>
    <m/>
    <x v="162"/>
    <s v="BG25595"/>
    <d v="2026-03-10T00:00:00"/>
    <d v="1899-12-30T15:55:00"/>
    <x v="61"/>
    <s v="SANTA ROSA DE OSOS"/>
    <s v="CLORTETRAX 20 X 25 KG"/>
    <n v="300"/>
    <n v="12"/>
    <n v="4800000"/>
    <d v="2026-03-25T00:00:00"/>
  </r>
  <r>
    <x v="6"/>
    <m/>
    <d v="2026-03-10T00:00:00"/>
    <d v="1899-12-30T10:30:00"/>
    <m/>
    <x v="162"/>
    <s v="BG25595"/>
    <d v="2026-03-10T00:00:00"/>
    <d v="1899-12-30T15:55:00"/>
    <x v="61"/>
    <s v="SANTA ROSA DE OSOS"/>
    <s v="FENIFLOR PREMIX X 25 Kg"/>
    <n v="150"/>
    <n v="6"/>
    <n v="10200000"/>
    <d v="2026-03-25T00:00:00"/>
  </r>
  <r>
    <x v="6"/>
    <m/>
    <d v="2026-03-10T00:00:00"/>
    <d v="1899-12-30T10:30:00"/>
    <m/>
    <x v="162"/>
    <s v="BG25595"/>
    <d v="2026-03-10T00:00:00"/>
    <d v="1899-12-30T15:55:00"/>
    <x v="61"/>
    <s v="SANTA ROSA DE OSOS"/>
    <s v="TILVASYYN x 25 KG"/>
    <n v="125"/>
    <n v="5"/>
    <n v="26250000"/>
    <d v="2026-03-25T00:00:00"/>
  </r>
  <r>
    <x v="6"/>
    <m/>
    <d v="2026-03-10T00:00:00"/>
    <d v="1899-12-30T10:30:00"/>
    <m/>
    <x v="162"/>
    <s v="BG25595"/>
    <d v="2026-03-10T00:00:00"/>
    <d v="1899-12-30T15:55:00"/>
    <x v="61"/>
    <s v="SANTA ROSA DE OSOS"/>
    <s v="CIPROFLOX X 5 KG"/>
    <n v="120"/>
    <n v="5"/>
    <n v="6744000"/>
    <d v="2026-03-25T00:00:00"/>
  </r>
  <r>
    <x v="6"/>
    <m/>
    <d v="2026-03-10T00:00:00"/>
    <d v="1899-12-30T10:30:00"/>
    <m/>
    <x v="163"/>
    <s v="BG25594"/>
    <d v="2026-03-10T00:00:00"/>
    <d v="1899-12-30T15:55:00"/>
    <x v="61"/>
    <s v="SANTA ROSA DE OSOS"/>
    <s v="SMOOTH SWEET X 75 GR"/>
    <n v="9"/>
    <n v="0"/>
    <n v="0"/>
    <d v="2026-03-25T00:00:00"/>
  </r>
  <r>
    <x v="6"/>
    <n v="1002058897"/>
    <d v="2026-03-10T00:00:00"/>
    <d v="1899-12-30T13:43:00"/>
    <m/>
    <x v="164"/>
    <s v="BG25435"/>
    <d v="2026-03-10T00:00:00"/>
    <d v="1899-12-30T15:24:00"/>
    <x v="6"/>
    <s v="MOSQUERA"/>
    <s v="CLORTETRAX 20 X 25 KG"/>
    <n v="800"/>
    <n v="32"/>
    <n v="12800000"/>
    <d v="2026-03-12T00:00:00"/>
  </r>
  <r>
    <x v="0"/>
    <n v="1380941"/>
    <d v="2026-03-10T00:00:00"/>
    <d v="1899-12-30T12:03:00"/>
    <m/>
    <x v="152"/>
    <s v="BG25411"/>
    <d v="2026-03-10T00:00:00"/>
    <d v="1899-12-30T14:00:00"/>
    <x v="14"/>
    <s v="CARTAGO"/>
    <s v="ESPELIN 88 X 25 KG"/>
    <n v="100"/>
    <n v="4"/>
    <n v="3890000"/>
    <d v="2026-03-11T00:00:00"/>
  </r>
  <r>
    <x v="6"/>
    <m/>
    <d v="2026-03-10T00:00:00"/>
    <d v="1899-12-30T14:56:00"/>
    <m/>
    <x v="165"/>
    <s v="BG25408"/>
    <d v="2026-03-10T00:00:00"/>
    <d v="1899-12-30T15:55:00"/>
    <x v="34"/>
    <s v="DON MATIAS"/>
    <s v="FRACTAL L X 20 LITROS"/>
    <n v="100"/>
    <n v="4"/>
    <n v="4000000"/>
    <d v="2026-03-10T00:00:00"/>
  </r>
  <r>
    <x v="0"/>
    <n v="4700008855"/>
    <d v="2026-03-10T00:00:00"/>
    <d v="1899-12-30T07:27:00"/>
    <m/>
    <x v="166"/>
    <s v="BG25596"/>
    <d v="2026-03-11T00:00:00"/>
    <d v="1899-12-30T08:09:00"/>
    <x v="9"/>
    <s v="PERU"/>
    <s v="CLORTETRAX 20 X 25 KG"/>
    <n v="1000"/>
    <n v="40"/>
    <s v="3700 USD"/>
    <d v="2026-03-20T00:00:00"/>
  </r>
  <r>
    <x v="0"/>
    <s v="AG-0009-26"/>
    <d v="2026-03-09T00:00:00"/>
    <d v="1899-12-30T18:25:00"/>
    <m/>
    <x v="167"/>
    <s v="BG25513"/>
    <d v="2026-03-11T00:00:00"/>
    <d v="1899-12-30T08:27:00"/>
    <x v="62"/>
    <s v="PLANTA"/>
    <s v="FRACTAL P X 25 KG"/>
    <n v="50"/>
    <n v="2"/>
    <n v="1315000"/>
    <d v="2026-03-19T00:00:00"/>
  </r>
  <r>
    <x v="0"/>
    <s v="AG-0009-26"/>
    <d v="2026-03-09T00:00:00"/>
    <d v="1899-12-30T18:25:00"/>
    <m/>
    <x v="168"/>
    <s v="BG25512"/>
    <d v="2026-03-11T00:00:00"/>
    <d v="1899-12-30T08:27:00"/>
    <x v="62"/>
    <s v="PLANTA"/>
    <s v="FRACTAL P X 25 KG"/>
    <n v="50"/>
    <n v="2"/>
    <n v="1315000"/>
    <d v="2026-03-19T00:00:00"/>
  </r>
  <r>
    <x v="0"/>
    <s v="AG-0009-26"/>
    <d v="2026-03-09T00:00:00"/>
    <d v="1899-12-30T18:25:00"/>
    <m/>
    <x v="168"/>
    <s v="BG25512"/>
    <d v="2026-03-11T00:00:00"/>
    <d v="1899-12-30T08:27:00"/>
    <x v="62"/>
    <s v="PLANTA"/>
    <s v="CLORTETRAX 20 X 25 KG"/>
    <n v="350"/>
    <n v="14"/>
    <n v="5600000"/>
    <d v="2026-03-19T00:00:00"/>
  </r>
  <r>
    <x v="0"/>
    <s v="OC PENDIENTE"/>
    <d v="2026-03-11T00:00:00"/>
    <d v="1899-12-30T08:16:00"/>
    <m/>
    <x v="169"/>
    <s v="BG25511"/>
    <d v="2026-03-11T00:00:00"/>
    <d v="1899-12-30T09:00:00"/>
    <x v="59"/>
    <s v="BUCARAMANGA"/>
    <s v="DMB 11 X 25 KG"/>
    <n v="900"/>
    <n v="36"/>
    <n v="18000000"/>
    <d v="2026-03-12T00:00:00"/>
  </r>
  <r>
    <x v="0"/>
    <s v="4500087472 _x000a_"/>
    <d v="2026-03-10T00:00:00"/>
    <d v="1899-12-30T17:21:00"/>
    <m/>
    <x v="170"/>
    <s v="BG25433"/>
    <d v="2026-03-11T00:00:00"/>
    <d v="1899-12-30T09:38:00"/>
    <x v="0"/>
    <s v="MEDELLIN"/>
    <s v="CIPROFLOX X 5 KG"/>
    <n v="1600"/>
    <n v="64"/>
    <n v="84000000"/>
    <d v="2026-03-12T00:00:00"/>
  </r>
  <r>
    <x v="0"/>
    <s v="4500087472 _x000a_"/>
    <d v="2026-03-10T00:00:00"/>
    <d v="1899-12-30T17:21:00"/>
    <m/>
    <x v="170"/>
    <s v="BG25433"/>
    <d v="2026-03-11T00:00:00"/>
    <d v="1899-12-30T09:38:00"/>
    <x v="0"/>
    <s v="MEDELLIN"/>
    <s v="KIRA X 25 KG"/>
    <n v="1500"/>
    <n v="60"/>
    <n v="29512000"/>
    <d v="2026-03-12T00:00:00"/>
  </r>
  <r>
    <x v="0"/>
    <s v="4500087472 _x000a_"/>
    <d v="2026-03-10T00:00:00"/>
    <d v="1899-12-30T17:21:00"/>
    <m/>
    <x v="170"/>
    <s v="BG25433"/>
    <d v="2026-03-11T00:00:00"/>
    <d v="1899-12-30T09:38:00"/>
    <x v="0"/>
    <s v="MEDELLIN"/>
    <s v="NEOCYN X 25 KG"/>
    <n v="1000"/>
    <n v="40"/>
    <n v="61700000"/>
    <d v="2026-03-12T00:00:00"/>
  </r>
  <r>
    <x v="0"/>
    <s v="4500087472 _x000a_"/>
    <d v="2026-03-10T00:00:00"/>
    <d v="1899-12-30T17:21:00"/>
    <m/>
    <x v="170"/>
    <s v="BG25433"/>
    <d v="2026-03-11T00:00:00"/>
    <d v="1899-12-30T09:38:00"/>
    <x v="0"/>
    <s v="MEDELLIN"/>
    <s v="TILOMIX 250 PREMIX X 25 KG"/>
    <n v="1500"/>
    <n v="60"/>
    <n v="77850000"/>
    <d v="2026-03-12T00:00:00"/>
  </r>
  <r>
    <x v="0"/>
    <s v="4500087472 _x000a_"/>
    <d v="2026-03-10T00:00:00"/>
    <d v="1899-12-30T17:21:00"/>
    <m/>
    <x v="170"/>
    <s v="BG25433"/>
    <d v="2026-03-11T00:00:00"/>
    <d v="1899-12-30T09:38:00"/>
    <x v="0"/>
    <s v="MEDELLIN"/>
    <s v="TILCOMIX PREMIX S X 5 KG"/>
    <n v="130"/>
    <n v="5"/>
    <n v="17888000"/>
    <d v="2026-03-12T00:00:00"/>
  </r>
  <r>
    <x v="0"/>
    <s v="4500087472 _x000a_"/>
    <d v="2026-03-10T00:00:00"/>
    <d v="1899-12-30T17:21:00"/>
    <m/>
    <x v="170"/>
    <s v="BG25433"/>
    <d v="2026-03-11T00:00:00"/>
    <d v="1899-12-30T09:38:00"/>
    <x v="0"/>
    <s v="MEDELLIN"/>
    <s v="DQCICLIN X 1 KG"/>
    <n v="20"/>
    <n v="1"/>
    <n v="7000000"/>
    <d v="2026-03-12T00:00:00"/>
  </r>
  <r>
    <x v="0"/>
    <s v="4500087472 _x000a_"/>
    <d v="2026-03-10T00:00:00"/>
    <d v="1899-12-30T17:21:00"/>
    <m/>
    <x v="170"/>
    <s v="BG25433"/>
    <d v="2026-03-11T00:00:00"/>
    <d v="1899-12-30T09:38:00"/>
    <x v="0"/>
    <s v="MEDELLIN"/>
    <s v="ACCUREMAX X 25 KG"/>
    <n v="250"/>
    <n v="10"/>
    <n v="112200000"/>
    <d v="2026-03-12T00:00:00"/>
  </r>
  <r>
    <x v="9"/>
    <s v="4500087472 _x000a_"/>
    <d v="2026-03-10T00:00:00"/>
    <d v="1899-12-30T17:21:00"/>
    <m/>
    <x v="171"/>
    <s v="BG25432"/>
    <d v="2026-03-11T00:00:00"/>
    <d v="1899-12-30T09:38:00"/>
    <x v="0"/>
    <s v="MEDELLIN"/>
    <s v="10 kg SMOOTH SWEET"/>
    <n v="120"/>
    <n v="5"/>
    <n v="0"/>
    <d v="2026-03-12T00:00:00"/>
  </r>
  <r>
    <x v="0"/>
    <s v="4500087472 _x000a_"/>
    <d v="2026-03-10T00:00:00"/>
    <d v="1899-12-30T17:21:00"/>
    <m/>
    <x v="172"/>
    <s v="BG25466"/>
    <d v="2026-03-11T00:00:00"/>
    <d v="1899-12-30T09:38:00"/>
    <x v="0"/>
    <s v="MEDELLIN"/>
    <s v="FRACTAL P X 25 KG"/>
    <n v="3000"/>
    <n v="120"/>
    <n v="74250000"/>
    <d v="2026-03-12T00:00:00"/>
  </r>
  <r>
    <x v="0"/>
    <s v="4500087472_x000a_"/>
    <d v="2026-03-10T00:00:00"/>
    <d v="1899-12-30T17:21:00"/>
    <m/>
    <x v="173"/>
    <s v="BG25431"/>
    <d v="2026-03-11T00:00:00"/>
    <d v="1899-12-30T09:38:00"/>
    <x v="0"/>
    <s v="MEDELLIN"/>
    <s v="LOTUS X 25 KG"/>
    <n v="2000"/>
    <n v="80"/>
    <n v="69000000"/>
    <d v="2026-03-12T00:00:00"/>
  </r>
  <r>
    <x v="6"/>
    <n v="32179"/>
    <d v="2026-03-10T00:00:00"/>
    <d v="1899-12-30T14:51:00"/>
    <m/>
    <x v="174"/>
    <s v="BG25430"/>
    <d v="2026-03-11T00:00:00"/>
    <d v="1899-12-30T10:25:00"/>
    <x v="63"/>
    <s v="GARAGOA"/>
    <s v="DQCICLIN X 1 KG"/>
    <n v="35"/>
    <n v="1"/>
    <n v="9450000"/>
    <d v="2026-03-12T00:00:00"/>
  </r>
  <r>
    <x v="6"/>
    <n v="32194"/>
    <d v="2026-03-10T00:00:00"/>
    <d v="1899-12-30T14:51:00"/>
    <m/>
    <x v="175"/>
    <m/>
    <d v="2026-03-17T00:00:00"/>
    <d v="1899-12-30T10:28:00"/>
    <x v="63"/>
    <s v="CACHIPAY"/>
    <s v="DQCICLIN X 1 KG"/>
    <n v="11"/>
    <n v="0"/>
    <n v="2970000"/>
    <d v="2026-03-12T00:00:00"/>
  </r>
  <r>
    <x v="6"/>
    <n v="32194"/>
    <d v="2026-03-10T00:00:00"/>
    <d v="1899-12-30T14:51:00"/>
    <m/>
    <x v="176"/>
    <s v="BG25429"/>
    <d v="2026-03-11T00:00:00"/>
    <d v="1899-12-30T10:25:00"/>
    <x v="63"/>
    <s v="CACHIPAY"/>
    <s v="DQCICLIN X 1 KG"/>
    <n v="26"/>
    <n v="1"/>
    <n v="7020000"/>
    <d v="2026-03-12T00:00:00"/>
  </r>
  <r>
    <x v="0"/>
    <n v="1381102"/>
    <d v="2026-03-10T00:00:00"/>
    <d v="1899-12-30T15:33:00"/>
    <m/>
    <x v="177"/>
    <s v="BG25428"/>
    <d v="2026-03-11T00:00:00"/>
    <d v="1899-12-30T10:34:00"/>
    <x v="5"/>
    <s v="MOSQUERA"/>
    <s v="FRACTAL P X 25 KG"/>
    <n v="200"/>
    <n v="8"/>
    <n v="4950000"/>
    <d v="2026-03-12T00:00:00"/>
  </r>
  <r>
    <x v="0"/>
    <s v="ORC-2603006"/>
    <d v="2026-03-11T00:00:00"/>
    <d v="1899-12-30T10:06:00"/>
    <m/>
    <x v="178"/>
    <s v="BG25427"/>
    <d v="2026-03-11T00:00:00"/>
    <d v="1899-12-30T10:57:00"/>
    <x v="37"/>
    <s v="MANIZALES"/>
    <s v="CELMANAX X 25 KG"/>
    <n v="250"/>
    <n v="10"/>
    <n v="4250000"/>
    <d v="2026-03-13T00:00:00"/>
  </r>
  <r>
    <x v="0"/>
    <s v="ORC-2603006"/>
    <d v="2026-03-11T00:00:00"/>
    <d v="1899-12-30T10:06:00"/>
    <m/>
    <x v="178"/>
    <s v="BG25427"/>
    <d v="2026-03-11T00:00:00"/>
    <d v="1899-12-30T10:57:00"/>
    <x v="37"/>
    <s v="MANIZALES"/>
    <s v="TILCOMIX PREMIX S X 5 KG"/>
    <n v="25"/>
    <n v="1"/>
    <n v="4000000"/>
    <d v="2026-03-13T00:00:00"/>
  </r>
  <r>
    <x v="0"/>
    <s v="ORC-2603006"/>
    <d v="2026-03-11T00:00:00"/>
    <d v="1899-12-30T10:06:00"/>
    <m/>
    <x v="178"/>
    <s v="BG25427"/>
    <d v="2026-03-11T00:00:00"/>
    <d v="1899-12-30T10:57:00"/>
    <x v="37"/>
    <s v="MANIZALES"/>
    <s v="FRACTAL P X 25 KG"/>
    <n v="250"/>
    <n v="10"/>
    <n v="6375000"/>
    <d v="2026-03-13T00:00:00"/>
  </r>
  <r>
    <x v="0"/>
    <s v="ORC-2603006"/>
    <d v="2026-03-11T00:00:00"/>
    <d v="1899-12-30T10:06:00"/>
    <m/>
    <x v="178"/>
    <s v="BG25427"/>
    <d v="2026-03-11T00:00:00"/>
    <d v="1899-12-30T10:57:00"/>
    <x v="37"/>
    <s v="MANIZALES"/>
    <s v="CIPROFLOX X 5 KG"/>
    <n v="100"/>
    <n v="4"/>
    <n v="5500000"/>
    <d v="2026-03-13T00:00:00"/>
  </r>
  <r>
    <x v="0"/>
    <s v="ORC-2603006"/>
    <d v="2026-03-11T00:00:00"/>
    <d v="1899-12-30T10:06:00"/>
    <m/>
    <x v="179"/>
    <s v="BG25426"/>
    <d v="2026-03-11T00:00:00"/>
    <d v="1899-12-30T10:57:00"/>
    <x v="37"/>
    <s v="MANIZALES"/>
    <s v="SMOOTH SWEET X 75 GR"/>
    <n v="7.5"/>
    <n v="0"/>
    <n v="0"/>
    <d v="2026-03-13T00:00:00"/>
  </r>
  <r>
    <x v="0"/>
    <m/>
    <d v="2026-03-11T00:00:00"/>
    <d v="1899-12-30T11:14:00"/>
    <m/>
    <x v="180"/>
    <s v="BG25425"/>
    <d v="2026-03-11T00:00:00"/>
    <d v="1899-12-30T11:14:00"/>
    <x v="64"/>
    <s v="CUCUTA"/>
    <s v="FOSMYCINA 90 X 500 GR"/>
    <n v="20"/>
    <n v="1"/>
    <n v="11500000"/>
    <d v="2026-03-13T00:00:00"/>
  </r>
  <r>
    <x v="0"/>
    <n v="50022"/>
    <d v="2026-03-09T00:00:00"/>
    <d v="1899-12-30T16:20:00"/>
    <m/>
    <x v="181"/>
    <s v="BG25424"/>
    <d v="2026-03-11T00:00:00"/>
    <d v="1899-12-30T12:27:00"/>
    <x v="8"/>
    <s v="VEREDA EL ROBLE"/>
    <s v="FRACTAL L X 20 LITROS"/>
    <n v="60"/>
    <n v="2"/>
    <n v="2400000"/>
    <d v="2026-03-13T00:00:00"/>
  </r>
  <r>
    <x v="0"/>
    <s v="ODC-00008420"/>
    <d v="2026-03-11T00:00:00"/>
    <d v="1899-12-30T07:06:00"/>
    <m/>
    <x v="182"/>
    <s v="BG25477"/>
    <d v="2026-03-12T00:00:00"/>
    <d v="1899-12-30T08:48:00"/>
    <x v="65"/>
    <s v="OIBA"/>
    <s v="DQCICLIN X 1 KG"/>
    <n v="110"/>
    <n v="110"/>
    <n v="30800000"/>
    <d v="2025-02-13T00:00:00"/>
  </r>
  <r>
    <x v="0"/>
    <s v="TAS-OC-004834"/>
    <d v="2026-03-11T00:00:00"/>
    <d v="1899-12-30T17:31:00"/>
    <m/>
    <x v="183"/>
    <s v="BG25456"/>
    <d v="2026-03-12T00:00:00"/>
    <d v="1899-12-30T09:33:00"/>
    <x v="66"/>
    <s v="BARCON"/>
    <s v="TILCOMIX PREMIX S X 5 KG"/>
    <n v="50"/>
    <n v="2"/>
    <n v="8250000"/>
    <d v="2025-02-13T00:00:00"/>
  </r>
  <r>
    <x v="0"/>
    <s v="Y - 001 - 4515"/>
    <d v="2026-03-12T00:00:00"/>
    <d v="1899-12-30T10:48:00"/>
    <m/>
    <x v="184"/>
    <s v="BG25455"/>
    <d v="2026-03-12T00:00:00"/>
    <d v="1899-12-30T11:01:00"/>
    <x v="67"/>
    <s v="YUMBO"/>
    <s v="CLORTETRAX 20 X 25 KG"/>
    <n v="25"/>
    <n v="1"/>
    <n v="472200"/>
    <d v="2025-02-13T00:00:00"/>
  </r>
  <r>
    <x v="0"/>
    <m/>
    <d v="2026-03-12T00:00:00"/>
    <d v="1899-12-30T10:57:00"/>
    <m/>
    <x v="185"/>
    <s v="BG25423"/>
    <d v="2026-03-12T00:00:00"/>
    <d v="1899-12-30T11:07:00"/>
    <x v="33"/>
    <s v="LOMA DEL ESCOBERO"/>
    <s v="PROYECTO TILVASYN X 5 KG"/>
    <n v="20"/>
    <n v="1"/>
    <n v="4000000"/>
    <d v="2026-03-12T00:00:00"/>
  </r>
  <r>
    <x v="0"/>
    <s v="COC-00000392"/>
    <d v="2026-03-12T00:00:00"/>
    <d v="1899-12-30T11:18:00"/>
    <m/>
    <x v="186"/>
    <s v="BG25537"/>
    <d v="2026-03-12T00:00:00"/>
    <d v="1899-12-30T11:23:00"/>
    <x v="47"/>
    <s v="DON MATIAS"/>
    <s v="CIPROFLOX X 5 KG"/>
    <n v="500"/>
    <n v="20"/>
    <n v="28000000"/>
    <d v="2026-03-18T00:00:00"/>
  </r>
  <r>
    <x v="0"/>
    <s v="COC-00000392"/>
    <d v="2026-03-12T00:00:00"/>
    <d v="1899-12-30T11:18:00"/>
    <m/>
    <x v="187"/>
    <s v="BG25532"/>
    <d v="2026-03-12T00:00:00"/>
    <d v="1899-12-30T11:23:00"/>
    <x v="47"/>
    <s v="DON MATIAS"/>
    <s v="SMOOTH SWEET X 75 GR"/>
    <n v="37.5"/>
    <n v="2"/>
    <n v="0"/>
    <d v="2026-03-18T00:00:00"/>
  </r>
  <r>
    <x v="10"/>
    <s v="COC-00000392"/>
    <d v="2026-03-12T00:00:00"/>
    <d v="1899-12-30T11:18:00"/>
    <m/>
    <x v="188"/>
    <s v="-"/>
    <d v="2026-03-12T00:00:00"/>
    <d v="1899-12-30T11:23:00"/>
    <x v="47"/>
    <s v="DON MATIAS"/>
    <s v="SMOOTH SWEET X 75 GR"/>
    <n v="37.5"/>
    <n v="2"/>
    <n v="0"/>
    <d v="2026-03-18T00:00:00"/>
  </r>
  <r>
    <x v="0"/>
    <m/>
    <d v="2026-03-12T00:00:00"/>
    <d v="1899-12-30T11:31:00"/>
    <m/>
    <x v="189"/>
    <s v="BG25454"/>
    <d v="2026-03-12T00:00:00"/>
    <d v="1899-12-30T11:41:00"/>
    <x v="68"/>
    <s v="HATILLO"/>
    <s v="NEOCYN X 1 KG"/>
    <n v="50"/>
    <n v="2"/>
    <n v="3600000"/>
    <d v="2026-03-12T00:00:00"/>
  </r>
  <r>
    <x v="0"/>
    <m/>
    <d v="2026-03-12T00:00:00"/>
    <d v="1899-12-30T11:31:00"/>
    <m/>
    <x v="189"/>
    <s v="BG25454"/>
    <d v="2026-03-12T00:00:00"/>
    <d v="1899-12-30T11:41:00"/>
    <x v="68"/>
    <s v="HATILLO"/>
    <s v="NORFLOX X 1 LITRO"/>
    <n v="20"/>
    <n v="1"/>
    <n v="1300000"/>
    <d v="2026-03-12T00:00:00"/>
  </r>
  <r>
    <x v="0"/>
    <m/>
    <d v="2026-03-12T00:00:00"/>
    <d v="1899-12-30T09:55:00"/>
    <m/>
    <x v="190"/>
    <s v="BG25459"/>
    <d v="2026-03-12T00:00:00"/>
    <d v="1899-12-30T13:10:00"/>
    <x v="69"/>
    <s v="CUCUTA"/>
    <s v="TILVASYYN x 25 KG"/>
    <n v="75"/>
    <n v="3"/>
    <n v="16125000"/>
    <d v="2026-03-13T00:00:00"/>
  </r>
  <r>
    <x v="0"/>
    <m/>
    <d v="2026-03-10T00:00:00"/>
    <d v="1899-12-30T10:30:00"/>
    <m/>
    <x v="191"/>
    <s v="BG25510"/>
    <d v="2026-03-12T00:00:00"/>
    <d v="1899-12-30T15:55:00"/>
    <x v="61"/>
    <s v="SANTA ROSA DE OSOS"/>
    <s v="HALQUINOX 800 X 25 KG"/>
    <n v="50"/>
    <n v="2"/>
    <n v="5125000"/>
    <d v="2026-03-13T00:00:00"/>
  </r>
  <r>
    <x v="0"/>
    <s v="O.C. 47807"/>
    <d v="2026-03-12T00:00:00"/>
    <d v="1899-12-30T12:08:00"/>
    <m/>
    <x v="192"/>
    <s v="BG25476"/>
    <d v="2026-03-12T00:00:00"/>
    <d v="1899-12-30T14:57:00"/>
    <x v="70"/>
    <s v="ITAGUI"/>
    <s v="AMOXIN X 1 KILO"/>
    <n v="24"/>
    <n v="1"/>
    <m/>
    <d v="2026-03-16T00:00:00"/>
  </r>
  <r>
    <x v="0"/>
    <s v="O.C. 47807"/>
    <d v="2026-03-12T00:00:00"/>
    <d v="1899-12-30T12:08:00"/>
    <m/>
    <x v="192"/>
    <s v="BG25476"/>
    <d v="2026-03-12T00:00:00"/>
    <d v="1899-12-30T14:57:00"/>
    <x v="70"/>
    <s v="ITAGUI"/>
    <s v="TILCOMIX ORAL X 1 LITRO"/>
    <n v="24"/>
    <n v="1"/>
    <m/>
    <d v="2026-03-16T00:00:00"/>
  </r>
  <r>
    <x v="0"/>
    <s v="O.C. 47807"/>
    <d v="2026-03-12T00:00:00"/>
    <d v="1899-12-30T12:08:00"/>
    <m/>
    <x v="193"/>
    <s v="BG25475"/>
    <d v="2026-03-12T00:00:00"/>
    <d v="1899-12-30T14:57:00"/>
    <x v="70"/>
    <s v="ITAGUI"/>
    <s v="SMOOTH SWEET X 75 GR"/>
    <n v="1.8"/>
    <n v="0"/>
    <n v="0"/>
    <d v="2026-03-16T00:00:00"/>
  </r>
  <r>
    <x v="0"/>
    <m/>
    <d v="2026-03-12T00:00:00"/>
    <d v="1899-12-30T14:00:00"/>
    <m/>
    <x v="194"/>
    <s v="BG25458"/>
    <d v="2026-03-12T00:00:00"/>
    <d v="1899-12-30T15:20:00"/>
    <x v="25"/>
    <s v="BUCARAMANGA"/>
    <s v="DINAMIX 600 X 250 GR"/>
    <n v="1"/>
    <n v="0"/>
    <n v="170000"/>
    <d v="2026-03-12T00:00:00"/>
  </r>
  <r>
    <x v="0"/>
    <m/>
    <d v="2026-03-12T00:00:00"/>
    <d v="1899-12-30T14:00:00"/>
    <m/>
    <x v="195"/>
    <s v="BG25457"/>
    <d v="2026-03-12T00:00:00"/>
    <d v="1899-12-30T15:20:00"/>
    <x v="25"/>
    <s v="BUCARAMANGA"/>
    <s v="SMOOTH SWEET X 75 GR"/>
    <n v="0.75"/>
    <n v="0"/>
    <n v="0"/>
    <d v="2026-03-12T00:00:00"/>
  </r>
  <r>
    <x v="0"/>
    <n v="13205"/>
    <d v="2026-03-12T00:00:00"/>
    <d v="1899-12-30T14:00:00"/>
    <m/>
    <x v="196"/>
    <s v="BG25509"/>
    <d v="2026-03-12T00:00:00"/>
    <d v="1899-12-30T15:22:00"/>
    <x v="59"/>
    <s v="BUCARAMANGA"/>
    <s v="TILVASYYN x 25 KG"/>
    <n v="25"/>
    <n v="1"/>
    <n v="5375000"/>
    <d v="2026-03-16T00:00:00"/>
  </r>
  <r>
    <x v="0"/>
    <s v="N/A"/>
    <d v="2026-03-12T00:00:00"/>
    <d v="1899-12-30T15:23:00"/>
    <m/>
    <x v="197"/>
    <s v="BG25508"/>
    <d v="2026-03-12T00:00:00"/>
    <d v="1899-12-30T15:29:00"/>
    <x v="61"/>
    <s v="SANTA ROSA DE OSOS"/>
    <s v="FRACTAL P X 25 KG"/>
    <n v="1500"/>
    <n v="60"/>
    <n v="39450000"/>
    <d v="2026-03-14T00:00:00"/>
  </r>
  <r>
    <x v="0"/>
    <m/>
    <d v="2026-03-13T00:00:00"/>
    <d v="1899-12-30T07:10:00"/>
    <m/>
    <x v="198"/>
    <s v="BG25465"/>
    <d v="2026-03-13T00:00:00"/>
    <d v="1899-12-30T08:21:00"/>
    <x v="25"/>
    <s v="BUCARAMANGA"/>
    <s v="CIPROFLOX X 1 KG"/>
    <n v="10"/>
    <n v="0"/>
    <n v="620000"/>
    <d v="2026-03-13T00:00:00"/>
  </r>
  <r>
    <x v="0"/>
    <n v="4500087543"/>
    <d v="2026-03-13T00:00:00"/>
    <d v="1899-12-30T07:51:00"/>
    <m/>
    <x v="199"/>
    <s v="BG25489"/>
    <d v="2026-03-13T00:00:00"/>
    <d v="1899-12-30T09:29:00"/>
    <x v="0"/>
    <s v="MEDELLIN"/>
    <s v="MONECYL X 25 KG"/>
    <n v="2000"/>
    <n v="80"/>
    <n v="38500000"/>
    <d v="2026-03-17T00:00:00"/>
  </r>
  <r>
    <x v="0"/>
    <n v="4500087543"/>
    <d v="2026-03-13T00:00:00"/>
    <d v="1899-12-30T07:51:00"/>
    <m/>
    <x v="199"/>
    <s v="BG25489"/>
    <d v="2026-03-13T00:00:00"/>
    <d v="1899-12-30T09:29:00"/>
    <x v="0"/>
    <s v="MEDELLIN"/>
    <s v="ESPELIN 88 X 25 KG"/>
    <n v="400"/>
    <n v="16"/>
    <n v="15560000"/>
    <d v="2026-03-17T00:00:00"/>
  </r>
  <r>
    <x v="0"/>
    <n v="4500087543"/>
    <d v="2026-03-13T00:00:00"/>
    <d v="1899-12-30T07:51:00"/>
    <m/>
    <x v="199"/>
    <s v="BG25489"/>
    <d v="2026-03-13T00:00:00"/>
    <d v="1899-12-30T09:29:00"/>
    <x v="0"/>
    <s v="MEDELLIN"/>
    <s v="CIPROFLOX X 5 KG"/>
    <n v="800"/>
    <n v="32"/>
    <n v="42000000"/>
    <d v="2026-03-17T00:00:00"/>
  </r>
  <r>
    <x v="0"/>
    <n v="4500087543"/>
    <d v="2026-03-13T00:00:00"/>
    <d v="1899-12-30T07:51:00"/>
    <m/>
    <x v="199"/>
    <s v="BG25489"/>
    <d v="2026-03-13T00:00:00"/>
    <d v="1899-12-30T09:29:00"/>
    <x v="0"/>
    <s v="MEDELLIN"/>
    <s v="DQCICLIN X 1 KG"/>
    <n v="40"/>
    <n v="2"/>
    <n v="7000000"/>
    <d v="2026-03-17T00:00:00"/>
  </r>
  <r>
    <x v="0"/>
    <n v="4500087543"/>
    <d v="2026-03-13T00:00:00"/>
    <d v="1899-12-30T07:51:00"/>
    <m/>
    <x v="200"/>
    <s v="BG25536"/>
    <d v="2026-03-13T00:00:00"/>
    <d v="1899-12-30T09:29:00"/>
    <x v="0"/>
    <s v="MEDELLIN"/>
    <s v="FRACTAL P X 25 KG"/>
    <n v="2000"/>
    <n v="80"/>
    <n v="49500000"/>
    <d v="2026-03-17T00:00:00"/>
  </r>
  <r>
    <x v="0"/>
    <n v="4500087543"/>
    <d v="2026-03-13T00:00:00"/>
    <d v="1899-12-30T07:51:00"/>
    <m/>
    <x v="201"/>
    <s v="BG25535"/>
    <d v="2026-03-13T00:00:00"/>
    <d v="1899-12-30T09:29:00"/>
    <x v="0"/>
    <s v="MEDELLIN"/>
    <s v="LOTUS X 25 KG"/>
    <n v="3500"/>
    <n v="140"/>
    <n v="120750000"/>
    <d v="2026-03-17T00:00:00"/>
  </r>
  <r>
    <x v="7"/>
    <n v="101156"/>
    <d v="2026-03-12T00:00:00"/>
    <d v="1899-12-30T15:31:00"/>
    <m/>
    <x v="202"/>
    <s v="BG25671"/>
    <d v="2026-03-13T00:00:00"/>
    <d v="1899-12-30T09:43:00"/>
    <x v="56"/>
    <s v="BUGA"/>
    <s v="CLORTETRAX 20 X 25 KG"/>
    <n v="525"/>
    <n v="21"/>
    <n v="8295000"/>
    <d v="2026-03-18T00:00:00"/>
  </r>
  <r>
    <x v="0"/>
    <n v="1382775"/>
    <d v="2026-03-12T00:00:00"/>
    <d v="1899-12-30T15:46:00"/>
    <m/>
    <x v="203"/>
    <s v="BG25464"/>
    <d v="2026-03-13T00:00:00"/>
    <d v="1899-12-30T09:51:00"/>
    <x v="14"/>
    <s v="ENVIGADO"/>
    <s v="LOTUS X 25 KG"/>
    <n v="75"/>
    <n v="3"/>
    <n v="2587000"/>
    <d v="2026-03-16T00:00:00"/>
  </r>
  <r>
    <x v="0"/>
    <m/>
    <d v="2026-03-12T00:00:00"/>
    <d v="1899-12-30T08:30:00"/>
    <m/>
    <x v="204"/>
    <s v="BG25507"/>
    <d v="2026-03-13T00:00:00"/>
    <d v="1899-12-30T09:55:00"/>
    <x v="61"/>
    <s v="SANTA ROSA DE OSOS"/>
    <s v="FRACTAL P X 25 KG"/>
    <n v="200"/>
    <n v="8"/>
    <n v="5260000"/>
    <d v="2026-03-13T00:00:00"/>
  </r>
  <r>
    <x v="0"/>
    <s v="OCO-0045283"/>
    <d v="2026-03-13T00:00:00"/>
    <d v="1899-12-30T09:50:00"/>
    <m/>
    <x v="205"/>
    <s v="BG25474"/>
    <d v="2026-03-13T00:00:00"/>
    <d v="1899-12-30T09:58:00"/>
    <x v="39"/>
    <s v="TULUA"/>
    <s v="FENIFLOR ORAL X 500 GR"/>
    <n v="50"/>
    <n v="2"/>
    <n v="5250000"/>
    <d v="2026-03-16T00:00:00"/>
  </r>
  <r>
    <x v="0"/>
    <n v="4500148720"/>
    <d v="2026-03-12T00:00:00"/>
    <d v="1899-12-30T16:07:00"/>
    <m/>
    <x v="206"/>
    <s v="BG25473"/>
    <d v="2026-03-13T00:00:00"/>
    <d v="1899-12-30T10:03:00"/>
    <x v="31"/>
    <s v="SITIO NUEVO"/>
    <s v="FRACTAL P X 25 KG"/>
    <n v="200"/>
    <n v="8"/>
    <n v="5260000"/>
    <d v="2026-03-16T00:00:00"/>
  </r>
  <r>
    <x v="0"/>
    <n v="4500148720"/>
    <d v="2026-03-12T00:00:00"/>
    <d v="1899-12-30T16:07:00"/>
    <m/>
    <x v="206"/>
    <s v="BG25473"/>
    <d v="2026-03-13T00:00:00"/>
    <d v="1899-12-30T10:03:00"/>
    <x v="31"/>
    <s v="SITIO NUEVO"/>
    <s v="AMOXIN X 1 KILO"/>
    <n v="150"/>
    <n v="6"/>
    <n v="23400000"/>
    <d v="2026-03-16T00:00:00"/>
  </r>
  <r>
    <x v="0"/>
    <s v="OCP-1247"/>
    <d v="2026-03-12T00:00:00"/>
    <d v="1899-12-30T16:19:00"/>
    <m/>
    <x v="207"/>
    <s v="BG25506"/>
    <d v="2026-03-13T00:00:00"/>
    <d v="1899-12-30T10:15:00"/>
    <x v="71"/>
    <s v="BUGA"/>
    <s v="AMOXIN X 1 KILO"/>
    <n v="20"/>
    <n v="1"/>
    <n v="3296000"/>
    <d v="2026-03-16T00:00:00"/>
  </r>
  <r>
    <x v="1"/>
    <s v="OC-1203"/>
    <d v="2026-02-18T00:00:00"/>
    <d v="1899-12-30T11:37:00"/>
    <m/>
    <x v="208"/>
    <s v="BG25463"/>
    <d v="2026-02-20T00:00:00"/>
    <d v="1899-12-30T13:45:00"/>
    <x v="71"/>
    <s v="CARTAGO"/>
    <s v="AMOXIN X 1 KILO"/>
    <n v="15"/>
    <n v="1"/>
    <n v="2472000"/>
    <d v="2026-02-23T00:00:00"/>
  </r>
  <r>
    <x v="0"/>
    <s v="A02-COC-320256"/>
    <d v="2026-03-12T00:00:00"/>
    <d v="1899-12-30T17:09:00"/>
    <m/>
    <x v="209"/>
    <s v="BG25505"/>
    <d v="2026-03-13T00:00:00"/>
    <d v="1899-12-30T10:37:00"/>
    <x v="17"/>
    <s v="ITAGUI"/>
    <s v="DMB 11 X 25 KG"/>
    <n v="50"/>
    <n v="2"/>
    <n v="960000"/>
    <d v="2026-03-18T00:00:00"/>
  </r>
  <r>
    <x v="0"/>
    <s v="A02-COC-320256"/>
    <d v="2026-03-12T00:00:00"/>
    <d v="1899-12-30T17:09:00"/>
    <m/>
    <x v="209"/>
    <s v="BG25505"/>
    <d v="2026-03-13T00:00:00"/>
    <d v="1899-12-30T10:37:00"/>
    <x v="17"/>
    <s v="ITAGUI"/>
    <s v="MONECYL X 25 KG"/>
    <n v="5000"/>
    <n v="200"/>
    <n v="102500000"/>
    <d v="2026-03-18T00:00:00"/>
  </r>
  <r>
    <x v="0"/>
    <n v="32286"/>
    <d v="2026-03-12T00:00:00"/>
    <d v="1899-12-30T21:03:00"/>
    <m/>
    <x v="210"/>
    <s v="BG25472"/>
    <d v="2026-03-13T00:00:00"/>
    <d v="1899-12-30T10:40:00"/>
    <x v="63"/>
    <s v="FUSA"/>
    <s v="DQCICLIN X 1 KG"/>
    <n v="10"/>
    <n v="0"/>
    <n v="2700000"/>
    <d v="2026-03-16T00:00:00"/>
  </r>
  <r>
    <x v="0"/>
    <s v="100-CON-00024760"/>
    <d v="2026-03-13T00:00:00"/>
    <d v="1899-12-30T08:00:00"/>
    <m/>
    <x v="211"/>
    <s v="BG25534"/>
    <d v="2026-03-13T00:00:00"/>
    <d v="1899-12-30T10:43:00"/>
    <x v="7"/>
    <s v="GIRARDOTA"/>
    <s v="FRACTAL P X 25 KG"/>
    <n v="100"/>
    <n v="4"/>
    <n v="2630000"/>
    <d v="2026-03-19T00:00:00"/>
  </r>
  <r>
    <x v="0"/>
    <s v="100-CON-00024760"/>
    <d v="2026-03-13T00:00:00"/>
    <d v="1899-12-30T08:00:00"/>
    <m/>
    <x v="211"/>
    <s v="BG25534"/>
    <d v="2026-03-13T00:00:00"/>
    <d v="1899-12-30T10:43:00"/>
    <x v="7"/>
    <s v="GIRARDOTA"/>
    <s v="LOTUS X 25 KG"/>
    <n v="200"/>
    <n v="8"/>
    <n v="8100000"/>
    <d v="2026-03-19T00:00:00"/>
  </r>
  <r>
    <x v="0"/>
    <n v="4504014988"/>
    <d v="2026-03-13T00:00:00"/>
    <d v="1899-12-30T11:13:00"/>
    <m/>
    <x v="212"/>
    <s v="BG25575"/>
    <d v="2026-03-13T00:00:00"/>
    <d v="1899-12-30T12:27:00"/>
    <x v="32"/>
    <s v="BUGA"/>
    <s v="MONECYL X 25 KG"/>
    <n v="15000"/>
    <n v="600"/>
    <n v="292500000"/>
    <d v="2026-03-17T00:00:00"/>
  </r>
  <r>
    <x v="0"/>
    <n v="4504014988"/>
    <d v="2026-03-13T00:00:00"/>
    <d v="1899-12-30T11:13:00"/>
    <m/>
    <x v="213"/>
    <s v="BG25576"/>
    <d v="2026-03-13T00:00:00"/>
    <d v="1899-12-30T12:27:00"/>
    <x v="32"/>
    <s v="BUGA"/>
    <s v="MONECYL X 25 KG"/>
    <n v="375"/>
    <n v="0"/>
    <n v="0"/>
    <d v="2026-03-17T00:00:00"/>
  </r>
  <r>
    <x v="0"/>
    <s v="BODEGA CONSIGNACION"/>
    <d v="2026-03-13T00:00:00"/>
    <d v="1899-12-30T09:38:00"/>
    <m/>
    <x v="214"/>
    <s v="BG25485"/>
    <d v="2026-03-13T00:00:00"/>
    <d v="1899-12-30T12:53:00"/>
    <x v="28"/>
    <s v="MEDELLIN"/>
    <s v="HALQUINOX 800 X 25 KG"/>
    <n v="2000"/>
    <n v="80"/>
    <n v="145734000"/>
    <d v="2026-03-13T00:00:00"/>
  </r>
  <r>
    <x v="0"/>
    <s v="BODEGA CONSIGNACION"/>
    <d v="2026-03-13T00:00:00"/>
    <d v="1899-12-30T09:38:00"/>
    <m/>
    <x v="214"/>
    <s v="BG25485"/>
    <d v="2026-03-13T00:00:00"/>
    <d v="1899-12-30T12:53:00"/>
    <x v="28"/>
    <s v="MEDELLIN"/>
    <s v="DINAMIX 800 X 25 KG"/>
    <n v="1000"/>
    <n v="40"/>
    <n v="122901000"/>
    <d v="2026-03-13T00:00:00"/>
  </r>
  <r>
    <x v="0"/>
    <s v="BODEGA CONSIGNACION"/>
    <d v="2026-03-13T00:00:00"/>
    <d v="1899-12-30T09:38:00"/>
    <m/>
    <x v="215"/>
    <s v="BG25469"/>
    <d v="2026-03-13T00:00:00"/>
    <d v="1899-12-30T12:53:00"/>
    <x v="0"/>
    <s v="MEDELLIN"/>
    <s v="SAGAH X 25 KG"/>
    <n v="700"/>
    <n v="28"/>
    <m/>
    <d v="2026-03-13T00:00:00"/>
  </r>
  <r>
    <x v="0"/>
    <s v="1931-R"/>
    <d v="2026-03-13T00:00:00"/>
    <d v="1899-12-30T10:35:00"/>
    <m/>
    <x v="216"/>
    <s v="BG25471"/>
    <d v="2026-03-13T00:00:00"/>
    <d v="1899-12-30T12:56:00"/>
    <x v="72"/>
    <s v="FRESNO"/>
    <s v="DQCICLIN X 1 KG"/>
    <n v="16"/>
    <n v="1"/>
    <n v="4480000"/>
    <d v="2026-03-16T00:00:00"/>
  </r>
  <r>
    <x v="0"/>
    <s v="001-OSC-72436"/>
    <d v="2026-03-13T00:00:00"/>
    <d v="1899-12-30T11:44:00"/>
    <m/>
    <x v="217"/>
    <s v="BG25504"/>
    <d v="2026-03-13T00:00:00"/>
    <d v="1899-12-30T12:58:00"/>
    <x v="29"/>
    <s v="BELLO"/>
    <s v="DMB 11 X 25 KG"/>
    <n v="2000"/>
    <n v="80"/>
    <n v="39000000"/>
    <d v="2026-03-18T00:00:00"/>
  </r>
  <r>
    <x v="0"/>
    <m/>
    <d v="2026-03-06T00:00:00"/>
    <d v="1899-12-30T12:30:00"/>
    <m/>
    <x v="218"/>
    <s v="BG25384"/>
    <d v="2026-03-06T00:00:00"/>
    <d v="1899-12-30T12:41:00"/>
    <x v="57"/>
    <s v="MEDELLIN"/>
    <s v="TILCOMIX ORAL X 1 LITRO"/>
    <n v="12"/>
    <n v="0"/>
    <n v="2772000"/>
    <d v="2026-03-06T00:00:00"/>
  </r>
  <r>
    <x v="0"/>
    <m/>
    <d v="2026-03-06T00:00:00"/>
    <d v="1899-12-30T12:30:00"/>
    <m/>
    <x v="219"/>
    <s v="BG25383"/>
    <d v="2026-03-06T00:00:00"/>
    <d v="1899-12-30T12:41:00"/>
    <x v="57"/>
    <s v="MEDELLIN"/>
    <s v="SMOOTH SWEET X 75 GR"/>
    <s v="0.9"/>
    <n v="0"/>
    <n v="0"/>
    <d v="2026-03-06T00:00:00"/>
  </r>
  <r>
    <x v="0"/>
    <s v="CFMP-1877"/>
    <d v="2026-03-09T00:00:00"/>
    <d v="1899-12-30T18:00:00"/>
    <m/>
    <x v="220"/>
    <s v="BG25415"/>
    <d v="2026-03-10T00:00:00"/>
    <d v="1899-12-30T07:27:00"/>
    <x v="39"/>
    <s v="NUTRITEC"/>
    <s v="DMB 11 X 25 KG"/>
    <n v="350"/>
    <n v="14"/>
    <n v="6961000"/>
    <d v="2026-03-11T00:00:00"/>
  </r>
  <r>
    <x v="0"/>
    <s v="CFMP-1877"/>
    <d v="2026-03-09T00:00:00"/>
    <d v="1899-12-30T18:00:00"/>
    <m/>
    <x v="220"/>
    <s v="BG25415"/>
    <d v="2026-03-10T00:00:00"/>
    <d v="1899-12-30T07:27:00"/>
    <x v="39"/>
    <s v="NUTRITEC"/>
    <s v="FRACTAL P X 25 KG"/>
    <n v="200"/>
    <n v="8"/>
    <n v="5100000"/>
    <d v="2026-03-11T00:00:00"/>
  </r>
  <r>
    <x v="0"/>
    <s v="CFMP-1877"/>
    <d v="2026-03-09T00:00:00"/>
    <d v="1899-12-30T18:00:00"/>
    <m/>
    <x v="220"/>
    <s v="BG25415"/>
    <d v="2026-03-10T00:00:00"/>
    <d v="1899-12-30T07:27:00"/>
    <x v="39"/>
    <s v="NUTRITEC"/>
    <s v="CLORTETRAX 20 X 25 KG"/>
    <n v="1000"/>
    <n v="40"/>
    <n v="16200000"/>
    <d v="2026-03-11T00:00:00"/>
  </r>
  <r>
    <x v="0"/>
    <s v="CFMP-1877"/>
    <d v="2026-03-09T00:00:00"/>
    <d v="1899-12-30T18:00:00"/>
    <m/>
    <x v="220"/>
    <s v="BG25415"/>
    <d v="2026-03-10T00:00:00"/>
    <d v="1899-12-30T07:27:00"/>
    <x v="39"/>
    <s v="NUTRITEC"/>
    <s v="DINAMIX 800 X 25 KG"/>
    <n v="50"/>
    <n v="2"/>
    <n v="8210000"/>
    <d v="2026-03-11T00:00:00"/>
  </r>
  <r>
    <x v="0"/>
    <n v="1654"/>
    <d v="2026-03-10T00:00:00"/>
    <d v="1899-12-30T14:53:00"/>
    <m/>
    <x v="221"/>
    <s v="BG25434"/>
    <d v="2026-03-11T00:00:00"/>
    <d v="1899-12-30T08:14:00"/>
    <x v="73"/>
    <s v="BUGA"/>
    <s v="DINAMIX 200 PREMIX X 25 KG"/>
    <n v="300"/>
    <n v="12"/>
    <n v="15600000"/>
    <d v="2026-03-11T00:00:00"/>
  </r>
  <r>
    <x v="0"/>
    <n v="1654"/>
    <d v="2026-03-10T00:00:00"/>
    <d v="1899-12-30T14:53:00"/>
    <m/>
    <x v="221"/>
    <s v="BG25434"/>
    <d v="2026-03-11T00:00:00"/>
    <d v="1899-12-30T08:14:00"/>
    <x v="73"/>
    <s v="BUGA"/>
    <s v="CLORTETRAX 20 X 25 KG"/>
    <n v="150"/>
    <n v="6"/>
    <n v="2400000"/>
    <d v="2026-03-11T00:00:00"/>
  </r>
  <r>
    <x v="0"/>
    <n v="4500087575"/>
    <d v="2026-03-13T00:00:00"/>
    <d v="1899-12-30T14:11:00"/>
    <m/>
    <x v="222"/>
    <s v="BG25487"/>
    <d v="2026-03-13T00:00:00"/>
    <d v="1899-12-30T16:02:00"/>
    <x v="0"/>
    <s v="CELTA"/>
    <s v="SAGAH X 25 KG"/>
    <n v="200"/>
    <n v="8"/>
    <n v="6040000"/>
    <d v="2026-03-16T00:00:00"/>
  </r>
  <r>
    <x v="0"/>
    <n v="4500087575"/>
    <d v="2026-03-13T00:00:00"/>
    <d v="1899-12-30T14:11:00"/>
    <m/>
    <x v="222"/>
    <s v="BG25487"/>
    <d v="2026-03-13T00:00:00"/>
    <d v="1899-12-30T16:02:00"/>
    <x v="0"/>
    <s v="CELTA"/>
    <s v="FRACTAL P X 25 KG"/>
    <n v="100"/>
    <n v="4"/>
    <n v="2475000"/>
    <d v="2026-03-16T00:00:00"/>
  </r>
  <r>
    <x v="0"/>
    <n v="4500087575"/>
    <d v="2026-03-13T00:00:00"/>
    <d v="1899-12-30T14:11:00"/>
    <m/>
    <x v="222"/>
    <s v="BG25487"/>
    <d v="2026-03-13T00:00:00"/>
    <d v="1899-12-30T16:02:00"/>
    <x v="0"/>
    <s v="CELTA"/>
    <s v="NEOCYN X 25 KG"/>
    <n v="250"/>
    <n v="10"/>
    <n v="15425000"/>
    <d v="2026-03-16T00:00:00"/>
  </r>
  <r>
    <x v="0"/>
    <n v="4500087575"/>
    <d v="2026-03-13T00:00:00"/>
    <d v="1899-12-30T14:11:00"/>
    <m/>
    <x v="223"/>
    <s v="BG25486"/>
    <d v="2026-03-13T00:00:00"/>
    <d v="1899-12-30T16:02:00"/>
    <x v="0"/>
    <s v="CELTA"/>
    <s v="LOTUS X 25 KG"/>
    <n v="100"/>
    <n v="4"/>
    <n v="3450000"/>
    <d v="2026-03-16T00:00:00"/>
  </r>
  <r>
    <x v="0"/>
    <s v="COC-00000581"/>
    <d v="2026-03-13T00:00:00"/>
    <d v="1899-12-30T14:40:00"/>
    <m/>
    <x v="224"/>
    <s v="BG25521"/>
    <d v="2026-03-13T00:00:00"/>
    <d v="1899-12-30T16:14:00"/>
    <x v="74"/>
    <s v="YOLOMBO"/>
    <s v="CLORTETRAX 20 X 25 KG"/>
    <n v="1300"/>
    <n v="52"/>
    <n v="21450000"/>
    <d v="2026-03-19T00:00:00"/>
  </r>
  <r>
    <x v="0"/>
    <s v="004-OCS-51273"/>
    <d v="2026-03-13T00:00:00"/>
    <d v="1899-12-30T16:09:00"/>
    <m/>
    <x v="225"/>
    <s v="BG25490"/>
    <d v="2026-03-13T00:00:00"/>
    <d v="1899-12-30T16:30:00"/>
    <x v="29"/>
    <s v="CARTAGO"/>
    <s v="LOTUS X 25 KG"/>
    <n v="225"/>
    <n v="9"/>
    <n v="9112500"/>
    <d v="2026-03-17T00:00:00"/>
  </r>
  <r>
    <x v="0"/>
    <s v="004-OCS-51273"/>
    <d v="2026-03-13T00:00:00"/>
    <d v="1899-12-30T16:09:00"/>
    <m/>
    <x v="225"/>
    <s v="BG25490"/>
    <d v="2026-03-13T00:00:00"/>
    <d v="1899-12-30T16:30:00"/>
    <x v="29"/>
    <s v="CARTAGO"/>
    <s v="FRACTAL P X 25 KG"/>
    <n v="975"/>
    <n v="39"/>
    <n v="25642500"/>
    <d v="2026-03-17T00:00:00"/>
  </r>
  <r>
    <x v="0"/>
    <s v="004-OCS-51273"/>
    <d v="2026-03-13T00:00:00"/>
    <d v="1899-12-30T16:09:00"/>
    <m/>
    <x v="226"/>
    <s v="BG25491"/>
    <d v="2026-03-13T00:00:00"/>
    <d v="1899-12-30T16:30:00"/>
    <x v="29"/>
    <s v="CARTAGO"/>
    <s v="LOTUS X 25 KG"/>
    <n v="75"/>
    <n v="3"/>
    <n v="3037500"/>
    <d v="2026-03-17T00:00:00"/>
  </r>
  <r>
    <x v="0"/>
    <s v="004-OCS-51273"/>
    <d v="2026-03-13T00:00:00"/>
    <d v="1899-12-30T16:09:00"/>
    <m/>
    <x v="226"/>
    <s v="BG25491"/>
    <d v="2026-03-13T00:00:00"/>
    <d v="1899-12-30T16:30:00"/>
    <x v="29"/>
    <s v="CARTAGO"/>
    <s v="FRACTAL P X 25 KG"/>
    <n v="525"/>
    <n v="21"/>
    <n v="13807500"/>
    <d v="2026-03-17T00:00:00"/>
  </r>
  <r>
    <x v="0"/>
    <n v="5504457827"/>
    <d v="2026-03-13T00:00:00"/>
    <d v="1899-12-30T17:19:00"/>
    <m/>
    <x v="227"/>
    <s v="BG25503"/>
    <d v="2026-03-16T00:00:00"/>
    <d v="1899-12-30T10:38:00"/>
    <x v="52"/>
    <s v="CAVASA"/>
    <s v="DMB 11 X 25 KG"/>
    <n v="6000"/>
    <n v="240"/>
    <n v="110100000"/>
    <d v="2026-03-18T00:00:00"/>
  </r>
  <r>
    <x v="0"/>
    <n v="4500374062"/>
    <d v="2026-03-16T00:00:00"/>
    <d v="1899-12-30T07:48:00"/>
    <m/>
    <x v="228"/>
    <s v="BG25587"/>
    <d v="2026-03-16T00:00:00"/>
    <d v="1899-12-30T12:10:00"/>
    <x v="3"/>
    <s v="BUGA"/>
    <s v="FRACTAL P X 25 KG"/>
    <n v="1000"/>
    <n v="40"/>
    <n v="26300000"/>
    <d v="2026-03-27T00:00:00"/>
  </r>
  <r>
    <x v="0"/>
    <s v="007-OC-051769"/>
    <d v="2026-03-16T00:00:00"/>
    <s v="11:!2"/>
    <m/>
    <x v="229"/>
    <s v="BG25502"/>
    <d v="2026-03-16T00:00:00"/>
    <d v="1899-12-30T13:07:00"/>
    <x v="10"/>
    <s v="ITALCOL GIRON"/>
    <s v="LOTUS X 25 KG"/>
    <n v="425"/>
    <n v="17"/>
    <n v="17212500"/>
    <d v="2026-03-18T00:00:00"/>
  </r>
  <r>
    <x v="0"/>
    <n v="1384554"/>
    <d v="2026-03-16T00:00:00"/>
    <d v="1899-12-30T14:40:00"/>
    <m/>
    <x v="230"/>
    <s v="BG25501"/>
    <d v="2026-03-16T00:00:00"/>
    <d v="1899-12-30T14:41:00"/>
    <x v="14"/>
    <s v="ENVIGADO"/>
    <s v="TILVASYYN x 25 KG"/>
    <n v="150"/>
    <n v="6"/>
    <n v="27030000"/>
    <d v="2026-03-18T00:00:00"/>
  </r>
  <r>
    <x v="0"/>
    <m/>
    <d v="2026-03-16T00:00:00"/>
    <n v="15"/>
    <m/>
    <x v="231"/>
    <s v="BG25492"/>
    <d v="2026-03-16T00:00:00"/>
    <d v="1899-12-30T15:41:00"/>
    <x v="75"/>
    <s v="BUCARAMANGA"/>
    <s v="FOSMYCINA 90 X 500 GR"/>
    <n v="26"/>
    <n v="1"/>
    <n v="14300000"/>
    <d v="2026-03-16T00:00:00"/>
  </r>
  <r>
    <x v="0"/>
    <s v="001-OSC-00072300"/>
    <d v="2026-03-16T00:00:00"/>
    <d v="1899-12-30T14:56:00"/>
    <m/>
    <x v="232"/>
    <s v="BG25500"/>
    <d v="2026-03-16T00:00:00"/>
    <d v="1899-12-30T16:05:00"/>
    <x v="29"/>
    <s v="BELLO"/>
    <s v="LOTUS X 25 KG"/>
    <n v="100"/>
    <n v="4"/>
    <n v="4050000"/>
    <d v="2026-03-18T00:00:00"/>
  </r>
  <r>
    <x v="0"/>
    <s v="001-OSC-00072300"/>
    <d v="2026-03-16T00:00:00"/>
    <d v="1899-12-30T14:56:00"/>
    <m/>
    <x v="232"/>
    <s v="BG25500"/>
    <d v="2026-03-16T00:00:00"/>
    <d v="1899-12-30T16:05:00"/>
    <x v="29"/>
    <s v="BELLO"/>
    <s v="DMB 11 X 25 KG"/>
    <n v="1000"/>
    <n v="40"/>
    <n v="19500000"/>
    <d v="2026-03-18T00:00:00"/>
  </r>
  <r>
    <x v="0"/>
    <s v="001-SC-015961"/>
    <d v="2026-03-16T00:00:00"/>
    <d v="1899-12-30T16:09:00"/>
    <m/>
    <x v="233"/>
    <s v="BG25499"/>
    <d v="2026-03-17T00:00:00"/>
    <d v="1899-12-30T08:01:00"/>
    <x v="23"/>
    <s v="NUTREXCOL"/>
    <s v="TILVASYYN x 25 KG"/>
    <n v="500"/>
    <n v="20"/>
    <n v="95000000"/>
    <d v="2026-03-19T00:00:00"/>
  </r>
  <r>
    <x v="0"/>
    <m/>
    <d v="2026-03-16T00:00:00"/>
    <d v="1899-12-30T16:35:00"/>
    <m/>
    <x v="234"/>
    <s v="BG25498"/>
    <d v="2026-03-17T00:00:00"/>
    <d v="1899-12-30T09:30:00"/>
    <x v="62"/>
    <s v="PLANTA"/>
    <s v="FRACTAL P X 25 KG"/>
    <n v="400"/>
    <n v="16"/>
    <n v="10520000"/>
    <d v="2026-03-25T00:00:00"/>
  </r>
  <r>
    <x v="0"/>
    <m/>
    <d v="2026-03-16T00:00:00"/>
    <d v="1899-12-30T18:55:00"/>
    <m/>
    <x v="235"/>
    <s v="BG25515"/>
    <d v="2026-03-17T00:00:00"/>
    <d v="1899-12-30T10:47:00"/>
    <x v="18"/>
    <s v="RECOGE EN BODEGA"/>
    <s v="CLORTETRAX 20 X 25 KG"/>
    <n v="400"/>
    <n v="16"/>
    <n v="6320000"/>
    <d v="2026-03-17T00:00:00"/>
  </r>
  <r>
    <x v="0"/>
    <m/>
    <d v="2026-03-16T00:00:00"/>
    <d v="1899-12-30T16:23:00"/>
    <m/>
    <x v="236"/>
    <s v="BG25497"/>
    <d v="2026-03-17T00:00:00"/>
    <d v="1899-12-30T11:14:00"/>
    <x v="76"/>
    <s v="GUADUAS"/>
    <s v="TRIMBAC X 5 KG"/>
    <n v="25"/>
    <n v="1"/>
    <n v="4250000"/>
    <d v="2026-03-18T00:00:00"/>
  </r>
  <r>
    <x v="0"/>
    <s v="103-OCC-38548"/>
    <d v="2026-03-17T00:00:00"/>
    <d v="1899-12-30T07:21:00"/>
    <m/>
    <x v="237"/>
    <s v="BG25520"/>
    <d v="2026-03-17T00:00:00"/>
    <d v="1899-12-30T12:40:00"/>
    <x v="13"/>
    <s v="GIRARDOTA"/>
    <s v="DINAMIX PREMIX X 25 KG"/>
    <n v="200"/>
    <n v="8"/>
    <n v="5100000"/>
    <d v="2026-02-19T00:00:00"/>
  </r>
  <r>
    <x v="0"/>
    <n v="1384931"/>
    <d v="2026-03-17T00:00:00"/>
    <d v="1899-12-30T07:33:00"/>
    <m/>
    <x v="238"/>
    <s v="BG25517"/>
    <d v="2026-03-17T00:00:00"/>
    <d v="1899-12-30T12:48:00"/>
    <x v="5"/>
    <s v="BUGA"/>
    <s v="TILVASYYN x 25 KG"/>
    <n v="75"/>
    <n v="3"/>
    <n v="13515000"/>
    <d v="2026-02-19T00:00:00"/>
  </r>
  <r>
    <x v="0"/>
    <n v="4500087599"/>
    <d v="2026-03-17T00:00:00"/>
    <d v="1899-12-30T09:01:00"/>
    <m/>
    <x v="239"/>
    <s v="BG25533"/>
    <d v="2026-03-17T00:00:00"/>
    <d v="1899-12-30T12:51:00"/>
    <x v="0"/>
    <s v="CELTA"/>
    <s v="200 R MONECYL X 25 KG"/>
    <n v="1500"/>
    <n v="60"/>
    <n v="28875000"/>
    <d v="2026-02-19T00:00:00"/>
  </r>
  <r>
    <x v="0"/>
    <n v="4500087599"/>
    <d v="2026-03-17T00:00:00"/>
    <d v="1899-12-30T09:01:00"/>
    <m/>
    <x v="239"/>
    <s v="BG25533"/>
    <d v="2026-03-17T00:00:00"/>
    <d v="1899-12-30T12:51:00"/>
    <x v="0"/>
    <s v="CELTA"/>
    <s v="KIRA X 25 KG"/>
    <n v="250"/>
    <n v="10"/>
    <n v="4918750"/>
    <d v="2026-02-19T00:00:00"/>
  </r>
  <r>
    <x v="0"/>
    <n v="4500087599"/>
    <d v="2026-03-17T00:00:00"/>
    <d v="1899-12-30T09:01:00"/>
    <m/>
    <x v="239"/>
    <s v="BG25533"/>
    <d v="2026-03-17T00:00:00"/>
    <d v="1899-12-30T12:51:00"/>
    <x v="0"/>
    <s v="CELTA"/>
    <s v="FRACTAL P X 25 KG"/>
    <n v="200"/>
    <n v="8"/>
    <n v="4950000"/>
    <d v="2026-02-19T00:00:00"/>
  </r>
  <r>
    <x v="0"/>
    <s v="ORC-2603013"/>
    <d v="2026-03-17T00:00:00"/>
    <d v="1899-12-30T09:24:00"/>
    <m/>
    <x v="240"/>
    <s v="BG25519"/>
    <d v="2026-03-17T00:00:00"/>
    <d v="1899-12-30T13:02:00"/>
    <x v="37"/>
    <s v="MANIZALES"/>
    <s v="CELMANAX X 25 KG"/>
    <n v="250"/>
    <n v="10"/>
    <n v="4250000"/>
    <d v="2026-02-19T00:00:00"/>
  </r>
  <r>
    <x v="0"/>
    <s v="ORC-2603013"/>
    <d v="2026-03-17T00:00:00"/>
    <d v="1899-12-30T09:24:00"/>
    <m/>
    <x v="240"/>
    <s v="BG25519"/>
    <d v="2026-03-17T00:00:00"/>
    <d v="1899-12-30T13:02:00"/>
    <x v="37"/>
    <s v="MANIZALES"/>
    <s v="TILCOMIX PREMIX S X 5 KG"/>
    <n v="25"/>
    <n v="1"/>
    <n v="3875000"/>
    <d v="2026-02-19T00:00:00"/>
  </r>
  <r>
    <x v="0"/>
    <s v="ORC-2603013"/>
    <d v="2026-03-17T00:00:00"/>
    <d v="1899-12-30T09:24:00"/>
    <m/>
    <x v="240"/>
    <s v="BG25519"/>
    <d v="2026-03-17T00:00:00"/>
    <d v="1899-12-30T13:02:00"/>
    <x v="37"/>
    <s v="MANIZALES"/>
    <s v="FENIFLOR PREMIX X 25 Kg"/>
    <n v="50"/>
    <n v="2"/>
    <n v="3450000"/>
    <d v="2026-02-19T00:00:00"/>
  </r>
  <r>
    <x v="0"/>
    <s v="ORC-2603013"/>
    <d v="2026-03-17T00:00:00"/>
    <d v="1899-12-30T09:24:00"/>
    <m/>
    <x v="240"/>
    <s v="BG25519"/>
    <d v="2026-03-17T00:00:00"/>
    <d v="1899-12-30T13:02:00"/>
    <x v="37"/>
    <s v="MANIZALES"/>
    <s v="HALQUINOX 500 X 25 KG"/>
    <n v="50"/>
    <n v="2"/>
    <n v="3290000"/>
    <d v="2026-02-19T00:00:00"/>
  </r>
  <r>
    <x v="0"/>
    <s v="3016-1309"/>
    <d v="2026-03-17T00:00:00"/>
    <d v="1899-12-30T11:07:00"/>
    <m/>
    <x v="241"/>
    <s v="BG25496"/>
    <d v="2026-03-17T00:00:00"/>
    <d v="1899-12-30T13:05:00"/>
    <x v="77"/>
    <s v="BOGOTA"/>
    <s v="CIPROFLOX X 5 KG"/>
    <n v="50"/>
    <n v="2"/>
    <n v="3050000"/>
    <d v="2026-03-18T00:00:00"/>
  </r>
  <r>
    <x v="0"/>
    <s v="3016-1309"/>
    <d v="2026-03-17T00:00:00"/>
    <d v="1899-12-30T11:07:00"/>
    <m/>
    <x v="242"/>
    <s v="BG25495"/>
    <d v="2026-03-17T00:00:00"/>
    <d v="1899-12-30T13:05:00"/>
    <x v="77"/>
    <s v="BOGOTA"/>
    <s v="SMOOTH SWEET X 75 GR"/>
    <n v="3.75"/>
    <n v="0"/>
    <n v="0"/>
    <d v="2026-03-18T00:00:00"/>
  </r>
  <r>
    <x v="0"/>
    <s v="3016-1312"/>
    <d v="2026-03-17T00:00:00"/>
    <d v="1899-12-30T11:07:00"/>
    <m/>
    <x v="243"/>
    <s v="BG25494"/>
    <d v="2026-03-17T00:00:00"/>
    <d v="1899-12-30T13:54:00"/>
    <x v="77"/>
    <s v="BOGOTA"/>
    <s v="DINAMIX 800 X 25 KG"/>
    <n v="25"/>
    <n v="1"/>
    <n v="4250000"/>
    <d v="2026-03-18T00:00:00"/>
  </r>
  <r>
    <x v="0"/>
    <n v="4504018677"/>
    <d v="2026-03-17T00:00:00"/>
    <d v="1899-12-30T12:50:00"/>
    <m/>
    <x v="244"/>
    <s v="BG25577"/>
    <d v="2026-03-17T00:00:00"/>
    <d v="1899-12-30T13:59:00"/>
    <x v="50"/>
    <s v="RIO FRIO"/>
    <s v="NORFLOX X 1 LITRO"/>
    <n v="120"/>
    <n v="5"/>
    <n v="7200000"/>
    <d v="2026-03-18T00:00:00"/>
  </r>
  <r>
    <x v="0"/>
    <n v="1385250"/>
    <d v="2026-03-17T00:00:00"/>
    <d v="1899-12-30T13:05:00"/>
    <m/>
    <x v="245"/>
    <s v="BG25531"/>
    <d v="2026-03-17T00:00:00"/>
    <d v="1899-12-30T14:08:00"/>
    <x v="5"/>
    <s v="MOSQUERA"/>
    <s v="FRACTAL P X 25 KG"/>
    <n v="150"/>
    <n v="6"/>
    <n v="3712000"/>
    <d v="2026-03-19T00:00:00"/>
  </r>
  <r>
    <x v="0"/>
    <n v="1385250"/>
    <d v="2026-03-17T00:00:00"/>
    <d v="1899-12-30T13:05:00"/>
    <m/>
    <x v="245"/>
    <s v="BG25531"/>
    <d v="2026-03-17T00:00:00"/>
    <d v="1899-12-30T14:08:00"/>
    <x v="5"/>
    <s v="MOSQUERA"/>
    <s v="BIMMU X 25 KG"/>
    <n v="100"/>
    <n v="4"/>
    <n v="3000000"/>
    <d v="2026-03-19T00:00:00"/>
  </r>
  <r>
    <x v="0"/>
    <s v="OC.COMPR-2243"/>
    <d v="2026-03-17T00:00:00"/>
    <d v="1899-12-30T14:03:00"/>
    <m/>
    <x v="246"/>
    <s v="BG25524"/>
    <d v="2026-03-17T00:00:00"/>
    <d v="1899-12-30T15:24:00"/>
    <x v="46"/>
    <s v="RICAURTE"/>
    <s v="BIMMU X 25 KG"/>
    <n v="100"/>
    <n v="4"/>
    <n v="3500000"/>
    <d v="2026-03-19T00:00:00"/>
  </r>
  <r>
    <x v="0"/>
    <s v="OC.COMPR-2243"/>
    <d v="2026-03-17T00:00:00"/>
    <d v="1899-12-30T14:03:00"/>
    <m/>
    <x v="246"/>
    <s v="BG25524"/>
    <d v="2026-03-17T00:00:00"/>
    <d v="1899-12-30T15:24:00"/>
    <x v="46"/>
    <s v="RICAURTE"/>
    <s v="CLORTETRAX 20 X 25 KG"/>
    <n v="25"/>
    <n v="1"/>
    <n v="481250"/>
    <d v="2026-03-19T00:00:00"/>
  </r>
  <r>
    <x v="0"/>
    <n v="4500087606"/>
    <d v="2026-03-17T00:00:00"/>
    <d v="1899-12-30T17:30:00"/>
    <m/>
    <x v="247"/>
    <s v="BG25530"/>
    <d v="2026-03-18T00:00:00"/>
    <d v="1899-12-30T07:55:00"/>
    <x v="28"/>
    <s v="PREMEX CELTA"/>
    <s v="HALQUINOX 800 X 25 KG"/>
    <n v="1000"/>
    <n v="40"/>
    <n v="72867000"/>
    <d v="2026-03-18T00:00:00"/>
  </r>
  <r>
    <x v="0"/>
    <n v="4500087606"/>
    <d v="2026-03-17T00:00:00"/>
    <d v="1899-12-30T17:30:00"/>
    <m/>
    <x v="247"/>
    <s v="BG25530"/>
    <d v="2026-03-18T00:00:00"/>
    <d v="1899-12-30T07:55:00"/>
    <x v="28"/>
    <s v="PREMEX CELTA"/>
    <s v="DINAMIX 800 X 25 KG"/>
    <n v="150"/>
    <n v="6"/>
    <n v="18435150"/>
    <d v="2026-03-18T00:00:00"/>
  </r>
  <r>
    <x v="0"/>
    <m/>
    <d v="2026-03-17T00:00:00"/>
    <d v="1899-12-30T19:13:00"/>
    <m/>
    <x v="248"/>
    <s v="BG25552"/>
    <d v="2026-03-18T00:00:00"/>
    <d v="1899-12-30T08:26:00"/>
    <x v="78"/>
    <s v="ITAGUI"/>
    <s v="FOSMYCINA 90 X 500 GR"/>
    <n v="3"/>
    <n v="0"/>
    <n v="1557000"/>
    <d v="2026-03-20T00:00:00"/>
  </r>
  <r>
    <x v="0"/>
    <m/>
    <d v="2026-03-13T00:00:00"/>
    <d v="1899-12-30T17:44:00"/>
    <m/>
    <x v="249"/>
    <s v="BG25523"/>
    <d v="2026-03-18T00:00:00"/>
    <d v="1899-12-30T09:54:00"/>
    <x v="79"/>
    <s v="GIRON"/>
    <s v="CLORTETRAX 20 X 25 KG"/>
    <n v="600"/>
    <n v="24"/>
    <n v="9600000"/>
    <d v="2026-03-19T00:00:00"/>
  </r>
  <r>
    <x v="0"/>
    <s v="OC-COMPR-22243"/>
    <d v="2026-03-18T00:00:00"/>
    <d v="1899-12-30T08:28:00"/>
    <m/>
    <x v="250"/>
    <s v="BG25518"/>
    <d v="2026-03-18T00:00:00"/>
    <d v="1899-12-30T10:10:00"/>
    <x v="46"/>
    <s v="RICAURTE"/>
    <s v="AMOXIN X 1 KILO"/>
    <n v="23"/>
    <n v="1"/>
    <n v="3565000"/>
    <d v="2026-03-20T00:00:00"/>
  </r>
  <r>
    <x v="0"/>
    <s v="OC-COMPR-22243"/>
    <d v="2026-03-18T00:00:00"/>
    <d v="1899-12-30T08:28:00"/>
    <m/>
    <x v="250"/>
    <s v="BG25518"/>
    <d v="2026-03-18T00:00:00"/>
    <d v="1899-12-30T10:10:00"/>
    <x v="46"/>
    <s v="RICAURTE"/>
    <s v="FENIFLOR PREMIX X 25 Kg"/>
    <n v="25"/>
    <n v="1"/>
    <n v="2675000"/>
    <d v="2026-03-20T00:00:00"/>
  </r>
  <r>
    <x v="0"/>
    <n v="4500374324"/>
    <d v="2026-03-18T00:00:00"/>
    <d v="1899-12-30T10:04:00"/>
    <m/>
    <x v="251"/>
    <s v="BG25516"/>
    <d v="2026-03-18T00:00:00"/>
    <d v="1899-12-30T10:20:00"/>
    <x v="80"/>
    <s v="BUCARAMANGA"/>
    <s v="CIPROFLOX X 1 KG"/>
    <n v="200"/>
    <n v="8"/>
    <n v="11200000"/>
    <d v="2026-03-19T00:00:00"/>
  </r>
  <r>
    <x v="0"/>
    <m/>
    <d v="2026-03-18T00:00:00"/>
    <d v="1899-12-30T11:50:00"/>
    <m/>
    <x v="252"/>
    <s v="BG25522"/>
    <d v="2026-03-18T00:00:00"/>
    <d v="1899-12-30T12:00:00"/>
    <x v="81"/>
    <s v="VALLE"/>
    <s v="DINAMIX 200 PREMIX X 25 KG"/>
    <n v="50"/>
    <n v="2"/>
    <n v="2797000"/>
    <d v="2026-03-20T00:00:00"/>
  </r>
  <r>
    <x v="0"/>
    <m/>
    <d v="2026-03-18T00:00:00"/>
    <d v="1899-12-30T11:50:00"/>
    <m/>
    <x v="252"/>
    <s v="BG25522"/>
    <d v="2026-03-18T00:00:00"/>
    <d v="1899-12-30T12:00:00"/>
    <x v="81"/>
    <s v="VALLE"/>
    <s v="CLORTETRAX 20 X 25 KG"/>
    <n v="100"/>
    <n v="4"/>
    <n v="1750000"/>
    <d v="2026-03-20T00:00:00"/>
  </r>
  <r>
    <x v="0"/>
    <n v="4504018616"/>
    <d v="2026-03-18T00:00:00"/>
    <d v="1899-12-30T13:43:00"/>
    <m/>
    <x v="253"/>
    <s v="BG25578"/>
    <d v="2026-03-18T00:00:00"/>
    <d v="1899-12-30T14:19:00"/>
    <x v="50"/>
    <s v="GIRON"/>
    <s v="DMB 11 X 25 KG"/>
    <n v="25"/>
    <n v="1"/>
    <n v="443750"/>
    <d v="2026-03-20T00:00:00"/>
  </r>
  <r>
    <x v="7"/>
    <m/>
    <d v="2026-03-18T00:00:00"/>
    <d v="1899-12-30T10:01:00"/>
    <m/>
    <x v="254"/>
    <s v="BG25529"/>
    <d v="2026-03-18T00:00:00"/>
    <d v="1899-12-30T14:31:00"/>
    <x v="82"/>
    <s v="DON MATIAS"/>
    <s v="AMOXIN X 1 KILO"/>
    <n v="100"/>
    <n v="4"/>
    <n v="15500000"/>
    <d v="2026-03-20T00:00:00"/>
  </r>
  <r>
    <x v="7"/>
    <m/>
    <d v="2026-03-18T00:00:00"/>
    <d v="1899-12-30T10:01:00"/>
    <m/>
    <x v="254"/>
    <s v="BG25529"/>
    <d v="2026-03-18T00:00:00"/>
    <d v="1899-12-30T14:31:00"/>
    <x v="82"/>
    <s v="DON MATIAS"/>
    <s v="FOSMYCINA 90 X 500 GR"/>
    <n v="7.5"/>
    <n v="0"/>
    <n v="3892000"/>
    <d v="2026-03-20T00:00:00"/>
  </r>
  <r>
    <x v="0"/>
    <m/>
    <d v="2026-03-18T00:00:00"/>
    <d v="1899-12-30T14:17:00"/>
    <m/>
    <x v="255"/>
    <s v="BG25528"/>
    <d v="2026-03-18T00:00:00"/>
    <d v="1899-12-30T14:59:00"/>
    <x v="74"/>
    <s v="ITAGUI"/>
    <s v="FOSMYCINA 90 X 500 GR"/>
    <n v="4.5"/>
    <n v="0"/>
    <n v="2340000"/>
    <d v="2026-03-10T00:00:00"/>
  </r>
  <r>
    <x v="0"/>
    <n v="4500087661"/>
    <d v="2026-03-18T00:00:00"/>
    <d v="1899-12-30T17:56:00"/>
    <m/>
    <x v="256"/>
    <s v="BG25614"/>
    <d v="2026-03-19T00:00:00"/>
    <d v="1899-12-30T08:31:00"/>
    <x v="0"/>
    <s v="MEDELLIN"/>
    <s v="FRACTAL P X 25 KG"/>
    <n v="2000"/>
    <n v="80"/>
    <n v="49500000"/>
    <d v="2026-03-20T00:00:00"/>
  </r>
  <r>
    <x v="0"/>
    <n v="4500087661"/>
    <d v="2026-03-18T00:00:00"/>
    <d v="1899-12-30T17:56:00"/>
    <m/>
    <x v="257"/>
    <s v="BG25527"/>
    <d v="2026-03-19T00:00:00"/>
    <d v="1899-12-30T08:31:00"/>
    <x v="0"/>
    <s v="MEDELLIN"/>
    <s v="LOTUS X 25 KG"/>
    <n v="3000"/>
    <n v="120"/>
    <n v="103500000"/>
    <d v="2026-03-20T00:00:00"/>
  </r>
  <r>
    <x v="0"/>
    <n v="4500087661"/>
    <d v="2026-03-18T00:00:00"/>
    <d v="1899-12-30T17:56:00"/>
    <m/>
    <x v="258"/>
    <s v="BG25549"/>
    <d v="2026-03-19T00:00:00"/>
    <d v="1899-12-30T11:33:00"/>
    <x v="0"/>
    <s v="MEDELLIN"/>
    <s v="NEOCYN X 25 KG"/>
    <n v="600"/>
    <n v="24"/>
    <n v="37020000"/>
    <d v="2026-03-20T00:00:00"/>
  </r>
  <r>
    <x v="0"/>
    <n v="4500087661"/>
    <d v="2026-03-18T00:00:00"/>
    <d v="1899-12-30T17:56:00"/>
    <m/>
    <x v="258"/>
    <s v="BG25549"/>
    <d v="2026-03-19T00:00:00"/>
    <d v="1899-12-30T11:33:00"/>
    <x v="0"/>
    <s v="MEDELLIN"/>
    <s v="ACCUREMAX 20% X 25 KG"/>
    <n v="400"/>
    <n v="16"/>
    <n v="179200000"/>
    <d v="2026-03-20T00:00:00"/>
  </r>
  <r>
    <x v="0"/>
    <n v="4500087661"/>
    <d v="2026-03-18T00:00:00"/>
    <d v="1899-12-30T17:56:00"/>
    <m/>
    <x v="258"/>
    <s v="BG25549"/>
    <d v="2026-03-19T00:00:00"/>
    <d v="1899-12-30T11:33:00"/>
    <x v="0"/>
    <s v="MEDELLIN"/>
    <s v="KIRA X 25 KG"/>
    <n v="500"/>
    <n v="20"/>
    <n v="9837000"/>
    <d v="2026-03-20T00:00:00"/>
  </r>
  <r>
    <x v="0"/>
    <n v="4500087661"/>
    <d v="2026-03-18T00:00:00"/>
    <d v="1899-12-30T17:56:00"/>
    <m/>
    <x v="258"/>
    <s v="BG25549"/>
    <d v="2026-03-19T00:00:00"/>
    <d v="1899-12-30T11:33:00"/>
    <x v="0"/>
    <s v="MEDELLIN"/>
    <s v="TILCOMIX PREMIX S X 5 KG"/>
    <n v="1200"/>
    <n v="48"/>
    <n v="157500000"/>
    <d v="2026-03-20T00:00:00"/>
  </r>
  <r>
    <x v="0"/>
    <n v="4500087661"/>
    <d v="2026-03-18T00:00:00"/>
    <d v="1899-12-30T17:56:00"/>
    <m/>
    <x v="258"/>
    <s v="BG25549"/>
    <d v="2026-03-19T00:00:00"/>
    <d v="1899-12-30T11:33:00"/>
    <x v="0"/>
    <s v="MEDELLIN"/>
    <s v="SAGAH X 25 KG"/>
    <n v="700"/>
    <n v="28"/>
    <n v="21140000"/>
    <d v="2026-03-20T00:00:00"/>
  </r>
  <r>
    <x v="0"/>
    <m/>
    <d v="2026-03-19T00:00:00"/>
    <d v="1899-12-30T08:50:00"/>
    <m/>
    <x v="259"/>
    <s v="BG25526"/>
    <d v="2026-03-19T00:00:00"/>
    <d v="1899-12-30T08:57:00"/>
    <x v="42"/>
    <s v="DON MATIAS"/>
    <s v="DQCICLIN X 1 KG"/>
    <n v="10"/>
    <n v="0"/>
    <n v="2500000"/>
    <d v="2026-03-19T00:00:00"/>
  </r>
  <r>
    <x v="0"/>
    <s v="006-OC-029401"/>
    <d v="2026-03-18T00:00:00"/>
    <d v="1899-12-30T14:29:00"/>
    <m/>
    <x v="260"/>
    <s v="BG25543"/>
    <d v="2026-03-19T00:00:00"/>
    <d v="1899-12-30T09:48:00"/>
    <x v="10"/>
    <s v="ITALCOL IBAGUE"/>
    <s v="LOTUS X 25 KG"/>
    <n v="450"/>
    <n v="18"/>
    <n v="18225000"/>
    <d v="2026-03-19T00:00:00"/>
  </r>
  <r>
    <x v="0"/>
    <s v="COC-00000403"/>
    <d v="2026-03-19T00:00:00"/>
    <d v="1899-12-30T08:33:00"/>
    <m/>
    <x v="261"/>
    <s v="BG25622"/>
    <d v="2026-03-19T00:00:00"/>
    <d v="1899-12-30T09:34:00"/>
    <x v="47"/>
    <s v="DON MATIAS"/>
    <s v="FRACTAL P X 25 KG"/>
    <n v="1000"/>
    <n v="40"/>
    <n v="27615000"/>
    <d v="2026-03-26T00:00:00"/>
  </r>
  <r>
    <x v="7"/>
    <s v="OC-030031"/>
    <d v="2026-03-18T00:00:00"/>
    <d v="1899-12-30T16:59:00"/>
    <m/>
    <x v="262"/>
    <s v="BG25613"/>
    <d v="2026-03-19T00:00:00"/>
    <d v="1899-12-30T09:41:00"/>
    <x v="38"/>
    <s v="BUCARAMANGA"/>
    <s v="FRACTAL P X 25 KG"/>
    <n v="50"/>
    <n v="2"/>
    <n v="1275000"/>
    <d v="2026-03-25T00:00:00"/>
  </r>
  <r>
    <x v="0"/>
    <n v="1386605"/>
    <d v="2026-03-19T00:00:00"/>
    <d v="1899-12-30T08:16:00"/>
    <m/>
    <x v="263"/>
    <s v="BG25542"/>
    <d v="2026-03-19T00:00:00"/>
    <d v="1899-12-30T12:11:00"/>
    <x v="16"/>
    <s v="BUCARAMANGA"/>
    <s v="CIPROFLOX X 5 KG"/>
    <n v="50"/>
    <n v="2"/>
    <n v="2625000"/>
    <d v="2026-03-19T00:00:00"/>
  </r>
  <r>
    <x v="0"/>
    <n v="1386605"/>
    <d v="2026-03-19T00:00:00"/>
    <d v="1899-12-30T08:16:00"/>
    <m/>
    <x v="264"/>
    <s v="BG25541"/>
    <d v="2026-03-19T00:00:00"/>
    <d v="1899-12-30T12:11:00"/>
    <x v="16"/>
    <s v="BUCARAMANGA"/>
    <s v="SMOOTH SWEET X 75 GR"/>
    <n v="3.75"/>
    <n v="0"/>
    <n v="0"/>
    <d v="2026-03-19T00:00:00"/>
  </r>
  <r>
    <x v="0"/>
    <n v="1386822"/>
    <d v="2026-03-19T00:00:00"/>
    <d v="1899-12-30T11:33:00"/>
    <m/>
    <x v="265"/>
    <s v="BG25540"/>
    <d v="2026-03-19T00:00:00"/>
    <d v="1899-12-30T12:14:00"/>
    <x v="16"/>
    <s v="FRESNO"/>
    <s v="CIPROFLOX X 5 KG"/>
    <n v="30"/>
    <n v="1"/>
    <n v="1575000"/>
    <d v="2026-03-20T00:00:00"/>
  </r>
  <r>
    <x v="0"/>
    <n v="1386822"/>
    <d v="2026-03-19T00:00:00"/>
    <d v="1899-12-30T11:33:00"/>
    <m/>
    <x v="266"/>
    <s v="BG25539"/>
    <d v="2026-03-19T00:00:00"/>
    <d v="1899-12-30T12:14:00"/>
    <x v="16"/>
    <s v="FRESNO"/>
    <s v="SMOOTH SWEET X 75 GR"/>
    <n v="2.25"/>
    <n v="0"/>
    <n v="0"/>
    <d v="2026-03-20T00:00:00"/>
  </r>
  <r>
    <x v="0"/>
    <s v="040 CAL"/>
    <d v="2026-03-19T00:00:00"/>
    <d v="1899-12-30T12:14:00"/>
    <m/>
    <x v="267"/>
    <s v="BG25538"/>
    <d v="2026-03-19T00:00:00"/>
    <d v="1899-12-30T12:20:00"/>
    <x v="83"/>
    <s v="CALI"/>
    <s v="AMOXIN X 1 KILO"/>
    <n v="4"/>
    <n v="0"/>
    <n v="775000"/>
    <d v="2026-03-20T00:00:00"/>
  </r>
  <r>
    <x v="0"/>
    <s v="040 CAL"/>
    <d v="2026-03-19T00:00:00"/>
    <d v="1899-12-30T12:14:00"/>
    <m/>
    <x v="267"/>
    <s v="BG25538"/>
    <d v="2026-03-19T00:00:00"/>
    <d v="1899-12-30T12:20:00"/>
    <x v="83"/>
    <s v="CALI"/>
    <s v="FOSMYCINA 90 X 500 GR"/>
    <n v="3"/>
    <n v="0"/>
    <n v="1560000"/>
    <d v="2026-03-20T00:00:00"/>
  </r>
  <r>
    <x v="0"/>
    <m/>
    <d v="2026-03-19T00:00:00"/>
    <d v="1899-12-30T12:35:00"/>
    <m/>
    <x v="268"/>
    <s v="BG25547"/>
    <d v="2026-03-19T00:00:00"/>
    <d v="1899-12-30T14:56:00"/>
    <x v="84"/>
    <s v="DON MATIAS"/>
    <s v="TILCOMIX ORAL X 1 LITRO"/>
    <n v="4"/>
    <n v="0"/>
    <n v="900000"/>
    <d v="2026-03-19T00:00:00"/>
  </r>
  <r>
    <x v="0"/>
    <m/>
    <d v="2026-03-19T00:00:00"/>
    <d v="1899-12-30T12:35:00"/>
    <m/>
    <x v="269"/>
    <s v="BG25546"/>
    <d v="2026-03-19T00:00:00"/>
    <d v="1899-12-30T14:56:00"/>
    <x v="84"/>
    <s v="DON MATIAS"/>
    <s v="SMOOTH SWEET X 75 GR"/>
    <n v="0"/>
    <n v="0"/>
    <n v="0"/>
    <d v="2026-03-19T00:00:00"/>
  </r>
  <r>
    <x v="0"/>
    <m/>
    <d v="2026-03-19T00:00:00"/>
    <d v="1899-12-30T14:56:00"/>
    <m/>
    <x v="270"/>
    <s v="BG25627"/>
    <d v="2026-03-19T00:00:00"/>
    <d v="1899-12-30T15:08:00"/>
    <x v="85"/>
    <s v="LA CEJA"/>
    <s v="FENIFLOR ORAL X 500 GR"/>
    <n v="27"/>
    <n v="1"/>
    <n v="2835000"/>
    <d v="2026-03-20T00:00:00"/>
  </r>
  <r>
    <x v="0"/>
    <m/>
    <d v="2026-03-27T00:00:00"/>
    <d v="1899-12-30T14:56:00"/>
    <m/>
    <x v="271"/>
    <s v="BG25667"/>
    <d v="2026-03-27T00:00:00"/>
    <d v="1899-12-30T15:28:00"/>
    <x v="85"/>
    <s v="LA CEJA"/>
    <s v="FENIFLOR ORAL X 500 GR"/>
    <n v="15"/>
    <n v="1"/>
    <n v="1575000"/>
    <d v="2026-03-20T00:00:00"/>
  </r>
  <r>
    <x v="0"/>
    <n v="1387576"/>
    <d v="2026-03-20T00:00:00"/>
    <d v="1899-12-30T08:03:00"/>
    <m/>
    <x v="272"/>
    <s v="BG25658"/>
    <d v="2026-03-20T00:00:00"/>
    <d v="1899-12-30T08:26:00"/>
    <x v="16"/>
    <s v="CALDAS - ANTIOQUIA"/>
    <s v="ROFLOX 20 X 1L"/>
    <n v="48"/>
    <n v="48"/>
    <n v="2332800"/>
    <d v="2026-03-30T00:00:00"/>
  </r>
  <r>
    <x v="0"/>
    <s v="004-OSC-00051354"/>
    <d v="2026-03-20T00:00:00"/>
    <d v="1899-12-30T07:52:00"/>
    <m/>
    <x v="273"/>
    <s v="BG25586"/>
    <d v="2026-03-20T00:00:00"/>
    <d v="1899-12-30T08:46:00"/>
    <x v="29"/>
    <s v="BELLO"/>
    <s v="LOTUS X 25 KG"/>
    <n v="400"/>
    <n v="16"/>
    <n v="16200000"/>
    <d v="2026-03-26T00:00:00"/>
  </r>
  <r>
    <x v="0"/>
    <n v="1387324"/>
    <d v="2026-03-19T00:00:00"/>
    <d v="1899-12-30T17:21:00"/>
    <m/>
    <x v="274"/>
    <s v="BG25581"/>
    <d v="2025-03-20T00:00:00"/>
    <d v="1899-12-30T08:53:00"/>
    <x v="5"/>
    <s v="CIENAGA"/>
    <s v="AMOXIN X 1 KILO"/>
    <n v="12"/>
    <n v="12"/>
    <n v="1626000"/>
    <d v="2026-03-27T00:00:00"/>
  </r>
  <r>
    <x v="0"/>
    <n v="1387271"/>
    <d v="2026-03-19T00:00:00"/>
    <s v="16;50"/>
    <m/>
    <x v="275"/>
    <s v="BG25660"/>
    <d v="2025-03-20T00:00:00"/>
    <d v="1899-12-30T09:03:00"/>
    <x v="14"/>
    <s v="CARTAGO"/>
    <s v="ESPELIN 88 X 25 KG"/>
    <n v="150"/>
    <n v="6"/>
    <n v="5835000"/>
    <d v="2026-03-26T00:00:00"/>
  </r>
  <r>
    <x v="0"/>
    <n v="1387164"/>
    <d v="2026-03-19T00:00:00"/>
    <d v="1899-12-30T15:48:00"/>
    <m/>
    <x v="276"/>
    <s v="BG25663"/>
    <d v="2025-03-20T00:00:00"/>
    <n v="913"/>
    <x v="14"/>
    <s v="BOGOTA"/>
    <s v="FENIFLOR PREMIX X 25 Kg"/>
    <n v="75"/>
    <n v="3"/>
    <n v="3889500"/>
    <d v="2026-03-26T00:00:00"/>
  </r>
  <r>
    <x v="0"/>
    <s v="CFMP-1904"/>
    <d v="2026-03-20T00:00:00"/>
    <d v="1899-12-30T10:34:00"/>
    <m/>
    <x v="277"/>
    <s v="BG25585"/>
    <d v="2025-03-20T00:00:00"/>
    <d v="1899-12-30T12:17:00"/>
    <x v="39"/>
    <s v="NUTRITEC"/>
    <s v="DINAMIX 800 X 25 KG"/>
    <n v="150"/>
    <n v="6"/>
    <n v="24630000"/>
    <d v="2026-03-25T00:00:00"/>
  </r>
  <r>
    <x v="0"/>
    <s v="CFMP-1904"/>
    <d v="2026-03-20T00:00:00"/>
    <d v="1899-12-30T10:34:00"/>
    <m/>
    <x v="277"/>
    <s v="BG25585"/>
    <d v="2025-03-20T00:00:00"/>
    <d v="1899-12-30T12:17:00"/>
    <x v="39"/>
    <s v="NUTRITEC"/>
    <s v="DMB 11 X 25 KG"/>
    <n v="500"/>
    <n v="20"/>
    <n v="9945000"/>
    <d v="2026-03-25T00:00:00"/>
  </r>
  <r>
    <x v="0"/>
    <s v="CFMP-1904"/>
    <d v="2026-03-20T00:00:00"/>
    <d v="1899-12-30T10:34:00"/>
    <m/>
    <x v="277"/>
    <s v="BG25585"/>
    <d v="2025-03-20T00:00:00"/>
    <d v="1899-12-30T12:17:00"/>
    <x v="39"/>
    <s v="NUTRITEC"/>
    <s v="FRACTAL P X 25 KG"/>
    <n v="500"/>
    <n v="20"/>
    <n v="12750000"/>
    <d v="2026-03-25T00:00:00"/>
  </r>
  <r>
    <x v="0"/>
    <s v="CFMP-1904"/>
    <d v="2026-03-20T00:00:00"/>
    <d v="1899-12-30T10:34:00"/>
    <m/>
    <x v="277"/>
    <s v="BG25585"/>
    <d v="2025-03-20T00:00:00"/>
    <d v="1899-12-30T12:17:00"/>
    <x v="39"/>
    <s v="NUTRITEC"/>
    <s v="CLORTETRAX 20 X 25 KG"/>
    <n v="1500"/>
    <n v="60"/>
    <n v="24300000"/>
    <d v="2026-03-25T00:00:00"/>
  </r>
  <r>
    <x v="0"/>
    <s v="CFMP-1904"/>
    <d v="2026-03-20T00:00:00"/>
    <d v="1899-12-30T10:34:00"/>
    <m/>
    <x v="277"/>
    <s v="BG25585"/>
    <d v="2025-03-20T00:00:00"/>
    <d v="1899-12-30T12:17:00"/>
    <x v="39"/>
    <s v="NUTRITEC"/>
    <s v="HALQUINOX 800 X 25 KG"/>
    <n v="50"/>
    <n v="2"/>
    <n v="5125000"/>
    <d v="2026-03-25T00:00:00"/>
  </r>
  <r>
    <x v="0"/>
    <s v="005-OSC-00010912"/>
    <d v="2026-03-19T00:00:00"/>
    <d v="1899-12-30T15:11:00"/>
    <m/>
    <x v="278"/>
    <s v="BG25642"/>
    <d v="2025-03-20T00:00:00"/>
    <d v="1899-12-30T12:20:00"/>
    <x v="29"/>
    <s v="MOSQUERA"/>
    <s v="DMB 11 X 25 KG"/>
    <n v="400"/>
    <n v="16"/>
    <n v="7800000"/>
    <d v="2026-03-26T00:00:00"/>
  </r>
  <r>
    <x v="0"/>
    <n v="1387113"/>
    <d v="2026-03-19T00:00:00"/>
    <d v="1899-12-30T15:34:00"/>
    <m/>
    <x v="279"/>
    <s v="BG25580"/>
    <d v="2025-03-20T00:00:00"/>
    <d v="1899-12-30T12:22:00"/>
    <x v="5"/>
    <s v="BUGA"/>
    <s v="TILVASYYN x 25 KG"/>
    <n v="50"/>
    <n v="2"/>
    <n v="9010000"/>
    <d v="2026-03-24T00:00:00"/>
  </r>
  <r>
    <x v="0"/>
    <m/>
    <d v="2026-03-19T00:00:00"/>
    <d v="1899-12-30T15:39:00"/>
    <m/>
    <x v="280"/>
    <s v="BG25612"/>
    <d v="2025-03-20T00:00:00"/>
    <d v="1899-12-30T12:24:00"/>
    <x v="45"/>
    <s v="GRANADA"/>
    <s v="FENIFLOR PREMIX X 25 Kg"/>
    <n v="100"/>
    <n v="4"/>
    <n v="8500000"/>
    <d v="2026-03-24T00:00:00"/>
  </r>
  <r>
    <x v="0"/>
    <m/>
    <d v="2026-03-19T00:00:00"/>
    <d v="1899-12-30T15:39:00"/>
    <m/>
    <x v="280"/>
    <s v="BG25612"/>
    <d v="2025-03-20T00:00:00"/>
    <d v="1899-12-30T12:24:00"/>
    <x v="45"/>
    <s v="GRANADA"/>
    <s v="CLORTETRAX 20 X 25 KG"/>
    <n v="200"/>
    <n v="8"/>
    <n v="3200000"/>
    <d v="2026-03-24T00:00:00"/>
  </r>
  <r>
    <x v="7"/>
    <m/>
    <d v="2026-03-20T00:00:00"/>
    <d v="1899-12-30T10:37:00"/>
    <m/>
    <x v="281"/>
    <s v="BG25611"/>
    <d v="2025-03-20T00:00:00"/>
    <d v="1899-12-30T12:28:00"/>
    <x v="38"/>
    <s v="BUCARAMANGA"/>
    <s v="FENIFLOR PREMIX X 25 Kg"/>
    <n v="50"/>
    <n v="2"/>
    <n v="3450000"/>
    <d v="2026-03-24T00:00:00"/>
  </r>
  <r>
    <x v="7"/>
    <m/>
    <d v="2026-03-20T00:00:00"/>
    <d v="1899-12-30T10:37:00"/>
    <m/>
    <x v="281"/>
    <s v="BG25611"/>
    <d v="2025-03-20T00:00:00"/>
    <d v="1899-12-30T12:28:00"/>
    <x v="38"/>
    <s v="BUCARAMANGA"/>
    <s v="5 KG X FENIFLOR PREMIX"/>
    <n v="10"/>
    <n v="0"/>
    <n v="700000"/>
    <d v="2026-03-24T00:00:00"/>
  </r>
  <r>
    <x v="7"/>
    <n v="101405"/>
    <d v="2026-03-20T00:00:00"/>
    <d v="1899-12-30T11:33:00"/>
    <m/>
    <x v="282"/>
    <s v="BG25669"/>
    <d v="2025-03-20T00:00:00"/>
    <d v="1899-12-30T12:42:00"/>
    <x v="56"/>
    <s v="BUGA"/>
    <s v="NORFLOX X 1 LITRO"/>
    <n v="15"/>
    <n v="1"/>
    <n v="1065000"/>
    <d v="2026-03-24T00:00:00"/>
  </r>
  <r>
    <x v="0"/>
    <m/>
    <d v="2026-03-20T00:00:00"/>
    <d v="1899-12-30T12:20:00"/>
    <m/>
    <x v="283"/>
    <s v="BG25610"/>
    <d v="2025-03-20T00:00:00"/>
    <d v="1899-12-30T14:30:00"/>
    <x v="36"/>
    <s v="LERIDA"/>
    <s v="FENIFLOR PREMIX X 25 Kg"/>
    <n v="25"/>
    <n v="1"/>
    <n v="1687000"/>
    <d v="2026-03-24T00:00:00"/>
  </r>
  <r>
    <x v="0"/>
    <m/>
    <d v="2026-03-20T00:00:00"/>
    <d v="1899-12-30T12:20:00"/>
    <m/>
    <x v="283"/>
    <s v="BG25610"/>
    <d v="2025-03-20T00:00:00"/>
    <d v="1899-12-30T14:30:00"/>
    <x v="36"/>
    <s v="LERIDA"/>
    <s v="AMOXIN X 1 KILO"/>
    <n v="50"/>
    <n v="2"/>
    <n v="7250000"/>
    <d v="2026-03-24T00:00:00"/>
  </r>
  <r>
    <x v="0"/>
    <m/>
    <d v="2026-03-20T00:00:00"/>
    <d v="1899-12-30T12:20:00"/>
    <m/>
    <x v="283"/>
    <s v="BG25610"/>
    <d v="2025-03-20T00:00:00"/>
    <d v="1899-12-30T14:30:00"/>
    <x v="36"/>
    <s v="LERIDA"/>
    <s v="FRACTAL P X 25 KG"/>
    <n v="400"/>
    <n v="16"/>
    <n v="10520000"/>
    <d v="2026-03-24T00:00:00"/>
  </r>
  <r>
    <x v="0"/>
    <s v="AL-260320"/>
    <d v="2026-03-20T00:00:00"/>
    <d v="1899-12-30T14:06:00"/>
    <m/>
    <x v="284"/>
    <s v="BG25579"/>
    <d v="2025-03-20T00:00:00"/>
    <d v="1899-12-30T14:42:00"/>
    <x v="86"/>
    <s v="BUGA"/>
    <s v="CLORTETRAX 20 X 25 KG"/>
    <n v="325"/>
    <n v="13"/>
    <n v="5200000"/>
    <d v="2026-03-24T00:00:00"/>
  </r>
  <r>
    <x v="0"/>
    <m/>
    <d v="2026-03-23T00:00:00"/>
    <d v="1899-12-30T10:30:00"/>
    <m/>
    <x v="285"/>
    <s v="BG25584"/>
    <d v="2026-03-24T00:00:00"/>
    <d v="1899-12-30T07:33:00"/>
    <x v="61"/>
    <s v="DON MATIAS"/>
    <s v="CIPROFLOX X 5 KG"/>
    <n v="10"/>
    <n v="0"/>
    <n v="562000"/>
    <d v="2026-03-24T00:00:00"/>
  </r>
  <r>
    <x v="1"/>
    <n v="5504485810"/>
    <d v="2026-03-20T00:00:00"/>
    <d v="1899-12-30T15:05:00"/>
    <m/>
    <x v="286"/>
    <m/>
    <d v="2026-03-24T00:00:00"/>
    <d v="1899-12-30T09:17:00"/>
    <x v="52"/>
    <s v="MANANTIALES"/>
    <s v="ROFLOX X 1 LITRO"/>
    <n v="150"/>
    <n v="6"/>
    <n v="6975000"/>
    <d v="2026-03-26T00:00:00"/>
  </r>
  <r>
    <x v="0"/>
    <s v="001-OSC-00072759"/>
    <d v="2026-03-20T00:00:00"/>
    <d v="1899-12-30T17:02:00"/>
    <m/>
    <x v="287"/>
    <s v="BG25593"/>
    <d v="2026-03-24T00:00:00"/>
    <d v="1899-12-30T09:31:00"/>
    <x v="29"/>
    <s v="BELLO"/>
    <s v="DMB 11 X 25 KG"/>
    <n v="2000"/>
    <n v="80"/>
    <n v="39000000"/>
    <d v="2026-03-25T00:00:00"/>
  </r>
  <r>
    <x v="0"/>
    <s v="CFMP-1911"/>
    <d v="2026-03-24T00:00:00"/>
    <d v="1899-12-30T10:00:00"/>
    <m/>
    <x v="288"/>
    <s v="BG25609"/>
    <d v="2026-03-24T00:00:00"/>
    <d v="1899-12-30T11:29:00"/>
    <x v="39"/>
    <s v="TULUA"/>
    <s v="DINAMIX 200 PREMIX X 25 KG"/>
    <n v="25"/>
    <n v="1"/>
    <n v="1209600"/>
    <d v="2026-03-26T00:00:00"/>
  </r>
  <r>
    <x v="0"/>
    <s v="CFMP-1911"/>
    <d v="2026-03-24T00:00:00"/>
    <d v="1899-12-30T10:00:00"/>
    <m/>
    <x v="288"/>
    <s v="BG25609"/>
    <d v="2026-03-24T00:00:00"/>
    <d v="1899-12-30T11:29:00"/>
    <x v="39"/>
    <s v="TULUA"/>
    <s v="CIPROFLOX X 5 KG"/>
    <n v="25"/>
    <n v="1"/>
    <n v="1362000"/>
    <d v="2026-03-26T00:00:00"/>
  </r>
  <r>
    <x v="0"/>
    <s v="CFMP-1911"/>
    <d v="2026-03-24T00:00:00"/>
    <d v="1899-12-30T10:00:00"/>
    <m/>
    <x v="288"/>
    <s v="BG25609"/>
    <d v="2026-03-24T00:00:00"/>
    <d v="1899-12-30T11:29:00"/>
    <x v="39"/>
    <s v="TULUA"/>
    <s v="5 KG X FENIFLOR PREMIX"/>
    <n v="15"/>
    <n v="1"/>
    <n v="1050000"/>
    <d v="2026-03-26T00:00:00"/>
  </r>
  <r>
    <x v="0"/>
    <m/>
    <d v="2026-03-24T00:00:00"/>
    <d v="1899-12-30T08:48:00"/>
    <m/>
    <x v="289"/>
    <s v="BG25590"/>
    <d v="2026-03-24T00:00:00"/>
    <d v="1899-12-30T11:42:00"/>
    <x v="0"/>
    <s v="MEDELLIN"/>
    <s v="200 R MONECYL X 25 KG"/>
    <n v="2000"/>
    <n v="80"/>
    <n v="38500000"/>
    <d v="2026-03-24T00:00:00"/>
  </r>
  <r>
    <x v="0"/>
    <m/>
    <d v="2026-03-24T00:00:00"/>
    <d v="1899-12-30T08:48:00"/>
    <m/>
    <x v="289"/>
    <s v="BG25590"/>
    <d v="2026-03-24T00:00:00"/>
    <d v="1899-12-30T11:42:00"/>
    <x v="0"/>
    <s v="MEDELLIN"/>
    <s v="TILOMIX 250 PREMIX X 25 KG"/>
    <n v="1000"/>
    <n v="40"/>
    <n v="51900000"/>
    <d v="2026-03-24T00:00:00"/>
  </r>
  <r>
    <x v="0"/>
    <m/>
    <d v="2026-03-24T00:00:00"/>
    <d v="1899-12-30T08:48:00"/>
    <m/>
    <x v="289"/>
    <s v="BG25590"/>
    <d v="2026-03-24T00:00:00"/>
    <d v="1899-12-30T11:42:00"/>
    <x v="0"/>
    <s v="MEDELLIN"/>
    <s v="SAGAH X 25 KG"/>
    <n v="1400"/>
    <n v="56"/>
    <n v="42280000"/>
    <d v="2026-03-24T00:00:00"/>
  </r>
  <r>
    <x v="0"/>
    <m/>
    <d v="2026-03-24T00:00:00"/>
    <d v="1899-12-30T08:48:00"/>
    <m/>
    <x v="289"/>
    <s v="BG25590"/>
    <d v="2026-03-24T00:00:00"/>
    <d v="1899-12-30T11:42:00"/>
    <x v="0"/>
    <s v="MEDELLIN"/>
    <s v="DMB 11 X 25 KG"/>
    <n v="1000"/>
    <n v="40"/>
    <n v="17600000"/>
    <d v="2026-03-24T00:00:00"/>
  </r>
  <r>
    <x v="0"/>
    <m/>
    <d v="2026-03-24T00:00:00"/>
    <d v="1899-12-30T08:48:00"/>
    <m/>
    <x v="290"/>
    <s v="BG25589"/>
    <d v="2026-03-24T00:00:00"/>
    <d v="1899-12-30T11:42:00"/>
    <x v="28"/>
    <s v="PREMEX MEDELLIN"/>
    <s v="HALQUINOX 800 X 25 KG"/>
    <n v="2000"/>
    <n v="80"/>
    <n v="145734000"/>
    <d v="2026-03-24T00:00:00"/>
  </r>
  <r>
    <x v="0"/>
    <m/>
    <d v="2026-03-24T00:00:00"/>
    <d v="1899-12-30T08:48:00"/>
    <m/>
    <x v="290"/>
    <s v="BG25589"/>
    <d v="2026-03-24T00:00:00"/>
    <d v="1899-12-30T11:42:00"/>
    <x v="28"/>
    <s v="PREMEX MEDELLIN"/>
    <s v="DINAMIX 800 X 25 KG"/>
    <n v="500"/>
    <n v="20"/>
    <n v="61450000"/>
    <d v="2026-03-24T00:00:00"/>
  </r>
  <r>
    <x v="1"/>
    <s v="P-1677"/>
    <d v="2026-03-24T00:00:00"/>
    <d v="1899-12-30T09:30:00"/>
    <m/>
    <x v="291"/>
    <s v="BG25626"/>
    <d v="2026-03-24T00:00:00"/>
    <d v="1899-12-30T11:51:00"/>
    <x v="83"/>
    <s v="CALI"/>
    <s v="AMOXIN X 1 KILO"/>
    <n v="15"/>
    <n v="1"/>
    <m/>
    <d v="2026-03-26T00:00:00"/>
  </r>
  <r>
    <x v="0"/>
    <s v="ORC-2603028"/>
    <d v="2026-03-24T00:00:00"/>
    <d v="1899-12-30T11:30:00"/>
    <m/>
    <x v="292"/>
    <s v="BG25608"/>
    <d v="2026-03-24T00:00:00"/>
    <d v="1899-12-30T12:14:00"/>
    <x v="37"/>
    <s v="MANIZALES"/>
    <s v="CELMANAX X 25 KG"/>
    <n v="500"/>
    <n v="20"/>
    <n v="8500000"/>
    <d v="2026-03-25T00:00:00"/>
  </r>
  <r>
    <x v="0"/>
    <s v="ORC-2603028"/>
    <d v="2026-03-24T00:00:00"/>
    <d v="1899-12-30T11:30:00"/>
    <m/>
    <x v="292"/>
    <s v="BG25608"/>
    <d v="2026-03-24T00:00:00"/>
    <d v="1899-12-30T12:14:00"/>
    <x v="37"/>
    <s v="MANIZALES"/>
    <s v="FENIFLOR PREMIX X 25 Kg"/>
    <n v="50"/>
    <n v="2"/>
    <n v="3450000"/>
    <d v="2026-03-25T00:00:00"/>
  </r>
  <r>
    <x v="0"/>
    <s v="ORC-2603028"/>
    <d v="2026-03-24T00:00:00"/>
    <d v="1899-12-30T11:30:00"/>
    <m/>
    <x v="292"/>
    <s v="BG25608"/>
    <d v="2026-03-24T00:00:00"/>
    <d v="1899-12-30T12:14:00"/>
    <x v="37"/>
    <s v="MANIZALES"/>
    <s v="TILCOMIX PREMIX S X 5 KG"/>
    <n v="50"/>
    <n v="2"/>
    <n v="7750000"/>
    <d v="2026-03-25T00:00:00"/>
  </r>
  <r>
    <x v="0"/>
    <s v="ORC-2603028"/>
    <d v="2026-03-24T00:00:00"/>
    <d v="1899-12-30T11:30:00"/>
    <m/>
    <x v="292"/>
    <s v="BG25608"/>
    <d v="2026-03-24T00:00:00"/>
    <d v="1899-12-30T12:14:00"/>
    <x v="37"/>
    <s v="MANIZALES"/>
    <s v="CIPROFLOX X 5 KG"/>
    <n v="150"/>
    <n v="6"/>
    <n v="8250000"/>
    <d v="2026-03-25T00:00:00"/>
  </r>
  <r>
    <x v="0"/>
    <s v="ORC-2603028"/>
    <d v="2026-03-24T00:00:00"/>
    <d v="1899-12-30T11:30:00"/>
    <m/>
    <x v="292"/>
    <s v="BG25608"/>
    <d v="2026-03-24T00:00:00"/>
    <d v="1899-12-30T12:14:00"/>
    <x v="37"/>
    <s v="MANIZALES"/>
    <s v="FRACTAL P X 25 KG"/>
    <n v="125"/>
    <n v="5"/>
    <n v="3187000"/>
    <d v="2026-03-25T00:00:00"/>
  </r>
  <r>
    <x v="0"/>
    <s v="ORC-2603028"/>
    <d v="2026-03-24T00:00:00"/>
    <d v="1899-12-30T11:30:00"/>
    <m/>
    <x v="292"/>
    <s v="BG25608"/>
    <d v="2026-03-24T00:00:00"/>
    <d v="1899-12-30T12:14:00"/>
    <x v="37"/>
    <s v="MANIZALES"/>
    <s v="HALQUINOX 500 X 25 KG"/>
    <n v="100"/>
    <n v="4"/>
    <n v="6580000"/>
    <d v="2026-03-25T00:00:00"/>
  </r>
  <r>
    <x v="0"/>
    <s v="ORC-2603028"/>
    <d v="2026-03-24T00:00:00"/>
    <d v="1899-12-30T11:30:00"/>
    <m/>
    <x v="292"/>
    <s v="BG25608"/>
    <d v="2026-03-24T00:00:00"/>
    <d v="1899-12-30T12:14:00"/>
    <x v="37"/>
    <s v="MANIZALES"/>
    <s v="DMB 11 X 25 KG"/>
    <n v="150"/>
    <n v="6"/>
    <n v="3075000"/>
    <d v="2026-03-25T00:00:00"/>
  </r>
  <r>
    <x v="0"/>
    <s v="ORC-2603028"/>
    <d v="2026-03-24T00:00:00"/>
    <d v="1899-12-30T11:30:00"/>
    <m/>
    <x v="293"/>
    <s v="BG25607"/>
    <d v="2026-03-24T00:00:00"/>
    <d v="1899-12-30T12:14:00"/>
    <x v="37"/>
    <s v="MANIZALES"/>
    <s v="SMOOTH SWEET X 75 GR"/>
    <n v="11.25"/>
    <n v="0"/>
    <n v="0"/>
    <d v="2026-03-25T00:00:00"/>
  </r>
  <r>
    <x v="0"/>
    <m/>
    <d v="2026-03-24T00:00:00"/>
    <d v="1899-12-30T10:52:00"/>
    <m/>
    <x v="294"/>
    <s v="BG25606"/>
    <d v="2026-03-24T00:00:00"/>
    <d v="1899-12-30T12:28:00"/>
    <x v="87"/>
    <s v="ROVIRA"/>
    <s v="MONECYL X 25 KG"/>
    <n v="100"/>
    <n v="4"/>
    <n v="2100000"/>
    <d v="2026-03-25T00:00:00"/>
  </r>
  <r>
    <x v="0"/>
    <n v="4500149455"/>
    <d v="2026-03-24T00:00:00"/>
    <d v="1899-12-30T11:14:00"/>
    <m/>
    <x v="295"/>
    <s v="BG25637"/>
    <d v="2026-03-24T00:00:00"/>
    <d v="1899-12-30T12:31:00"/>
    <x v="31"/>
    <s v="CIENAGA"/>
    <s v="AMOXIN X 1 KILO"/>
    <n v="3"/>
    <n v="0"/>
    <n v="7800000"/>
    <d v="2026-03-26T00:00:00"/>
  </r>
  <r>
    <x v="0"/>
    <n v="4500149455"/>
    <d v="2026-03-24T00:00:00"/>
    <d v="1899-12-30T11:14:00"/>
    <m/>
    <x v="295"/>
    <s v="BG25641"/>
    <d v="2026-03-24T00:00:00"/>
    <d v="1899-12-30T12:31:00"/>
    <x v="31"/>
    <s v="CIENAGA"/>
    <s v="AMOXIN X 1 KILO"/>
    <n v="50"/>
    <n v="2"/>
    <n v="7800000"/>
    <d v="2026-03-26T00:00:00"/>
  </r>
  <r>
    <x v="0"/>
    <n v="4500149455"/>
    <d v="2026-03-24T00:00:00"/>
    <d v="1899-12-30T11:14:00"/>
    <m/>
    <x v="296"/>
    <s v="BG25641"/>
    <d v="2026-03-24T00:00:00"/>
    <d v="1899-12-30T12:31:00"/>
    <x v="31"/>
    <s v="CIENAGA"/>
    <s v="CIPROFLOX X 5 KG"/>
    <n v="75"/>
    <n v="3"/>
    <n v="4290000"/>
    <d v="2026-03-26T00:00:00"/>
  </r>
  <r>
    <x v="0"/>
    <s v="022-OC-005800"/>
    <d v="2026-03-24T00:00:00"/>
    <d v="1899-12-30T11:19:00"/>
    <m/>
    <x v="297"/>
    <s v="BG25605"/>
    <d v="2026-03-24T00:00:00"/>
    <d v="1899-12-30T12:56:00"/>
    <x v="10"/>
    <s v="RECOGE EN BODEGA"/>
    <s v="CIPROFLOX X 1 KG"/>
    <n v="20"/>
    <n v="1"/>
    <n v="1160000"/>
    <d v="2026-03-24T00:00:00"/>
  </r>
  <r>
    <x v="0"/>
    <s v="022-OC-005800"/>
    <d v="2026-03-24T00:00:00"/>
    <d v="1899-12-30T11:19:00"/>
    <m/>
    <x v="298"/>
    <s v="BG25604"/>
    <d v="2026-03-24T00:00:00"/>
    <d v="1899-12-30T12:56:00"/>
    <x v="10"/>
    <s v="RECOGE EN BODEGA"/>
    <s v="SMOOTH SWEET X 75 GR"/>
    <n v="1.5"/>
    <n v="0"/>
    <n v="0"/>
    <d v="2026-03-24T00:00:00"/>
  </r>
  <r>
    <x v="0"/>
    <n v="4200010707"/>
    <d v="2026-03-24T00:00:00"/>
    <d v="1899-12-30T11:30:00"/>
    <m/>
    <x v="299"/>
    <s v="BG25591"/>
    <d v="2026-03-24T00:00:00"/>
    <d v="1899-12-30T13:06:00"/>
    <x v="15"/>
    <s v="SAN ANTONIO DE PRADO"/>
    <s v="NORFLOX X 1 LITRO"/>
    <n v="90"/>
    <n v="4"/>
    <n v="5850000"/>
    <d v="2026-03-24T00:00:00"/>
  </r>
  <r>
    <x v="7"/>
    <n v="4200010707"/>
    <d v="2026-03-24T00:00:00"/>
    <d v="1899-12-30T11:30:00"/>
    <m/>
    <x v="300"/>
    <s v="BG25644"/>
    <d v="2026-03-24T00:00:00"/>
    <d v="1899-12-30T13:06:00"/>
    <x v="15"/>
    <s v="SAN ANTONIO DE PRADO"/>
    <s v="NORFLOX X 1 LITRO"/>
    <n v="43"/>
    <n v="2"/>
    <n v="2795000"/>
    <d v="2026-03-26T00:00:00"/>
  </r>
  <r>
    <x v="0"/>
    <m/>
    <d v="2026-03-24T00:00:00"/>
    <d v="1899-12-30T12:15:00"/>
    <m/>
    <x v="301"/>
    <s v="BG25603"/>
    <d v="2026-03-24T00:00:00"/>
    <d v="1899-12-30T13:12:00"/>
    <x v="88"/>
    <s v="DON MATIAS"/>
    <s v="DINAMIX 600 X 250 GR"/>
    <n v="10"/>
    <n v="0"/>
    <n v="1500000"/>
    <d v="2026-03-26T00:00:00"/>
  </r>
  <r>
    <x v="0"/>
    <m/>
    <d v="2026-03-24T00:00:00"/>
    <d v="1899-12-30T12:15:00"/>
    <m/>
    <x v="302"/>
    <s v="BG25602"/>
    <d v="2026-03-24T00:00:00"/>
    <d v="1899-12-30T13:12:00"/>
    <x v="88"/>
    <s v="DON MATIAS"/>
    <s v="SMOOTH SWEET X 75 GR"/>
    <n v="0.75"/>
    <n v="0"/>
    <n v="0"/>
    <d v="2026-03-26T00:00:00"/>
  </r>
  <r>
    <x v="0"/>
    <s v="020-OC-003780"/>
    <d v="2026-03-24T00:00:00"/>
    <d v="1899-12-30T12:35:00"/>
    <m/>
    <x v="303"/>
    <s v="BG25601"/>
    <d v="2026-03-24T00:00:00"/>
    <d v="1899-12-30T13:15:00"/>
    <x v="10"/>
    <s v="ITALCOL IBAGUE"/>
    <s v="LOTUS X 25 KG"/>
    <n v="100"/>
    <n v="4"/>
    <n v="4050000"/>
    <d v="2026-03-26T00:00:00"/>
  </r>
  <r>
    <x v="0"/>
    <n v="13780"/>
    <d v="2026-03-24T00:00:00"/>
    <d v="1899-12-30T13:19:00"/>
    <m/>
    <x v="304"/>
    <s v="BG25621"/>
    <d v="2026-03-24T00:00:00"/>
    <d v="1899-12-30T13:41:00"/>
    <x v="89"/>
    <s v="SAN PEDRO"/>
    <s v="CLORTETRAX 20 X 25 KG"/>
    <n v="600"/>
    <n v="24"/>
    <n v="9600000"/>
    <d v="2026-03-26T00:00:00"/>
  </r>
  <r>
    <x v="0"/>
    <s v="020-OC-003781"/>
    <d v="2026-03-24T00:00:00"/>
    <d v="1899-12-30T12:35:00"/>
    <m/>
    <x v="305"/>
    <s v="BG25625"/>
    <d v="2026-03-24T00:00:00"/>
    <d v="1899-12-30T15:23:00"/>
    <x v="10"/>
    <s v="IBAGUE"/>
    <s v="DQCICLIN X 1 KG"/>
    <n v="9"/>
    <n v="0"/>
    <n v="2430000"/>
    <d v="2026-03-26T00:00:00"/>
  </r>
  <r>
    <x v="0"/>
    <n v="4500087756"/>
    <d v="2026-03-24T00:00:00"/>
    <d v="1899-12-30T17:11:00"/>
    <m/>
    <x v="306"/>
    <s v="BG25623"/>
    <d v="3036-03-25T00:00:00"/>
    <d v="1899-12-30T07:15:00"/>
    <x v="0"/>
    <s v="MEDELLIN"/>
    <s v="AMOXIN X 1 KILO"/>
    <n v="353"/>
    <n v="14"/>
    <n v="47831500"/>
    <d v="2026-03-26T00:00:00"/>
  </r>
  <r>
    <x v="0"/>
    <n v="4500087756"/>
    <d v="2026-03-24T00:00:00"/>
    <d v="1899-12-30T17:11:00"/>
    <m/>
    <x v="307"/>
    <s v="BG25620"/>
    <d v="3036-03-25T00:00:00"/>
    <d v="1899-12-30T07:15:00"/>
    <x v="0"/>
    <s v="MEDELLIN"/>
    <s v="AMOXIN X 1 KILO"/>
    <n v="47"/>
    <n v="2"/>
    <n v="6368500"/>
    <d v="2026-03-26T00:00:00"/>
  </r>
  <r>
    <x v="0"/>
    <n v="4500087756"/>
    <d v="2026-03-24T00:00:00"/>
    <d v="1899-12-30T17:11:00"/>
    <m/>
    <x v="307"/>
    <s v="BG25620"/>
    <d v="3036-03-25T00:00:00"/>
    <d v="1899-12-30T07:15:00"/>
    <x v="0"/>
    <s v="MEDELLIN"/>
    <s v="CIPROFLOX X 5 KG"/>
    <n v="1600"/>
    <n v="64"/>
    <n v="84000000"/>
    <d v="2026-03-26T00:00:00"/>
  </r>
  <r>
    <x v="0"/>
    <n v="4500087756"/>
    <d v="2026-03-24T00:00:00"/>
    <d v="1899-12-30T17:11:00"/>
    <m/>
    <x v="307"/>
    <s v="BG25620"/>
    <d v="3036-03-25T00:00:00"/>
    <d v="1899-12-30T07:15:00"/>
    <x v="0"/>
    <s v="MEDELLIN"/>
    <s v="NEOCYN X 25 KG"/>
    <n v="1000"/>
    <n v="40"/>
    <n v="61700000"/>
    <d v="2026-03-26T00:00:00"/>
  </r>
  <r>
    <x v="0"/>
    <n v="4500087756"/>
    <d v="2026-03-24T00:00:00"/>
    <d v="1899-12-30T17:11:00"/>
    <m/>
    <x v="307"/>
    <s v="BG25620"/>
    <d v="3036-03-25T00:00:00"/>
    <d v="1899-12-30T07:15:00"/>
    <x v="0"/>
    <s v="MEDELLIN"/>
    <s v="DQCICLIN X 1 KG"/>
    <n v="60"/>
    <n v="2"/>
    <n v="10500000"/>
    <d v="2026-03-26T00:00:00"/>
  </r>
  <r>
    <x v="0"/>
    <n v="4500087756"/>
    <d v="2026-03-24T00:00:00"/>
    <d v="1899-12-30T17:11:00"/>
    <m/>
    <x v="307"/>
    <s v="BG25620"/>
    <d v="3036-03-25T00:00:00"/>
    <d v="1899-12-30T07:15:00"/>
    <x v="0"/>
    <s v="MEDELLIN"/>
    <s v="KIRA X 25 KG"/>
    <n v="500"/>
    <n v="20"/>
    <n v="9837500"/>
    <d v="2026-03-26T00:00:00"/>
  </r>
  <r>
    <x v="0"/>
    <n v="4500087756"/>
    <d v="2026-03-24T00:00:00"/>
    <d v="1899-12-30T17:11:00"/>
    <m/>
    <x v="307"/>
    <s v="BG25620"/>
    <d v="3036-03-25T00:00:00"/>
    <d v="1899-12-30T07:15:00"/>
    <x v="0"/>
    <s v="MEDELLIN"/>
    <s v="ACCUREMAX 20% X 25 KG"/>
    <n v="200"/>
    <n v="8"/>
    <n v="89760000"/>
    <d v="2026-03-26T00:00:00"/>
  </r>
  <r>
    <x v="0"/>
    <n v="4500087756"/>
    <d v="2026-03-24T00:00:00"/>
    <d v="1899-12-30T17:11:00"/>
    <m/>
    <x v="308"/>
    <s v="BG25619"/>
    <d v="3036-03-25T00:00:00"/>
    <d v="1899-12-30T07:20:00"/>
    <x v="0"/>
    <s v="MEDELLIN"/>
    <s v="10 kg SMOOTH SWEET"/>
    <n v="30"/>
    <n v="1"/>
    <n v="0"/>
    <d v="2026-03-26T00:00:00"/>
  </r>
  <r>
    <x v="1"/>
    <n v="4500087756"/>
    <d v="2026-03-24T00:00:00"/>
    <d v="1899-12-30T17:11:00"/>
    <m/>
    <x v="308"/>
    <m/>
    <d v="3036-03-25T00:00:00"/>
    <d v="1899-12-30T07:20:00"/>
    <x v="0"/>
    <s v="MEDELLIN"/>
    <s v="10 kg SMOOTH SWEET"/>
    <n v="90"/>
    <n v="4"/>
    <n v="0"/>
    <d v="2026-03-26T00:00:00"/>
  </r>
  <r>
    <x v="0"/>
    <n v="4500087756"/>
    <d v="2026-03-24T00:00:00"/>
    <d v="1899-12-30T17:11:00"/>
    <m/>
    <x v="309"/>
    <s v="BG25677"/>
    <d v="3036-03-25T00:00:00"/>
    <d v="1899-12-30T07:25:00"/>
    <x v="0"/>
    <s v="MEDELLIN"/>
    <s v="FRACTAL P X 25 KG"/>
    <n v="5000"/>
    <n v="200"/>
    <n v="123750000"/>
    <d v="2026-03-26T00:00:00"/>
  </r>
  <r>
    <x v="0"/>
    <n v="4500087756"/>
    <d v="2026-03-24T00:00:00"/>
    <d v="1899-12-30T17:11:00"/>
    <m/>
    <x v="310"/>
    <s v="BG25600"/>
    <d v="3036-03-25T00:00:00"/>
    <d v="1899-12-30T07:27:00"/>
    <x v="0"/>
    <s v="MEDELLIN"/>
    <s v="LOTUS X 25 KG"/>
    <n v="3000"/>
    <n v="120"/>
    <n v="103500000"/>
    <d v="2026-03-26T00:00:00"/>
  </r>
  <r>
    <x v="0"/>
    <n v="1388865"/>
    <d v="2026-03-24T00:00:00"/>
    <d v="1899-12-30T14:46:00"/>
    <m/>
    <x v="311"/>
    <s v="BG25662"/>
    <d v="3036-03-25T00:00:00"/>
    <d v="1899-12-30T07:37:00"/>
    <x v="5"/>
    <s v="MOSQUERA"/>
    <s v="FENIFLOR PREMIX X 25 Kg"/>
    <n v="125"/>
    <n v="5"/>
    <n v="6482500"/>
    <d v="2026-03-27T00:00:00"/>
  </r>
  <r>
    <x v="0"/>
    <m/>
    <d v="2026-03-24T00:00:00"/>
    <d v="1899-12-30T16:11:00"/>
    <m/>
    <x v="312"/>
    <s v="BG25624"/>
    <d v="3036-03-25T00:00:00"/>
    <d v="1899-12-30T07:53:00"/>
    <x v="76"/>
    <s v="MOSQUERA"/>
    <s v="FRACTAL L X 20 LITROS"/>
    <n v="20"/>
    <n v="1"/>
    <n v="800000"/>
    <d v="2026-03-26T00:00:00"/>
  </r>
  <r>
    <x v="0"/>
    <m/>
    <d v="2026-03-24T00:00:00"/>
    <d v="1899-12-30T17:20:00"/>
    <m/>
    <x v="313"/>
    <s v="BG25599"/>
    <d v="3036-03-25T00:00:00"/>
    <d v="1899-12-30T08:08:00"/>
    <x v="61"/>
    <s v="DON MATIAS"/>
    <s v="CIPROFLOX X 5 KG"/>
    <n v="30"/>
    <n v="1"/>
    <n v="1686000"/>
    <d v="2026-03-25T00:00:00"/>
  </r>
  <r>
    <x v="2"/>
    <n v="1389071"/>
    <d v="2026-03-24T00:00:00"/>
    <d v="1899-12-30T17:21:00"/>
    <m/>
    <x v="314"/>
    <s v="BG25661"/>
    <d v="3036-03-25T00:00:00"/>
    <d v="1899-12-30T08:30:00"/>
    <x v="14"/>
    <s v="CARTAGO"/>
    <s v="TILVASYYN x 25 KG"/>
    <n v="75"/>
    <n v="3"/>
    <n v="13515000"/>
    <d v="2026-03-26T00:00:00"/>
  </r>
  <r>
    <x v="0"/>
    <s v="001-OSC-00072854"/>
    <d v="2026-03-24T00:00:00"/>
    <d v="1899-12-30T07:45:00"/>
    <m/>
    <x v="315"/>
    <s v="BG25640"/>
    <d v="3036-03-25T00:00:00"/>
    <d v="1899-12-30T08:33:00"/>
    <x v="29"/>
    <s v="BELLO"/>
    <s v="DMB 11 X 25 KG"/>
    <n v="1500"/>
    <n v="60"/>
    <n v="29250000"/>
    <d v="2026-03-27T00:00:00"/>
  </r>
  <r>
    <x v="0"/>
    <s v="BODEGA EN CONSIGNACION"/>
    <d v="3036-03-25T00:00:00"/>
    <d v="1899-12-30T09:23:00"/>
    <m/>
    <x v="316"/>
    <s v="BG25598"/>
    <d v="3036-03-25T00:00:00"/>
    <d v="1899-12-30T09:45:00"/>
    <x v="0"/>
    <s v="MEDELLIN"/>
    <s v="MONECYL X 25 KG"/>
    <n v="2000"/>
    <n v="80"/>
    <n v="38500000"/>
    <d v="2026-03-25T00:00:00"/>
  </r>
  <r>
    <x v="0"/>
    <s v="BODEGA EN CONSIGNACION"/>
    <d v="3036-03-25T00:00:00"/>
    <d v="1899-12-30T09:23:00"/>
    <m/>
    <x v="316"/>
    <s v="BG25598"/>
    <d v="3036-03-25T00:00:00"/>
    <d v="1899-12-30T09:45:00"/>
    <x v="0"/>
    <s v="MEDELLIN"/>
    <s v="SAGAH X 25 KG"/>
    <n v="700"/>
    <n v="28"/>
    <n v="21140000"/>
    <d v="2026-03-25T00:00:00"/>
  </r>
  <r>
    <x v="0"/>
    <s v="BODEGA EN CONSIGNACION"/>
    <d v="3036-03-25T00:00:00"/>
    <d v="1899-12-30T09:23:00"/>
    <m/>
    <x v="316"/>
    <s v="BG25598"/>
    <d v="3036-03-25T00:00:00"/>
    <d v="1899-12-30T09:45:00"/>
    <x v="0"/>
    <s v="MEDELLIN"/>
    <s v="DMB 11 X 25 KG"/>
    <n v="1000"/>
    <n v="40"/>
    <n v="17600000"/>
    <d v="2026-03-25T00:00:00"/>
  </r>
  <r>
    <x v="0"/>
    <s v="BODEGA EN CONSIGNACION"/>
    <d v="3036-03-25T00:00:00"/>
    <d v="1899-12-30T09:23:00"/>
    <m/>
    <x v="317"/>
    <s v="BG25597"/>
    <d v="3036-03-25T00:00:00"/>
    <d v="1899-12-30T09:45:00"/>
    <x v="28"/>
    <s v="MEDELLIN"/>
    <s v="HALQUINOX 800 X 25 KG"/>
    <n v="2000"/>
    <n v="80"/>
    <m/>
    <d v="2026-03-26T00:00:00"/>
  </r>
  <r>
    <x v="0"/>
    <n v="4500087769"/>
    <d v="3036-03-25T00:00:00"/>
    <d v="1899-12-30T09:11:00"/>
    <m/>
    <x v="318"/>
    <s v="BG25639"/>
    <d v="3036-03-25T00:00:00"/>
    <d v="1899-12-30T09:55:00"/>
    <x v="0"/>
    <s v="CELTA"/>
    <s v="FENIFLOR PREMIX X 25 Kg"/>
    <n v="50"/>
    <n v="2"/>
    <m/>
    <d v="2026-03-26T00:00:00"/>
  </r>
  <r>
    <x v="0"/>
    <n v="4500087769"/>
    <d v="3036-03-25T00:00:00"/>
    <d v="1899-12-30T09:11:00"/>
    <m/>
    <x v="318"/>
    <s v="BG25639"/>
    <d v="3036-03-25T00:00:00"/>
    <d v="1899-12-30T09:55:00"/>
    <x v="0"/>
    <s v="CELTA"/>
    <s v="NEOCYN X 25 KG"/>
    <n v="200"/>
    <n v="8"/>
    <m/>
    <d v="2026-03-26T00:00:00"/>
  </r>
  <r>
    <x v="0"/>
    <n v="4500087769"/>
    <d v="3036-03-25T00:00:00"/>
    <d v="1899-12-30T09:11:00"/>
    <m/>
    <x v="318"/>
    <s v="BG25639"/>
    <d v="3036-03-25T00:00:00"/>
    <d v="1899-12-30T09:55:00"/>
    <x v="0"/>
    <s v="CELTA"/>
    <s v="ESPELIN 88 X 25 KG"/>
    <n v="200"/>
    <n v="8"/>
    <m/>
    <d v="2026-03-26T00:00:00"/>
  </r>
  <r>
    <x v="0"/>
    <n v="4500087769"/>
    <d v="3036-03-25T00:00:00"/>
    <d v="1899-12-30T09:11:00"/>
    <m/>
    <x v="318"/>
    <s v="BG25639"/>
    <d v="3036-03-25T00:00:00"/>
    <d v="1899-12-30T09:55:00"/>
    <x v="0"/>
    <s v="CELTA"/>
    <s v="FRACTAL P X 25 KG"/>
    <n v="150"/>
    <n v="6"/>
    <m/>
    <d v="2026-03-26T00:00:00"/>
  </r>
  <r>
    <x v="0"/>
    <n v="4500087769"/>
    <d v="3036-03-25T00:00:00"/>
    <d v="1899-12-30T09:11:00"/>
    <m/>
    <x v="318"/>
    <s v="BG25639"/>
    <d v="3036-03-25T00:00:00"/>
    <d v="1899-12-30T09:55:00"/>
    <x v="0"/>
    <s v="CELTA"/>
    <s v="MONECYL X 25 KG"/>
    <n v="400"/>
    <n v="16"/>
    <m/>
    <d v="2026-03-26T00:00:00"/>
  </r>
  <r>
    <x v="0"/>
    <n v="4500087769"/>
    <d v="3036-03-25T00:00:00"/>
    <d v="1899-12-30T09:11:00"/>
    <m/>
    <x v="318"/>
    <s v="BG25639"/>
    <d v="3036-03-25T00:00:00"/>
    <d v="1899-12-30T09:55:00"/>
    <x v="0"/>
    <s v="CELTA"/>
    <s v="DMB 11 X 25 KG"/>
    <n v="50"/>
    <n v="2"/>
    <m/>
    <d v="2026-03-26T00:00:00"/>
  </r>
  <r>
    <x v="0"/>
    <n v="4500087769"/>
    <d v="3036-03-25T00:00:00"/>
    <d v="1899-12-30T09:11:00"/>
    <m/>
    <x v="318"/>
    <s v="BG25639"/>
    <d v="3036-03-25T00:00:00"/>
    <d v="1899-12-30T09:55:00"/>
    <x v="0"/>
    <s v="CELTA"/>
    <s v="KIRA X 25 KG"/>
    <n v="50"/>
    <n v="2"/>
    <m/>
    <d v="2026-03-26T00:00:00"/>
  </r>
  <r>
    <x v="0"/>
    <n v="4500087769"/>
    <d v="3036-03-25T00:00:00"/>
    <d v="1899-12-30T09:11:00"/>
    <m/>
    <x v="319"/>
    <s v="BG25638"/>
    <d v="3036-03-25T00:00:00"/>
    <d v="1899-12-30T09:55:00"/>
    <x v="0"/>
    <s v="CELTA"/>
    <s v="LOTUS X 25 KG"/>
    <n v="300"/>
    <n v="12"/>
    <m/>
    <d v="2026-03-26T00:00:00"/>
  </r>
  <r>
    <x v="0"/>
    <m/>
    <d v="2026-03-25T00:00:00"/>
    <d v="1899-12-30T08:49:00"/>
    <m/>
    <x v="320"/>
    <s v="BG25618"/>
    <d v="2026-03-25T00:00:00"/>
    <d v="1899-12-30T10:02:00"/>
    <x v="90"/>
    <s v="DON MATIAS"/>
    <s v="FOSMYCINA 90 X 500 GR"/>
    <n v="20"/>
    <n v="1"/>
    <n v="10380000"/>
    <d v="2026-03-25T00:00:00"/>
  </r>
  <r>
    <x v="0"/>
    <m/>
    <d v="2026-03-25T00:00:00"/>
    <d v="1899-12-30T08:49:00"/>
    <m/>
    <x v="320"/>
    <s v="BG25618"/>
    <d v="2026-03-25T00:00:00"/>
    <d v="1899-12-30T10:02:00"/>
    <x v="90"/>
    <s v="DON MATIAS"/>
    <s v="TILCOMIX ORAL X 1 LITRO"/>
    <n v="30"/>
    <n v="1"/>
    <n v="6750000"/>
    <d v="2026-03-25T00:00:00"/>
  </r>
  <r>
    <x v="0"/>
    <m/>
    <d v="2026-03-25T00:00:00"/>
    <d v="1899-12-30T08:49:00"/>
    <m/>
    <x v="321"/>
    <s v="BG25617"/>
    <d v="2026-03-25T00:00:00"/>
    <d v="1899-12-30T10:02:00"/>
    <x v="90"/>
    <s v="DON MATIAS"/>
    <s v="SMOOTH SWEET X 75 GR"/>
    <n v="2.25"/>
    <n v="0"/>
    <n v="0"/>
    <d v="2026-03-25T00:00:00"/>
  </r>
  <r>
    <x v="0"/>
    <m/>
    <d v="2026-03-25T00:00:00"/>
    <d v="1899-12-30T10:12:00"/>
    <m/>
    <x v="322"/>
    <s v="BG25616"/>
    <d v="2026-03-25T00:00:00"/>
    <d v="1899-12-30T10:27:00"/>
    <x v="88"/>
    <s v="DON MATIAS"/>
    <s v="TILCOMIX ORAL X 1 LITRO"/>
    <n v="7"/>
    <n v="0"/>
    <n v="1589000"/>
    <d v="2026-03-25T00:00:00"/>
  </r>
  <r>
    <x v="0"/>
    <m/>
    <d v="2026-03-25T00:00:00"/>
    <d v="1899-12-30T10:12:00"/>
    <m/>
    <x v="322"/>
    <s v="BG25616"/>
    <d v="2026-03-25T00:00:00"/>
    <d v="1899-12-30T10:27:00"/>
    <x v="88"/>
    <s v="DON MATIAS"/>
    <s v="CIPROFLOX X 5 KG"/>
    <n v="10"/>
    <n v="0"/>
    <n v="610000"/>
    <d v="2026-03-25T00:00:00"/>
  </r>
  <r>
    <x v="0"/>
    <m/>
    <d v="2026-03-25T00:00:00"/>
    <d v="1899-12-30T10:12:00"/>
    <m/>
    <x v="323"/>
    <s v="BG25615"/>
    <d v="2026-03-25T00:00:00"/>
    <d v="1899-12-30T10:27:00"/>
    <x v="88"/>
    <s v="DON MATIAS"/>
    <s v="SMOOTH SWEET X 75 GR"/>
    <n v="1.2749999999999999"/>
    <n v="0"/>
    <n v="0"/>
    <d v="2026-03-25T00:00:00"/>
  </r>
  <r>
    <x v="0"/>
    <s v="103-OCC-38640"/>
    <d v="2026-03-25T00:00:00"/>
    <d v="1899-12-30T08:28:00"/>
    <m/>
    <x v="324"/>
    <s v="BG25652"/>
    <d v="2026-03-25T00:00:00"/>
    <d v="1899-12-30T08:39:00"/>
    <x v="13"/>
    <s v="GIRARDOTA"/>
    <s v="DINAMIX PREMIX X 25 KG"/>
    <n v="500"/>
    <n v="20"/>
    <n v="12750000"/>
    <d v="2026-03-27T00:00:00"/>
  </r>
  <r>
    <x v="0"/>
    <s v="103-OCC-38640"/>
    <d v="2026-03-25T00:00:00"/>
    <d v="1899-12-30T08:28:00"/>
    <m/>
    <x v="324"/>
    <s v="BG25652"/>
    <d v="2026-03-25T00:00:00"/>
    <d v="1899-12-30T08:39:00"/>
    <x v="13"/>
    <s v="GIRARDOTA"/>
    <s v="DMB 11 X 25 KG"/>
    <n v="100"/>
    <n v="4"/>
    <n v="1950000"/>
    <d v="2026-03-27T00:00:00"/>
  </r>
  <r>
    <x v="0"/>
    <s v="103-OCC-38640"/>
    <d v="2026-03-25T00:00:00"/>
    <d v="1899-12-30T08:28:00"/>
    <m/>
    <x v="324"/>
    <s v="BG25652"/>
    <d v="2026-03-25T00:00:00"/>
    <d v="1899-12-30T08:39:00"/>
    <x v="13"/>
    <s v="GIRARDOTA"/>
    <s v="FRACTAL P X 25 KG"/>
    <n v="600"/>
    <n v="24"/>
    <n v="15780000"/>
    <d v="2026-03-27T00:00:00"/>
  </r>
  <r>
    <x v="7"/>
    <n v="101441"/>
    <d v="2026-03-21T00:00:00"/>
    <d v="1899-12-30T11:12:00"/>
    <m/>
    <x v="325"/>
    <s v="BG25668"/>
    <d v="2026-03-25T00:00:00"/>
    <d v="1899-12-30T11:05:00"/>
    <x v="56"/>
    <s v="BUGA"/>
    <s v="CLORTETRAX 20 X 25 KG"/>
    <n v="350"/>
    <n v="14"/>
    <n v="5530000"/>
    <d v="2026-03-26T00:00:00"/>
  </r>
  <r>
    <x v="0"/>
    <m/>
    <d v="2026-03-25T00:00:00"/>
    <d v="1899-12-30T11:59:00"/>
    <m/>
    <x v="326"/>
    <s v="BG25629"/>
    <d v="2026-03-25T00:00:00"/>
    <d v="1899-12-30T12:35:00"/>
    <x v="57"/>
    <s v="BOGOTA"/>
    <s v="DQCICLIN X 1 KG"/>
    <n v="10"/>
    <n v="0"/>
    <n v="2500000"/>
    <d v="2026-03-25T00:00:00"/>
  </r>
  <r>
    <x v="0"/>
    <m/>
    <d v="2026-03-25T00:00:00"/>
    <d v="1899-12-30T11:59:00"/>
    <m/>
    <x v="326"/>
    <s v="BG25629"/>
    <d v="2026-03-25T00:00:00"/>
    <d v="1899-12-30T12:35:00"/>
    <x v="57"/>
    <s v="BOGOTA"/>
    <s v="NEOCYN X 25 KG"/>
    <n v="75"/>
    <n v="3"/>
    <n v="5325000"/>
    <d v="2026-03-25T00:00:00"/>
  </r>
  <r>
    <x v="0"/>
    <m/>
    <d v="2026-03-25T00:00:00"/>
    <d v="1899-12-30T11:59:00"/>
    <m/>
    <x v="326"/>
    <s v="BG25629"/>
    <d v="2026-03-25T00:00:00"/>
    <d v="1899-12-30T12:35:00"/>
    <x v="57"/>
    <s v="BOGOTA"/>
    <s v="AMOXIN X 1 KILO"/>
    <n v="10"/>
    <n v="0"/>
    <n v="1550000"/>
    <d v="2026-03-25T00:00:00"/>
  </r>
  <r>
    <x v="0"/>
    <m/>
    <d v="2026-03-25T00:00:00"/>
    <d v="1899-12-30T11:59:00"/>
    <m/>
    <x v="326"/>
    <s v="BG25629"/>
    <d v="2026-03-25T00:00:00"/>
    <d v="1899-12-30T12:35:00"/>
    <x v="57"/>
    <s v="BOGOTA"/>
    <s v="FOSMYCINA 90 X 500 GR"/>
    <n v="134"/>
    <n v="5"/>
    <n v="69546000"/>
    <d v="2026-03-25T00:00:00"/>
  </r>
  <r>
    <x v="0"/>
    <m/>
    <d v="2026-03-25T00:00:00"/>
    <d v="1899-12-30T11:59:00"/>
    <m/>
    <x v="326"/>
    <s v="BG25629"/>
    <d v="2026-03-25T00:00:00"/>
    <d v="1899-12-30T12:35:00"/>
    <x v="57"/>
    <s v="BOGOTA"/>
    <s v="CIPROFLOX X 5 KG"/>
    <n v="100"/>
    <n v="4"/>
    <n v="6100000"/>
    <d v="2026-03-25T00:00:00"/>
  </r>
  <r>
    <x v="0"/>
    <m/>
    <d v="2026-03-25T00:00:00"/>
    <d v="1899-12-30T11:59:00"/>
    <m/>
    <x v="326"/>
    <s v="BG25629"/>
    <d v="2026-03-25T00:00:00"/>
    <d v="1899-12-30T12:35:00"/>
    <x v="57"/>
    <s v="BOGOTA"/>
    <s v="FENIFLOR ORAL X 500 GR"/>
    <n v="217.5"/>
    <n v="9"/>
    <n v="22185000"/>
    <d v="2026-03-25T00:00:00"/>
  </r>
  <r>
    <x v="0"/>
    <m/>
    <d v="2026-03-25T00:00:00"/>
    <d v="1899-12-30T11:59:00"/>
    <m/>
    <x v="326"/>
    <s v="BG25629"/>
    <d v="2026-03-25T00:00:00"/>
    <d v="1899-12-30T12:35:00"/>
    <x v="57"/>
    <s v="BOGOTA"/>
    <s v="ESPELIN 88 X 25 KG"/>
    <n v="25"/>
    <n v="1"/>
    <n v="1400000"/>
    <d v="2026-03-25T00:00:00"/>
  </r>
  <r>
    <x v="0"/>
    <m/>
    <d v="2026-03-25T00:00:00"/>
    <d v="1899-12-30T11:59:00"/>
    <m/>
    <x v="326"/>
    <s v="BG25629"/>
    <d v="2026-03-25T00:00:00"/>
    <d v="1899-12-30T12:35:00"/>
    <x v="57"/>
    <s v="BOGOTA"/>
    <s v="TILVASYYN x 25 KG"/>
    <n v="25"/>
    <n v="1"/>
    <n v="5250000"/>
    <d v="2026-03-25T00:00:00"/>
  </r>
  <r>
    <x v="0"/>
    <m/>
    <d v="2026-03-25T00:00:00"/>
    <d v="1899-12-30T11:59:00"/>
    <m/>
    <x v="326"/>
    <s v="BG25629"/>
    <d v="2026-03-25T00:00:00"/>
    <d v="1899-12-30T12:35:00"/>
    <x v="57"/>
    <s v="BOGOTA"/>
    <s v="CLORTETRAX 20 X 25 KG"/>
    <n v="50"/>
    <n v="2"/>
    <n v="800000"/>
    <d v="2026-03-25T00:00:00"/>
  </r>
  <r>
    <x v="0"/>
    <n v="4500087770"/>
    <d v="2026-03-25T00:00:00"/>
    <d v="1899-12-30T15:43:00"/>
    <m/>
    <x v="327"/>
    <s v="BG25657"/>
    <d v="2026-03-25T00:00:00"/>
    <d v="1899-12-30T16:10:00"/>
    <x v="28"/>
    <s v="PREMEX CELTA"/>
    <s v="HALQUINOX 800 X 25 KG"/>
    <n v="400"/>
    <n v="16"/>
    <n v="29146000"/>
    <d v="2026-03-26T00:00:00"/>
  </r>
  <r>
    <x v="0"/>
    <n v="4500087770"/>
    <d v="2026-03-25T00:00:00"/>
    <d v="1899-12-30T15:43:00"/>
    <m/>
    <x v="327"/>
    <s v="BG25657"/>
    <d v="2026-03-25T00:00:00"/>
    <d v="1899-12-30T16:10:00"/>
    <x v="28"/>
    <s v="PREMEX CELTA"/>
    <s v="DINAMIX 800 X 25 KG"/>
    <n v="150"/>
    <n v="6"/>
    <n v="18435150"/>
    <d v="2026-03-26T00:00:00"/>
  </r>
  <r>
    <x v="0"/>
    <n v="4500087803"/>
    <d v="2026-03-25T00:00:00"/>
    <d v="1899-12-30T17:21:00"/>
    <m/>
    <x v="2"/>
    <s v="BG25651"/>
    <d v="2026-03-26T00:00:00"/>
    <d v="1899-12-30T07:50:00"/>
    <x v="0"/>
    <s v="MEDELLIN"/>
    <s v="SAGAH X 25 KG"/>
    <n v="2000"/>
    <n v="80"/>
    <n v="60400000"/>
    <d v="2026-03-27T00:00:00"/>
  </r>
  <r>
    <x v="0"/>
    <s v="COC-00000412"/>
    <d v="2026-03-26T00:00:00"/>
    <d v="1899-12-30T09:46:00"/>
    <m/>
    <x v="328"/>
    <s v="BG25650"/>
    <d v="2026-03-26T00:00:00"/>
    <d v="1899-12-30T09:59:00"/>
    <x v="47"/>
    <s v="DON MATIAS"/>
    <s v="NEOCYN X 25 KG"/>
    <n v="100"/>
    <n v="4"/>
    <n v="6750000"/>
    <d v="2026-03-30T00:00:00"/>
  </r>
  <r>
    <x v="0"/>
    <n v="1389949"/>
    <d v="2026-03-25T00:00:00"/>
    <d v="1899-12-30T14:36:00"/>
    <m/>
    <x v="329"/>
    <s v="BG25634"/>
    <d v="2026-03-26T00:00:00"/>
    <d v="1899-12-30T10:17:00"/>
    <x v="16"/>
    <s v="BUCARAMANGA"/>
    <s v="CIPROFLOX X 5 KG"/>
    <n v="80"/>
    <n v="3"/>
    <n v="4200000"/>
    <d v="2026-03-26T00:00:00"/>
  </r>
  <r>
    <x v="0"/>
    <n v="1389949"/>
    <d v="2026-03-25T00:00:00"/>
    <d v="1899-12-30T14:36:00"/>
    <m/>
    <x v="330"/>
    <s v="BG25632"/>
    <d v="2026-03-26T00:00:00"/>
    <d v="1899-12-30T10:17:00"/>
    <x v="16"/>
    <s v="BUCARAMANGA"/>
    <s v="SMOOTH SWEET X 75 GR"/>
    <n v="6"/>
    <n v="0"/>
    <n v="0"/>
    <d v="2026-03-26T00:00:00"/>
  </r>
  <r>
    <x v="0"/>
    <n v="1390060"/>
    <d v="2026-03-25T00:00:00"/>
    <d v="1899-12-30T15:46:00"/>
    <m/>
    <x v="331"/>
    <s v="BG25631"/>
    <d v="2026-03-26T00:00:00"/>
    <d v="1899-12-30T10:31:00"/>
    <x v="16"/>
    <s v="CALDAS - ANTIOQUIA"/>
    <s v="CIPROFLOX X 5 KG"/>
    <n v="50"/>
    <n v="2"/>
    <n v="2625000"/>
    <d v="2026-03-26T00:00:00"/>
  </r>
  <r>
    <x v="0"/>
    <n v="1390060"/>
    <d v="2026-03-25T00:00:00"/>
    <d v="1899-12-30T15:46:00"/>
    <m/>
    <x v="331"/>
    <s v="BG25631"/>
    <d v="2026-03-26T00:00:00"/>
    <d v="1899-12-30T10:31:00"/>
    <x v="16"/>
    <s v="CALDAS - ANTIOQUIA"/>
    <s v="ROFLOX X 1 LITRO"/>
    <n v="48"/>
    <n v="2"/>
    <n v="2332800"/>
    <d v="2026-03-26T00:00:00"/>
  </r>
  <r>
    <x v="0"/>
    <n v="1390060"/>
    <d v="2026-03-25T00:00:00"/>
    <d v="1899-12-30T15:46:00"/>
    <m/>
    <x v="332"/>
    <s v="BG25633"/>
    <d v="2026-03-26T00:00:00"/>
    <d v="1899-12-30T10:31:00"/>
    <x v="16"/>
    <s v="CALDAS - ANTIOQUIA"/>
    <s v="SMOOTH SWEET X 75 GR"/>
    <n v="3.75"/>
    <n v="0"/>
    <n v="0"/>
    <d v="2026-03-26T00:00:00"/>
  </r>
  <r>
    <x v="0"/>
    <m/>
    <d v="2026-03-25T00:00:00"/>
    <d v="1899-12-30T16:36:00"/>
    <m/>
    <x v="333"/>
    <s v="BG25643"/>
    <d v="2026-03-26T00:00:00"/>
    <s v="13;34"/>
    <x v="61"/>
    <s v="DON MATIAS"/>
    <s v="CIPROFLOX X 5 KG"/>
    <n v="5"/>
    <n v="0"/>
    <n v="281000"/>
    <d v="2026-03-26T00:00:00"/>
  </r>
  <r>
    <x v="0"/>
    <m/>
    <d v="2026-03-25T00:00:00"/>
    <d v="1899-12-30T16:36:00"/>
    <m/>
    <x v="334"/>
    <s v="BG25649"/>
    <d v="2026-03-26T00:00:00"/>
    <d v="1899-12-30T10:33:00"/>
    <x v="61"/>
    <s v="DON MATIAS"/>
    <s v="CIPROFLOX X 5 KG"/>
    <n v="25"/>
    <n v="1"/>
    <n v="1405000"/>
    <d v="2026-03-26T00:00:00"/>
  </r>
  <r>
    <x v="0"/>
    <s v="005-OSC-00010941"/>
    <d v="2026-03-25T00:00:00"/>
    <d v="1899-12-30T17:59:00"/>
    <m/>
    <x v="335"/>
    <s v="BG25656"/>
    <d v="2026-03-26T00:00:00"/>
    <d v="1899-12-30T10:48:00"/>
    <x v="29"/>
    <s v="MOSQUERA"/>
    <s v="DMB 11 X 25 KG"/>
    <n v="400"/>
    <n v="16"/>
    <n v="7800000"/>
    <d v="2026-03-31T00:00:00"/>
  </r>
  <r>
    <x v="0"/>
    <n v="4500149641"/>
    <d v="2026-03-25T00:00:00"/>
    <d v="1899-12-30T10:08:00"/>
    <m/>
    <x v="336"/>
    <s v="BG25648"/>
    <d v="2026-03-26T00:00:00"/>
    <d v="1899-12-30T11:19:00"/>
    <x v="31"/>
    <s v="CIENAGA"/>
    <s v="CLORTETRAX 20 X 25 KG"/>
    <n v="1000"/>
    <n v="40"/>
    <n v="15800000"/>
    <d v="2026-03-27T00:00:00"/>
  </r>
  <r>
    <x v="0"/>
    <m/>
    <d v="2026-03-26T00:00:00"/>
    <d v="1899-12-30T09:15:00"/>
    <m/>
    <x v="337"/>
    <s v="BG25647"/>
    <d v="2026-03-26T00:00:00"/>
    <d v="1899-12-30T12:03:00"/>
    <x v="25"/>
    <s v="BUCARAMANGA"/>
    <s v="TILOMIX ORAL X 1 KG"/>
    <n v="3"/>
    <n v="0"/>
    <n v="706500"/>
    <d v="2026-03-26T00:00:00"/>
  </r>
  <r>
    <x v="0"/>
    <m/>
    <d v="2026-03-26T00:00:00"/>
    <d v="1899-12-30T09:15:00"/>
    <m/>
    <x v="337"/>
    <s v="BG25647"/>
    <d v="2026-03-26T00:00:00"/>
    <d v="1899-12-30T12:03:00"/>
    <x v="25"/>
    <s v="BUCARAMANGA"/>
    <s v="DQCICLIN X 1 KG"/>
    <n v="1"/>
    <n v="0"/>
    <n v="250000"/>
    <d v="2026-03-26T00:00:00"/>
  </r>
  <r>
    <x v="0"/>
    <m/>
    <d v="2026-03-26T00:00:00"/>
    <d v="1899-12-30T09:15:00"/>
    <m/>
    <x v="338"/>
    <s v="BG25646"/>
    <d v="2026-03-26T00:00:00"/>
    <d v="1899-12-30T12:03:00"/>
    <x v="25"/>
    <s v="BUCARAMANGA"/>
    <s v="SMOOTH SWEET X 75 GR"/>
    <n v="7.4999999999999997E-2"/>
    <n v="0"/>
    <n v="0"/>
    <d v="2026-03-26T00:00:00"/>
  </r>
  <r>
    <x v="7"/>
    <n v="50165"/>
    <d v="2026-03-26T00:00:00"/>
    <d v="1899-12-30T09:26:00"/>
    <m/>
    <x v="339"/>
    <m/>
    <d v="2026-03-26T00:00:00"/>
    <d v="1899-12-30T12:40:00"/>
    <x v="8"/>
    <s v="DON MATIAS"/>
    <s v="FENIFLOR ORAL X 500 GR"/>
    <n v="30"/>
    <n v="1"/>
    <n v="3300000"/>
    <d v="2026-03-26T00:00:00"/>
  </r>
  <r>
    <x v="0"/>
    <m/>
    <d v="2026-03-26T00:00:00"/>
    <d v="1899-12-30T11:51:00"/>
    <m/>
    <x v="340"/>
    <s v="BG25655"/>
    <d v="2026-03-26T00:00:00"/>
    <d v="1899-12-30T12:54:00"/>
    <x v="74"/>
    <s v="SABANETA"/>
    <s v="FOSMYCINA 90 X 500 GR"/>
    <n v="3"/>
    <n v="0"/>
    <n v="1560000"/>
    <d v="2026-03-27T00:00:00"/>
  </r>
  <r>
    <x v="7"/>
    <n v="100912"/>
    <d v="2026-03-10T00:00:00"/>
    <d v="1899-12-30T15:04:00"/>
    <m/>
    <x v="341"/>
    <s v="BG25672"/>
    <d v="2026-03-10T00:00:00"/>
    <d v="1899-12-30T15:12:00"/>
    <x v="91"/>
    <s v="BUGA"/>
    <s v="FENIFLOR ORAL X 500 GR"/>
    <n v="500"/>
    <n v="20"/>
    <n v="48600000"/>
    <d v="2026-03-12T00:00:00"/>
  </r>
  <r>
    <x v="7"/>
    <n v="100912"/>
    <d v="2026-03-10T00:00:00"/>
    <d v="1899-12-30T15:04:00"/>
    <m/>
    <x v="341"/>
    <s v="BG25672"/>
    <d v="2026-03-10T00:00:00"/>
    <d v="1899-12-30T15:12:00"/>
    <x v="91"/>
    <s v="BUGA"/>
    <s v="AMOXIN X 1 KILO"/>
    <n v="50"/>
    <n v="2"/>
    <n v="7250000"/>
    <d v="2026-03-12T00:00:00"/>
  </r>
  <r>
    <x v="0"/>
    <n v="1388988"/>
    <d v="2026-03-24T00:00:00"/>
    <d v="1899-12-30T16:21:00"/>
    <m/>
    <x v="342"/>
    <s v="BG25664"/>
    <d v="2026-03-25T00:00:00"/>
    <d v="1899-12-30T08:18:00"/>
    <x v="14"/>
    <s v="BOGOTA"/>
    <s v="DINAMIX PREMIX X 25 KG"/>
    <n v="100"/>
    <n v="4"/>
    <n v="2173000"/>
    <d v="2026-04-03T00:00:00"/>
  </r>
  <r>
    <x v="0"/>
    <n v="1389465"/>
    <d v="2026-03-25T00:00:00"/>
    <d v="1899-12-30T09:06:00"/>
    <m/>
    <x v="343"/>
    <s v="BG25683"/>
    <d v="2026-03-25T00:00:00"/>
    <d v="1899-12-30T09:58:00"/>
    <x v="14"/>
    <s v="CARTAGO"/>
    <s v="ESPELIN 88 X 25 KG"/>
    <n v="125"/>
    <n v="5"/>
    <n v="4862000"/>
    <d v="2026-04-01T00:00:00"/>
  </r>
  <r>
    <x v="0"/>
    <s v="004-OSC-00051424"/>
    <d v="2026-03-27T00:00:00"/>
    <d v="1899-12-30T15:23:00"/>
    <m/>
    <x v="344"/>
    <s v="BG25676"/>
    <d v="2026-03-25T00:00:00"/>
    <d v="1899-12-30T16:40:00"/>
    <x v="29"/>
    <s v="CARTAGO"/>
    <s v="DMB 11 X 25 KG"/>
    <n v="1000"/>
    <n v="40"/>
    <n v="19500000"/>
    <d v="2026-03-31T00:00:00"/>
  </r>
  <r>
    <x v="0"/>
    <s v="001-OSC-00073092"/>
    <d v="2026-03-27T00:00:00"/>
    <d v="1899-12-30T18:01:00"/>
    <m/>
    <x v="345"/>
    <s v="BG25675"/>
    <d v="2026-03-30T00:00:00"/>
    <d v="1899-12-30T07:30:00"/>
    <x v="29"/>
    <s v="BELLO"/>
    <s v="LOTUS X 25 KG"/>
    <n v="200"/>
    <n v="8"/>
    <n v="8100000"/>
    <d v="2026-03-31T00:00:00"/>
  </r>
  <r>
    <x v="0"/>
    <s v="001-OSC-00073092"/>
    <d v="2026-03-27T00:00:00"/>
    <d v="1899-12-30T18:01:00"/>
    <m/>
    <x v="345"/>
    <s v="BG25675"/>
    <d v="2026-03-30T00:00:00"/>
    <d v="1899-12-30T07:30:00"/>
    <x v="29"/>
    <s v="BELLO"/>
    <s v="FRACTAL P X 25 KG"/>
    <n v="300"/>
    <n v="12"/>
    <n v="7890000"/>
    <d v="2026-03-31T00:00:00"/>
  </r>
  <r>
    <x v="0"/>
    <s v="001-OSC-00073092"/>
    <d v="2026-03-27T00:00:00"/>
    <d v="1899-12-30T18:01:00"/>
    <m/>
    <x v="345"/>
    <s v="BG25675"/>
    <d v="2026-03-30T00:00:00"/>
    <d v="1899-12-30T07:30:00"/>
    <x v="29"/>
    <s v="BELLO"/>
    <s v="CLORTETRAX 20 X 25 KG"/>
    <n v="1500"/>
    <n v="60"/>
    <n v="24000000"/>
    <d v="2026-03-31T00:00:00"/>
  </r>
  <r>
    <x v="0"/>
    <n v="359774"/>
    <d v="2026-03-30T00:00:00"/>
    <d v="1899-12-30T10:20:00"/>
    <m/>
    <x v="346"/>
    <s v="BG25665"/>
    <d v="2026-03-30T00:00:00"/>
    <d v="1899-12-30T10:24:00"/>
    <x v="92"/>
    <s v="BUCARAMANGA"/>
    <s v="ROFLOX X 1 LITRO"/>
    <n v="63"/>
    <n v="3"/>
    <n v="2691000"/>
    <d v="2026-03-30T00:00:00"/>
  </r>
  <r>
    <x v="0"/>
    <n v="359774"/>
    <d v="2026-03-30T00:00:00"/>
    <d v="1899-12-30T10:20:00"/>
    <m/>
    <x v="347"/>
    <s v="BG25666"/>
    <d v="2026-03-30T00:00:00"/>
    <d v="1899-12-30T11:31:00"/>
    <x v="92"/>
    <s v="BUCARAMANGA"/>
    <s v="SMOOTH SWEET X 75 GR"/>
    <n v="1"/>
    <n v="0"/>
    <n v="0"/>
    <d v="2026-03-30T00:00:00"/>
  </r>
  <r>
    <x v="0"/>
    <m/>
    <d v="2026-03-30T00:00:00"/>
    <d v="1899-12-30T15:58:00"/>
    <m/>
    <x v="348"/>
    <s v="BG25678"/>
    <d v="2026-03-30T00:00:00"/>
    <d v="1899-12-30T16:24:00"/>
    <x v="42"/>
    <s v="DON MATIAS"/>
    <s v="DQCICLIN X 1 KG"/>
    <n v="10"/>
    <n v="0"/>
    <n v="2500000"/>
    <d v="2026-03-31T00:00:00"/>
  </r>
  <r>
    <x v="0"/>
    <m/>
    <d v="2026-03-31T00:00:00"/>
    <d v="1899-12-30T10:30:00"/>
    <m/>
    <x v="349"/>
    <s v="BG25684"/>
    <d v="2026-03-31T00:00:00"/>
    <d v="1899-12-30T10:32:00"/>
    <x v="93"/>
    <s v="SAN PEDRO"/>
    <s v="ROFLOX X 1 LITRO"/>
    <n v="10"/>
    <n v="0"/>
    <n v="500000"/>
    <d v="2026-03-31T00:00:00"/>
  </r>
  <r>
    <x v="7"/>
    <m/>
    <d v="2026-03-26T00:00:00"/>
    <d v="1899-12-30T13:10:00"/>
    <m/>
    <x v="350"/>
    <m/>
    <d v="2026-03-26T00:00:00"/>
    <d v="1899-12-30T13:30:00"/>
    <x v="38"/>
    <s v="BUCARAMANGA"/>
    <s v="FENIFLOR PREMIX X 5Kg"/>
    <n v="10"/>
    <n v="0"/>
    <n v="700000"/>
    <d v="2026-03-27T00:00:00"/>
  </r>
  <r>
    <x v="7"/>
    <s v="OC-030038"/>
    <d v="2026-03-26T00:00:00"/>
    <d v="1899-12-30T17:39:00"/>
    <m/>
    <x v="351"/>
    <m/>
    <d v="2026-03-27T00:00:00"/>
    <d v="1899-12-30T10:02:00"/>
    <x v="38"/>
    <s v="BUCARAMANGA"/>
    <s v="FRACTAL P X 25 KG"/>
    <n v="75"/>
    <n v="3"/>
    <n v="1912500"/>
    <d v="2026-03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2" cacheId="0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>
  <location ref="A3:C68" firstHeaderRow="0" firstDataRow="1" firstDataCol="1"/>
  <pivotFields count="8">
    <pivotField dataField="1" showAll="0"/>
    <pivotField showAll="0"/>
    <pivotField showAll="0"/>
    <pivotField dataField="1" showAll="0"/>
    <pivotField showAll="0"/>
    <pivotField showAll="0"/>
    <pivotField showAll="0"/>
    <pivotField axis="axisRow" showAll="0">
      <items count="65">
        <item x="41"/>
        <item x="14"/>
        <item x="29"/>
        <item x="51"/>
        <item x="44"/>
        <item x="18"/>
        <item x="32"/>
        <item x="48"/>
        <item x="9"/>
        <item x="60"/>
        <item x="37"/>
        <item x="11"/>
        <item x="2"/>
        <item x="25"/>
        <item x="17"/>
        <item x="55"/>
        <item x="16"/>
        <item x="61"/>
        <item x="19"/>
        <item x="15"/>
        <item x="6"/>
        <item x="52"/>
        <item x="62"/>
        <item x="7"/>
        <item x="24"/>
        <item x="12"/>
        <item x="54"/>
        <item x="13"/>
        <item x="40"/>
        <item x="33"/>
        <item x="43"/>
        <item x="38"/>
        <item x="42"/>
        <item x="34"/>
        <item x="22"/>
        <item x="21"/>
        <item x="5"/>
        <item x="31"/>
        <item x="10"/>
        <item x="26"/>
        <item x="20"/>
        <item x="28"/>
        <item x="58"/>
        <item x="57"/>
        <item x="39"/>
        <item x="30"/>
        <item x="47"/>
        <item x="45"/>
        <item x="4"/>
        <item x="3"/>
        <item x="53"/>
        <item x="27"/>
        <item x="1"/>
        <item x="36"/>
        <item x="49"/>
        <item x="0"/>
        <item x="23"/>
        <item x="50"/>
        <item x="46"/>
        <item x="59"/>
        <item x="56"/>
        <item x="35"/>
        <item x="8"/>
        <item x="63"/>
        <item t="default"/>
      </items>
    </pivotField>
  </pivotFields>
  <rowFields count="1">
    <field x="7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O.C." fld="0" subtotal="count" baseField="0" baseItem="0"/>
    <dataField name="Suma de Pedid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3C8B7-1DCC-40EF-9109-A319D5053B00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56" firstHeaderRow="1" firstDataRow="1" firstDataCol="1"/>
  <pivotFields count="16">
    <pivotField showAll="0"/>
    <pivotField showAll="0"/>
    <pivotField numFmtId="14" showAll="0"/>
    <pivotField numFmtId="20" showAll="0"/>
    <pivotField showAll="0"/>
    <pivotField axis="axisRow" showAll="0">
      <items count="353">
        <item x="28"/>
        <item x="231"/>
        <item x="208"/>
        <item x="106"/>
        <item x="107"/>
        <item x="53"/>
        <item x="146"/>
        <item x="108"/>
        <item x="109"/>
        <item x="1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 t="grand">
      <x/>
    </i>
  </rowItems>
  <colItems count="1">
    <i/>
  </colItems>
  <dataFields count="1">
    <dataField name="Cuenta de N° de Factur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2C18F-D09A-4A33-A4FD-6B1FF517DD82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94" firstHeaderRow="0" firstDataRow="1" firstDataCol="1"/>
  <pivotFields count="16">
    <pivotField axis="axisRow" showAll="0">
      <items count="24">
        <item x="2"/>
        <item x="5"/>
        <item m="1" x="15"/>
        <item m="1" x="13"/>
        <item x="9"/>
        <item x="4"/>
        <item x="7"/>
        <item x="3"/>
        <item m="1" x="19"/>
        <item m="1" x="14"/>
        <item m="1" x="21"/>
        <item m="1" x="12"/>
        <item x="1"/>
        <item m="1" x="17"/>
        <item m="1" x="11"/>
        <item m="1" x="20"/>
        <item m="1" x="22"/>
        <item m="1" x="16"/>
        <item m="1" x="18"/>
        <item x="8"/>
        <item x="6"/>
        <item x="0"/>
        <item x="10"/>
        <item t="default"/>
      </items>
    </pivotField>
    <pivotField showAll="0"/>
    <pivotField showAll="0"/>
    <pivotField numFmtId="20" showAll="0"/>
    <pivotField showAll="0"/>
    <pivotField axis="axisRow" showAll="0">
      <items count="353"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t="default"/>
      </items>
    </pivotField>
    <pivotField showAll="0"/>
    <pivotField showAll="0"/>
    <pivotField showAll="0"/>
    <pivotField axis="axisRow" showAll="0">
      <items count="95">
        <item x="31"/>
        <item x="10"/>
        <item x="12"/>
        <item x="19"/>
        <item x="32"/>
        <item x="13"/>
        <item x="25"/>
        <item x="26"/>
        <item x="11"/>
        <item x="7"/>
        <item x="6"/>
        <item x="0"/>
        <item x="3"/>
        <item x="4"/>
        <item x="34"/>
        <item x="2"/>
        <item x="33"/>
        <item x="23"/>
        <item x="27"/>
        <item x="20"/>
        <item x="8"/>
        <item x="28"/>
        <item x="22"/>
        <item x="1"/>
        <item x="5"/>
        <item x="9"/>
        <item x="14"/>
        <item x="15"/>
        <item x="16"/>
        <item x="17"/>
        <item x="18"/>
        <item x="21"/>
        <item x="24"/>
        <item x="29"/>
        <item x="30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/>
    <pivotField dataField="1" showAll="0"/>
    <pivotField showAll="0"/>
    <pivotField dataField="1" showAll="0"/>
    <pivotField showAll="0"/>
  </pivotFields>
  <rowFields count="3">
    <field x="0"/>
    <field x="9"/>
    <field x="5"/>
  </rowFields>
  <rowItems count="491">
    <i>
      <x/>
    </i>
    <i r="1">
      <x v="24"/>
    </i>
    <i r="2">
      <x v="27"/>
    </i>
    <i r="1">
      <x v="26"/>
    </i>
    <i r="2">
      <x v="314"/>
    </i>
    <i>
      <x v="1"/>
    </i>
    <i r="1">
      <x v="4"/>
    </i>
    <i r="2">
      <x v="52"/>
    </i>
    <i>
      <x v="4"/>
    </i>
    <i r="1">
      <x v="11"/>
    </i>
    <i r="2">
      <x v="171"/>
    </i>
    <i>
      <x v="5"/>
    </i>
    <i r="1">
      <x v="31"/>
    </i>
    <i r="2">
      <x v="33"/>
    </i>
    <i>
      <x v="6"/>
    </i>
    <i r="1">
      <x v="14"/>
    </i>
    <i r="2">
      <x v="106"/>
    </i>
    <i r="2">
      <x v="107"/>
    </i>
    <i r="2">
      <x v="108"/>
    </i>
    <i r="1">
      <x v="19"/>
    </i>
    <i r="2">
      <x v="85"/>
    </i>
    <i r="1">
      <x v="20"/>
    </i>
    <i r="2">
      <x v="339"/>
    </i>
    <i r="1">
      <x v="27"/>
    </i>
    <i r="2">
      <x v="300"/>
    </i>
    <i r="1">
      <x v="36"/>
    </i>
    <i r="2">
      <x v="64"/>
    </i>
    <i r="1">
      <x v="38"/>
    </i>
    <i r="2">
      <x v="262"/>
    </i>
    <i r="2">
      <x v="281"/>
    </i>
    <i r="2">
      <x v="350"/>
    </i>
    <i r="2">
      <x v="351"/>
    </i>
    <i r="1">
      <x v="56"/>
    </i>
    <i r="2">
      <x v="129"/>
    </i>
    <i r="2">
      <x v="130"/>
    </i>
    <i r="2">
      <x v="202"/>
    </i>
    <i r="2">
      <x v="282"/>
    </i>
    <i r="2">
      <x v="325"/>
    </i>
    <i r="1">
      <x v="82"/>
    </i>
    <i r="2">
      <x v="254"/>
    </i>
    <i r="1">
      <x v="91"/>
    </i>
    <i r="2">
      <x v="341"/>
    </i>
    <i>
      <x v="7"/>
    </i>
    <i r="1">
      <x v="19"/>
    </i>
    <i r="2">
      <x v="32"/>
    </i>
    <i>
      <x v="12"/>
    </i>
    <i r="1">
      <x v="2"/>
    </i>
    <i r="2">
      <x v="114"/>
    </i>
    <i r="1">
      <x v="11"/>
    </i>
    <i r="2">
      <x v="22"/>
    </i>
    <i r="2">
      <x v="55"/>
    </i>
    <i r="2">
      <x v="308"/>
    </i>
    <i r="1">
      <x v="24"/>
    </i>
    <i r="2">
      <x v="21"/>
    </i>
    <i r="1">
      <x v="35"/>
    </i>
    <i r="2">
      <x v="63"/>
    </i>
    <i r="1">
      <x v="40"/>
    </i>
    <i r="2">
      <x v="69"/>
    </i>
    <i r="1">
      <x v="52"/>
    </i>
    <i r="2">
      <x v="286"/>
    </i>
    <i r="1">
      <x v="71"/>
    </i>
    <i r="2">
      <x v="208"/>
    </i>
    <i r="1">
      <x v="83"/>
    </i>
    <i r="2">
      <x v="291"/>
    </i>
    <i>
      <x v="19"/>
    </i>
    <i r="1">
      <x v="61"/>
    </i>
    <i r="2">
      <x v="160"/>
    </i>
    <i>
      <x v="20"/>
    </i>
    <i r="1">
      <x v="7"/>
    </i>
    <i r="2">
      <x v="59"/>
    </i>
    <i r="1">
      <x v="10"/>
    </i>
    <i r="2">
      <x v="164"/>
    </i>
    <i r="1">
      <x v="14"/>
    </i>
    <i r="2">
      <x v="109"/>
    </i>
    <i r="2">
      <x v="165"/>
    </i>
    <i r="1">
      <x v="53"/>
    </i>
    <i r="2">
      <x v="121"/>
    </i>
    <i r="2">
      <x v="122"/>
    </i>
    <i r="1">
      <x v="61"/>
    </i>
    <i r="2">
      <x v="162"/>
    </i>
    <i r="2">
      <x v="163"/>
    </i>
    <i r="1">
      <x v="63"/>
    </i>
    <i r="2">
      <x v="174"/>
    </i>
    <i r="2">
      <x v="175"/>
    </i>
    <i r="2">
      <x v="176"/>
    </i>
    <i>
      <x v="21"/>
    </i>
    <i r="1">
      <x/>
    </i>
    <i r="2">
      <x v="51"/>
    </i>
    <i r="2">
      <x v="206"/>
    </i>
    <i r="2">
      <x v="295"/>
    </i>
    <i r="2">
      <x v="296"/>
    </i>
    <i r="2">
      <x v="336"/>
    </i>
    <i r="1">
      <x v="1"/>
    </i>
    <i r="2">
      <x v="15"/>
    </i>
    <i r="2">
      <x v="36"/>
    </i>
    <i r="2">
      <x v="37"/>
    </i>
    <i r="2">
      <x v="47"/>
    </i>
    <i r="2">
      <x v="148"/>
    </i>
    <i r="2">
      <x v="149"/>
    </i>
    <i r="2">
      <x v="229"/>
    </i>
    <i r="2">
      <x v="260"/>
    </i>
    <i r="2">
      <x v="297"/>
    </i>
    <i r="2">
      <x v="298"/>
    </i>
    <i r="2">
      <x v="303"/>
    </i>
    <i r="2">
      <x v="305"/>
    </i>
    <i r="1">
      <x v="2"/>
    </i>
    <i r="2">
      <x v="17"/>
    </i>
    <i r="2">
      <x v="18"/>
    </i>
    <i r="2">
      <x v="115"/>
    </i>
    <i r="1">
      <x v="3"/>
    </i>
    <i r="2">
      <x v="30"/>
    </i>
    <i r="1">
      <x v="4"/>
    </i>
    <i r="2">
      <x v="212"/>
    </i>
    <i r="2">
      <x v="213"/>
    </i>
    <i r="1">
      <x v="5"/>
    </i>
    <i r="2">
      <x v="19"/>
    </i>
    <i r="2">
      <x v="74"/>
    </i>
    <i r="2">
      <x v="141"/>
    </i>
    <i r="2">
      <x v="153"/>
    </i>
    <i r="2">
      <x v="237"/>
    </i>
    <i r="2">
      <x v="324"/>
    </i>
    <i r="1">
      <x v="6"/>
    </i>
    <i r="2">
      <x v="39"/>
    </i>
    <i r="2">
      <x v="50"/>
    </i>
    <i r="2">
      <x v="76"/>
    </i>
    <i r="2">
      <x v="95"/>
    </i>
    <i r="2">
      <x v="116"/>
    </i>
    <i r="2">
      <x v="119"/>
    </i>
    <i r="2">
      <x v="120"/>
    </i>
    <i r="2">
      <x v="139"/>
    </i>
    <i r="2">
      <x v="194"/>
    </i>
    <i r="2">
      <x v="195"/>
    </i>
    <i r="2">
      <x v="198"/>
    </i>
    <i r="2">
      <x v="337"/>
    </i>
    <i r="2">
      <x v="338"/>
    </i>
    <i r="1">
      <x v="7"/>
    </i>
    <i r="2">
      <x v="40"/>
    </i>
    <i r="1">
      <x v="8"/>
    </i>
    <i r="2">
      <x v="16"/>
    </i>
    <i r="1">
      <x v="9"/>
    </i>
    <i r="2">
      <x v="11"/>
    </i>
    <i r="2">
      <x v="12"/>
    </i>
    <i r="2">
      <x v="211"/>
    </i>
    <i r="1">
      <x v="10"/>
    </i>
    <i r="2">
      <x v="10"/>
    </i>
    <i r="1">
      <x v="11"/>
    </i>
    <i r="2">
      <x v="1"/>
    </i>
    <i r="2">
      <x v="2"/>
    </i>
    <i r="2">
      <x v="3"/>
    </i>
    <i r="2">
      <x v="24"/>
    </i>
    <i r="2">
      <x v="53"/>
    </i>
    <i r="2">
      <x v="55"/>
    </i>
    <i r="2">
      <x v="56"/>
    </i>
    <i r="2">
      <x v="89"/>
    </i>
    <i r="2">
      <x v="90"/>
    </i>
    <i r="2">
      <x v="91"/>
    </i>
    <i r="2">
      <x v="92"/>
    </i>
    <i r="2">
      <x v="93"/>
    </i>
    <i r="2">
      <x v="136"/>
    </i>
    <i r="2">
      <x v="137"/>
    </i>
    <i r="2">
      <x v="170"/>
    </i>
    <i r="2">
      <x v="172"/>
    </i>
    <i r="2">
      <x v="173"/>
    </i>
    <i r="2">
      <x v="199"/>
    </i>
    <i r="2">
      <x v="200"/>
    </i>
    <i r="2">
      <x v="201"/>
    </i>
    <i r="2">
      <x v="215"/>
    </i>
    <i r="2">
      <x v="222"/>
    </i>
    <i r="2">
      <x v="223"/>
    </i>
    <i r="2">
      <x v="239"/>
    </i>
    <i r="2">
      <x v="256"/>
    </i>
    <i r="2">
      <x v="257"/>
    </i>
    <i r="2">
      <x v="258"/>
    </i>
    <i r="2">
      <x v="289"/>
    </i>
    <i r="2">
      <x v="306"/>
    </i>
    <i r="2">
      <x v="307"/>
    </i>
    <i r="2">
      <x v="308"/>
    </i>
    <i r="2">
      <x v="309"/>
    </i>
    <i r="2">
      <x v="310"/>
    </i>
    <i r="2">
      <x v="316"/>
    </i>
    <i r="2">
      <x v="318"/>
    </i>
    <i r="2">
      <x v="319"/>
    </i>
    <i r="1">
      <x v="12"/>
    </i>
    <i r="2">
      <x v="6"/>
    </i>
    <i r="2">
      <x v="7"/>
    </i>
    <i r="2">
      <x v="105"/>
    </i>
    <i r="2">
      <x v="228"/>
    </i>
    <i r="1">
      <x v="13"/>
    </i>
    <i r="2">
      <x v="8"/>
    </i>
    <i r="1">
      <x v="14"/>
    </i>
    <i r="2">
      <x v="57"/>
    </i>
    <i r="2">
      <x v="110"/>
    </i>
    <i r="2">
      <x v="111"/>
    </i>
    <i r="1">
      <x v="15"/>
    </i>
    <i r="2">
      <x v="5"/>
    </i>
    <i r="1">
      <x v="16"/>
    </i>
    <i r="2">
      <x v="54"/>
    </i>
    <i r="2">
      <x v="185"/>
    </i>
    <i r="1">
      <x v="17"/>
    </i>
    <i r="2">
      <x v="35"/>
    </i>
    <i r="2">
      <x v="42"/>
    </i>
    <i r="2">
      <x v="43"/>
    </i>
    <i r="2">
      <x v="60"/>
    </i>
    <i r="2">
      <x v="233"/>
    </i>
    <i r="1">
      <x v="18"/>
    </i>
    <i r="2">
      <x v="41"/>
    </i>
    <i r="1">
      <x v="19"/>
    </i>
    <i r="2">
      <x v="31"/>
    </i>
    <i r="2">
      <x v="84"/>
    </i>
    <i r="1">
      <x v="20"/>
    </i>
    <i r="2">
      <x v="13"/>
    </i>
    <i r="2">
      <x v="181"/>
    </i>
    <i r="1">
      <x v="21"/>
    </i>
    <i r="2">
      <x v="45"/>
    </i>
    <i r="2">
      <x v="113"/>
    </i>
    <i r="2">
      <x v="214"/>
    </i>
    <i r="2">
      <x v="247"/>
    </i>
    <i r="2">
      <x v="290"/>
    </i>
    <i r="2">
      <x v="317"/>
    </i>
    <i r="2">
      <x v="327"/>
    </i>
    <i r="1">
      <x v="22"/>
    </i>
    <i r="2">
      <x v="34"/>
    </i>
    <i r="1">
      <x v="23"/>
    </i>
    <i r="2">
      <x v="3"/>
    </i>
    <i r="2">
      <x v="4"/>
    </i>
    <i r="1">
      <x v="24"/>
    </i>
    <i r="2">
      <x v="9"/>
    </i>
    <i r="2">
      <x v="21"/>
    </i>
    <i r="2">
      <x v="88"/>
    </i>
    <i r="2">
      <x v="103"/>
    </i>
    <i r="2">
      <x v="177"/>
    </i>
    <i r="2">
      <x v="238"/>
    </i>
    <i r="2">
      <x v="245"/>
    </i>
    <i r="2">
      <x v="274"/>
    </i>
    <i r="2">
      <x v="279"/>
    </i>
    <i r="2">
      <x v="311"/>
    </i>
    <i r="1">
      <x v="25"/>
    </i>
    <i r="2">
      <x v="14"/>
    </i>
    <i r="2">
      <x v="166"/>
    </i>
    <i r="1">
      <x v="26"/>
    </i>
    <i r="2">
      <x v="20"/>
    </i>
    <i r="2">
      <x v="44"/>
    </i>
    <i r="2">
      <x v="48"/>
    </i>
    <i r="2">
      <x v="83"/>
    </i>
    <i r="2">
      <x v="142"/>
    </i>
    <i r="2">
      <x v="145"/>
    </i>
    <i r="2">
      <x v="151"/>
    </i>
    <i r="2">
      <x v="152"/>
    </i>
    <i r="2">
      <x v="203"/>
    </i>
    <i r="2">
      <x v="230"/>
    </i>
    <i r="2">
      <x v="275"/>
    </i>
    <i r="2">
      <x v="276"/>
    </i>
    <i r="2">
      <x v="342"/>
    </i>
    <i r="2">
      <x v="343"/>
    </i>
    <i r="1">
      <x v="27"/>
    </i>
    <i r="2">
      <x v="23"/>
    </i>
    <i r="2">
      <x v="299"/>
    </i>
    <i r="1">
      <x v="28"/>
    </i>
    <i r="2">
      <x v="25"/>
    </i>
    <i r="2">
      <x v="26"/>
    </i>
    <i r="2">
      <x v="58"/>
    </i>
    <i r="2">
      <x v="86"/>
    </i>
    <i r="2">
      <x v="87"/>
    </i>
    <i r="2">
      <x v="127"/>
    </i>
    <i r="2">
      <x v="128"/>
    </i>
    <i r="2">
      <x v="131"/>
    </i>
    <i r="2">
      <x v="134"/>
    </i>
    <i r="2">
      <x v="135"/>
    </i>
    <i r="2">
      <x v="138"/>
    </i>
    <i r="2">
      <x v="143"/>
    </i>
    <i r="2">
      <x v="144"/>
    </i>
    <i r="2">
      <x v="263"/>
    </i>
    <i r="2">
      <x v="264"/>
    </i>
    <i r="2">
      <x v="265"/>
    </i>
    <i r="2">
      <x v="266"/>
    </i>
    <i r="2">
      <x v="272"/>
    </i>
    <i r="2">
      <x v="329"/>
    </i>
    <i r="2">
      <x v="330"/>
    </i>
    <i r="2">
      <x v="331"/>
    </i>
    <i r="2">
      <x v="332"/>
    </i>
    <i r="1">
      <x v="29"/>
    </i>
    <i r="2">
      <x/>
    </i>
    <i r="2">
      <x v="28"/>
    </i>
    <i r="2">
      <x v="209"/>
    </i>
    <i r="1">
      <x v="30"/>
    </i>
    <i r="2">
      <x v="29"/>
    </i>
    <i r="2">
      <x v="75"/>
    </i>
    <i r="2">
      <x v="150"/>
    </i>
    <i r="2">
      <x v="235"/>
    </i>
    <i r="1">
      <x v="31"/>
    </i>
    <i r="2">
      <x v="98"/>
    </i>
    <i r="2">
      <x v="99"/>
    </i>
    <i r="1">
      <x v="32"/>
    </i>
    <i r="2">
      <x v="38"/>
    </i>
    <i r="1">
      <x v="33"/>
    </i>
    <i r="2">
      <x v="46"/>
    </i>
    <i r="2">
      <x v="73"/>
    </i>
    <i r="2">
      <x v="118"/>
    </i>
    <i r="2">
      <x v="123"/>
    </i>
    <i r="2">
      <x v="133"/>
    </i>
    <i r="2">
      <x v="217"/>
    </i>
    <i r="2">
      <x v="225"/>
    </i>
    <i r="2">
      <x v="226"/>
    </i>
    <i r="2">
      <x v="232"/>
    </i>
    <i r="2">
      <x v="273"/>
    </i>
    <i r="2">
      <x v="278"/>
    </i>
    <i r="2">
      <x v="287"/>
    </i>
    <i r="2">
      <x v="315"/>
    </i>
    <i r="2">
      <x v="335"/>
    </i>
    <i r="2">
      <x v="344"/>
    </i>
    <i r="2">
      <x v="345"/>
    </i>
    <i r="1">
      <x v="34"/>
    </i>
    <i r="2">
      <x v="49"/>
    </i>
    <i r="1">
      <x v="35"/>
    </i>
    <i r="2">
      <x v="61"/>
    </i>
    <i r="2">
      <x v="62"/>
    </i>
    <i r="1">
      <x v="36"/>
    </i>
    <i r="2">
      <x v="283"/>
    </i>
    <i r="1">
      <x v="37"/>
    </i>
    <i r="2">
      <x v="65"/>
    </i>
    <i r="2">
      <x v="178"/>
    </i>
    <i r="2">
      <x v="179"/>
    </i>
    <i r="2">
      <x v="240"/>
    </i>
    <i r="2">
      <x v="292"/>
    </i>
    <i r="2">
      <x v="293"/>
    </i>
    <i r="1">
      <x v="38"/>
    </i>
    <i r="2">
      <x v="65"/>
    </i>
    <i r="1">
      <x v="39"/>
    </i>
    <i r="2">
      <x v="66"/>
    </i>
    <i r="2">
      <x v="140"/>
    </i>
    <i r="2">
      <x v="205"/>
    </i>
    <i r="2">
      <x v="220"/>
    </i>
    <i r="2">
      <x v="277"/>
    </i>
    <i r="2">
      <x v="288"/>
    </i>
    <i r="1">
      <x v="40"/>
    </i>
    <i r="2">
      <x v="67"/>
    </i>
    <i r="2">
      <x v="68"/>
    </i>
    <i r="1">
      <x v="41"/>
    </i>
    <i r="2">
      <x v="70"/>
    </i>
    <i r="2">
      <x v="71"/>
    </i>
    <i r="1">
      <x v="42"/>
    </i>
    <i r="2">
      <x v="72"/>
    </i>
    <i r="2">
      <x v="94"/>
    </i>
    <i r="2">
      <x v="259"/>
    </i>
    <i r="2">
      <x v="348"/>
    </i>
    <i r="1">
      <x v="43"/>
    </i>
    <i r="2">
      <x v="77"/>
    </i>
    <i r="1">
      <x v="44"/>
    </i>
    <i r="2">
      <x v="78"/>
    </i>
    <i r="2">
      <x v="79"/>
    </i>
    <i r="1">
      <x v="45"/>
    </i>
    <i r="2">
      <x v="80"/>
    </i>
    <i r="2">
      <x v="280"/>
    </i>
    <i r="1">
      <x v="46"/>
    </i>
    <i r="2">
      <x v="81"/>
    </i>
    <i r="2">
      <x v="246"/>
    </i>
    <i r="2">
      <x v="250"/>
    </i>
    <i r="1">
      <x v="47"/>
    </i>
    <i r="2">
      <x v="82"/>
    </i>
    <i r="2">
      <x v="186"/>
    </i>
    <i r="2">
      <x v="187"/>
    </i>
    <i r="2">
      <x v="261"/>
    </i>
    <i r="2">
      <x v="328"/>
    </i>
    <i r="1">
      <x v="48"/>
    </i>
    <i r="2">
      <x v="96"/>
    </i>
    <i r="1">
      <x v="49"/>
    </i>
    <i r="2">
      <x v="97"/>
    </i>
    <i r="1">
      <x v="50"/>
    </i>
    <i r="2">
      <x v="100"/>
    </i>
    <i r="2">
      <x v="101"/>
    </i>
    <i r="2">
      <x v="102"/>
    </i>
    <i r="2">
      <x v="244"/>
    </i>
    <i r="2">
      <x v="253"/>
    </i>
    <i r="1">
      <x v="51"/>
    </i>
    <i r="2">
      <x v="104"/>
    </i>
    <i r="1">
      <x v="52"/>
    </i>
    <i r="2">
      <x v="112"/>
    </i>
    <i r="2">
      <x v="117"/>
    </i>
    <i r="2">
      <x v="155"/>
    </i>
    <i r="2">
      <x v="156"/>
    </i>
    <i r="2">
      <x v="227"/>
    </i>
    <i r="1">
      <x v="54"/>
    </i>
    <i r="2">
      <x v="124"/>
    </i>
    <i r="2">
      <x v="125"/>
    </i>
    <i r="1">
      <x v="55"/>
    </i>
    <i r="2">
      <x v="126"/>
    </i>
    <i r="1">
      <x v="57"/>
    </i>
    <i r="2">
      <x v="132"/>
    </i>
    <i r="2">
      <x v="218"/>
    </i>
    <i r="2">
      <x v="219"/>
    </i>
    <i r="2">
      <x v="326"/>
    </i>
    <i r="1">
      <x v="58"/>
    </i>
    <i r="2">
      <x v="146"/>
    </i>
    <i r="2">
      <x v="147"/>
    </i>
    <i r="1">
      <x v="59"/>
    </i>
    <i r="2">
      <x v="154"/>
    </i>
    <i r="2">
      <x v="169"/>
    </i>
    <i r="2">
      <x v="196"/>
    </i>
    <i r="1">
      <x v="60"/>
    </i>
    <i r="2">
      <x v="157"/>
    </i>
    <i r="2">
      <x v="158"/>
    </i>
    <i r="2">
      <x v="159"/>
    </i>
    <i r="1">
      <x v="61"/>
    </i>
    <i r="2">
      <x v="160"/>
    </i>
    <i r="2">
      <x v="161"/>
    </i>
    <i r="2">
      <x v="191"/>
    </i>
    <i r="2">
      <x v="197"/>
    </i>
    <i r="2">
      <x v="204"/>
    </i>
    <i r="2">
      <x v="285"/>
    </i>
    <i r="2">
      <x v="313"/>
    </i>
    <i r="2">
      <x v="333"/>
    </i>
    <i r="2">
      <x v="334"/>
    </i>
    <i r="1">
      <x v="62"/>
    </i>
    <i r="2">
      <x v="167"/>
    </i>
    <i r="2">
      <x v="168"/>
    </i>
    <i r="2">
      <x v="234"/>
    </i>
    <i r="1">
      <x v="63"/>
    </i>
    <i r="2">
      <x v="210"/>
    </i>
    <i r="1">
      <x v="64"/>
    </i>
    <i r="2">
      <x v="180"/>
    </i>
    <i r="1">
      <x v="65"/>
    </i>
    <i r="2">
      <x v="182"/>
    </i>
    <i r="1">
      <x v="66"/>
    </i>
    <i r="2">
      <x v="183"/>
    </i>
    <i r="1">
      <x v="67"/>
    </i>
    <i r="2">
      <x v="184"/>
    </i>
    <i r="1">
      <x v="68"/>
    </i>
    <i r="2">
      <x v="189"/>
    </i>
    <i r="1">
      <x v="69"/>
    </i>
    <i r="2">
      <x v="190"/>
    </i>
    <i r="1">
      <x v="70"/>
    </i>
    <i r="2">
      <x v="192"/>
    </i>
    <i r="2">
      <x v="193"/>
    </i>
    <i r="1">
      <x v="71"/>
    </i>
    <i r="2">
      <x v="207"/>
    </i>
    <i r="1">
      <x v="72"/>
    </i>
    <i r="2">
      <x v="216"/>
    </i>
    <i r="1">
      <x v="73"/>
    </i>
    <i r="2">
      <x v="221"/>
    </i>
    <i r="1">
      <x v="74"/>
    </i>
    <i r="2">
      <x v="224"/>
    </i>
    <i r="2">
      <x v="255"/>
    </i>
    <i r="2">
      <x v="340"/>
    </i>
    <i r="1">
      <x v="75"/>
    </i>
    <i r="2">
      <x v="231"/>
    </i>
    <i r="1">
      <x v="76"/>
    </i>
    <i r="2">
      <x v="236"/>
    </i>
    <i r="2">
      <x v="312"/>
    </i>
    <i r="1">
      <x v="77"/>
    </i>
    <i r="2">
      <x v="241"/>
    </i>
    <i r="2">
      <x v="242"/>
    </i>
    <i r="2">
      <x v="243"/>
    </i>
    <i r="1">
      <x v="78"/>
    </i>
    <i r="2">
      <x v="248"/>
    </i>
    <i r="1">
      <x v="79"/>
    </i>
    <i r="2">
      <x v="249"/>
    </i>
    <i r="1">
      <x v="80"/>
    </i>
    <i r="2">
      <x v="251"/>
    </i>
    <i r="1">
      <x v="81"/>
    </i>
    <i r="2">
      <x v="252"/>
    </i>
    <i r="1">
      <x v="83"/>
    </i>
    <i r="2">
      <x v="267"/>
    </i>
    <i r="1">
      <x v="84"/>
    </i>
    <i r="2">
      <x v="268"/>
    </i>
    <i r="2">
      <x v="269"/>
    </i>
    <i r="1">
      <x v="85"/>
    </i>
    <i r="2">
      <x v="270"/>
    </i>
    <i r="2">
      <x v="271"/>
    </i>
    <i r="1">
      <x v="86"/>
    </i>
    <i r="2">
      <x v="284"/>
    </i>
    <i r="1">
      <x v="87"/>
    </i>
    <i r="2">
      <x v="294"/>
    </i>
    <i r="1">
      <x v="88"/>
    </i>
    <i r="2">
      <x v="301"/>
    </i>
    <i r="2">
      <x v="302"/>
    </i>
    <i r="2">
      <x v="322"/>
    </i>
    <i r="2">
      <x v="323"/>
    </i>
    <i r="1">
      <x v="89"/>
    </i>
    <i r="2">
      <x v="304"/>
    </i>
    <i r="1">
      <x v="90"/>
    </i>
    <i r="2">
      <x v="320"/>
    </i>
    <i r="2">
      <x v="321"/>
    </i>
    <i r="1">
      <x v="92"/>
    </i>
    <i r="2">
      <x v="346"/>
    </i>
    <i r="2">
      <x v="347"/>
    </i>
    <i r="1">
      <x v="93"/>
    </i>
    <i r="2">
      <x v="349"/>
    </i>
    <i>
      <x v="22"/>
    </i>
    <i r="1">
      <x v="47"/>
    </i>
    <i r="2">
      <x v="18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Kg. Solicitados" fld="12" baseField="0" baseItem="0"/>
    <dataField name="Suma de Valor total" fld="14" baseField="11" baseItem="33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ECC52-B575-4B63-8A9E-8B50C767BB7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21" firstHeaderRow="1" firstDataRow="1" firstDataCol="1"/>
  <pivotFields count="18">
    <pivotField showAll="0"/>
    <pivotField showAll="0"/>
    <pivotField showAll="0"/>
    <pivotField numFmtId="20" showAll="0"/>
    <pivotField showAll="0"/>
    <pivotField axis="axisRow" showAll="0">
      <items count="317">
        <item x="38"/>
        <item x="11"/>
        <item x="200"/>
        <item x="213"/>
        <item x="4"/>
        <item x="17"/>
        <item x="18"/>
        <item x="5"/>
        <item x="6"/>
        <item x="8"/>
        <item x="7"/>
        <item x="9"/>
        <item x="19"/>
        <item x="10"/>
        <item x="12"/>
        <item x="13"/>
        <item x="14"/>
        <item x="15"/>
        <item x="16"/>
        <item x="74"/>
        <item x="20"/>
        <item x="22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6"/>
        <item x="62"/>
        <item x="39"/>
        <item x="40"/>
        <item x="61"/>
        <item x="42"/>
        <item x="41"/>
        <item x="43"/>
        <item x="44"/>
        <item x="45"/>
        <item x="48"/>
        <item x="46"/>
        <item x="49"/>
        <item x="47"/>
        <item x="50"/>
        <item x="51"/>
        <item x="52"/>
        <item x="53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26"/>
        <item x="94"/>
        <item x="95"/>
        <item x="96"/>
        <item x="97"/>
        <item x="98"/>
        <item x="129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3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2"/>
        <item x="125"/>
        <item x="127"/>
        <item x="128"/>
        <item x="130"/>
        <item x="134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0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1"/>
        <item x="192"/>
        <item x="193"/>
        <item x="194"/>
        <item x="195"/>
        <item x="196"/>
        <item x="197"/>
        <item x="198"/>
        <item x="199"/>
        <item x="201"/>
        <item x="268"/>
        <item x="203"/>
        <item x="202"/>
        <item x="190"/>
        <item x="211"/>
        <item x="214"/>
        <item x="206"/>
        <item x="207"/>
        <item x="208"/>
        <item x="209"/>
        <item x="210"/>
        <item x="212"/>
        <item x="189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5"/>
        <item x="232"/>
        <item x="233"/>
        <item x="234"/>
        <item x="236"/>
        <item x="237"/>
        <item x="238"/>
        <item x="239"/>
        <item x="240"/>
        <item x="241"/>
        <item x="254"/>
        <item x="242"/>
        <item x="243"/>
        <item x="244"/>
        <item x="245"/>
        <item x="246"/>
        <item x="247"/>
        <item x="248"/>
        <item x="249"/>
        <item x="250"/>
        <item x="251"/>
        <item x="257"/>
        <item x="252"/>
        <item x="204"/>
        <item x="255"/>
        <item x="256"/>
        <item x="258"/>
        <item x="259"/>
        <item x="260"/>
        <item x="261"/>
        <item x="262"/>
        <item x="205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53"/>
        <item x="282"/>
        <item x="283"/>
        <item x="284"/>
        <item x="285"/>
        <item x="286"/>
        <item x="288"/>
        <item x="287"/>
        <item x="277"/>
        <item x="289"/>
        <item x="290"/>
        <item x="291"/>
        <item x="292"/>
        <item x="293"/>
        <item x="294"/>
        <item x="295"/>
        <item x="315"/>
        <item x="296"/>
        <item x="297"/>
        <item x="298"/>
        <item x="299"/>
        <item x="300"/>
        <item x="301"/>
        <item x="302"/>
        <item x="303"/>
        <item x="2"/>
        <item x="1"/>
        <item x="314"/>
        <item x="304"/>
        <item x="306"/>
        <item x="305"/>
        <item x="307"/>
        <item x="308"/>
        <item x="313"/>
        <item x="312"/>
        <item x="309"/>
        <item x="310"/>
        <item x="311"/>
        <item x="23"/>
        <item t="default"/>
      </items>
    </pivotField>
    <pivotField showAll="0"/>
    <pivotField showAll="0"/>
    <pivotField showAll="0"/>
    <pivotField axis="axisRow" dataField="1" showAll="0">
      <items count="91">
        <item x="40"/>
        <item x="71"/>
        <item x="33"/>
        <item x="16"/>
        <item x="27"/>
        <item x="77"/>
        <item x="31"/>
        <item x="23"/>
        <item x="19"/>
        <item x="20"/>
        <item x="32"/>
        <item x="14"/>
        <item x="70"/>
        <item x="82"/>
        <item x="29"/>
        <item x="53"/>
        <item x="1"/>
        <item x="69"/>
        <item x="11"/>
        <item x="15"/>
        <item x="61"/>
        <item x="68"/>
        <item x="59"/>
        <item x="63"/>
        <item x="10"/>
        <item x="48"/>
        <item x="83"/>
        <item x="37"/>
        <item x="41"/>
        <item x="49"/>
        <item x="28"/>
        <item x="26"/>
        <item x="4"/>
        <item x="36"/>
        <item x="6"/>
        <item x="89"/>
        <item x="12"/>
        <item x="80"/>
        <item x="39"/>
        <item x="54"/>
        <item x="67"/>
        <item x="34"/>
        <item x="62"/>
        <item x="57"/>
        <item x="52"/>
        <item x="5"/>
        <item x="46"/>
        <item x="18"/>
        <item x="60"/>
        <item x="85"/>
        <item x="75"/>
        <item x="45"/>
        <item x="72"/>
        <item x="35"/>
        <item x="47"/>
        <item x="87"/>
        <item x="64"/>
        <item x="7"/>
        <item x="22"/>
        <item x="56"/>
        <item x="13"/>
        <item x="74"/>
        <item x="9"/>
        <item x="42"/>
        <item x="8"/>
        <item x="38"/>
        <item x="25"/>
        <item x="43"/>
        <item x="88"/>
        <item x="76"/>
        <item x="44"/>
        <item x="51"/>
        <item x="58"/>
        <item x="24"/>
        <item x="78"/>
        <item x="50"/>
        <item x="30"/>
        <item x="0"/>
        <item x="3"/>
        <item x="65"/>
        <item x="17"/>
        <item x="86"/>
        <item x="66"/>
        <item x="21"/>
        <item x="2"/>
        <item x="79"/>
        <item x="84"/>
        <item x="55"/>
        <item x="81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2"/>
        <item x="7"/>
        <item x="18"/>
        <item x="19"/>
        <item x="2"/>
        <item x="5"/>
        <item x="10"/>
        <item x="0"/>
        <item x="6"/>
        <item x="4"/>
        <item x="3"/>
        <item x="13"/>
        <item x="8"/>
        <item x="9"/>
        <item x="14"/>
        <item x="17"/>
        <item x="1"/>
        <item x="16"/>
        <item x="15"/>
        <item m="1" x="20"/>
        <item m="1" x="21"/>
        <item m="1" x="22"/>
        <item x="11"/>
        <item t="default"/>
      </items>
    </pivotField>
  </pivotFields>
  <rowFields count="3">
    <field x="17"/>
    <field x="9"/>
    <field x="5"/>
  </rowFields>
  <rowItems count="518">
    <i>
      <x/>
    </i>
    <i r="1">
      <x v="84"/>
    </i>
    <i r="2">
      <x v="55"/>
    </i>
    <i>
      <x v="1"/>
    </i>
    <i r="1">
      <x v="84"/>
    </i>
    <i r="2">
      <x v="25"/>
    </i>
    <i>
      <x v="2"/>
    </i>
    <i r="1">
      <x v="66"/>
    </i>
    <i r="2">
      <x v="182"/>
    </i>
    <i>
      <x v="3"/>
    </i>
    <i r="1">
      <x v="35"/>
    </i>
    <i r="2">
      <x v="304"/>
    </i>
    <i>
      <x v="4"/>
    </i>
    <i r="1">
      <x v="8"/>
    </i>
    <i r="2">
      <x v="34"/>
    </i>
    <i r="1">
      <x v="30"/>
    </i>
    <i r="2">
      <x v="293"/>
    </i>
    <i r="1">
      <x v="32"/>
    </i>
    <i r="2">
      <x v="180"/>
    </i>
    <i r="1">
      <x v="34"/>
    </i>
    <i r="2">
      <x v="52"/>
    </i>
    <i r="2">
      <x v="92"/>
    </i>
    <i r="2">
      <x v="204"/>
    </i>
    <i r="2">
      <x v="205"/>
    </i>
    <i r="1">
      <x v="45"/>
    </i>
    <i r="2">
      <x v="10"/>
    </i>
    <i r="2">
      <x v="88"/>
    </i>
    <i r="2">
      <x v="147"/>
    </i>
    <i r="2">
      <x v="191"/>
    </i>
    <i r="2">
      <x v="220"/>
    </i>
    <i r="2">
      <x v="238"/>
    </i>
    <i r="1">
      <x v="48"/>
    </i>
    <i r="2">
      <x v="149"/>
    </i>
    <i r="1">
      <x v="64"/>
    </i>
    <i r="2">
      <x v="310"/>
    </i>
    <i r="1">
      <x v="80"/>
    </i>
    <i r="2">
      <x v="28"/>
    </i>
    <i r="1">
      <x v="84"/>
    </i>
    <i r="2">
      <x v="94"/>
    </i>
    <i>
      <x v="5"/>
    </i>
    <i r="1">
      <x v="19"/>
    </i>
    <i r="2">
      <x v="142"/>
    </i>
    <i r="1">
      <x v="32"/>
    </i>
    <i r="2">
      <x v="271"/>
    </i>
    <i r="1">
      <x v="34"/>
    </i>
    <i r="2">
      <x v="15"/>
    </i>
    <i r="2">
      <x v="38"/>
    </i>
    <i r="2">
      <x v="252"/>
    </i>
    <i r="1">
      <x v="45"/>
    </i>
    <i r="2">
      <x v="33"/>
    </i>
    <i r="2">
      <x v="261"/>
    </i>
    <i r="1">
      <x v="66"/>
    </i>
    <i r="2">
      <x v="183"/>
    </i>
    <i r="1">
      <x v="76"/>
    </i>
    <i r="2">
      <x v="60"/>
    </i>
    <i>
      <x v="6"/>
    </i>
    <i r="1">
      <x v="7"/>
    </i>
    <i r="2">
      <x v="44"/>
    </i>
    <i r="2">
      <x v="178"/>
    </i>
    <i r="2">
      <x v="300"/>
    </i>
    <i r="1">
      <x v="8"/>
    </i>
    <i r="2">
      <x v="105"/>
    </i>
    <i r="1">
      <x v="20"/>
    </i>
    <i r="2">
      <x v="150"/>
    </i>
    <i r="1">
      <x v="22"/>
    </i>
    <i r="2">
      <x v="145"/>
    </i>
    <i r="1">
      <x v="24"/>
    </i>
    <i r="2">
      <x v="163"/>
    </i>
    <i r="1">
      <x v="25"/>
    </i>
    <i r="2">
      <x v="106"/>
    </i>
    <i r="1">
      <x v="29"/>
    </i>
    <i r="2">
      <x v="107"/>
    </i>
    <i r="1">
      <x v="32"/>
    </i>
    <i r="2">
      <x v="160"/>
    </i>
    <i r="2">
      <x v="216"/>
    </i>
    <i r="1">
      <x v="34"/>
    </i>
    <i r="2">
      <x v="184"/>
    </i>
    <i r="2">
      <x v="187"/>
    </i>
    <i r="1">
      <x v="45"/>
    </i>
    <i r="2">
      <x v="56"/>
    </i>
    <i r="2">
      <x v="57"/>
    </i>
    <i r="2">
      <x v="90"/>
    </i>
    <i r="2">
      <x v="143"/>
    </i>
    <i r="2">
      <x v="295"/>
    </i>
    <i r="1">
      <x v="50"/>
    </i>
    <i r="2">
      <x v="239"/>
    </i>
    <i r="1">
      <x v="52"/>
    </i>
    <i r="2">
      <x v="224"/>
    </i>
    <i r="1">
      <x v="54"/>
    </i>
    <i r="2">
      <x v="103"/>
    </i>
    <i r="1">
      <x v="59"/>
    </i>
    <i r="2">
      <x v="255"/>
    </i>
    <i r="1">
      <x v="62"/>
    </i>
    <i r="2">
      <x v="80"/>
    </i>
    <i r="1">
      <x v="67"/>
    </i>
    <i r="2">
      <x v="233"/>
    </i>
    <i r="1">
      <x v="68"/>
    </i>
    <i r="2">
      <x v="314"/>
    </i>
    <i r="1">
      <x v="74"/>
    </i>
    <i r="2">
      <x v="243"/>
    </i>
    <i>
      <x v="7"/>
    </i>
    <i r="1">
      <x/>
    </i>
    <i r="2">
      <x v="76"/>
    </i>
    <i r="1">
      <x v="4"/>
    </i>
    <i r="2">
      <x v="53"/>
    </i>
    <i r="2">
      <x v="61"/>
    </i>
    <i r="2">
      <x v="62"/>
    </i>
    <i r="2">
      <x v="85"/>
    </i>
    <i r="2">
      <x v="206"/>
    </i>
    <i r="1">
      <x v="5"/>
    </i>
    <i r="2">
      <x v="242"/>
    </i>
    <i r="1">
      <x v="6"/>
    </i>
    <i r="2">
      <x v="37"/>
    </i>
    <i r="2">
      <x v="40"/>
    </i>
    <i r="2">
      <x v="192"/>
    </i>
    <i r="2">
      <x v="270"/>
    </i>
    <i r="1">
      <x v="7"/>
    </i>
    <i r="2">
      <x v="253"/>
    </i>
    <i r="2">
      <x v="258"/>
    </i>
    <i r="1">
      <x v="10"/>
    </i>
    <i r="2">
      <x v="63"/>
    </i>
    <i r="2">
      <x v="209"/>
    </i>
    <i r="2">
      <x v="269"/>
    </i>
    <i r="1">
      <x v="11"/>
    </i>
    <i r="2">
      <x v="24"/>
    </i>
    <i r="2">
      <x v="83"/>
    </i>
    <i r="2">
      <x v="227"/>
    </i>
    <i r="2">
      <x v="257"/>
    </i>
    <i r="1">
      <x v="12"/>
    </i>
    <i r="2">
      <x v="203"/>
    </i>
    <i r="1">
      <x v="14"/>
    </i>
    <i r="2">
      <x v="59"/>
    </i>
    <i r="1">
      <x v="15"/>
    </i>
    <i r="2">
      <x v="121"/>
    </i>
    <i r="1">
      <x v="16"/>
    </i>
    <i r="2">
      <x v="112"/>
    </i>
    <i r="1">
      <x v="17"/>
    </i>
    <i r="2">
      <x v="260"/>
    </i>
    <i r="1">
      <x v="18"/>
    </i>
    <i r="2">
      <x v="12"/>
    </i>
    <i r="1">
      <x v="19"/>
    </i>
    <i r="2">
      <x v="26"/>
    </i>
    <i r="1">
      <x v="22"/>
    </i>
    <i r="2">
      <x v="145"/>
    </i>
    <i r="1">
      <x v="23"/>
    </i>
    <i r="2">
      <x v="164"/>
    </i>
    <i r="2">
      <x v="194"/>
    </i>
    <i r="2">
      <x v="195"/>
    </i>
    <i r="1">
      <x v="24"/>
    </i>
    <i r="2">
      <x v="5"/>
    </i>
    <i r="2">
      <x v="176"/>
    </i>
    <i r="2">
      <x v="256"/>
    </i>
    <i r="1">
      <x v="27"/>
    </i>
    <i r="2">
      <x v="70"/>
    </i>
    <i r="1">
      <x v="28"/>
    </i>
    <i r="2">
      <x v="77"/>
    </i>
    <i r="2">
      <x v="101"/>
    </i>
    <i r="1">
      <x v="29"/>
    </i>
    <i r="2">
      <x v="211"/>
    </i>
    <i r="1">
      <x v="30"/>
    </i>
    <i r="2">
      <x v="58"/>
    </i>
    <i r="2">
      <x v="135"/>
    </i>
    <i r="2">
      <x v="292"/>
    </i>
    <i r="1">
      <x v="31"/>
    </i>
    <i r="2">
      <x v="46"/>
    </i>
    <i r="1">
      <x v="32"/>
    </i>
    <i r="2">
      <x v="2"/>
    </i>
    <i r="2">
      <x v="8"/>
    </i>
    <i r="2">
      <x v="39"/>
    </i>
    <i r="2">
      <x v="78"/>
    </i>
    <i r="2">
      <x v="81"/>
    </i>
    <i r="2">
      <x v="137"/>
    </i>
    <i r="2">
      <x v="151"/>
    </i>
    <i r="2">
      <x v="172"/>
    </i>
    <i r="2">
      <x v="230"/>
    </i>
    <i r="2">
      <x v="234"/>
    </i>
    <i r="2">
      <x v="286"/>
    </i>
    <i r="2">
      <x v="289"/>
    </i>
    <i r="1">
      <x v="34"/>
    </i>
    <i r="2">
      <x v="9"/>
    </i>
    <i r="2">
      <x v="87"/>
    </i>
    <i r="2">
      <x v="108"/>
    </i>
    <i r="2">
      <x v="138"/>
    </i>
    <i r="2">
      <x v="148"/>
    </i>
    <i r="2">
      <x v="158"/>
    </i>
    <i r="2">
      <x v="218"/>
    </i>
    <i r="2">
      <x v="267"/>
    </i>
    <i r="2">
      <x v="277"/>
    </i>
    <i r="1">
      <x v="36"/>
    </i>
    <i r="2">
      <x v="22"/>
    </i>
    <i r="2">
      <x v="51"/>
    </i>
    <i r="2">
      <x v="188"/>
    </i>
    <i r="2">
      <x v="215"/>
    </i>
    <i r="1">
      <x v="37"/>
    </i>
    <i r="2">
      <x v="268"/>
    </i>
    <i r="1">
      <x v="38"/>
    </i>
    <i r="2">
      <x v="19"/>
    </i>
    <i r="2">
      <x v="72"/>
    </i>
    <i r="2">
      <x v="79"/>
    </i>
    <i r="1">
      <x v="39"/>
    </i>
    <i r="2">
      <x v="126"/>
    </i>
    <i r="2">
      <x v="196"/>
    </i>
    <i r="1">
      <x v="40"/>
    </i>
    <i r="2">
      <x v="175"/>
    </i>
    <i r="1">
      <x v="41"/>
    </i>
    <i r="2">
      <x v="66"/>
    </i>
    <i r="1">
      <x v="42"/>
    </i>
    <i r="2">
      <x v="161"/>
    </i>
    <i r="1">
      <x v="44"/>
    </i>
    <i r="2">
      <x v="118"/>
    </i>
    <i r="1">
      <x v="45"/>
    </i>
    <i r="2">
      <x v="31"/>
    </i>
    <i r="2">
      <x v="93"/>
    </i>
    <i r="2">
      <x v="140"/>
    </i>
    <i r="2">
      <x v="155"/>
    </i>
    <i r="2">
      <x v="157"/>
    </i>
    <i r="2">
      <x v="177"/>
    </i>
    <i r="2">
      <x v="207"/>
    </i>
    <i r="2">
      <x v="214"/>
    </i>
    <i r="2">
      <x v="262"/>
    </i>
    <i r="2">
      <x v="265"/>
    </i>
    <i r="1">
      <x v="46"/>
    </i>
    <i r="2">
      <x v="102"/>
    </i>
    <i r="2">
      <x v="104"/>
    </i>
    <i r="1">
      <x v="49"/>
    </i>
    <i r="2">
      <x v="297"/>
    </i>
    <i r="1">
      <x v="51"/>
    </i>
    <i r="2">
      <x v="100"/>
    </i>
    <i r="1">
      <x v="53"/>
    </i>
    <i r="2">
      <x v="67"/>
    </i>
    <i r="1">
      <x v="55"/>
    </i>
    <i r="2">
      <x v="312"/>
    </i>
    <i r="2">
      <x v="313"/>
    </i>
    <i r="1">
      <x v="56"/>
    </i>
    <i r="2">
      <x v="166"/>
    </i>
    <i r="1">
      <x v="58"/>
    </i>
    <i r="2">
      <x v="41"/>
    </i>
    <i r="1">
      <x v="60"/>
    </i>
    <i r="2">
      <x v="82"/>
    </i>
    <i r="2">
      <x v="99"/>
    </i>
    <i r="2">
      <x v="246"/>
    </i>
    <i r="2">
      <x v="315"/>
    </i>
    <i r="1">
      <x v="62"/>
    </i>
    <i r="2">
      <x v="17"/>
    </i>
    <i r="2">
      <x v="18"/>
    </i>
    <i r="2">
      <x v="48"/>
    </i>
    <i r="2">
      <x v="165"/>
    </i>
    <i r="2">
      <x v="219"/>
    </i>
    <i r="1">
      <x v="63"/>
    </i>
    <i r="2">
      <x v="95"/>
    </i>
    <i r="2">
      <x v="123"/>
    </i>
    <i r="2">
      <x v="200"/>
    </i>
    <i r="2">
      <x v="232"/>
    </i>
    <i r="2">
      <x v="266"/>
    </i>
    <i r="2">
      <x v="306"/>
    </i>
    <i r="1">
      <x v="64"/>
    </i>
    <i r="2">
      <x v="16"/>
    </i>
    <i r="2">
      <x v="21"/>
    </i>
    <i r="1">
      <x v="65"/>
    </i>
    <i r="2">
      <x v="71"/>
    </i>
    <i r="2">
      <x v="288"/>
    </i>
    <i r="1">
      <x v="66"/>
    </i>
    <i r="2">
      <x v="49"/>
    </i>
    <i r="2">
      <x v="84"/>
    </i>
    <i r="2">
      <x v="181"/>
    </i>
    <i r="1">
      <x v="67"/>
    </i>
    <i r="2">
      <x v="3"/>
    </i>
    <i r="2">
      <x v="96"/>
    </i>
    <i r="2">
      <x v="114"/>
    </i>
    <i r="2">
      <x v="156"/>
    </i>
    <i r="2">
      <x v="305"/>
    </i>
    <i r="2">
      <x v="307"/>
    </i>
    <i r="1">
      <x v="70"/>
    </i>
    <i r="2">
      <x v="173"/>
    </i>
    <i r="2">
      <x v="236"/>
    </i>
    <i r="1">
      <x v="71"/>
    </i>
    <i r="2">
      <x v="117"/>
    </i>
    <i r="2">
      <x v="198"/>
    </i>
    <i r="1">
      <x v="72"/>
    </i>
    <i r="2">
      <x v="144"/>
    </i>
    <i r="1">
      <x v="75"/>
    </i>
    <i r="2">
      <x v="110"/>
    </i>
    <i r="2">
      <x v="244"/>
    </i>
    <i r="2">
      <x v="245"/>
    </i>
    <i r="2">
      <x v="301"/>
    </i>
    <i r="1">
      <x v="76"/>
    </i>
    <i r="2">
      <x v="65"/>
    </i>
    <i r="2">
      <x v="228"/>
    </i>
    <i r="2">
      <x v="275"/>
    </i>
    <i r="1">
      <x v="77"/>
    </i>
    <i r="2">
      <x v="75"/>
    </i>
    <i r="2">
      <x v="109"/>
    </i>
    <i r="2">
      <x v="119"/>
    </i>
    <i r="2">
      <x v="152"/>
    </i>
    <i r="2">
      <x v="153"/>
    </i>
    <i r="2">
      <x v="174"/>
    </i>
    <i r="2">
      <x v="199"/>
    </i>
    <i r="2">
      <x v="202"/>
    </i>
    <i r="2">
      <x v="208"/>
    </i>
    <i r="2">
      <x v="229"/>
    </i>
    <i r="2">
      <x v="247"/>
    </i>
    <i r="2">
      <x v="251"/>
    </i>
    <i r="2">
      <x v="296"/>
    </i>
    <i r="2">
      <x v="308"/>
    </i>
    <i r="2">
      <x v="309"/>
    </i>
    <i r="1">
      <x v="78"/>
    </i>
    <i r="2">
      <x v="7"/>
    </i>
    <i r="2">
      <x v="11"/>
    </i>
    <i r="1">
      <x v="79"/>
    </i>
    <i r="2">
      <x v="169"/>
    </i>
    <i r="1">
      <x v="80"/>
    </i>
    <i r="2">
      <x v="29"/>
    </i>
    <i r="1">
      <x v="81"/>
    </i>
    <i r="2">
      <x v="298"/>
    </i>
    <i r="1">
      <x v="82"/>
    </i>
    <i r="2">
      <x v="171"/>
    </i>
    <i r="1">
      <x v="83"/>
    </i>
    <i r="2">
      <x v="42"/>
    </i>
    <i r="2">
      <x v="68"/>
    </i>
    <i r="2">
      <x v="128"/>
    </i>
    <i r="1">
      <x v="84"/>
    </i>
    <i r="2">
      <x v="4"/>
    </i>
    <i r="2">
      <x v="43"/>
    </i>
    <i r="2">
      <x v="186"/>
    </i>
    <i r="2">
      <x v="190"/>
    </i>
    <i r="1">
      <x v="85"/>
    </i>
    <i r="2">
      <x v="254"/>
    </i>
    <i r="2">
      <x v="280"/>
    </i>
    <i r="2">
      <x v="299"/>
    </i>
    <i r="1">
      <x v="87"/>
    </i>
    <i r="2">
      <x v="125"/>
    </i>
    <i r="1">
      <x v="89"/>
    </i>
    <i r="2">
      <x v="235"/>
    </i>
    <i>
      <x v="8"/>
    </i>
    <i r="1">
      <x v="8"/>
    </i>
    <i r="2">
      <x v="197"/>
    </i>
    <i r="2">
      <x v="263"/>
    </i>
    <i r="2">
      <x v="283"/>
    </i>
    <i r="1">
      <x v="13"/>
    </i>
    <i r="2">
      <x v="281"/>
    </i>
    <i r="1">
      <x v="14"/>
    </i>
    <i r="2">
      <x v="231"/>
    </i>
    <i r="1">
      <x v="17"/>
    </i>
    <i r="2">
      <x v="193"/>
    </i>
    <i r="1">
      <x v="18"/>
    </i>
    <i r="2">
      <x v="32"/>
    </i>
    <i r="2">
      <x v="162"/>
    </i>
    <i r="1">
      <x v="19"/>
    </i>
    <i r="2">
      <x v="273"/>
    </i>
    <i r="1">
      <x v="23"/>
    </i>
    <i r="2">
      <x v="225"/>
    </i>
    <i r="1">
      <x v="24"/>
    </i>
    <i r="2">
      <x v="6"/>
    </i>
    <i r="1">
      <x v="25"/>
    </i>
    <i r="2">
      <x v="226"/>
    </i>
    <i r="1">
      <x v="26"/>
    </i>
    <i r="2">
      <x v="282"/>
    </i>
    <i r="1">
      <x v="27"/>
    </i>
    <i r="2">
      <x v="168"/>
    </i>
    <i r="2">
      <x v="221"/>
    </i>
    <i r="2">
      <x v="222"/>
    </i>
    <i r="1">
      <x v="28"/>
    </i>
    <i r="2">
      <x v="170"/>
    </i>
    <i r="2">
      <x v="276"/>
    </i>
    <i r="1">
      <x v="31"/>
    </i>
    <i r="2">
      <x v="185"/>
    </i>
    <i r="1">
      <x v="32"/>
    </i>
    <i r="2">
      <x v="248"/>
    </i>
    <i r="2">
      <x v="287"/>
    </i>
    <i r="1">
      <x v="33"/>
    </i>
    <i r="2">
      <x v="69"/>
    </i>
    <i r="1">
      <x v="34"/>
    </i>
    <i r="2">
      <x v="179"/>
    </i>
    <i r="2">
      <x v="250"/>
    </i>
    <i r="2">
      <x v="284"/>
    </i>
    <i r="1">
      <x v="39"/>
    </i>
    <i r="2">
      <x v="91"/>
    </i>
    <i r="2">
      <x v="141"/>
    </i>
    <i r="2">
      <x v="290"/>
    </i>
    <i r="1">
      <x v="41"/>
    </i>
    <i r="2">
      <x v="223"/>
    </i>
    <i r="1">
      <x v="45"/>
    </i>
    <i r="2">
      <x v="23"/>
    </i>
    <i r="2">
      <x v="74"/>
    </i>
    <i r="2">
      <x v="89"/>
    </i>
    <i r="2">
      <x v="115"/>
    </i>
    <i r="2">
      <x v="146"/>
    </i>
    <i r="2">
      <x v="154"/>
    </i>
    <i r="2">
      <x v="272"/>
    </i>
    <i r="2">
      <x v="274"/>
    </i>
    <i r="2">
      <x v="285"/>
    </i>
    <i r="1">
      <x v="50"/>
    </i>
    <i r="2">
      <x v="240"/>
    </i>
    <i r="1">
      <x v="57"/>
    </i>
    <i r="2">
      <x v="311"/>
    </i>
    <i r="1">
      <x v="60"/>
    </i>
    <i r="2">
      <x v="36"/>
    </i>
    <i r="2">
      <x v="278"/>
    </i>
    <i r="1">
      <x v="61"/>
    </i>
    <i r="2">
      <x v="237"/>
    </i>
    <i r="1">
      <x v="67"/>
    </i>
    <i r="2">
      <x v="201"/>
    </i>
    <i r="2">
      <x v="210"/>
    </i>
    <i r="2">
      <x v="217"/>
    </i>
    <i r="1">
      <x v="69"/>
    </i>
    <i r="2">
      <x v="241"/>
    </i>
    <i r="1">
      <x v="73"/>
    </i>
    <i r="2">
      <x v="47"/>
    </i>
    <i r="1">
      <x v="77"/>
    </i>
    <i r="2">
      <x v="119"/>
    </i>
    <i r="2">
      <x v="247"/>
    </i>
    <i r="1">
      <x v="84"/>
    </i>
    <i r="2">
      <x v="20"/>
    </i>
    <i r="2">
      <x v="54"/>
    </i>
    <i r="1">
      <x v="85"/>
    </i>
    <i r="2">
      <x v="249"/>
    </i>
    <i r="1">
      <x v="88"/>
    </i>
    <i r="2">
      <x v="279"/>
    </i>
    <i>
      <x v="9"/>
    </i>
    <i r="1">
      <x v="1"/>
    </i>
    <i r="2">
      <x v="213"/>
    </i>
    <i r="1">
      <x v="3"/>
    </i>
    <i r="2">
      <x v="159"/>
    </i>
    <i r="1">
      <x v="4"/>
    </i>
    <i r="2">
      <x v="86"/>
    </i>
    <i r="1">
      <x v="8"/>
    </i>
    <i r="2">
      <x v="116"/>
    </i>
    <i r="1">
      <x v="19"/>
    </i>
    <i r="2">
      <x v="35"/>
    </i>
    <i r="1">
      <x v="24"/>
    </i>
    <i r="2">
      <x v="134"/>
    </i>
    <i r="1">
      <x v="34"/>
    </i>
    <i r="2">
      <x v="291"/>
    </i>
    <i r="1">
      <x v="36"/>
    </i>
    <i r="2">
      <x v="188"/>
    </i>
    <i r="1">
      <x v="39"/>
    </i>
    <i r="2">
      <x v="97"/>
    </i>
    <i r="2">
      <x v="129"/>
    </i>
    <i r="1">
      <x v="47"/>
    </i>
    <i r="2">
      <x v="30"/>
    </i>
    <i r="1">
      <x v="53"/>
    </i>
    <i r="2">
      <x v="122"/>
    </i>
    <i r="1">
      <x v="56"/>
    </i>
    <i r="2">
      <x v="167"/>
    </i>
    <i r="1">
      <x v="58"/>
    </i>
    <i r="2">
      <x v="212"/>
    </i>
    <i r="1">
      <x v="62"/>
    </i>
    <i r="2">
      <x v="131"/>
    </i>
    <i r="1">
      <x v="84"/>
    </i>
    <i r="2">
      <x v="14"/>
    </i>
    <i r="1">
      <x v="86"/>
    </i>
    <i r="2">
      <x v="294"/>
    </i>
    <i>
      <x v="10"/>
    </i>
    <i r="1">
      <x v="34"/>
    </i>
    <i r="2">
      <x v="111"/>
    </i>
    <i r="1">
      <x v="57"/>
    </i>
    <i r="2">
      <x v="13"/>
    </i>
    <i r="1">
      <x v="62"/>
    </i>
    <i r="2">
      <x v="130"/>
    </i>
    <i r="1">
      <x v="70"/>
    </i>
    <i r="2">
      <x v="98"/>
    </i>
    <i r="1">
      <x v="84"/>
    </i>
    <i r="2">
      <x v="1"/>
    </i>
    <i r="2">
      <x v="50"/>
    </i>
    <i r="2">
      <x v="120"/>
    </i>
    <i>
      <x v="11"/>
    </i>
    <i r="1">
      <x v="2"/>
    </i>
    <i r="2">
      <x v="64"/>
    </i>
    <i r="1">
      <x v="39"/>
    </i>
    <i r="2">
      <x v="127"/>
    </i>
    <i r="1">
      <x v="43"/>
    </i>
    <i r="2">
      <x v="136"/>
    </i>
    <i r="1">
      <x v="60"/>
    </i>
    <i r="2">
      <x v="132"/>
    </i>
    <i>
      <x v="12"/>
    </i>
    <i r="1">
      <x v="3"/>
    </i>
    <i r="2">
      <x v="27"/>
    </i>
    <i r="1">
      <x v="8"/>
    </i>
    <i r="2">
      <x v="264"/>
    </i>
    <i r="1">
      <x v="11"/>
    </i>
    <i r="2">
      <x v="227"/>
    </i>
    <i r="1">
      <x v="34"/>
    </i>
    <i r="2">
      <x v="259"/>
    </i>
    <i>
      <x v="13"/>
    </i>
    <i r="1">
      <x v="9"/>
    </i>
    <i r="2">
      <x/>
    </i>
    <i r="1">
      <x v="21"/>
    </i>
    <i r="2">
      <x v="189"/>
    </i>
    <i r="1">
      <x v="34"/>
    </i>
    <i r="2">
      <x v="113"/>
    </i>
    <i>
      <x v="14"/>
    </i>
    <i r="1">
      <x v="34"/>
    </i>
    <i r="2">
      <x v="73"/>
    </i>
    <i r="1">
      <x v="59"/>
    </i>
    <i r="2">
      <x v="133"/>
    </i>
    <i r="1">
      <x v="65"/>
    </i>
    <i r="2">
      <x v="71"/>
    </i>
    <i r="1">
      <x v="77"/>
    </i>
    <i r="2">
      <x v="247"/>
    </i>
    <i>
      <x v="15"/>
    </i>
    <i r="1">
      <x v="34"/>
    </i>
    <i r="2">
      <x v="139"/>
    </i>
    <i>
      <x v="16"/>
    </i>
    <i r="1">
      <x v="77"/>
    </i>
    <i r="2">
      <x v="302"/>
    </i>
    <i r="2">
      <x v="303"/>
    </i>
    <i>
      <x v="17"/>
    </i>
    <i r="1">
      <x v="71"/>
    </i>
    <i r="2">
      <x v="124"/>
    </i>
    <i>
      <x v="18"/>
    </i>
    <i r="1">
      <x v="8"/>
    </i>
    <i r="2">
      <x v="116"/>
    </i>
    <i r="1">
      <x v="77"/>
    </i>
    <i r="2">
      <x v="119"/>
    </i>
    <i>
      <x v="22"/>
    </i>
    <i r="1">
      <x v="84"/>
    </i>
    <i r="2">
      <x v="45"/>
    </i>
    <i t="grand">
      <x/>
    </i>
  </rowItems>
  <colItems count="1">
    <i/>
  </colItems>
  <dataFields count="1">
    <dataField name="Cuenta de Client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68"/>
  <sheetViews>
    <sheetView topLeftCell="A52" workbookViewId="0">
      <selection activeCell="A63" sqref="A63"/>
    </sheetView>
  </sheetViews>
  <sheetFormatPr baseColWidth="10" defaultColWidth="11" defaultRowHeight="13"/>
  <cols>
    <col min="1" max="1" width="49.09765625" customWidth="1"/>
    <col min="2" max="2" width="12.59765625" customWidth="1"/>
    <col min="3" max="3" width="13.59765625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s="36" t="s">
        <v>3</v>
      </c>
      <c r="B4">
        <v>3</v>
      </c>
      <c r="C4">
        <v>339219</v>
      </c>
    </row>
    <row r="5" spans="1:3">
      <c r="A5" s="36" t="s">
        <v>4</v>
      </c>
      <c r="B5">
        <v>1</v>
      </c>
      <c r="C5">
        <v>112956</v>
      </c>
    </row>
    <row r="6" spans="1:3">
      <c r="A6" s="36" t="s">
        <v>5</v>
      </c>
      <c r="B6">
        <v>5</v>
      </c>
      <c r="C6">
        <v>565287</v>
      </c>
    </row>
    <row r="7" spans="1:3">
      <c r="A7" s="36" t="s">
        <v>6</v>
      </c>
      <c r="B7">
        <v>4</v>
      </c>
      <c r="C7">
        <v>452846</v>
      </c>
    </row>
    <row r="8" spans="1:3">
      <c r="A8" s="36" t="s">
        <v>7</v>
      </c>
      <c r="B8">
        <v>2</v>
      </c>
      <c r="C8">
        <v>226171</v>
      </c>
    </row>
    <row r="9" spans="1:3">
      <c r="A9" s="36" t="s">
        <v>8</v>
      </c>
      <c r="B9">
        <v>11</v>
      </c>
      <c r="C9">
        <v>1244348</v>
      </c>
    </row>
    <row r="10" spans="1:3">
      <c r="A10" s="36" t="s">
        <v>9</v>
      </c>
      <c r="B10">
        <v>5</v>
      </c>
      <c r="C10">
        <v>565767</v>
      </c>
    </row>
    <row r="11" spans="1:3">
      <c r="A11" s="36" t="s">
        <v>10</v>
      </c>
      <c r="B11">
        <v>2</v>
      </c>
      <c r="C11">
        <v>226228</v>
      </c>
    </row>
    <row r="12" spans="1:3">
      <c r="A12" s="36" t="s">
        <v>11</v>
      </c>
      <c r="B12">
        <v>6</v>
      </c>
      <c r="C12">
        <v>678453</v>
      </c>
    </row>
    <row r="13" spans="1:3">
      <c r="A13" s="36" t="s">
        <v>12</v>
      </c>
      <c r="B13">
        <v>2</v>
      </c>
      <c r="C13">
        <v>226524</v>
      </c>
    </row>
    <row r="14" spans="1:3">
      <c r="A14" s="36" t="s">
        <v>13</v>
      </c>
      <c r="B14">
        <v>2</v>
      </c>
      <c r="C14">
        <v>226052</v>
      </c>
    </row>
    <row r="15" spans="1:3">
      <c r="A15" s="36" t="s">
        <v>14</v>
      </c>
      <c r="B15">
        <v>30</v>
      </c>
      <c r="C15">
        <v>3282852</v>
      </c>
    </row>
    <row r="16" spans="1:3">
      <c r="A16" s="36" t="s">
        <v>15</v>
      </c>
      <c r="B16">
        <v>2</v>
      </c>
      <c r="C16">
        <v>225824</v>
      </c>
    </row>
    <row r="17" spans="1:3">
      <c r="A17" s="36" t="s">
        <v>16</v>
      </c>
      <c r="B17">
        <v>2</v>
      </c>
      <c r="C17">
        <v>112995</v>
      </c>
    </row>
    <row r="18" spans="1:3">
      <c r="A18" s="36" t="s">
        <v>17</v>
      </c>
      <c r="B18">
        <v>3</v>
      </c>
      <c r="C18">
        <v>339182</v>
      </c>
    </row>
    <row r="19" spans="1:3">
      <c r="A19" s="36" t="s">
        <v>18</v>
      </c>
      <c r="B19">
        <v>2</v>
      </c>
      <c r="C19">
        <v>226551</v>
      </c>
    </row>
    <row r="20" spans="1:3">
      <c r="A20" s="36" t="s">
        <v>19</v>
      </c>
      <c r="B20">
        <v>2</v>
      </c>
      <c r="C20">
        <v>226080</v>
      </c>
    </row>
    <row r="21" spans="1:3">
      <c r="A21" s="36" t="s">
        <v>20</v>
      </c>
      <c r="B21">
        <v>2</v>
      </c>
      <c r="C21">
        <v>113266</v>
      </c>
    </row>
    <row r="22" spans="1:3">
      <c r="A22" s="36" t="s">
        <v>21</v>
      </c>
      <c r="B22">
        <v>3</v>
      </c>
      <c r="C22">
        <v>339378</v>
      </c>
    </row>
    <row r="23" spans="1:3">
      <c r="A23" s="36" t="s">
        <v>22</v>
      </c>
      <c r="B23">
        <v>12</v>
      </c>
      <c r="C23">
        <v>1357298</v>
      </c>
    </row>
    <row r="24" spans="1:3">
      <c r="A24" s="36" t="s">
        <v>23</v>
      </c>
      <c r="B24">
        <v>8</v>
      </c>
      <c r="C24">
        <v>905437</v>
      </c>
    </row>
    <row r="25" spans="1:3">
      <c r="A25" s="36" t="s">
        <v>24</v>
      </c>
      <c r="B25">
        <v>1</v>
      </c>
      <c r="C25">
        <v>113210</v>
      </c>
    </row>
    <row r="26" spans="1:3">
      <c r="A26" s="36" t="s">
        <v>25</v>
      </c>
      <c r="B26">
        <v>3</v>
      </c>
      <c r="C26">
        <v>339858</v>
      </c>
    </row>
    <row r="27" spans="1:3">
      <c r="A27" s="36" t="s">
        <v>26</v>
      </c>
      <c r="B27">
        <v>21</v>
      </c>
      <c r="C27">
        <v>2374777</v>
      </c>
    </row>
    <row r="28" spans="1:3">
      <c r="A28" s="36" t="s">
        <v>27</v>
      </c>
      <c r="B28">
        <v>3</v>
      </c>
      <c r="C28">
        <v>339303</v>
      </c>
    </row>
    <row r="29" spans="1:3">
      <c r="A29" s="36" t="s">
        <v>28</v>
      </c>
      <c r="B29">
        <v>39</v>
      </c>
      <c r="C29">
        <v>4412430</v>
      </c>
    </row>
    <row r="30" spans="1:3">
      <c r="A30" s="36" t="s">
        <v>29</v>
      </c>
      <c r="B30">
        <v>1</v>
      </c>
      <c r="C30">
        <v>113228</v>
      </c>
    </row>
    <row r="31" spans="1:3">
      <c r="A31" s="36" t="s">
        <v>30</v>
      </c>
      <c r="B31">
        <v>28</v>
      </c>
      <c r="C31">
        <v>2940088</v>
      </c>
    </row>
    <row r="32" spans="1:3">
      <c r="A32" s="36" t="s">
        <v>31</v>
      </c>
      <c r="B32">
        <v>22</v>
      </c>
      <c r="C32">
        <v>2036966</v>
      </c>
    </row>
    <row r="33" spans="1:3">
      <c r="A33" s="36" t="s">
        <v>32</v>
      </c>
      <c r="B33">
        <v>3</v>
      </c>
      <c r="C33">
        <v>339541</v>
      </c>
    </row>
    <row r="34" spans="1:3">
      <c r="A34" s="36" t="s">
        <v>33</v>
      </c>
      <c r="B34">
        <v>2</v>
      </c>
      <c r="C34">
        <v>226309</v>
      </c>
    </row>
    <row r="35" spans="1:3">
      <c r="A35" s="36" t="s">
        <v>34</v>
      </c>
      <c r="B35">
        <v>2</v>
      </c>
      <c r="C35">
        <v>226158</v>
      </c>
    </row>
    <row r="36" spans="1:3">
      <c r="A36" s="36" t="s">
        <v>35</v>
      </c>
      <c r="B36">
        <v>2</v>
      </c>
      <c r="C36">
        <v>226276</v>
      </c>
    </row>
    <row r="37" spans="1:3">
      <c r="A37" s="36" t="s">
        <v>36</v>
      </c>
      <c r="B37">
        <v>2</v>
      </c>
      <c r="C37">
        <v>226303</v>
      </c>
    </row>
    <row r="38" spans="1:3">
      <c r="A38" s="36" t="s">
        <v>37</v>
      </c>
      <c r="B38">
        <v>2</v>
      </c>
      <c r="C38">
        <v>226089</v>
      </c>
    </row>
    <row r="39" spans="1:3">
      <c r="A39" s="36" t="s">
        <v>38</v>
      </c>
      <c r="B39">
        <v>31</v>
      </c>
      <c r="C39">
        <v>3508190</v>
      </c>
    </row>
    <row r="40" spans="1:3">
      <c r="A40" s="36" t="s">
        <v>39</v>
      </c>
      <c r="B40">
        <v>18</v>
      </c>
      <c r="C40">
        <v>1832407</v>
      </c>
    </row>
    <row r="41" spans="1:3">
      <c r="A41" s="36" t="s">
        <v>40</v>
      </c>
      <c r="B41">
        <v>3</v>
      </c>
      <c r="C41">
        <v>339108</v>
      </c>
    </row>
    <row r="42" spans="1:3">
      <c r="A42" s="36" t="s">
        <v>41</v>
      </c>
      <c r="B42">
        <v>2</v>
      </c>
      <c r="C42">
        <v>225950</v>
      </c>
    </row>
    <row r="43" spans="1:3">
      <c r="A43" s="36" t="s">
        <v>42</v>
      </c>
      <c r="B43">
        <v>4</v>
      </c>
      <c r="C43">
        <v>452412</v>
      </c>
    </row>
    <row r="44" spans="1:3">
      <c r="A44" s="36" t="s">
        <v>43</v>
      </c>
      <c r="B44">
        <v>3</v>
      </c>
      <c r="C44">
        <v>339049</v>
      </c>
    </row>
    <row r="45" spans="1:3">
      <c r="A45" s="36" t="s">
        <v>44</v>
      </c>
      <c r="B45">
        <v>3</v>
      </c>
      <c r="C45">
        <v>339143</v>
      </c>
    </row>
    <row r="46" spans="1:3">
      <c r="A46" s="36" t="s">
        <v>45</v>
      </c>
      <c r="B46">
        <v>4</v>
      </c>
      <c r="C46">
        <v>453228</v>
      </c>
    </row>
    <row r="47" spans="1:3">
      <c r="A47" s="36" t="s">
        <v>46</v>
      </c>
      <c r="B47">
        <v>2</v>
      </c>
      <c r="C47">
        <v>226491</v>
      </c>
    </row>
    <row r="48" spans="1:3">
      <c r="A48" s="36" t="s">
        <v>47</v>
      </c>
      <c r="B48">
        <v>2</v>
      </c>
      <c r="C48">
        <v>226061</v>
      </c>
    </row>
    <row r="49" spans="1:3">
      <c r="A49" s="36" t="s">
        <v>48</v>
      </c>
      <c r="B49">
        <v>8</v>
      </c>
      <c r="C49">
        <v>904850</v>
      </c>
    </row>
    <row r="50" spans="1:3">
      <c r="A50" s="36" t="s">
        <v>49</v>
      </c>
      <c r="B50">
        <v>1</v>
      </c>
      <c r="C50">
        <v>113110</v>
      </c>
    </row>
    <row r="51" spans="1:3">
      <c r="A51" s="36" t="s">
        <v>50</v>
      </c>
      <c r="B51">
        <v>2</v>
      </c>
      <c r="C51">
        <v>226180</v>
      </c>
    </row>
    <row r="52" spans="1:3">
      <c r="A52" s="36" t="s">
        <v>51</v>
      </c>
      <c r="B52">
        <v>11</v>
      </c>
      <c r="C52">
        <v>1244934</v>
      </c>
    </row>
    <row r="53" spans="1:3">
      <c r="A53" s="36" t="s">
        <v>52</v>
      </c>
      <c r="B53">
        <v>7</v>
      </c>
      <c r="C53">
        <v>791440</v>
      </c>
    </row>
    <row r="54" spans="1:3">
      <c r="A54" s="36" t="s">
        <v>53</v>
      </c>
      <c r="B54">
        <v>7</v>
      </c>
      <c r="C54">
        <v>792512</v>
      </c>
    </row>
    <row r="55" spans="1:3">
      <c r="A55" s="36" t="s">
        <v>54</v>
      </c>
      <c r="B55">
        <v>31</v>
      </c>
      <c r="C55">
        <v>3393909</v>
      </c>
    </row>
    <row r="56" spans="1:3">
      <c r="A56" s="36" t="s">
        <v>55</v>
      </c>
      <c r="B56">
        <v>4</v>
      </c>
      <c r="C56">
        <v>451358</v>
      </c>
    </row>
    <row r="57" spans="1:3">
      <c r="A57" s="36" t="s">
        <v>56</v>
      </c>
      <c r="B57">
        <v>7</v>
      </c>
      <c r="C57">
        <v>791147</v>
      </c>
    </row>
    <row r="58" spans="1:3">
      <c r="A58" s="36" t="s">
        <v>57</v>
      </c>
      <c r="B58">
        <v>1</v>
      </c>
      <c r="C58">
        <v>112936</v>
      </c>
    </row>
    <row r="59" spans="1:3">
      <c r="A59" s="36" t="s">
        <v>58</v>
      </c>
      <c r="B59">
        <v>155</v>
      </c>
      <c r="C59">
        <v>23644301</v>
      </c>
    </row>
    <row r="60" spans="1:3">
      <c r="A60" s="36" t="s">
        <v>59</v>
      </c>
      <c r="B60">
        <v>14</v>
      </c>
      <c r="C60">
        <v>1583660</v>
      </c>
    </row>
    <row r="61" spans="1:3">
      <c r="A61" s="36" t="s">
        <v>60</v>
      </c>
      <c r="B61">
        <v>1</v>
      </c>
      <c r="C61">
        <v>113196</v>
      </c>
    </row>
    <row r="62" spans="1:3">
      <c r="A62" s="36" t="s">
        <v>61</v>
      </c>
      <c r="B62">
        <v>1</v>
      </c>
      <c r="C62">
        <v>113107</v>
      </c>
    </row>
    <row r="63" spans="1:3">
      <c r="A63" s="36" t="s">
        <v>62</v>
      </c>
      <c r="B63">
        <v>1</v>
      </c>
      <c r="C63">
        <v>113256</v>
      </c>
    </row>
    <row r="64" spans="1:3">
      <c r="A64" s="36" t="s">
        <v>63</v>
      </c>
      <c r="B64">
        <v>1</v>
      </c>
      <c r="C64">
        <v>113239</v>
      </c>
    </row>
    <row r="65" spans="1:3">
      <c r="A65" s="36" t="s">
        <v>64</v>
      </c>
      <c r="B65">
        <v>6</v>
      </c>
      <c r="C65">
        <v>678529</v>
      </c>
    </row>
    <row r="66" spans="1:3">
      <c r="A66" s="36" t="s">
        <v>65</v>
      </c>
      <c r="B66">
        <v>2</v>
      </c>
      <c r="C66">
        <v>225910</v>
      </c>
    </row>
    <row r="67" spans="1:3">
      <c r="A67" s="36" t="s">
        <v>66</v>
      </c>
      <c r="B67">
        <v>2</v>
      </c>
      <c r="C67">
        <v>226646</v>
      </c>
    </row>
    <row r="68" spans="1:3">
      <c r="A68" s="36" t="s">
        <v>67</v>
      </c>
      <c r="B68">
        <v>574</v>
      </c>
      <c r="C68">
        <v>69709509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95"/>
  <sheetViews>
    <sheetView showGridLines="0" zoomScaleNormal="100" workbookViewId="0">
      <selection activeCell="B94" sqref="B94"/>
    </sheetView>
  </sheetViews>
  <sheetFormatPr baseColWidth="10" defaultColWidth="11.59765625" defaultRowHeight="13"/>
  <cols>
    <col min="1" max="1" width="3.3984375" style="3" customWidth="1"/>
    <col min="2" max="2" width="47" style="1" customWidth="1"/>
    <col min="3" max="3" width="26.5" style="1" customWidth="1"/>
    <col min="4" max="4" width="24.5" style="123" customWidth="1"/>
    <col min="5" max="5" width="45.5" style="156" customWidth="1"/>
    <col min="6" max="6" width="46.59765625" style="2" customWidth="1"/>
    <col min="7" max="7" width="28.8984375" style="168" customWidth="1"/>
    <col min="8" max="8" width="10.8984375" style="4" customWidth="1"/>
    <col min="9" max="9" width="20.8984375" style="4" customWidth="1"/>
    <col min="10" max="10" width="19.69921875" style="4" customWidth="1"/>
    <col min="11" max="11" width="51" style="1" customWidth="1"/>
    <col min="12" max="12" width="18.8984375" style="1" customWidth="1"/>
    <col min="13" max="13" width="54.59765625" style="1" customWidth="1"/>
    <col min="14" max="14" width="21.09765625" style="1" customWidth="1"/>
    <col min="15" max="15" width="65.296875" style="3" customWidth="1"/>
    <col min="16" max="16384" width="11.59765625" style="3"/>
  </cols>
  <sheetData>
    <row r="1" spans="2:60">
      <c r="N1" s="373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49"/>
      <c r="BC1" s="349"/>
      <c r="BD1" s="349"/>
      <c r="BE1" s="349"/>
      <c r="BF1" s="349"/>
      <c r="BG1" s="349"/>
      <c r="BH1" s="349"/>
    </row>
    <row r="2" spans="2:60" ht="19" thickBot="1">
      <c r="B2" s="5" t="s">
        <v>89</v>
      </c>
      <c r="C2" s="6"/>
      <c r="D2" s="122"/>
      <c r="E2" s="155"/>
      <c r="F2" s="155"/>
      <c r="G2" s="155"/>
      <c r="H2" s="29"/>
      <c r="I2" s="30"/>
      <c r="J2" s="30"/>
      <c r="K2" s="31"/>
      <c r="L2" s="31"/>
      <c r="M2" s="31"/>
      <c r="N2" s="373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49"/>
      <c r="AZ2" s="349"/>
      <c r="BA2" s="349"/>
      <c r="BB2" s="349"/>
      <c r="BC2" s="349"/>
      <c r="BD2" s="349"/>
      <c r="BE2" s="349"/>
      <c r="BF2" s="349"/>
      <c r="BG2" s="349"/>
      <c r="BH2" s="349"/>
    </row>
    <row r="3" spans="2:60">
      <c r="I3" s="30"/>
      <c r="J3" s="30"/>
      <c r="K3" s="31"/>
      <c r="L3" s="31"/>
      <c r="M3" s="31"/>
      <c r="N3" s="373"/>
      <c r="O3" s="349"/>
      <c r="P3" s="349"/>
      <c r="Q3" s="349"/>
      <c r="R3" s="349"/>
      <c r="S3" s="349"/>
      <c r="T3" s="349"/>
      <c r="U3" s="349"/>
      <c r="V3" s="349"/>
      <c r="W3" s="349"/>
      <c r="X3" s="349"/>
      <c r="Y3" s="349"/>
      <c r="Z3" s="349"/>
      <c r="AA3" s="349"/>
      <c r="AB3" s="349"/>
      <c r="AC3" s="349"/>
      <c r="AD3" s="349"/>
      <c r="AE3" s="349"/>
      <c r="AF3" s="349"/>
      <c r="AG3" s="349"/>
      <c r="AH3" s="349"/>
      <c r="AI3" s="349"/>
      <c r="AJ3" s="349"/>
      <c r="AK3" s="349"/>
      <c r="AL3" s="349"/>
      <c r="AM3" s="349"/>
      <c r="AN3" s="349"/>
      <c r="AO3" s="349"/>
      <c r="AP3" s="349"/>
      <c r="AQ3" s="349"/>
      <c r="AR3" s="349"/>
      <c r="AS3" s="349"/>
      <c r="AT3" s="349"/>
      <c r="AU3" s="349"/>
      <c r="AV3" s="349"/>
      <c r="AW3" s="349"/>
      <c r="AX3" s="349"/>
      <c r="AY3" s="349"/>
      <c r="AZ3" s="349"/>
      <c r="BA3" s="349"/>
      <c r="BB3" s="349"/>
      <c r="BC3" s="349"/>
      <c r="BD3" s="349"/>
      <c r="BE3" s="349"/>
      <c r="BF3" s="349"/>
      <c r="BG3" s="349"/>
      <c r="BH3" s="349"/>
    </row>
    <row r="4" spans="2:60" ht="15.75" customHeight="1">
      <c r="B4" s="379" t="s">
        <v>367</v>
      </c>
      <c r="C4" s="379"/>
      <c r="D4" s="379"/>
      <c r="F4" s="380"/>
      <c r="G4" s="380"/>
      <c r="I4" s="8" t="s">
        <v>90</v>
      </c>
      <c r="J4" s="8" t="s">
        <v>91</v>
      </c>
      <c r="K4" s="8" t="s">
        <v>92</v>
      </c>
      <c r="L4" s="8"/>
      <c r="M4" s="8"/>
      <c r="N4" s="373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49"/>
      <c r="AO4" s="349"/>
      <c r="AP4" s="349"/>
      <c r="AQ4" s="349"/>
      <c r="AR4" s="349"/>
      <c r="AS4" s="349"/>
      <c r="AT4" s="349"/>
      <c r="AU4" s="349"/>
      <c r="AV4" s="349"/>
      <c r="AW4" s="349"/>
      <c r="AX4" s="349"/>
      <c r="AY4" s="349"/>
      <c r="AZ4" s="349"/>
      <c r="BA4" s="349"/>
      <c r="BB4" s="349"/>
      <c r="BC4" s="349"/>
      <c r="BD4" s="349"/>
      <c r="BE4" s="349"/>
      <c r="BF4" s="349"/>
      <c r="BG4" s="349"/>
      <c r="BH4" s="349"/>
    </row>
    <row r="5" spans="2:60" ht="14.5">
      <c r="B5" s="381" t="s">
        <v>93</v>
      </c>
      <c r="C5" s="7" t="s">
        <v>94</v>
      </c>
      <c r="D5" s="383" t="s">
        <v>95</v>
      </c>
      <c r="E5" s="13"/>
      <c r="F5" s="385"/>
      <c r="G5" s="181"/>
      <c r="H5" s="182"/>
      <c r="I5" s="32" t="s">
        <v>96</v>
      </c>
      <c r="J5" s="110">
        <v>61167</v>
      </c>
      <c r="K5" s="33">
        <v>1398534723</v>
      </c>
      <c r="L5" s="33"/>
      <c r="M5" s="33"/>
      <c r="N5" s="373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49"/>
      <c r="AU5" s="349"/>
      <c r="AV5" s="349"/>
      <c r="AW5" s="349"/>
      <c r="AX5" s="349"/>
      <c r="AY5" s="349"/>
      <c r="AZ5" s="349"/>
      <c r="BA5" s="349"/>
      <c r="BB5" s="349"/>
      <c r="BC5" s="349"/>
      <c r="BD5" s="349"/>
      <c r="BE5" s="349"/>
      <c r="BF5" s="349"/>
      <c r="BG5" s="349"/>
      <c r="BH5" s="349"/>
    </row>
    <row r="6" spans="2:60">
      <c r="B6" s="382"/>
      <c r="C6" s="9">
        <v>46082</v>
      </c>
      <c r="D6" s="384"/>
      <c r="E6" s="13"/>
      <c r="F6" s="385"/>
      <c r="G6" s="183"/>
      <c r="H6" s="182"/>
      <c r="I6" s="34"/>
      <c r="J6" s="111"/>
      <c r="K6" s="35"/>
      <c r="L6" s="35"/>
      <c r="M6" s="35"/>
      <c r="N6" s="373"/>
      <c r="O6" s="349"/>
      <c r="P6" s="349"/>
      <c r="Q6" s="349"/>
      <c r="R6" s="349"/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49"/>
      <c r="AZ6" s="349"/>
      <c r="BA6" s="349"/>
      <c r="BB6" s="349"/>
      <c r="BC6" s="349"/>
      <c r="BD6" s="349"/>
      <c r="BE6" s="349"/>
      <c r="BF6" s="349"/>
      <c r="BG6" s="349"/>
      <c r="BH6" s="349"/>
    </row>
    <row r="7" spans="2:60">
      <c r="B7" s="10" t="s">
        <v>97</v>
      </c>
      <c r="C7" s="11">
        <v>352</v>
      </c>
      <c r="D7" s="124">
        <f>+C7/C10</f>
        <v>1</v>
      </c>
      <c r="E7" s="13"/>
      <c r="F7" s="180"/>
      <c r="G7" s="183"/>
      <c r="H7" s="182"/>
      <c r="I7" s="34"/>
      <c r="J7" s="111"/>
      <c r="K7" s="35"/>
      <c r="L7" s="35"/>
      <c r="M7" s="35"/>
      <c r="N7" s="373"/>
      <c r="O7" s="349"/>
      <c r="P7" s="349"/>
      <c r="Q7" s="349"/>
      <c r="R7" s="349"/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49"/>
      <c r="AH7" s="349"/>
      <c r="AI7" s="349"/>
      <c r="AJ7" s="349"/>
      <c r="AK7" s="349"/>
      <c r="AL7" s="349"/>
      <c r="AM7" s="349"/>
      <c r="AN7" s="349"/>
      <c r="AO7" s="349"/>
      <c r="AP7" s="349"/>
      <c r="AQ7" s="349"/>
      <c r="AR7" s="349"/>
      <c r="AS7" s="349"/>
      <c r="AT7" s="349"/>
      <c r="AU7" s="349"/>
      <c r="AV7" s="349"/>
      <c r="AW7" s="349"/>
      <c r="AX7" s="349"/>
      <c r="AY7" s="349"/>
      <c r="AZ7" s="349"/>
      <c r="BA7" s="349"/>
      <c r="BB7" s="349"/>
      <c r="BC7" s="349"/>
      <c r="BD7" s="349"/>
      <c r="BE7" s="349"/>
      <c r="BF7" s="349"/>
      <c r="BG7" s="349"/>
      <c r="BH7" s="349"/>
    </row>
    <row r="8" spans="2:60">
      <c r="B8" s="11" t="s">
        <v>98</v>
      </c>
      <c r="C8" s="11">
        <f>+C7-C9</f>
        <v>305</v>
      </c>
      <c r="D8" s="124">
        <f>+C8/C10</f>
        <v>0.86647727272727271</v>
      </c>
      <c r="E8" s="157"/>
      <c r="F8" s="184"/>
      <c r="G8" s="185"/>
      <c r="H8" s="186"/>
      <c r="I8" s="34"/>
      <c r="J8" s="111"/>
      <c r="K8" s="35"/>
      <c r="L8" s="35"/>
      <c r="M8" s="35"/>
      <c r="N8" s="373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49"/>
      <c r="AW8" s="349"/>
      <c r="AX8" s="349"/>
      <c r="AY8" s="349"/>
      <c r="AZ8" s="349"/>
      <c r="BA8" s="349"/>
      <c r="BB8" s="349"/>
      <c r="BC8" s="349"/>
      <c r="BD8" s="349"/>
      <c r="BE8" s="349"/>
      <c r="BF8" s="349"/>
      <c r="BG8" s="349"/>
      <c r="BH8" s="349"/>
    </row>
    <row r="9" spans="2:60" ht="13.4" customHeight="1">
      <c r="B9" s="11" t="s">
        <v>99</v>
      </c>
      <c r="C9" s="11">
        <v>47</v>
      </c>
      <c r="D9" s="124">
        <f>+C9/C10</f>
        <v>0.13352272727272727</v>
      </c>
      <c r="E9" s="157"/>
      <c r="F9" s="184"/>
      <c r="G9" s="185"/>
      <c r="H9" s="186"/>
      <c r="I9" s="34"/>
      <c r="J9" s="111"/>
      <c r="K9" s="35"/>
      <c r="L9" s="35"/>
      <c r="M9" s="35"/>
      <c r="N9" s="373"/>
      <c r="O9" s="349"/>
      <c r="P9" s="349"/>
      <c r="Q9" s="349"/>
      <c r="R9" s="349"/>
      <c r="S9" s="349"/>
      <c r="T9" s="349"/>
      <c r="U9" s="349"/>
      <c r="V9" s="349"/>
      <c r="W9" s="349"/>
      <c r="X9" s="349"/>
      <c r="Y9" s="349"/>
      <c r="Z9" s="349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49"/>
      <c r="AL9" s="349"/>
      <c r="AM9" s="349"/>
      <c r="AN9" s="349"/>
      <c r="AO9" s="349"/>
      <c r="AP9" s="349"/>
      <c r="AQ9" s="349"/>
      <c r="AR9" s="349"/>
      <c r="AS9" s="349"/>
      <c r="AT9" s="349"/>
      <c r="AU9" s="349"/>
      <c r="AV9" s="349"/>
      <c r="AW9" s="349"/>
      <c r="AX9" s="349"/>
      <c r="AY9" s="349"/>
      <c r="AZ9" s="349"/>
      <c r="BA9" s="349"/>
      <c r="BB9" s="349"/>
      <c r="BC9" s="349"/>
      <c r="BD9" s="349"/>
      <c r="BE9" s="349"/>
      <c r="BF9" s="349"/>
      <c r="BG9" s="349"/>
      <c r="BH9" s="349"/>
    </row>
    <row r="10" spans="2:60">
      <c r="B10" s="12" t="s">
        <v>100</v>
      </c>
      <c r="C10" s="12">
        <f>+C8+C9</f>
        <v>352</v>
      </c>
      <c r="D10" s="125">
        <v>1</v>
      </c>
      <c r="E10" s="158"/>
      <c r="F10" s="187"/>
      <c r="G10" s="188"/>
      <c r="H10" s="189"/>
      <c r="I10" s="34"/>
      <c r="J10" s="111"/>
      <c r="K10" s="35"/>
      <c r="L10" s="35"/>
      <c r="M10" s="35"/>
      <c r="N10" s="373"/>
      <c r="O10" s="349"/>
      <c r="P10" s="349"/>
      <c r="Q10" s="349"/>
      <c r="R10" s="349"/>
      <c r="S10" s="349"/>
      <c r="T10" s="349"/>
      <c r="U10" s="349"/>
      <c r="V10" s="349"/>
      <c r="W10" s="349"/>
      <c r="X10" s="349"/>
      <c r="Y10" s="349"/>
      <c r="Z10" s="349"/>
      <c r="AA10" s="349"/>
      <c r="AB10" s="349"/>
      <c r="AC10" s="349"/>
      <c r="AD10" s="349"/>
      <c r="AE10" s="349"/>
      <c r="AF10" s="349"/>
      <c r="AG10" s="349"/>
      <c r="AH10" s="349"/>
      <c r="AI10" s="349"/>
      <c r="AJ10" s="349"/>
      <c r="AK10" s="349"/>
      <c r="AL10" s="349"/>
      <c r="AM10" s="349"/>
      <c r="AN10" s="349"/>
      <c r="AO10" s="349"/>
      <c r="AP10" s="349"/>
      <c r="AQ10" s="349"/>
      <c r="AR10" s="349"/>
      <c r="AS10" s="349"/>
      <c r="AT10" s="349"/>
      <c r="AU10" s="349"/>
      <c r="AV10" s="349"/>
      <c r="AW10" s="349"/>
      <c r="AX10" s="349"/>
      <c r="AY10" s="349"/>
      <c r="AZ10" s="349"/>
      <c r="BA10" s="349"/>
      <c r="BB10" s="349"/>
      <c r="BC10" s="349"/>
      <c r="BD10" s="349"/>
      <c r="BE10" s="349"/>
      <c r="BF10" s="349"/>
      <c r="BG10" s="349"/>
      <c r="BH10" s="349"/>
    </row>
    <row r="11" spans="2:60">
      <c r="F11" s="190"/>
      <c r="G11" s="199"/>
      <c r="H11" s="182"/>
      <c r="I11" s="34"/>
      <c r="J11" s="111"/>
      <c r="K11" s="35"/>
      <c r="L11" s="35"/>
      <c r="M11" s="35"/>
      <c r="N11" s="373"/>
      <c r="O11" s="349"/>
      <c r="P11" s="349"/>
      <c r="Q11" s="349"/>
      <c r="R11" s="349"/>
      <c r="S11" s="349"/>
      <c r="T11" s="349"/>
      <c r="U11" s="349"/>
      <c r="V11" s="349"/>
      <c r="W11" s="349"/>
      <c r="X11" s="349"/>
      <c r="Y11" s="349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49"/>
      <c r="AL11" s="349"/>
      <c r="AM11" s="349"/>
      <c r="AN11" s="349"/>
      <c r="AO11" s="349"/>
      <c r="AP11" s="349"/>
      <c r="AQ11" s="349"/>
      <c r="AR11" s="349"/>
      <c r="AS11" s="349"/>
      <c r="AT11" s="349"/>
      <c r="AU11" s="349"/>
      <c r="AV11" s="349"/>
      <c r="AW11" s="349"/>
      <c r="AX11" s="349"/>
      <c r="AY11" s="349"/>
      <c r="AZ11" s="349"/>
      <c r="BA11" s="349"/>
      <c r="BB11" s="349"/>
      <c r="BC11" s="349"/>
      <c r="BD11" s="349"/>
      <c r="BE11" s="349"/>
      <c r="BF11" s="349"/>
      <c r="BG11" s="349"/>
      <c r="BH11" s="349"/>
    </row>
    <row r="12" spans="2:60">
      <c r="I12" s="34"/>
      <c r="J12" s="111"/>
      <c r="K12" s="35"/>
      <c r="L12" s="35"/>
      <c r="M12" s="35"/>
      <c r="N12" s="373"/>
      <c r="O12" s="349"/>
      <c r="P12" s="349"/>
      <c r="Q12" s="349"/>
      <c r="R12" s="349"/>
      <c r="S12" s="349"/>
      <c r="T12" s="349"/>
      <c r="U12" s="349"/>
      <c r="V12" s="349"/>
      <c r="W12" s="349"/>
      <c r="X12" s="349"/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349"/>
      <c r="AU12" s="349"/>
      <c r="AV12" s="349"/>
      <c r="AW12" s="349"/>
      <c r="AX12" s="349"/>
      <c r="AY12" s="349"/>
      <c r="AZ12" s="349"/>
      <c r="BA12" s="349"/>
      <c r="BB12" s="349"/>
      <c r="BC12" s="349"/>
      <c r="BD12" s="349"/>
      <c r="BE12" s="349"/>
      <c r="BF12" s="349"/>
      <c r="BG12" s="349"/>
      <c r="BH12" s="349"/>
    </row>
    <row r="13" spans="2:60">
      <c r="I13" s="34"/>
      <c r="J13" s="111"/>
      <c r="K13" s="35"/>
      <c r="L13" s="35"/>
      <c r="M13" s="35"/>
      <c r="N13" s="373"/>
      <c r="O13" s="349"/>
      <c r="P13" s="349"/>
      <c r="Q13" s="349"/>
      <c r="R13" s="349"/>
      <c r="S13" s="349"/>
      <c r="T13" s="349"/>
      <c r="U13" s="349"/>
      <c r="V13" s="349"/>
      <c r="W13" s="349"/>
      <c r="X13" s="349"/>
      <c r="Y13" s="349"/>
      <c r="Z13" s="349"/>
      <c r="AA13" s="349"/>
      <c r="AB13" s="349"/>
      <c r="AC13" s="349"/>
      <c r="AD13" s="349"/>
      <c r="AE13" s="349"/>
      <c r="AF13" s="349"/>
      <c r="AG13" s="349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  <c r="AY13" s="349"/>
      <c r="AZ13" s="349"/>
      <c r="BA13" s="349"/>
      <c r="BB13" s="349"/>
      <c r="BC13" s="349"/>
      <c r="BD13" s="349"/>
      <c r="BE13" s="349"/>
      <c r="BF13" s="349"/>
      <c r="BG13" s="349"/>
      <c r="BH13" s="349"/>
    </row>
    <row r="14" spans="2:60">
      <c r="B14" s="7" t="s">
        <v>101</v>
      </c>
      <c r="C14" s="9">
        <v>46082</v>
      </c>
      <c r="D14" s="126" t="s">
        <v>102</v>
      </c>
      <c r="F14" s="13"/>
      <c r="G14" s="14"/>
      <c r="I14" s="34"/>
      <c r="J14" s="111"/>
      <c r="K14" s="35"/>
      <c r="L14" s="35"/>
      <c r="M14" s="35"/>
      <c r="N14" s="373"/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  <c r="AY14" s="349"/>
      <c r="AZ14" s="349"/>
      <c r="BA14" s="349"/>
      <c r="BB14" s="349"/>
      <c r="BC14" s="349"/>
      <c r="BD14" s="349"/>
      <c r="BE14" s="349"/>
      <c r="BF14" s="349"/>
      <c r="BG14" s="349"/>
      <c r="BH14" s="349"/>
    </row>
    <row r="15" spans="2:60">
      <c r="B15" s="161" t="s">
        <v>795</v>
      </c>
      <c r="C15" s="162">
        <v>2</v>
      </c>
      <c r="D15" s="127">
        <f>+J40+J41</f>
        <v>144000000</v>
      </c>
      <c r="E15" s="159"/>
      <c r="F15" s="15"/>
      <c r="G15" s="1"/>
      <c r="I15" s="34"/>
      <c r="J15" s="111"/>
      <c r="K15" s="35"/>
      <c r="L15" s="35"/>
      <c r="M15" s="35"/>
      <c r="N15" s="373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  <c r="AY15" s="349"/>
      <c r="AZ15" s="349"/>
      <c r="BA15" s="349"/>
      <c r="BB15" s="349"/>
      <c r="BC15" s="349"/>
      <c r="BD15" s="349"/>
      <c r="BE15" s="349"/>
      <c r="BF15" s="349"/>
      <c r="BG15" s="349"/>
      <c r="BH15" s="349"/>
    </row>
    <row r="16" spans="2:60">
      <c r="B16" s="191" t="s">
        <v>796</v>
      </c>
      <c r="C16" s="192"/>
      <c r="D16" s="193"/>
      <c r="E16" s="159"/>
      <c r="F16" s="15"/>
      <c r="G16" s="1"/>
      <c r="I16" s="34"/>
      <c r="J16" s="111"/>
      <c r="K16" s="35"/>
      <c r="L16" s="35"/>
      <c r="M16" s="35"/>
      <c r="N16" s="373"/>
      <c r="O16" s="349"/>
      <c r="P16" s="349"/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  <c r="AE16" s="349"/>
      <c r="AF16" s="349"/>
      <c r="AG16" s="349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  <c r="AY16" s="349"/>
      <c r="AZ16" s="349"/>
      <c r="BA16" s="349"/>
      <c r="BB16" s="349"/>
      <c r="BC16" s="349"/>
      <c r="BD16" s="349"/>
      <c r="BE16" s="349"/>
      <c r="BF16" s="349"/>
      <c r="BG16" s="349"/>
      <c r="BH16" s="349"/>
    </row>
    <row r="17" spans="2:60" ht="26">
      <c r="B17" s="194" t="s">
        <v>805</v>
      </c>
      <c r="C17" s="169">
        <v>5</v>
      </c>
      <c r="D17" s="170">
        <f>SUM(J42:J46)</f>
        <v>20709500</v>
      </c>
      <c r="E17" s="159"/>
      <c r="F17" s="15"/>
      <c r="G17" s="1"/>
      <c r="I17" s="34"/>
      <c r="J17" s="111"/>
      <c r="K17" s="35"/>
      <c r="L17" s="35"/>
      <c r="M17" s="35"/>
      <c r="N17" s="373"/>
      <c r="O17" s="349"/>
      <c r="P17" s="349"/>
      <c r="Q17" s="349"/>
      <c r="R17" s="349"/>
      <c r="S17" s="349"/>
      <c r="T17" s="349"/>
      <c r="U17" s="349"/>
      <c r="V17" s="349"/>
      <c r="W17" s="349"/>
      <c r="X17" s="349"/>
      <c r="Y17" s="349"/>
      <c r="Z17" s="349"/>
      <c r="AA17" s="349"/>
      <c r="AB17" s="349"/>
      <c r="AC17" s="349"/>
      <c r="AD17" s="349"/>
      <c r="AE17" s="349"/>
      <c r="AF17" s="349"/>
      <c r="AG17" s="349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  <c r="AW17" s="349"/>
      <c r="AX17" s="349"/>
      <c r="AY17" s="349"/>
      <c r="AZ17" s="349"/>
      <c r="BA17" s="349"/>
      <c r="BB17" s="349"/>
      <c r="BC17" s="349"/>
      <c r="BD17" s="349"/>
      <c r="BE17" s="349"/>
      <c r="BF17" s="349"/>
      <c r="BG17" s="349"/>
      <c r="BH17" s="349"/>
    </row>
    <row r="18" spans="2:60" ht="26">
      <c r="B18" s="195" t="s">
        <v>806</v>
      </c>
      <c r="C18" s="115">
        <v>5</v>
      </c>
      <c r="D18" s="128">
        <f>SUM(J47:J51)</f>
        <v>35918750</v>
      </c>
      <c r="E18" s="159"/>
      <c r="F18" s="15"/>
      <c r="G18" s="1"/>
      <c r="I18" s="34"/>
      <c r="J18" s="111"/>
      <c r="K18" s="35"/>
      <c r="L18" s="35"/>
      <c r="M18" s="35"/>
      <c r="N18" s="373"/>
      <c r="O18" s="349"/>
      <c r="P18" s="349"/>
      <c r="Q18" s="349"/>
      <c r="R18" s="349"/>
      <c r="S18" s="349"/>
      <c r="T18" s="349"/>
      <c r="U18" s="349"/>
      <c r="V18" s="349"/>
      <c r="W18" s="349"/>
      <c r="X18" s="349"/>
      <c r="Y18" s="349"/>
      <c r="Z18" s="349"/>
      <c r="AA18" s="349"/>
      <c r="AB18" s="349"/>
      <c r="AC18" s="349"/>
      <c r="AD18" s="349"/>
      <c r="AE18" s="349"/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  <c r="AY18" s="349"/>
      <c r="AZ18" s="349"/>
      <c r="BA18" s="349"/>
      <c r="BB18" s="349"/>
      <c r="BC18" s="349"/>
      <c r="BD18" s="349"/>
      <c r="BE18" s="349"/>
      <c r="BF18" s="349"/>
      <c r="BG18" s="349"/>
      <c r="BH18" s="349"/>
    </row>
    <row r="19" spans="2:60" ht="26">
      <c r="B19" s="196" t="s">
        <v>797</v>
      </c>
      <c r="C19" s="197">
        <v>1</v>
      </c>
      <c r="D19" s="198">
        <v>0</v>
      </c>
      <c r="E19" s="160"/>
      <c r="F19" s="108"/>
      <c r="G19" s="1"/>
      <c r="I19" s="34"/>
      <c r="J19" s="111"/>
      <c r="K19" s="35"/>
      <c r="L19" s="35"/>
      <c r="M19" s="35"/>
      <c r="N19" s="373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  <c r="AA19" s="349"/>
      <c r="AB19" s="349"/>
      <c r="AC19" s="349"/>
      <c r="AD19" s="349"/>
      <c r="AE19" s="349"/>
      <c r="AF19" s="349"/>
      <c r="AG19" s="349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  <c r="AY19" s="349"/>
      <c r="AZ19" s="349"/>
      <c r="BA19" s="349"/>
      <c r="BB19" s="349"/>
      <c r="BC19" s="349"/>
      <c r="BD19" s="349"/>
      <c r="BE19" s="349"/>
      <c r="BF19" s="349"/>
      <c r="BG19" s="349"/>
      <c r="BH19" s="349"/>
    </row>
    <row r="20" spans="2:60" ht="26">
      <c r="B20" s="171" t="s">
        <v>798</v>
      </c>
      <c r="C20" s="112">
        <v>10</v>
      </c>
      <c r="D20" s="130">
        <f>SUM(J81:J94)</f>
        <v>91884000</v>
      </c>
      <c r="F20" s="109"/>
      <c r="G20" s="1"/>
      <c r="I20" s="34"/>
      <c r="J20" s="111"/>
      <c r="K20" s="35"/>
      <c r="L20" s="35"/>
      <c r="M20" s="35"/>
      <c r="N20" s="373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349"/>
      <c r="AB20" s="349"/>
      <c r="AC20" s="349"/>
      <c r="AD20" s="349"/>
      <c r="AE20" s="349"/>
      <c r="AF20" s="349"/>
      <c r="AG20" s="349"/>
      <c r="AH20" s="349"/>
      <c r="AI20" s="349"/>
      <c r="AJ20" s="349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49"/>
      <c r="AX20" s="349"/>
      <c r="AY20" s="349"/>
      <c r="AZ20" s="349"/>
      <c r="BA20" s="349"/>
      <c r="BB20" s="349"/>
      <c r="BC20" s="349"/>
      <c r="BD20" s="349"/>
      <c r="BE20" s="349"/>
      <c r="BF20" s="349"/>
      <c r="BG20" s="349"/>
      <c r="BH20" s="349"/>
    </row>
    <row r="21" spans="2:60">
      <c r="B21" s="16" t="s">
        <v>103</v>
      </c>
      <c r="C21" s="17">
        <v>19</v>
      </c>
      <c r="D21" s="131">
        <f>SUM(J55:J77)</f>
        <v>318741500</v>
      </c>
      <c r="F21" s="15"/>
      <c r="G21" s="1"/>
      <c r="I21" s="34"/>
      <c r="J21" s="111"/>
      <c r="K21" s="35"/>
      <c r="L21" s="35"/>
      <c r="M21" s="35"/>
      <c r="N21" s="373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49"/>
      <c r="AX21" s="349"/>
      <c r="AY21" s="349"/>
      <c r="AZ21" s="349"/>
      <c r="BA21" s="349"/>
      <c r="BB21" s="349"/>
      <c r="BC21" s="349"/>
      <c r="BD21" s="349"/>
      <c r="BE21" s="349"/>
      <c r="BF21" s="349"/>
      <c r="BG21" s="349"/>
      <c r="BH21" s="349"/>
    </row>
    <row r="22" spans="2:60">
      <c r="B22" s="172" t="s">
        <v>799</v>
      </c>
      <c r="C22" s="173">
        <v>2</v>
      </c>
      <c r="D22" s="174">
        <f>+J53+J54</f>
        <v>23415000</v>
      </c>
      <c r="F22" s="15"/>
      <c r="G22" s="1"/>
      <c r="I22" s="34"/>
      <c r="J22" s="111"/>
      <c r="K22" s="35"/>
      <c r="L22" s="35"/>
      <c r="M22" s="35"/>
      <c r="N22" s="373"/>
      <c r="O22" s="349"/>
      <c r="P22" s="349"/>
      <c r="Q22" s="349"/>
      <c r="R22" s="349"/>
      <c r="S22" s="349"/>
      <c r="T22" s="349"/>
      <c r="U22" s="349"/>
      <c r="V22" s="349"/>
      <c r="W22" s="349"/>
      <c r="X22" s="349"/>
      <c r="Y22" s="349"/>
      <c r="Z22" s="349"/>
      <c r="AA22" s="349"/>
      <c r="AB22" s="349"/>
      <c r="AC22" s="349"/>
      <c r="AD22" s="349"/>
      <c r="AE22" s="349"/>
      <c r="AF22" s="349"/>
      <c r="AG22" s="349"/>
      <c r="AH22" s="349"/>
      <c r="AI22" s="349"/>
      <c r="AJ22" s="349"/>
      <c r="AK22" s="349"/>
      <c r="AL22" s="349"/>
      <c r="AM22" s="349"/>
      <c r="AN22" s="349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  <c r="AY22" s="349"/>
      <c r="AZ22" s="349"/>
      <c r="BA22" s="349"/>
      <c r="BB22" s="349"/>
      <c r="BC22" s="349"/>
      <c r="BD22" s="349"/>
      <c r="BE22" s="349"/>
      <c r="BF22" s="349"/>
      <c r="BG22" s="349"/>
      <c r="BH22" s="349"/>
    </row>
    <row r="23" spans="2:60" hidden="1">
      <c r="B23" s="116" t="s">
        <v>800</v>
      </c>
      <c r="C23" s="117"/>
      <c r="D23" s="129"/>
      <c r="F23" s="15"/>
      <c r="G23" s="1"/>
      <c r="I23" s="34"/>
      <c r="J23" s="111"/>
      <c r="K23" s="35"/>
      <c r="L23" s="35"/>
      <c r="M23" s="35"/>
      <c r="N23" s="373"/>
      <c r="O23" s="349"/>
      <c r="P23" s="349"/>
      <c r="Q23" s="349"/>
      <c r="R23" s="349"/>
      <c r="S23" s="349"/>
      <c r="T23" s="349"/>
      <c r="U23" s="349"/>
      <c r="V23" s="349"/>
      <c r="W23" s="349"/>
      <c r="X23" s="349"/>
      <c r="Y23" s="349"/>
      <c r="Z23" s="349"/>
      <c r="AA23" s="349"/>
      <c r="AB23" s="349"/>
      <c r="AC23" s="349"/>
      <c r="AD23" s="349"/>
      <c r="AE23" s="349"/>
      <c r="AF23" s="349"/>
      <c r="AG23" s="349"/>
      <c r="AH23" s="349"/>
      <c r="AI23" s="349"/>
      <c r="AJ23" s="349"/>
      <c r="AK23" s="349"/>
      <c r="AL23" s="349"/>
      <c r="AM23" s="349"/>
      <c r="AN23" s="349"/>
      <c r="AO23" s="349"/>
      <c r="AP23" s="349"/>
      <c r="AQ23" s="349"/>
      <c r="AR23" s="349"/>
      <c r="AS23" s="349"/>
      <c r="AT23" s="349"/>
      <c r="AU23" s="349"/>
      <c r="AV23" s="349"/>
      <c r="AW23" s="349"/>
      <c r="AX23" s="349"/>
      <c r="AY23" s="349"/>
      <c r="AZ23" s="349"/>
      <c r="BA23" s="349"/>
      <c r="BB23" s="349"/>
      <c r="BC23" s="349"/>
      <c r="BD23" s="349"/>
      <c r="BE23" s="349"/>
      <c r="BF23" s="349"/>
      <c r="BG23" s="349"/>
      <c r="BH23" s="349"/>
    </row>
    <row r="24" spans="2:60" hidden="1">
      <c r="B24" s="18" t="s">
        <v>803</v>
      </c>
      <c r="C24" s="19"/>
      <c r="D24" s="132"/>
      <c r="F24" s="15"/>
      <c r="G24" s="1"/>
      <c r="I24" s="34"/>
      <c r="J24" s="111"/>
      <c r="K24" s="35"/>
      <c r="L24" s="35"/>
      <c r="M24" s="35"/>
      <c r="N24" s="373"/>
      <c r="O24" s="349"/>
      <c r="P24" s="349"/>
      <c r="Q24" s="349"/>
      <c r="R24" s="349"/>
      <c r="S24" s="349"/>
      <c r="T24" s="349"/>
      <c r="U24" s="349"/>
      <c r="V24" s="349"/>
      <c r="W24" s="349"/>
      <c r="X24" s="349"/>
      <c r="Y24" s="349"/>
      <c r="Z24" s="349"/>
      <c r="AA24" s="349"/>
      <c r="AB24" s="349"/>
      <c r="AC24" s="349"/>
      <c r="AD24" s="349"/>
      <c r="AE24" s="349"/>
      <c r="AF24" s="349"/>
      <c r="AG24" s="349"/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  <c r="AY24" s="349"/>
      <c r="AZ24" s="349"/>
      <c r="BA24" s="349"/>
      <c r="BB24" s="349"/>
      <c r="BC24" s="349"/>
      <c r="BD24" s="349"/>
      <c r="BE24" s="349"/>
      <c r="BF24" s="349"/>
      <c r="BG24" s="349"/>
      <c r="BH24" s="349"/>
    </row>
    <row r="25" spans="2:60" hidden="1">
      <c r="B25" s="20" t="s">
        <v>801</v>
      </c>
      <c r="C25" s="21"/>
      <c r="D25" s="133"/>
      <c r="F25" s="15"/>
      <c r="G25" s="1"/>
      <c r="I25" s="34"/>
      <c r="J25" s="111"/>
      <c r="K25" s="35"/>
      <c r="L25" s="35"/>
      <c r="M25" s="35"/>
      <c r="N25" s="373"/>
      <c r="O25" s="349"/>
      <c r="P25" s="349"/>
      <c r="Q25" s="349"/>
      <c r="R25" s="349"/>
      <c r="S25" s="349"/>
      <c r="T25" s="349"/>
      <c r="U25" s="349"/>
      <c r="V25" s="349"/>
      <c r="W25" s="349"/>
      <c r="X25" s="349"/>
      <c r="Y25" s="349"/>
      <c r="Z25" s="349"/>
      <c r="AA25" s="349"/>
      <c r="AB25" s="349"/>
      <c r="AC25" s="349"/>
      <c r="AD25" s="349"/>
      <c r="AE25" s="349"/>
      <c r="AF25" s="349"/>
      <c r="AG25" s="349"/>
      <c r="AH25" s="349"/>
      <c r="AI25" s="349"/>
      <c r="AJ25" s="349"/>
      <c r="AK25" s="349"/>
      <c r="AL25" s="349"/>
      <c r="AM25" s="349"/>
      <c r="AN25" s="349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  <c r="AY25" s="349"/>
      <c r="AZ25" s="349"/>
      <c r="BA25" s="349"/>
      <c r="BB25" s="349"/>
      <c r="BC25" s="349"/>
      <c r="BD25" s="349"/>
      <c r="BE25" s="349"/>
      <c r="BF25" s="349"/>
      <c r="BG25" s="349"/>
      <c r="BH25" s="349"/>
    </row>
    <row r="26" spans="2:60">
      <c r="B26" s="22" t="s">
        <v>104</v>
      </c>
      <c r="C26" s="23">
        <v>1</v>
      </c>
      <c r="D26" s="134">
        <f>+J78</f>
        <v>300000</v>
      </c>
      <c r="F26" s="15"/>
      <c r="G26" s="1"/>
      <c r="I26" s="34"/>
      <c r="J26" s="111"/>
      <c r="K26" s="35"/>
      <c r="L26" s="35"/>
      <c r="M26" s="35"/>
      <c r="N26" s="373"/>
      <c r="O26" s="349"/>
      <c r="P26" s="349"/>
      <c r="Q26" s="349"/>
      <c r="R26" s="349"/>
      <c r="S26" s="349"/>
      <c r="T26" s="349"/>
      <c r="U26" s="349"/>
      <c r="V26" s="349"/>
      <c r="W26" s="349"/>
      <c r="X26" s="349"/>
      <c r="Y26" s="349"/>
      <c r="Z26" s="349"/>
      <c r="AA26" s="349"/>
      <c r="AB26" s="349"/>
      <c r="AC26" s="349"/>
      <c r="AD26" s="349"/>
      <c r="AE26" s="349"/>
      <c r="AF26" s="349"/>
      <c r="AG26" s="349"/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  <c r="AY26" s="349"/>
      <c r="AZ26" s="349"/>
      <c r="BA26" s="349"/>
      <c r="BB26" s="349"/>
      <c r="BC26" s="349"/>
      <c r="BD26" s="349"/>
      <c r="BE26" s="349"/>
      <c r="BF26" s="349"/>
      <c r="BG26" s="349"/>
      <c r="BH26" s="349"/>
    </row>
    <row r="27" spans="2:60" ht="13.5" hidden="1" customHeight="1">
      <c r="B27" s="24" t="s">
        <v>802</v>
      </c>
      <c r="C27" s="25"/>
      <c r="D27" s="135"/>
      <c r="G27" s="1"/>
      <c r="I27" s="34"/>
      <c r="J27" s="111"/>
      <c r="K27" s="35"/>
      <c r="L27" s="35"/>
      <c r="M27" s="35"/>
      <c r="N27" s="373"/>
      <c r="O27" s="349"/>
      <c r="P27" s="349"/>
      <c r="Q27" s="349"/>
      <c r="R27" s="349"/>
      <c r="S27" s="349"/>
      <c r="T27" s="349"/>
      <c r="U27" s="349"/>
      <c r="V27" s="349"/>
      <c r="W27" s="349"/>
      <c r="X27" s="349"/>
      <c r="Y27" s="349"/>
      <c r="Z27" s="349"/>
      <c r="AA27" s="349"/>
      <c r="AB27" s="349"/>
      <c r="AC27" s="349"/>
      <c r="AD27" s="349"/>
      <c r="AE27" s="349"/>
      <c r="AF27" s="349"/>
      <c r="AG27" s="349"/>
      <c r="AH27" s="349"/>
      <c r="AI27" s="349"/>
      <c r="AJ27" s="349"/>
      <c r="AK27" s="349"/>
      <c r="AL27" s="349"/>
      <c r="AM27" s="349"/>
      <c r="AN27" s="349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  <c r="AY27" s="349"/>
      <c r="AZ27" s="349"/>
      <c r="BA27" s="349"/>
      <c r="BB27" s="349"/>
      <c r="BC27" s="349"/>
      <c r="BD27" s="349"/>
      <c r="BE27" s="349"/>
      <c r="BF27" s="349"/>
      <c r="BG27" s="349"/>
      <c r="BH27" s="349"/>
    </row>
    <row r="28" spans="2:60" ht="13.5" customHeight="1">
      <c r="B28" s="336" t="s">
        <v>800</v>
      </c>
      <c r="C28" s="25">
        <v>2</v>
      </c>
      <c r="D28" s="337">
        <f>+J79+J80</f>
        <v>26635000</v>
      </c>
      <c r="G28" s="1"/>
      <c r="I28" s="34"/>
      <c r="J28" s="111"/>
      <c r="K28" s="35"/>
      <c r="L28" s="35"/>
      <c r="M28" s="35"/>
      <c r="N28" s="373"/>
      <c r="O28" s="349"/>
      <c r="P28" s="349"/>
      <c r="Q28" s="349"/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  <c r="AK28" s="349"/>
      <c r="AL28" s="349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49"/>
      <c r="BG28" s="349"/>
      <c r="BH28" s="349"/>
    </row>
    <row r="29" spans="2:60" ht="13.5" customHeight="1">
      <c r="B29" s="175" t="s">
        <v>374</v>
      </c>
      <c r="C29" s="176">
        <v>1</v>
      </c>
      <c r="D29" s="177">
        <f>+J95</f>
        <v>5391000</v>
      </c>
      <c r="G29" s="1"/>
      <c r="I29" s="34"/>
      <c r="J29" s="111"/>
      <c r="K29" s="35"/>
      <c r="L29" s="35"/>
      <c r="M29" s="35"/>
      <c r="N29" s="373"/>
      <c r="O29" s="349"/>
      <c r="P29" s="349"/>
      <c r="Q29" s="349"/>
      <c r="R29" s="349"/>
      <c r="S29" s="349"/>
      <c r="T29" s="349"/>
      <c r="U29" s="349"/>
      <c r="V29" s="349"/>
      <c r="W29" s="349"/>
      <c r="X29" s="349"/>
      <c r="Y29" s="349"/>
      <c r="Z29" s="349"/>
      <c r="AA29" s="349"/>
      <c r="AB29" s="349"/>
      <c r="AC29" s="349"/>
      <c r="AD29" s="349"/>
      <c r="AE29" s="349"/>
      <c r="AF29" s="349"/>
      <c r="AG29" s="349"/>
      <c r="AH29" s="349"/>
      <c r="AI29" s="349"/>
      <c r="AJ29" s="349"/>
      <c r="AK29" s="349"/>
      <c r="AL29" s="349"/>
      <c r="AM29" s="349"/>
      <c r="AN29" s="349"/>
      <c r="AO29" s="349"/>
      <c r="AP29" s="349"/>
      <c r="AQ29" s="349"/>
      <c r="AR29" s="349"/>
      <c r="AS29" s="349"/>
      <c r="AT29" s="349"/>
      <c r="AU29" s="349"/>
      <c r="AV29" s="349"/>
      <c r="AW29" s="349"/>
      <c r="AX29" s="349"/>
      <c r="AY29" s="349"/>
      <c r="AZ29" s="349"/>
      <c r="BA29" s="349"/>
      <c r="BB29" s="349"/>
      <c r="BC29" s="349"/>
      <c r="BD29" s="349"/>
      <c r="BE29" s="349"/>
      <c r="BF29" s="349"/>
      <c r="BG29" s="349"/>
      <c r="BH29" s="349"/>
    </row>
    <row r="30" spans="2:60" ht="13.5" hidden="1" customHeight="1">
      <c r="B30" s="113" t="s">
        <v>794</v>
      </c>
      <c r="C30" s="114"/>
      <c r="D30" s="136" t="e">
        <f>+Base!#REF!</f>
        <v>#REF!</v>
      </c>
      <c r="G30" s="1"/>
      <c r="I30" s="34"/>
      <c r="J30" s="111"/>
      <c r="K30" s="35"/>
      <c r="L30" s="35"/>
      <c r="M30" s="35"/>
      <c r="N30" s="373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349"/>
      <c r="AB30" s="349"/>
      <c r="AC30" s="349"/>
      <c r="AD30" s="349"/>
      <c r="AE30" s="349"/>
      <c r="AF30" s="349"/>
      <c r="AG30" s="349"/>
      <c r="AH30" s="349"/>
      <c r="AI30" s="349"/>
      <c r="AJ30" s="349"/>
      <c r="AK30" s="349"/>
      <c r="AL30" s="349"/>
      <c r="AM30" s="349"/>
      <c r="AN30" s="349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  <c r="AY30" s="349"/>
      <c r="AZ30" s="349"/>
      <c r="BA30" s="349"/>
      <c r="BB30" s="349"/>
      <c r="BC30" s="349"/>
      <c r="BD30" s="349"/>
      <c r="BE30" s="349"/>
      <c r="BF30" s="349"/>
      <c r="BG30" s="349"/>
      <c r="BH30" s="349"/>
    </row>
    <row r="31" spans="2:60">
      <c r="B31" s="26" t="s">
        <v>105</v>
      </c>
      <c r="C31" s="226">
        <f>SUM(C15:C30)</f>
        <v>48</v>
      </c>
      <c r="D31" s="137">
        <f>SUM(D15:D29)</f>
        <v>666994750</v>
      </c>
      <c r="F31" s="27"/>
      <c r="G31" s="28"/>
      <c r="I31" s="34"/>
      <c r="J31" s="111"/>
      <c r="K31" s="35"/>
      <c r="L31" s="35"/>
      <c r="M31" s="35"/>
      <c r="N31" s="373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349"/>
      <c r="AB31" s="349"/>
      <c r="AC31" s="349"/>
      <c r="AD31" s="349"/>
      <c r="AE31" s="349"/>
      <c r="AF31" s="349"/>
      <c r="AG31" s="349"/>
      <c r="AH31" s="349"/>
      <c r="AI31" s="349"/>
      <c r="AJ31" s="349"/>
      <c r="AK31" s="349"/>
      <c r="AL31" s="349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  <c r="AY31" s="349"/>
      <c r="AZ31" s="349"/>
      <c r="BA31" s="349"/>
      <c r="BB31" s="349"/>
      <c r="BC31" s="349"/>
      <c r="BD31" s="349"/>
      <c r="BE31" s="349"/>
      <c r="BF31" s="349"/>
      <c r="BG31" s="349"/>
      <c r="BH31" s="349"/>
    </row>
    <row r="32" spans="2:60">
      <c r="B32" s="4" t="s">
        <v>384</v>
      </c>
      <c r="D32" s="138"/>
      <c r="I32" s="34"/>
      <c r="J32" s="111"/>
      <c r="K32" s="35"/>
      <c r="L32" s="35"/>
      <c r="M32" s="35"/>
      <c r="N32" s="373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49"/>
      <c r="AE32" s="349"/>
      <c r="AF32" s="349"/>
      <c r="AG32" s="349"/>
      <c r="AH32" s="349"/>
      <c r="AI32" s="349"/>
      <c r="AJ32" s="349"/>
      <c r="AK32" s="349"/>
      <c r="AL32" s="349"/>
      <c r="AM32" s="349"/>
      <c r="AN32" s="349"/>
      <c r="AO32" s="349"/>
      <c r="AP32" s="349"/>
      <c r="AQ32" s="349"/>
      <c r="AR32" s="349"/>
      <c r="AS32" s="349"/>
      <c r="AT32" s="349"/>
      <c r="AU32" s="349"/>
      <c r="AV32" s="349"/>
      <c r="AW32" s="349"/>
      <c r="AX32" s="349"/>
      <c r="AY32" s="349"/>
      <c r="AZ32" s="349"/>
      <c r="BA32" s="349"/>
      <c r="BB32" s="349"/>
      <c r="BC32" s="349"/>
      <c r="BD32" s="349"/>
      <c r="BE32" s="349"/>
      <c r="BF32" s="349"/>
      <c r="BG32" s="349"/>
      <c r="BH32" s="349"/>
    </row>
    <row r="33" spans="1:60">
      <c r="I33" s="34"/>
      <c r="K33" s="35"/>
      <c r="L33" s="35"/>
      <c r="M33" s="35"/>
      <c r="N33" s="373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49"/>
      <c r="BD33" s="349"/>
      <c r="BE33" s="349"/>
      <c r="BF33" s="349"/>
      <c r="BG33" s="349"/>
      <c r="BH33" s="349"/>
    </row>
    <row r="34" spans="1:60" ht="21">
      <c r="B34" s="378" t="s">
        <v>1689</v>
      </c>
      <c r="C34" s="378"/>
      <c r="D34" s="179">
        <f>+D15</f>
        <v>144000000</v>
      </c>
      <c r="F34" s="27"/>
      <c r="G34" s="1"/>
      <c r="N34" s="373"/>
      <c r="O34" s="349"/>
      <c r="P34" s="349"/>
      <c r="Q34" s="349"/>
      <c r="R34" s="349"/>
      <c r="S34" s="349"/>
      <c r="T34" s="349"/>
      <c r="U34" s="349"/>
      <c r="V34" s="349"/>
      <c r="W34" s="349"/>
      <c r="X34" s="349"/>
      <c r="Y34" s="349"/>
      <c r="Z34" s="349"/>
      <c r="AA34" s="349"/>
      <c r="AB34" s="349"/>
      <c r="AC34" s="349"/>
      <c r="AD34" s="349"/>
      <c r="AE34" s="349"/>
      <c r="AF34" s="349"/>
      <c r="AG34" s="349"/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  <c r="AY34" s="349"/>
      <c r="AZ34" s="349"/>
      <c r="BA34" s="349"/>
      <c r="BB34" s="349"/>
      <c r="BC34" s="349"/>
      <c r="BD34" s="349"/>
      <c r="BE34" s="349"/>
      <c r="BF34" s="349"/>
      <c r="BG34" s="349"/>
      <c r="BH34" s="349"/>
    </row>
    <row r="35" spans="1:60">
      <c r="N35" s="373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349"/>
      <c r="AA35" s="349"/>
      <c r="AB35" s="349"/>
      <c r="AC35" s="349"/>
      <c r="AD35" s="349"/>
      <c r="AE35" s="349"/>
      <c r="AF35" s="349"/>
      <c r="AG35" s="349"/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  <c r="AY35" s="349"/>
      <c r="AZ35" s="349"/>
      <c r="BA35" s="349"/>
      <c r="BB35" s="349"/>
      <c r="BC35" s="349"/>
      <c r="BD35" s="349"/>
      <c r="BE35" s="349"/>
      <c r="BF35" s="349"/>
      <c r="BG35" s="349"/>
      <c r="BH35" s="349"/>
    </row>
    <row r="36" spans="1:60" ht="15.5">
      <c r="B36" s="178" t="s">
        <v>106</v>
      </c>
      <c r="N36" s="373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49"/>
      <c r="AE36" s="349"/>
      <c r="AF36" s="349"/>
      <c r="AG36" s="349"/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  <c r="AY36" s="349"/>
      <c r="AZ36" s="349"/>
      <c r="BA36" s="349"/>
      <c r="BB36" s="349"/>
      <c r="BC36" s="349"/>
      <c r="BD36" s="349"/>
      <c r="BE36" s="349"/>
      <c r="BF36" s="349"/>
      <c r="BG36" s="349"/>
      <c r="BH36" s="349"/>
    </row>
    <row r="37" spans="1:60">
      <c r="B37" s="28"/>
      <c r="D37" s="121"/>
      <c r="N37" s="373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49"/>
      <c r="AE37" s="349"/>
      <c r="AF37" s="349"/>
      <c r="AG37" s="349"/>
      <c r="AH37" s="349"/>
      <c r="AI37" s="349"/>
      <c r="AJ37" s="349"/>
      <c r="AK37" s="349"/>
      <c r="AL37" s="349"/>
      <c r="AM37" s="349"/>
      <c r="AN37" s="349"/>
      <c r="AO37" s="349"/>
      <c r="AP37" s="349"/>
      <c r="AQ37" s="349"/>
      <c r="AR37" s="349"/>
      <c r="AS37" s="349"/>
      <c r="AT37" s="349"/>
      <c r="AU37" s="349"/>
      <c r="AV37" s="349"/>
      <c r="AW37" s="349"/>
      <c r="AX37" s="349"/>
      <c r="AY37" s="349"/>
      <c r="AZ37" s="349"/>
      <c r="BA37" s="349"/>
      <c r="BB37" s="349"/>
      <c r="BC37" s="349"/>
      <c r="BD37" s="349"/>
      <c r="BE37" s="349"/>
      <c r="BF37" s="349"/>
      <c r="BG37" s="349"/>
      <c r="BH37" s="349"/>
    </row>
    <row r="38" spans="1:60">
      <c r="D38" s="121"/>
      <c r="N38" s="373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349"/>
      <c r="AB38" s="349"/>
      <c r="AC38" s="349"/>
      <c r="AD38" s="349"/>
      <c r="AE38" s="349"/>
      <c r="AF38" s="349"/>
      <c r="AG38" s="349"/>
      <c r="AH38" s="349"/>
      <c r="AI38" s="349"/>
      <c r="AJ38" s="349"/>
      <c r="AK38" s="349"/>
      <c r="AL38" s="349"/>
      <c r="AM38" s="349"/>
      <c r="AN38" s="349"/>
      <c r="AO38" s="349"/>
      <c r="AP38" s="349"/>
      <c r="AQ38" s="349"/>
      <c r="AR38" s="349"/>
      <c r="AS38" s="349"/>
      <c r="AT38" s="349"/>
      <c r="AU38" s="349"/>
      <c r="AV38" s="349"/>
      <c r="AW38" s="349"/>
      <c r="AX38" s="349"/>
      <c r="AY38" s="349"/>
      <c r="AZ38" s="349"/>
      <c r="BA38" s="349"/>
      <c r="BB38" s="349"/>
      <c r="BC38" s="349"/>
      <c r="BD38" s="349"/>
      <c r="BE38" s="349"/>
      <c r="BF38" s="349"/>
      <c r="BG38" s="349"/>
      <c r="BH38" s="349"/>
    </row>
    <row r="39" spans="1:60" ht="23">
      <c r="A39" s="349"/>
      <c r="B39" s="166" t="s">
        <v>404</v>
      </c>
      <c r="C39" s="166" t="s">
        <v>70</v>
      </c>
      <c r="D39" s="166" t="s">
        <v>71</v>
      </c>
      <c r="E39" s="167" t="s">
        <v>72</v>
      </c>
      <c r="F39" s="166" t="s">
        <v>406</v>
      </c>
      <c r="G39" s="167" t="s">
        <v>107</v>
      </c>
      <c r="H39" s="166" t="s">
        <v>382</v>
      </c>
      <c r="I39" s="166" t="s">
        <v>94</v>
      </c>
      <c r="J39" s="166" t="s">
        <v>132</v>
      </c>
      <c r="K39" s="166" t="s">
        <v>108</v>
      </c>
      <c r="L39" s="166" t="s">
        <v>839</v>
      </c>
      <c r="M39" s="166" t="s">
        <v>404</v>
      </c>
      <c r="N39" s="374" t="s">
        <v>791</v>
      </c>
      <c r="O39" s="374" t="s">
        <v>792</v>
      </c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349"/>
      <c r="AF39" s="349"/>
      <c r="AG39" s="349"/>
      <c r="AH39" s="349"/>
      <c r="AI39" s="349"/>
      <c r="AJ39" s="349"/>
      <c r="AK39" s="349"/>
      <c r="AL39" s="349"/>
      <c r="AM39" s="349"/>
      <c r="AN39" s="349"/>
      <c r="AO39" s="349"/>
      <c r="AP39" s="349"/>
      <c r="AQ39" s="349"/>
      <c r="AR39" s="349"/>
      <c r="AS39" s="349"/>
      <c r="AT39" s="349"/>
      <c r="AU39" s="349"/>
      <c r="AV39" s="349"/>
      <c r="AW39" s="349"/>
      <c r="AX39" s="349"/>
      <c r="AY39" s="349"/>
      <c r="AZ39" s="349"/>
      <c r="BA39" s="349"/>
      <c r="BB39" s="349"/>
      <c r="BC39" s="349"/>
      <c r="BD39" s="349"/>
      <c r="BE39" s="349"/>
      <c r="BF39" s="349"/>
      <c r="BG39" s="349"/>
      <c r="BH39" s="349"/>
    </row>
    <row r="40" spans="1:60" s="323" customFormat="1">
      <c r="A40" s="349"/>
      <c r="B40" s="350" t="s">
        <v>1688</v>
      </c>
      <c r="C40" s="351" t="s">
        <v>996</v>
      </c>
      <c r="D40" s="350" t="s">
        <v>486</v>
      </c>
      <c r="E40" s="352">
        <v>46084</v>
      </c>
      <c r="F40" s="353" t="s">
        <v>154</v>
      </c>
      <c r="G40" s="354" t="s">
        <v>768</v>
      </c>
      <c r="H40" s="350">
        <v>300</v>
      </c>
      <c r="I40" s="350">
        <v>12</v>
      </c>
      <c r="J40" s="355">
        <v>63000000</v>
      </c>
      <c r="K40" s="352">
        <v>46085</v>
      </c>
      <c r="L40" s="353"/>
      <c r="M40" s="353" t="s">
        <v>1696</v>
      </c>
      <c r="N40" s="349"/>
      <c r="O40" s="349"/>
      <c r="P40" s="349"/>
      <c r="Q40" s="349"/>
      <c r="R40" s="349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165"/>
      <c r="BE40" s="165"/>
      <c r="BF40" s="165"/>
      <c r="BG40" s="165"/>
      <c r="BH40" s="165"/>
    </row>
    <row r="41" spans="1:60" s="323" customFormat="1">
      <c r="A41" s="349"/>
      <c r="B41" s="350" t="s">
        <v>1688</v>
      </c>
      <c r="C41" s="351"/>
      <c r="D41" s="350"/>
      <c r="E41" s="352"/>
      <c r="F41" s="353" t="s">
        <v>759</v>
      </c>
      <c r="G41" s="354" t="s">
        <v>976</v>
      </c>
      <c r="H41" s="350">
        <v>600</v>
      </c>
      <c r="I41" s="350"/>
      <c r="J41" s="355">
        <f>+H41*135000</f>
        <v>81000000</v>
      </c>
      <c r="K41" s="352"/>
      <c r="L41" s="353"/>
      <c r="M41" s="353" t="s">
        <v>1698</v>
      </c>
      <c r="N41" s="349"/>
      <c r="O41" s="349"/>
      <c r="P41" s="349"/>
      <c r="Q41" s="349"/>
      <c r="R41" s="349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</row>
    <row r="42" spans="1:60" customFormat="1">
      <c r="A42" s="349"/>
      <c r="B42" s="227" t="s">
        <v>117</v>
      </c>
      <c r="C42" s="227" t="s">
        <v>897</v>
      </c>
      <c r="D42" s="227" t="s">
        <v>899</v>
      </c>
      <c r="E42" s="228">
        <v>46079</v>
      </c>
      <c r="F42" s="229" t="s">
        <v>38</v>
      </c>
      <c r="G42" s="230" t="s">
        <v>770</v>
      </c>
      <c r="H42" s="227">
        <v>100</v>
      </c>
      <c r="I42" s="227">
        <v>4</v>
      </c>
      <c r="J42" s="231">
        <v>3000000</v>
      </c>
      <c r="K42" s="228">
        <v>46083</v>
      </c>
      <c r="L42" s="343" t="s">
        <v>804</v>
      </c>
      <c r="M42" s="229"/>
      <c r="N42" s="373"/>
      <c r="O42" s="349"/>
      <c r="P42" s="349"/>
      <c r="Q42" s="349"/>
      <c r="R42" s="349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</row>
    <row r="43" spans="1:60" customFormat="1">
      <c r="A43" s="3"/>
      <c r="B43" s="227" t="s">
        <v>117</v>
      </c>
      <c r="C43" s="227" t="s">
        <v>1697</v>
      </c>
      <c r="D43" s="227" t="s">
        <v>1022</v>
      </c>
      <c r="E43" s="229"/>
      <c r="F43" s="229" t="s">
        <v>1018</v>
      </c>
      <c r="G43" s="230" t="s">
        <v>976</v>
      </c>
      <c r="H43" s="227">
        <v>10</v>
      </c>
      <c r="I43" s="227">
        <v>0</v>
      </c>
      <c r="J43" s="231">
        <v>1550000</v>
      </c>
      <c r="K43" s="228">
        <v>45719</v>
      </c>
      <c r="L43" s="343" t="s">
        <v>804</v>
      </c>
      <c r="M43" s="229"/>
      <c r="N43" s="373"/>
      <c r="O43" s="349"/>
      <c r="P43" s="349"/>
      <c r="Q43" s="349"/>
      <c r="R43" s="349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</row>
    <row r="44" spans="1:60" customFormat="1" ht="25">
      <c r="A44" s="3"/>
      <c r="B44" s="344" t="s">
        <v>117</v>
      </c>
      <c r="C44" s="227" t="s">
        <v>1005</v>
      </c>
      <c r="D44" s="227" t="s">
        <v>1006</v>
      </c>
      <c r="E44" s="228">
        <v>46084</v>
      </c>
      <c r="F44" s="229" t="s">
        <v>177</v>
      </c>
      <c r="G44" s="230" t="s">
        <v>158</v>
      </c>
      <c r="H44" s="227">
        <v>25</v>
      </c>
      <c r="I44" s="227">
        <v>1</v>
      </c>
      <c r="J44" s="231">
        <v>1287500</v>
      </c>
      <c r="K44" s="228">
        <v>46086</v>
      </c>
      <c r="L44" s="343" t="s">
        <v>804</v>
      </c>
      <c r="M44" s="229" t="s">
        <v>1004</v>
      </c>
      <c r="N44" s="373"/>
      <c r="O44" s="349"/>
      <c r="P44" s="349"/>
      <c r="Q44" s="349"/>
      <c r="R44" s="349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</row>
    <row r="45" spans="1:60" customFormat="1">
      <c r="A45" s="3"/>
      <c r="B45" s="227" t="s">
        <v>117</v>
      </c>
      <c r="C45" s="227" t="s">
        <v>825</v>
      </c>
      <c r="D45" s="227" t="s">
        <v>1339</v>
      </c>
      <c r="E45" s="228">
        <v>46073</v>
      </c>
      <c r="F45" s="229" t="s">
        <v>469</v>
      </c>
      <c r="G45" s="230" t="s">
        <v>976</v>
      </c>
      <c r="H45" s="227">
        <v>15</v>
      </c>
      <c r="I45" s="227">
        <v>1</v>
      </c>
      <c r="J45" s="231">
        <v>2472000</v>
      </c>
      <c r="K45" s="228">
        <v>46076</v>
      </c>
      <c r="L45" s="343" t="s">
        <v>804</v>
      </c>
      <c r="M45" s="229"/>
      <c r="N45" s="373"/>
      <c r="O45" s="349"/>
      <c r="P45" s="349"/>
      <c r="Q45" s="349"/>
      <c r="R45" s="349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5"/>
      <c r="BG45" s="165"/>
      <c r="BH45" s="165"/>
    </row>
    <row r="46" spans="1:60" s="330" customFormat="1">
      <c r="A46" s="3"/>
      <c r="B46" s="227" t="s">
        <v>117</v>
      </c>
      <c r="C46" s="227" t="s">
        <v>1119</v>
      </c>
      <c r="D46" s="227" t="s">
        <v>1120</v>
      </c>
      <c r="E46" s="228">
        <v>46087</v>
      </c>
      <c r="F46" s="229" t="s">
        <v>319</v>
      </c>
      <c r="G46" s="230" t="s">
        <v>976</v>
      </c>
      <c r="H46" s="227">
        <v>80</v>
      </c>
      <c r="I46" s="227">
        <v>3</v>
      </c>
      <c r="J46" s="231">
        <v>12400000</v>
      </c>
      <c r="K46" s="228">
        <v>411329</v>
      </c>
      <c r="L46" s="343" t="s">
        <v>804</v>
      </c>
      <c r="M46" s="229" t="s">
        <v>1687</v>
      </c>
      <c r="N46" s="373"/>
      <c r="O46" s="349"/>
      <c r="P46" s="349"/>
      <c r="Q46" s="349"/>
      <c r="R46" s="349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5"/>
      <c r="BE46" s="165"/>
      <c r="BF46" s="165"/>
      <c r="BG46" s="165"/>
      <c r="BH46" s="165"/>
    </row>
    <row r="47" spans="1:60" customFormat="1">
      <c r="A47" s="3"/>
      <c r="B47" s="232" t="s">
        <v>117</v>
      </c>
      <c r="C47" s="232" t="s">
        <v>901</v>
      </c>
      <c r="D47" s="232" t="s">
        <v>902</v>
      </c>
      <c r="E47" s="233">
        <v>46079</v>
      </c>
      <c r="F47" s="234" t="s">
        <v>759</v>
      </c>
      <c r="G47" s="235" t="s">
        <v>111</v>
      </c>
      <c r="H47" s="232">
        <v>1000</v>
      </c>
      <c r="I47" s="232">
        <v>40</v>
      </c>
      <c r="J47" s="236">
        <v>2475000</v>
      </c>
      <c r="K47" s="233">
        <v>46084</v>
      </c>
      <c r="L47" s="345" t="s">
        <v>837</v>
      </c>
      <c r="M47" s="234"/>
      <c r="N47" s="373"/>
      <c r="O47" s="349"/>
      <c r="P47" s="349"/>
      <c r="Q47" s="349"/>
      <c r="R47" s="349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5"/>
      <c r="BE47" s="165"/>
      <c r="BF47" s="165"/>
      <c r="BG47" s="165"/>
      <c r="BH47" s="165"/>
    </row>
    <row r="48" spans="1:60" customFormat="1">
      <c r="A48" s="3"/>
      <c r="B48" s="232" t="s">
        <v>117</v>
      </c>
      <c r="C48" s="232" t="s">
        <v>985</v>
      </c>
      <c r="D48" s="232" t="s">
        <v>987</v>
      </c>
      <c r="E48" s="233">
        <v>46084</v>
      </c>
      <c r="F48" s="234" t="s">
        <v>759</v>
      </c>
      <c r="G48" s="235" t="s">
        <v>116</v>
      </c>
      <c r="H48" s="232">
        <v>1375</v>
      </c>
      <c r="I48" s="232">
        <v>55</v>
      </c>
      <c r="J48" s="236">
        <v>26468750</v>
      </c>
      <c r="K48" s="233">
        <v>46085</v>
      </c>
      <c r="L48" s="345" t="s">
        <v>837</v>
      </c>
      <c r="M48" s="234"/>
      <c r="N48" s="373"/>
      <c r="O48" s="349"/>
      <c r="P48" s="349"/>
      <c r="Q48" s="349"/>
      <c r="R48" s="349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65"/>
      <c r="BC48" s="165"/>
      <c r="BD48" s="165"/>
      <c r="BE48" s="165"/>
      <c r="BF48" s="165"/>
      <c r="BG48" s="165"/>
      <c r="BH48" s="165"/>
    </row>
    <row r="49" spans="1:60" customFormat="1">
      <c r="A49" s="3"/>
      <c r="B49" s="232" t="s">
        <v>1684</v>
      </c>
      <c r="C49" s="232" t="s">
        <v>1294</v>
      </c>
      <c r="D49" s="232" t="s">
        <v>486</v>
      </c>
      <c r="E49" s="233">
        <v>46093</v>
      </c>
      <c r="F49" s="234" t="s">
        <v>376</v>
      </c>
      <c r="G49" s="235" t="s">
        <v>912</v>
      </c>
      <c r="H49" s="232">
        <v>37.5</v>
      </c>
      <c r="I49" s="232">
        <v>2</v>
      </c>
      <c r="J49" s="232">
        <v>0</v>
      </c>
      <c r="K49" s="233">
        <v>46099</v>
      </c>
      <c r="L49" s="345" t="s">
        <v>837</v>
      </c>
      <c r="M49" s="234" t="s">
        <v>1685</v>
      </c>
      <c r="N49" s="373"/>
      <c r="O49" s="349"/>
      <c r="P49" s="349"/>
      <c r="Q49" s="349"/>
      <c r="R49" s="349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165"/>
      <c r="BA49" s="165"/>
      <c r="BB49" s="165"/>
      <c r="BC49" s="165"/>
      <c r="BD49" s="165"/>
      <c r="BE49" s="165"/>
      <c r="BF49" s="165"/>
      <c r="BG49" s="165"/>
      <c r="BH49" s="165"/>
    </row>
    <row r="50" spans="1:60" customFormat="1">
      <c r="A50" s="3"/>
      <c r="B50" s="232" t="s">
        <v>117</v>
      </c>
      <c r="C50" s="232" t="s">
        <v>1534</v>
      </c>
      <c r="D50" s="234"/>
      <c r="E50" s="233">
        <v>46105</v>
      </c>
      <c r="F50" s="234" t="s">
        <v>52</v>
      </c>
      <c r="G50" s="348" t="s">
        <v>590</v>
      </c>
      <c r="H50" s="232">
        <v>150</v>
      </c>
      <c r="I50" s="232">
        <v>6</v>
      </c>
      <c r="J50" s="236">
        <v>6975000</v>
      </c>
      <c r="K50" s="233">
        <v>46107</v>
      </c>
      <c r="L50" s="345" t="s">
        <v>837</v>
      </c>
      <c r="M50" s="347" t="s">
        <v>1699</v>
      </c>
      <c r="N50" s="373"/>
      <c r="O50" s="349"/>
      <c r="P50" s="349"/>
      <c r="Q50" s="349"/>
      <c r="R50" s="349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65"/>
      <c r="BD50" s="165"/>
      <c r="BE50" s="165"/>
      <c r="BF50" s="165"/>
      <c r="BG50" s="165"/>
      <c r="BH50" s="165"/>
    </row>
    <row r="51" spans="1:60" s="333" customFormat="1">
      <c r="A51" s="3"/>
      <c r="B51" s="346" t="s">
        <v>117</v>
      </c>
      <c r="C51" s="232" t="s">
        <v>1547</v>
      </c>
      <c r="D51" s="232" t="s">
        <v>1548</v>
      </c>
      <c r="E51" s="233">
        <v>46105</v>
      </c>
      <c r="F51" s="345" t="s">
        <v>12</v>
      </c>
      <c r="G51" s="348" t="s">
        <v>976</v>
      </c>
      <c r="H51" s="232">
        <v>15</v>
      </c>
      <c r="I51" s="232">
        <v>1</v>
      </c>
      <c r="J51" s="347"/>
      <c r="K51" s="233">
        <v>46107</v>
      </c>
      <c r="L51" s="348" t="s">
        <v>837</v>
      </c>
      <c r="M51" s="232" t="s">
        <v>1545</v>
      </c>
      <c r="N51" s="373"/>
      <c r="O51" s="349"/>
      <c r="P51" s="349"/>
      <c r="Q51" s="349"/>
      <c r="R51" s="349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  <c r="AK51" s="375"/>
      <c r="AL51" s="375"/>
      <c r="AM51" s="375"/>
      <c r="AN51" s="375"/>
      <c r="AO51" s="375"/>
      <c r="AP51" s="375"/>
      <c r="AQ51" s="375"/>
      <c r="AR51" s="375"/>
      <c r="AS51" s="375"/>
      <c r="AT51" s="375"/>
      <c r="AU51" s="375"/>
      <c r="AV51" s="375"/>
      <c r="AW51" s="375"/>
      <c r="AX51" s="375"/>
      <c r="AY51" s="375"/>
      <c r="AZ51" s="375"/>
      <c r="BA51" s="375"/>
      <c r="BB51" s="375"/>
      <c r="BC51" s="375"/>
      <c r="BD51" s="375"/>
      <c r="BE51" s="375"/>
      <c r="BF51" s="375"/>
      <c r="BG51" s="375"/>
      <c r="BH51" s="375"/>
    </row>
    <row r="52" spans="1:60" customFormat="1" ht="25">
      <c r="A52" s="3"/>
      <c r="B52" s="338" t="s">
        <v>793</v>
      </c>
      <c r="C52" s="338" t="s">
        <v>1586</v>
      </c>
      <c r="D52" s="339"/>
      <c r="E52" s="340">
        <v>415001</v>
      </c>
      <c r="F52" s="339" t="s">
        <v>759</v>
      </c>
      <c r="G52" s="341" t="s">
        <v>990</v>
      </c>
      <c r="H52" s="338">
        <v>90</v>
      </c>
      <c r="I52" s="338">
        <v>4</v>
      </c>
      <c r="J52" s="338">
        <v>0</v>
      </c>
      <c r="K52" s="340">
        <v>46107</v>
      </c>
      <c r="L52" s="342" t="s">
        <v>837</v>
      </c>
      <c r="M52" s="339" t="s">
        <v>1693</v>
      </c>
      <c r="N52" s="349"/>
      <c r="O52" s="349"/>
      <c r="P52" s="349"/>
      <c r="Q52" s="349"/>
      <c r="R52" s="349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165"/>
      <c r="BD52" s="165"/>
      <c r="BE52" s="165"/>
      <c r="BF52" s="165"/>
      <c r="BG52" s="165"/>
      <c r="BH52" s="165"/>
    </row>
    <row r="53" spans="1:60" customFormat="1">
      <c r="A53" s="3"/>
      <c r="B53" s="356" t="s">
        <v>789</v>
      </c>
      <c r="C53" s="356" t="s">
        <v>1598</v>
      </c>
      <c r="D53" s="356" t="s">
        <v>1599</v>
      </c>
      <c r="E53" s="357">
        <v>415001</v>
      </c>
      <c r="F53" s="358" t="s">
        <v>30</v>
      </c>
      <c r="G53" s="359" t="s">
        <v>768</v>
      </c>
      <c r="H53" s="356">
        <v>75</v>
      </c>
      <c r="I53" s="356">
        <v>3</v>
      </c>
      <c r="J53" s="360">
        <v>13515000</v>
      </c>
      <c r="K53" s="357">
        <v>46107</v>
      </c>
      <c r="L53" s="358"/>
      <c r="M53" s="358" t="s">
        <v>1700</v>
      </c>
      <c r="N53" s="349"/>
      <c r="O53" s="349"/>
      <c r="P53" s="349"/>
      <c r="Q53" s="349"/>
      <c r="R53" s="349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65"/>
      <c r="BD53" s="165"/>
      <c r="BE53" s="165"/>
      <c r="BF53" s="165"/>
      <c r="BG53" s="165"/>
      <c r="BH53" s="165"/>
    </row>
    <row r="54" spans="1:60" customFormat="1">
      <c r="A54" s="3"/>
      <c r="B54" s="356" t="s">
        <v>789</v>
      </c>
      <c r="C54" s="356" t="s">
        <v>913</v>
      </c>
      <c r="D54" s="356" t="s">
        <v>914</v>
      </c>
      <c r="E54" s="357">
        <v>46080</v>
      </c>
      <c r="F54" s="358" t="s">
        <v>38</v>
      </c>
      <c r="G54" s="359" t="s">
        <v>111</v>
      </c>
      <c r="H54" s="356">
        <v>400</v>
      </c>
      <c r="I54" s="356">
        <v>16</v>
      </c>
      <c r="J54" s="360">
        <v>9900000</v>
      </c>
      <c r="K54" s="357">
        <v>46080</v>
      </c>
      <c r="L54" s="358"/>
      <c r="M54" s="358" t="s">
        <v>1700</v>
      </c>
      <c r="N54" s="349"/>
      <c r="O54" s="349"/>
      <c r="P54" s="349"/>
      <c r="Q54" s="349"/>
      <c r="R54" s="349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65"/>
      <c r="BC54" s="165"/>
      <c r="BD54" s="165"/>
      <c r="BE54" s="165"/>
      <c r="BF54" s="165"/>
      <c r="BG54" s="165"/>
      <c r="BH54" s="165"/>
    </row>
    <row r="55" spans="1:60" customFormat="1">
      <c r="A55" s="3"/>
      <c r="B55" s="243" t="s">
        <v>1690</v>
      </c>
      <c r="C55" s="243" t="s">
        <v>926</v>
      </c>
      <c r="D55" s="243" t="s">
        <v>927</v>
      </c>
      <c r="E55" s="244">
        <v>46080</v>
      </c>
      <c r="F55" s="245" t="s">
        <v>393</v>
      </c>
      <c r="G55" s="246" t="s">
        <v>760</v>
      </c>
      <c r="H55" s="243">
        <v>525</v>
      </c>
      <c r="I55" s="243">
        <v>21</v>
      </c>
      <c r="J55" s="247">
        <v>136275000</v>
      </c>
      <c r="K55" s="244">
        <v>46056</v>
      </c>
      <c r="L55" s="245"/>
      <c r="M55" s="245"/>
      <c r="N55" s="349"/>
      <c r="O55" s="349"/>
      <c r="P55" s="349"/>
      <c r="Q55" s="349"/>
      <c r="R55" s="349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165"/>
      <c r="BD55" s="165"/>
      <c r="BE55" s="165"/>
      <c r="BF55" s="165"/>
      <c r="BG55" s="165"/>
      <c r="BH55" s="165"/>
    </row>
    <row r="56" spans="1:60" customFormat="1">
      <c r="A56" s="3"/>
      <c r="B56" s="243" t="s">
        <v>725</v>
      </c>
      <c r="C56" s="243" t="s">
        <v>1007</v>
      </c>
      <c r="D56" s="245"/>
      <c r="E56" s="244">
        <v>46084</v>
      </c>
      <c r="F56" s="245" t="s">
        <v>53</v>
      </c>
      <c r="G56" s="246" t="s">
        <v>230</v>
      </c>
      <c r="H56" s="243">
        <v>10</v>
      </c>
      <c r="I56" s="243">
        <v>0</v>
      </c>
      <c r="J56" s="247">
        <v>972000</v>
      </c>
      <c r="K56" s="244">
        <v>46086</v>
      </c>
      <c r="L56" s="245"/>
      <c r="M56" s="245"/>
      <c r="N56" s="349"/>
      <c r="O56" s="349"/>
      <c r="P56" s="349"/>
      <c r="Q56" s="349"/>
      <c r="R56" s="349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</row>
    <row r="57" spans="1:60" customFormat="1">
      <c r="A57" s="3"/>
      <c r="B57" s="243" t="s">
        <v>725</v>
      </c>
      <c r="C57" s="243" t="s">
        <v>1062</v>
      </c>
      <c r="D57" s="243" t="s">
        <v>1063</v>
      </c>
      <c r="E57" s="244">
        <v>46085</v>
      </c>
      <c r="F57" s="245" t="s">
        <v>393</v>
      </c>
      <c r="G57" s="246" t="s">
        <v>116</v>
      </c>
      <c r="H57" s="243">
        <v>75</v>
      </c>
      <c r="I57" s="243">
        <v>3</v>
      </c>
      <c r="J57" s="247">
        <v>1575000</v>
      </c>
      <c r="K57" s="244">
        <v>46059</v>
      </c>
      <c r="L57" s="245"/>
      <c r="M57" s="245"/>
      <c r="N57" s="349"/>
      <c r="O57" s="349"/>
      <c r="P57" s="349"/>
      <c r="Q57" s="349"/>
      <c r="R57" s="349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65"/>
      <c r="BC57" s="165"/>
      <c r="BD57" s="165"/>
      <c r="BE57" s="165"/>
      <c r="BF57" s="165"/>
      <c r="BG57" s="165"/>
      <c r="BH57" s="165"/>
    </row>
    <row r="58" spans="1:60" customFormat="1">
      <c r="A58" s="3"/>
      <c r="B58" s="243" t="s">
        <v>725</v>
      </c>
      <c r="C58" s="243" t="s">
        <v>1062</v>
      </c>
      <c r="D58" s="243" t="s">
        <v>1063</v>
      </c>
      <c r="E58" s="244">
        <v>46085</v>
      </c>
      <c r="F58" s="245" t="s">
        <v>393</v>
      </c>
      <c r="G58" s="246" t="s">
        <v>226</v>
      </c>
      <c r="H58" s="243">
        <v>275</v>
      </c>
      <c r="I58" s="243">
        <v>11</v>
      </c>
      <c r="J58" s="247">
        <v>14025000</v>
      </c>
      <c r="K58" s="244">
        <v>46059</v>
      </c>
      <c r="L58" s="245"/>
      <c r="M58" s="245"/>
      <c r="N58" s="349"/>
      <c r="O58" s="349"/>
      <c r="P58" s="349"/>
      <c r="Q58" s="349"/>
      <c r="R58" s="349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65"/>
      <c r="BC58" s="165"/>
      <c r="BD58" s="165"/>
      <c r="BE58" s="165"/>
      <c r="BF58" s="165"/>
      <c r="BG58" s="165"/>
      <c r="BH58" s="165"/>
    </row>
    <row r="59" spans="1:60" customFormat="1">
      <c r="A59" s="349"/>
      <c r="B59" s="243" t="s">
        <v>725</v>
      </c>
      <c r="C59" s="243" t="s">
        <v>826</v>
      </c>
      <c r="D59" s="243" t="s">
        <v>1106</v>
      </c>
      <c r="E59" s="244">
        <v>45712</v>
      </c>
      <c r="F59" s="245" t="s">
        <v>479</v>
      </c>
      <c r="G59" s="246" t="s">
        <v>815</v>
      </c>
      <c r="H59" s="243">
        <v>20</v>
      </c>
      <c r="I59" s="243">
        <v>1</v>
      </c>
      <c r="J59" s="247">
        <v>4500000</v>
      </c>
      <c r="K59" s="244">
        <v>46078</v>
      </c>
      <c r="L59" s="245"/>
      <c r="M59" s="245"/>
      <c r="N59" s="349"/>
      <c r="O59" s="349"/>
      <c r="P59" s="349"/>
      <c r="Q59" s="349"/>
      <c r="R59" s="349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</row>
    <row r="60" spans="1:60" customFormat="1">
      <c r="A60" s="349"/>
      <c r="B60" s="243" t="s">
        <v>725</v>
      </c>
      <c r="C60" s="243" t="s">
        <v>827</v>
      </c>
      <c r="D60" s="243" t="s">
        <v>1107</v>
      </c>
      <c r="E60" s="244">
        <v>45712</v>
      </c>
      <c r="F60" s="245" t="s">
        <v>479</v>
      </c>
      <c r="G60" s="246" t="s">
        <v>774</v>
      </c>
      <c r="H60" s="243">
        <v>1.5</v>
      </c>
      <c r="I60" s="243">
        <v>0</v>
      </c>
      <c r="J60" s="243">
        <v>0</v>
      </c>
      <c r="K60" s="244">
        <v>46078</v>
      </c>
      <c r="L60" s="245"/>
      <c r="M60" s="245"/>
      <c r="N60" s="349"/>
      <c r="O60" s="349"/>
      <c r="P60" s="349"/>
      <c r="Q60" s="349"/>
      <c r="R60" s="349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</row>
    <row r="61" spans="1:60" customFormat="1">
      <c r="A61" s="349"/>
      <c r="B61" s="243" t="s">
        <v>725</v>
      </c>
      <c r="C61" s="243" t="s">
        <v>833</v>
      </c>
      <c r="D61" s="243" t="s">
        <v>1108</v>
      </c>
      <c r="E61" s="244">
        <v>45712</v>
      </c>
      <c r="F61" s="245" t="s">
        <v>479</v>
      </c>
      <c r="G61" s="246" t="s">
        <v>815</v>
      </c>
      <c r="H61" s="243">
        <v>10</v>
      </c>
      <c r="I61" s="243">
        <v>0</v>
      </c>
      <c r="J61" s="247">
        <v>2250000</v>
      </c>
      <c r="K61" s="244">
        <v>46078</v>
      </c>
      <c r="L61" s="245"/>
      <c r="M61" s="245"/>
      <c r="N61" s="349"/>
      <c r="O61" s="349"/>
      <c r="P61" s="349"/>
      <c r="Q61" s="349"/>
      <c r="R61" s="349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</row>
    <row r="62" spans="1:60" s="335" customFormat="1">
      <c r="A62" s="349"/>
      <c r="B62" s="361" t="s">
        <v>725</v>
      </c>
      <c r="C62" s="243" t="s">
        <v>1454</v>
      </c>
      <c r="D62" s="243" t="s">
        <v>1455</v>
      </c>
      <c r="E62" s="244">
        <v>46099</v>
      </c>
      <c r="F62" s="245" t="s">
        <v>1456</v>
      </c>
      <c r="G62" s="246" t="s">
        <v>976</v>
      </c>
      <c r="H62" s="243">
        <v>100</v>
      </c>
      <c r="I62" s="243">
        <v>4</v>
      </c>
      <c r="J62" s="247">
        <v>15500000</v>
      </c>
      <c r="K62" s="244">
        <v>46101</v>
      </c>
      <c r="L62" s="245"/>
      <c r="M62" s="245"/>
      <c r="N62" s="349"/>
      <c r="O62" s="349"/>
      <c r="P62" s="349"/>
      <c r="Q62" s="349"/>
      <c r="R62" s="349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</row>
    <row r="63" spans="1:60" s="335" customFormat="1">
      <c r="A63" s="349"/>
      <c r="B63" s="361" t="s">
        <v>725</v>
      </c>
      <c r="C63" s="243" t="s">
        <v>1454</v>
      </c>
      <c r="D63" s="243" t="s">
        <v>1455</v>
      </c>
      <c r="E63" s="244">
        <v>46099</v>
      </c>
      <c r="F63" s="245" t="s">
        <v>1456</v>
      </c>
      <c r="G63" s="246" t="s">
        <v>207</v>
      </c>
      <c r="H63" s="243">
        <v>7.5</v>
      </c>
      <c r="I63" s="243">
        <v>0</v>
      </c>
      <c r="J63" s="247">
        <v>3892000</v>
      </c>
      <c r="K63" s="244">
        <v>46101</v>
      </c>
      <c r="L63" s="245"/>
      <c r="M63" s="245"/>
      <c r="N63" s="349"/>
      <c r="O63" s="349"/>
      <c r="P63" s="349"/>
      <c r="Q63" s="349"/>
      <c r="R63" s="349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65"/>
      <c r="BD63" s="165"/>
      <c r="BE63" s="165"/>
      <c r="BF63" s="165"/>
      <c r="BG63" s="165"/>
      <c r="BH63" s="165"/>
    </row>
    <row r="64" spans="1:60" s="335" customFormat="1">
      <c r="A64" s="349"/>
      <c r="B64" s="243" t="s">
        <v>725</v>
      </c>
      <c r="C64" s="243" t="s">
        <v>1474</v>
      </c>
      <c r="D64" s="243" t="s">
        <v>1475</v>
      </c>
      <c r="E64" s="244">
        <v>46100</v>
      </c>
      <c r="F64" s="245" t="s">
        <v>783</v>
      </c>
      <c r="G64" s="246" t="s">
        <v>111</v>
      </c>
      <c r="H64" s="243">
        <v>50</v>
      </c>
      <c r="I64" s="243">
        <v>2</v>
      </c>
      <c r="J64" s="247">
        <v>1275000</v>
      </c>
      <c r="K64" s="244">
        <v>46106</v>
      </c>
      <c r="L64" s="245"/>
      <c r="M64" s="245"/>
      <c r="N64" s="349"/>
      <c r="O64" s="349"/>
      <c r="P64" s="349"/>
      <c r="Q64" s="349"/>
      <c r="R64" s="349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65"/>
      <c r="BC64" s="165"/>
      <c r="BD64" s="165"/>
      <c r="BE64" s="165"/>
      <c r="BF64" s="165"/>
      <c r="BG64" s="165"/>
      <c r="BH64" s="165"/>
    </row>
    <row r="65" spans="1:60" s="335" customFormat="1">
      <c r="A65" s="349"/>
      <c r="B65" s="243" t="s">
        <v>725</v>
      </c>
      <c r="C65" s="243" t="s">
        <v>1521</v>
      </c>
      <c r="D65" s="243" t="s">
        <v>1522</v>
      </c>
      <c r="E65" s="244">
        <v>45736</v>
      </c>
      <c r="F65" s="245" t="s">
        <v>783</v>
      </c>
      <c r="G65" s="246" t="s">
        <v>762</v>
      </c>
      <c r="H65" s="243">
        <v>50</v>
      </c>
      <c r="I65" s="243">
        <v>2</v>
      </c>
      <c r="J65" s="247">
        <v>3450000</v>
      </c>
      <c r="K65" s="244">
        <v>46105</v>
      </c>
      <c r="L65" s="245"/>
      <c r="M65" s="245"/>
      <c r="N65" s="349"/>
      <c r="O65" s="349"/>
      <c r="P65" s="349"/>
      <c r="Q65" s="349"/>
      <c r="R65" s="349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65"/>
      <c r="BD65" s="165"/>
      <c r="BE65" s="165"/>
      <c r="BF65" s="165"/>
      <c r="BG65" s="165"/>
      <c r="BH65" s="165"/>
    </row>
    <row r="66" spans="1:60" s="335" customFormat="1">
      <c r="A66" s="349"/>
      <c r="B66" s="243" t="s">
        <v>725</v>
      </c>
      <c r="C66" s="243" t="s">
        <v>1521</v>
      </c>
      <c r="D66" s="243" t="s">
        <v>1522</v>
      </c>
      <c r="E66" s="244">
        <v>45736</v>
      </c>
      <c r="F66" s="245" t="s">
        <v>783</v>
      </c>
      <c r="G66" s="246" t="s">
        <v>1523</v>
      </c>
      <c r="H66" s="243">
        <v>10</v>
      </c>
      <c r="I66" s="243">
        <v>0</v>
      </c>
      <c r="J66" s="247">
        <v>700000</v>
      </c>
      <c r="K66" s="244">
        <v>46105</v>
      </c>
      <c r="L66" s="245"/>
      <c r="M66" s="245"/>
      <c r="N66" s="349"/>
      <c r="O66" s="349"/>
      <c r="P66" s="349"/>
      <c r="Q66" s="349"/>
      <c r="R66" s="349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165"/>
      <c r="BB66" s="165"/>
      <c r="BC66" s="165"/>
      <c r="BD66" s="165"/>
      <c r="BE66" s="165"/>
      <c r="BF66" s="165"/>
      <c r="BG66" s="165"/>
      <c r="BH66" s="165"/>
    </row>
    <row r="67" spans="1:60" s="335" customFormat="1">
      <c r="A67" s="349"/>
      <c r="B67" s="243" t="s">
        <v>725</v>
      </c>
      <c r="C67" s="243" t="s">
        <v>1524</v>
      </c>
      <c r="D67" s="243" t="s">
        <v>1525</v>
      </c>
      <c r="E67" s="244">
        <v>45736</v>
      </c>
      <c r="F67" s="245" t="s">
        <v>231</v>
      </c>
      <c r="G67" s="246" t="s">
        <v>764</v>
      </c>
      <c r="H67" s="243">
        <v>15</v>
      </c>
      <c r="I67" s="243">
        <v>1</v>
      </c>
      <c r="J67" s="247">
        <v>1065000</v>
      </c>
      <c r="K67" s="244">
        <v>46105</v>
      </c>
      <c r="L67" s="245"/>
      <c r="M67" s="245"/>
      <c r="N67" s="349"/>
      <c r="O67" s="349"/>
      <c r="P67" s="349"/>
      <c r="Q67" s="349"/>
      <c r="R67" s="349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165"/>
      <c r="BB67" s="165"/>
      <c r="BC67" s="165"/>
      <c r="BD67" s="165"/>
      <c r="BE67" s="165"/>
      <c r="BF67" s="165"/>
      <c r="BG67" s="165"/>
      <c r="BH67" s="165"/>
    </row>
    <row r="68" spans="1:60" s="335" customFormat="1">
      <c r="A68" s="349"/>
      <c r="B68" s="243" t="s">
        <v>725</v>
      </c>
      <c r="C68" s="243" t="s">
        <v>1156</v>
      </c>
      <c r="D68" s="243" t="s">
        <v>1157</v>
      </c>
      <c r="E68" s="244">
        <v>46090</v>
      </c>
      <c r="F68" s="245" t="s">
        <v>231</v>
      </c>
      <c r="G68" s="246" t="s">
        <v>780</v>
      </c>
      <c r="H68" s="243">
        <v>400</v>
      </c>
      <c r="I68" s="243">
        <v>16</v>
      </c>
      <c r="J68" s="247">
        <v>16000000</v>
      </c>
      <c r="K68" s="244">
        <v>46092</v>
      </c>
      <c r="L68" s="245"/>
      <c r="M68" s="245"/>
      <c r="N68" s="349"/>
      <c r="O68" s="349"/>
      <c r="P68" s="349"/>
      <c r="Q68" s="349"/>
      <c r="R68" s="349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65"/>
      <c r="BD68" s="165"/>
      <c r="BE68" s="165"/>
      <c r="BF68" s="165"/>
      <c r="BG68" s="165"/>
      <c r="BH68" s="165"/>
    </row>
    <row r="69" spans="1:60" s="335" customFormat="1">
      <c r="A69" s="349"/>
      <c r="B69" s="243" t="s">
        <v>725</v>
      </c>
      <c r="C69" s="243" t="s">
        <v>1158</v>
      </c>
      <c r="D69" s="243" t="s">
        <v>1159</v>
      </c>
      <c r="E69" s="244">
        <v>46090</v>
      </c>
      <c r="F69" s="245" t="s">
        <v>231</v>
      </c>
      <c r="G69" s="246" t="s">
        <v>230</v>
      </c>
      <c r="H69" s="243">
        <v>400</v>
      </c>
      <c r="I69" s="243">
        <v>16</v>
      </c>
      <c r="J69" s="247">
        <v>38880000</v>
      </c>
      <c r="K69" s="244">
        <v>46092</v>
      </c>
      <c r="L69" s="245"/>
      <c r="M69" s="245"/>
      <c r="N69" s="349"/>
      <c r="O69" s="349"/>
      <c r="P69" s="349"/>
      <c r="Q69" s="349"/>
      <c r="R69" s="349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165"/>
      <c r="BB69" s="165"/>
      <c r="BC69" s="165"/>
      <c r="BD69" s="165"/>
      <c r="BE69" s="165"/>
      <c r="BF69" s="165"/>
      <c r="BG69" s="165"/>
      <c r="BH69" s="165"/>
    </row>
    <row r="70" spans="1:60" s="335" customFormat="1">
      <c r="A70" s="349"/>
      <c r="B70" s="243" t="s">
        <v>725</v>
      </c>
      <c r="C70" s="243" t="s">
        <v>1324</v>
      </c>
      <c r="D70" s="243" t="s">
        <v>1325</v>
      </c>
      <c r="E70" s="244">
        <v>46094</v>
      </c>
      <c r="F70" s="245" t="s">
        <v>231</v>
      </c>
      <c r="G70" s="246" t="s">
        <v>773</v>
      </c>
      <c r="H70" s="243">
        <v>525</v>
      </c>
      <c r="I70" s="243">
        <v>21</v>
      </c>
      <c r="J70" s="247">
        <v>8295000</v>
      </c>
      <c r="K70" s="244">
        <v>46099</v>
      </c>
      <c r="L70" s="245"/>
      <c r="M70" s="245"/>
      <c r="N70" s="349"/>
      <c r="O70" s="349"/>
      <c r="P70" s="349"/>
      <c r="Q70" s="349"/>
      <c r="R70" s="349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65"/>
      <c r="BC70" s="165"/>
      <c r="BD70" s="165"/>
      <c r="BE70" s="165"/>
      <c r="BF70" s="165"/>
      <c r="BG70" s="165"/>
      <c r="BH70" s="165"/>
    </row>
    <row r="71" spans="1:60" customFormat="1">
      <c r="A71" s="349"/>
      <c r="B71" s="243" t="s">
        <v>725</v>
      </c>
      <c r="C71" s="243" t="s">
        <v>1568</v>
      </c>
      <c r="D71" s="243" t="s">
        <v>1569</v>
      </c>
      <c r="E71" s="244">
        <v>46105</v>
      </c>
      <c r="F71" s="245" t="s">
        <v>785</v>
      </c>
      <c r="G71" s="246" t="s">
        <v>764</v>
      </c>
      <c r="H71" s="243">
        <v>43</v>
      </c>
      <c r="I71" s="243">
        <v>2</v>
      </c>
      <c r="J71" s="247">
        <v>2795000</v>
      </c>
      <c r="K71" s="244">
        <v>46107</v>
      </c>
      <c r="L71" s="245"/>
      <c r="M71" s="245"/>
      <c r="N71" s="349"/>
      <c r="O71" s="349"/>
      <c r="P71" s="349"/>
      <c r="Q71" s="349"/>
      <c r="R71" s="349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65"/>
      <c r="BC71" s="165"/>
      <c r="BD71" s="165"/>
      <c r="BE71" s="165"/>
      <c r="BF71" s="165"/>
      <c r="BG71" s="165"/>
      <c r="BH71" s="165"/>
    </row>
    <row r="72" spans="1:60" s="335" customFormat="1">
      <c r="A72" s="349"/>
      <c r="B72" s="243" t="s">
        <v>725</v>
      </c>
      <c r="C72" s="243" t="s">
        <v>1624</v>
      </c>
      <c r="D72" s="243" t="s">
        <v>1625</v>
      </c>
      <c r="E72" s="244">
        <v>46106</v>
      </c>
      <c r="F72" s="245" t="s">
        <v>231</v>
      </c>
      <c r="G72" s="246" t="s">
        <v>773</v>
      </c>
      <c r="H72" s="243">
        <v>350</v>
      </c>
      <c r="I72" s="243">
        <v>14</v>
      </c>
      <c r="J72" s="247">
        <v>5530000</v>
      </c>
      <c r="K72" s="244">
        <v>46107</v>
      </c>
      <c r="L72" s="245"/>
      <c r="M72" s="245"/>
      <c r="N72" s="349"/>
      <c r="O72" s="349"/>
      <c r="P72" s="349"/>
      <c r="Q72" s="349"/>
      <c r="R72" s="349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165"/>
      <c r="BB72" s="165"/>
      <c r="BC72" s="165"/>
      <c r="BD72" s="165"/>
      <c r="BE72" s="165"/>
      <c r="BF72" s="165"/>
      <c r="BG72" s="165"/>
      <c r="BH72" s="165"/>
    </row>
    <row r="73" spans="1:60" customFormat="1">
      <c r="A73" s="349"/>
      <c r="B73" s="243" t="s">
        <v>725</v>
      </c>
      <c r="C73" s="243" t="s">
        <v>1656</v>
      </c>
      <c r="D73" s="245"/>
      <c r="E73" s="244">
        <v>46107</v>
      </c>
      <c r="F73" s="245" t="s">
        <v>776</v>
      </c>
      <c r="G73" s="246" t="s">
        <v>230</v>
      </c>
      <c r="H73" s="243">
        <v>30</v>
      </c>
      <c r="I73" s="243">
        <v>1</v>
      </c>
      <c r="J73" s="247">
        <v>3300000</v>
      </c>
      <c r="K73" s="244">
        <v>46107</v>
      </c>
      <c r="L73" s="245"/>
      <c r="M73" s="245"/>
      <c r="N73" s="349"/>
      <c r="O73" s="349"/>
      <c r="P73" s="349"/>
      <c r="Q73" s="349"/>
      <c r="R73" s="349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  <c r="AY73" s="165"/>
      <c r="AZ73" s="165"/>
      <c r="BA73" s="165"/>
      <c r="BB73" s="165"/>
      <c r="BC73" s="165"/>
      <c r="BD73" s="165"/>
      <c r="BE73" s="165"/>
      <c r="BF73" s="165"/>
      <c r="BG73" s="165"/>
      <c r="BH73" s="165"/>
    </row>
    <row r="74" spans="1:60" customFormat="1">
      <c r="A74" s="349"/>
      <c r="B74" s="243" t="s">
        <v>725</v>
      </c>
      <c r="C74" s="243" t="s">
        <v>1659</v>
      </c>
      <c r="D74" s="243" t="s">
        <v>1660</v>
      </c>
      <c r="E74" s="244">
        <v>46091</v>
      </c>
      <c r="F74" s="245" t="s">
        <v>767</v>
      </c>
      <c r="G74" s="246" t="s">
        <v>230</v>
      </c>
      <c r="H74" s="243">
        <v>500</v>
      </c>
      <c r="I74" s="243">
        <v>20</v>
      </c>
      <c r="J74" s="247">
        <v>48600000</v>
      </c>
      <c r="K74" s="244">
        <v>46093</v>
      </c>
      <c r="L74" s="245"/>
      <c r="M74" s="245"/>
      <c r="N74" s="349"/>
      <c r="O74" s="349"/>
      <c r="P74" s="349"/>
      <c r="Q74" s="349"/>
      <c r="R74" s="349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165"/>
      <c r="BB74" s="165"/>
      <c r="BC74" s="165"/>
      <c r="BD74" s="165"/>
      <c r="BE74" s="165"/>
      <c r="BF74" s="165"/>
      <c r="BG74" s="165"/>
      <c r="BH74" s="165"/>
    </row>
    <row r="75" spans="1:60" customFormat="1">
      <c r="A75" s="349"/>
      <c r="B75" s="243" t="s">
        <v>725</v>
      </c>
      <c r="C75" s="243" t="s">
        <v>1659</v>
      </c>
      <c r="D75" s="243" t="s">
        <v>1660</v>
      </c>
      <c r="E75" s="244">
        <v>46091</v>
      </c>
      <c r="F75" s="245" t="s">
        <v>767</v>
      </c>
      <c r="G75" s="246" t="s">
        <v>976</v>
      </c>
      <c r="H75" s="243">
        <v>50</v>
      </c>
      <c r="I75" s="243">
        <v>2</v>
      </c>
      <c r="J75" s="247">
        <v>7250000</v>
      </c>
      <c r="K75" s="244">
        <v>46093</v>
      </c>
      <c r="L75" s="245"/>
      <c r="M75" s="245"/>
      <c r="N75" s="349"/>
      <c r="O75" s="349"/>
      <c r="P75" s="349"/>
      <c r="Q75" s="349"/>
      <c r="R75" s="349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165"/>
      <c r="BB75" s="165"/>
      <c r="BC75" s="165"/>
      <c r="BD75" s="165"/>
      <c r="BE75" s="165"/>
      <c r="BF75" s="165"/>
      <c r="BG75" s="165"/>
      <c r="BH75" s="165"/>
    </row>
    <row r="76" spans="1:60" customFormat="1">
      <c r="A76" s="3"/>
      <c r="B76" s="243" t="s">
        <v>725</v>
      </c>
      <c r="C76" s="243" t="s">
        <v>1680</v>
      </c>
      <c r="D76" s="245"/>
      <c r="E76" s="244">
        <v>46107</v>
      </c>
      <c r="F76" s="245" t="s">
        <v>783</v>
      </c>
      <c r="G76" s="246" t="s">
        <v>1681</v>
      </c>
      <c r="H76" s="243">
        <v>10</v>
      </c>
      <c r="I76" s="243">
        <v>0</v>
      </c>
      <c r="J76" s="247">
        <v>700000</v>
      </c>
      <c r="K76" s="244">
        <v>46108</v>
      </c>
      <c r="L76" s="245"/>
      <c r="M76" s="245"/>
      <c r="N76" s="349"/>
      <c r="O76" s="349"/>
      <c r="P76" s="349"/>
      <c r="Q76" s="349"/>
      <c r="R76" s="349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165"/>
      <c r="BB76" s="165"/>
      <c r="BC76" s="165"/>
      <c r="BD76" s="165"/>
      <c r="BE76" s="165"/>
      <c r="BF76" s="165"/>
      <c r="BG76" s="165"/>
      <c r="BH76" s="165"/>
    </row>
    <row r="77" spans="1:60" customFormat="1">
      <c r="A77" s="3"/>
      <c r="B77" s="243" t="s">
        <v>725</v>
      </c>
      <c r="C77" s="243" t="s">
        <v>1683</v>
      </c>
      <c r="D77" s="245"/>
      <c r="E77" s="244">
        <v>46108</v>
      </c>
      <c r="F77" s="245" t="s">
        <v>783</v>
      </c>
      <c r="G77" s="246" t="s">
        <v>111</v>
      </c>
      <c r="H77" s="243">
        <v>75</v>
      </c>
      <c r="I77" s="243">
        <v>3</v>
      </c>
      <c r="J77" s="247">
        <v>1912500</v>
      </c>
      <c r="K77" s="244">
        <v>46109</v>
      </c>
      <c r="L77" s="245"/>
      <c r="M77" s="245"/>
      <c r="N77" s="349"/>
      <c r="O77" s="349"/>
      <c r="P77" s="349"/>
      <c r="Q77" s="349"/>
      <c r="R77" s="349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165"/>
      <c r="BB77" s="165"/>
      <c r="BC77" s="165"/>
      <c r="BD77" s="165"/>
      <c r="BE77" s="165"/>
      <c r="BF77" s="165"/>
      <c r="BG77" s="165"/>
      <c r="BH77" s="165"/>
    </row>
    <row r="78" spans="1:60" customFormat="1">
      <c r="A78" s="3"/>
      <c r="B78" s="248" t="s">
        <v>109</v>
      </c>
      <c r="C78" s="248" t="s">
        <v>928</v>
      </c>
      <c r="D78" s="248" t="s">
        <v>486</v>
      </c>
      <c r="E78" s="249">
        <v>46080</v>
      </c>
      <c r="F78" s="250" t="s">
        <v>157</v>
      </c>
      <c r="G78" s="251" t="s">
        <v>590</v>
      </c>
      <c r="H78" s="248">
        <v>6</v>
      </c>
      <c r="I78" s="248">
        <v>0</v>
      </c>
      <c r="J78" s="252">
        <v>300000</v>
      </c>
      <c r="K78" s="249">
        <v>49736</v>
      </c>
      <c r="L78" s="250"/>
      <c r="M78" s="250"/>
      <c r="N78" s="349"/>
      <c r="O78" s="349"/>
      <c r="P78" s="349"/>
      <c r="Q78" s="349"/>
      <c r="R78" s="349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65"/>
      <c r="BC78" s="165"/>
      <c r="BD78" s="165"/>
      <c r="BE78" s="165"/>
      <c r="BF78" s="165"/>
      <c r="BG78" s="165"/>
      <c r="BH78" s="165"/>
    </row>
    <row r="79" spans="1:60" customFormat="1">
      <c r="A79" s="3"/>
      <c r="B79" s="362" t="s">
        <v>979</v>
      </c>
      <c r="C79" s="362" t="s">
        <v>980</v>
      </c>
      <c r="D79" s="362" t="s">
        <v>981</v>
      </c>
      <c r="E79" s="363">
        <v>46083</v>
      </c>
      <c r="F79" s="364" t="s">
        <v>174</v>
      </c>
      <c r="G79" s="365" t="s">
        <v>194</v>
      </c>
      <c r="H79" s="362">
        <v>1500</v>
      </c>
      <c r="I79" s="362">
        <v>60</v>
      </c>
      <c r="J79" s="366">
        <v>26635000</v>
      </c>
      <c r="K79" s="363">
        <v>46085</v>
      </c>
      <c r="L79" s="364"/>
      <c r="M79" s="364" t="s">
        <v>1691</v>
      </c>
      <c r="N79" s="349"/>
      <c r="O79" s="349"/>
      <c r="P79" s="349"/>
      <c r="Q79" s="349"/>
      <c r="R79" s="349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165"/>
      <c r="BB79" s="165"/>
      <c r="BC79" s="165"/>
      <c r="BD79" s="165"/>
      <c r="BE79" s="165"/>
      <c r="BF79" s="165"/>
      <c r="BG79" s="165"/>
      <c r="BH79" s="165"/>
    </row>
    <row r="80" spans="1:60" customFormat="1">
      <c r="A80" s="3"/>
      <c r="B80" s="362" t="s">
        <v>979</v>
      </c>
      <c r="C80" s="362" t="s">
        <v>1249</v>
      </c>
      <c r="D80" s="362" t="s">
        <v>1250</v>
      </c>
      <c r="E80" s="363">
        <v>46092</v>
      </c>
      <c r="F80" s="364" t="s">
        <v>759</v>
      </c>
      <c r="G80" s="365" t="s">
        <v>990</v>
      </c>
      <c r="H80" s="362">
        <v>120</v>
      </c>
      <c r="I80" s="362">
        <v>5</v>
      </c>
      <c r="J80" s="362">
        <v>0</v>
      </c>
      <c r="K80" s="363">
        <v>46093</v>
      </c>
      <c r="L80" s="364"/>
      <c r="M80" s="376" t="s">
        <v>1692</v>
      </c>
      <c r="N80" s="349"/>
      <c r="O80" s="349"/>
      <c r="P80" s="349"/>
      <c r="Q80" s="349"/>
      <c r="R80" s="349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165"/>
      <c r="BB80" s="165"/>
      <c r="BC80" s="165"/>
      <c r="BD80" s="165"/>
      <c r="BE80" s="165"/>
      <c r="BF80" s="165"/>
      <c r="BG80" s="165"/>
      <c r="BH80" s="165"/>
    </row>
    <row r="81" spans="1:60" customFormat="1" ht="24">
      <c r="A81" s="3"/>
      <c r="B81" s="237" t="s">
        <v>765</v>
      </c>
      <c r="C81" s="237" t="s">
        <v>834</v>
      </c>
      <c r="D81" s="237" t="s">
        <v>1109</v>
      </c>
      <c r="E81" s="238">
        <v>45712</v>
      </c>
      <c r="F81" s="239" t="s">
        <v>479</v>
      </c>
      <c r="G81" s="240" t="s">
        <v>774</v>
      </c>
      <c r="H81" s="237">
        <v>0.75</v>
      </c>
      <c r="I81" s="237">
        <v>0</v>
      </c>
      <c r="J81" s="237">
        <v>0</v>
      </c>
      <c r="K81" s="238">
        <v>46078</v>
      </c>
      <c r="L81" s="372"/>
      <c r="M81" s="242" t="s">
        <v>1110</v>
      </c>
      <c r="N81" s="349"/>
      <c r="O81" s="349"/>
      <c r="P81" s="349"/>
      <c r="Q81" s="349"/>
      <c r="R81" s="349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165"/>
      <c r="BC81" s="165"/>
      <c r="BD81" s="165"/>
      <c r="BE81" s="165"/>
      <c r="BF81" s="165"/>
      <c r="BG81" s="165"/>
      <c r="BH81" s="165"/>
    </row>
    <row r="82" spans="1:60" customFormat="1" ht="36">
      <c r="A82" s="3"/>
      <c r="B82" s="237" t="s">
        <v>765</v>
      </c>
      <c r="C82" s="237" t="s">
        <v>1137</v>
      </c>
      <c r="D82" s="237" t="s">
        <v>1138</v>
      </c>
      <c r="E82" s="238">
        <v>46087</v>
      </c>
      <c r="F82" s="239" t="s">
        <v>400</v>
      </c>
      <c r="G82" s="240" t="s">
        <v>590</v>
      </c>
      <c r="H82" s="237">
        <v>10</v>
      </c>
      <c r="I82" s="237">
        <v>0</v>
      </c>
      <c r="J82" s="241">
        <v>550000</v>
      </c>
      <c r="K82" s="238">
        <v>411329</v>
      </c>
      <c r="L82" s="372"/>
      <c r="M82" s="242" t="s">
        <v>1694</v>
      </c>
      <c r="N82" s="349"/>
      <c r="O82" s="349"/>
      <c r="P82" s="349"/>
      <c r="Q82" s="349"/>
      <c r="R82" s="349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165"/>
      <c r="BB82" s="165"/>
      <c r="BC82" s="165"/>
      <c r="BD82" s="165"/>
      <c r="BE82" s="165"/>
      <c r="BF82" s="165"/>
      <c r="BG82" s="165"/>
      <c r="BH82" s="165"/>
    </row>
    <row r="83" spans="1:60" customFormat="1" ht="36">
      <c r="A83" s="3"/>
      <c r="B83" s="237" t="s">
        <v>765</v>
      </c>
      <c r="C83" s="237" t="s">
        <v>1140</v>
      </c>
      <c r="D83" s="237" t="s">
        <v>1141</v>
      </c>
      <c r="E83" s="238">
        <v>46087</v>
      </c>
      <c r="F83" s="239" t="s">
        <v>400</v>
      </c>
      <c r="G83" s="240" t="s">
        <v>590</v>
      </c>
      <c r="H83" s="237">
        <v>5</v>
      </c>
      <c r="I83" s="237">
        <v>0</v>
      </c>
      <c r="J83" s="241">
        <v>275000</v>
      </c>
      <c r="K83" s="238">
        <v>411329</v>
      </c>
      <c r="L83" s="372"/>
      <c r="M83" s="242" t="s">
        <v>1139</v>
      </c>
      <c r="N83" s="349"/>
      <c r="O83" s="349"/>
      <c r="P83" s="349"/>
      <c r="Q83" s="349"/>
      <c r="R83" s="349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165"/>
      <c r="BC83" s="165"/>
      <c r="BD83" s="165"/>
      <c r="BE83" s="165"/>
      <c r="BF83" s="165"/>
      <c r="BG83" s="165"/>
      <c r="BH83" s="165"/>
    </row>
    <row r="84" spans="1:60" customFormat="1">
      <c r="A84" s="3"/>
      <c r="B84" s="237" t="s">
        <v>765</v>
      </c>
      <c r="C84" s="237" t="s">
        <v>1225</v>
      </c>
      <c r="D84" s="237" t="s">
        <v>1226</v>
      </c>
      <c r="E84" s="238">
        <v>46091</v>
      </c>
      <c r="F84" s="239" t="s">
        <v>769</v>
      </c>
      <c r="G84" s="240" t="s">
        <v>194</v>
      </c>
      <c r="H84" s="237">
        <v>350</v>
      </c>
      <c r="I84" s="237">
        <v>14</v>
      </c>
      <c r="J84" s="241">
        <v>6825000</v>
      </c>
      <c r="K84" s="238">
        <v>46106</v>
      </c>
      <c r="L84" s="372"/>
      <c r="M84" s="377" t="s">
        <v>1227</v>
      </c>
      <c r="N84" s="349"/>
      <c r="O84" s="349"/>
      <c r="P84" s="349"/>
      <c r="Q84" s="349"/>
      <c r="R84" s="349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65"/>
      <c r="BA84" s="165"/>
      <c r="BB84" s="165"/>
      <c r="BC84" s="165"/>
      <c r="BD84" s="165"/>
      <c r="BE84" s="165"/>
      <c r="BF84" s="165"/>
      <c r="BG84" s="165"/>
      <c r="BH84" s="165"/>
    </row>
    <row r="85" spans="1:60" customFormat="1">
      <c r="A85" s="3"/>
      <c r="B85" s="237" t="s">
        <v>765</v>
      </c>
      <c r="C85" s="237" t="s">
        <v>1225</v>
      </c>
      <c r="D85" s="237" t="s">
        <v>1226</v>
      </c>
      <c r="E85" s="238">
        <v>46091</v>
      </c>
      <c r="F85" s="239" t="s">
        <v>769</v>
      </c>
      <c r="G85" s="240" t="s">
        <v>773</v>
      </c>
      <c r="H85" s="237">
        <v>300</v>
      </c>
      <c r="I85" s="237">
        <v>12</v>
      </c>
      <c r="J85" s="241">
        <v>4800000</v>
      </c>
      <c r="K85" s="238">
        <v>46106</v>
      </c>
      <c r="L85" s="372"/>
      <c r="M85" s="377" t="s">
        <v>1227</v>
      </c>
      <c r="N85" s="349"/>
      <c r="O85" s="349"/>
      <c r="P85" s="349"/>
      <c r="Q85" s="349"/>
      <c r="R85" s="349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165"/>
      <c r="BC85" s="165"/>
      <c r="BD85" s="165"/>
      <c r="BE85" s="165"/>
      <c r="BF85" s="165"/>
      <c r="BG85" s="165"/>
      <c r="BH85" s="165"/>
    </row>
    <row r="86" spans="1:60" customFormat="1">
      <c r="A86" s="3"/>
      <c r="B86" s="237" t="s">
        <v>765</v>
      </c>
      <c r="C86" s="237" t="s">
        <v>1225</v>
      </c>
      <c r="D86" s="237" t="s">
        <v>1226</v>
      </c>
      <c r="E86" s="238">
        <v>46091</v>
      </c>
      <c r="F86" s="239" t="s">
        <v>769</v>
      </c>
      <c r="G86" s="240" t="s">
        <v>762</v>
      </c>
      <c r="H86" s="237">
        <v>150</v>
      </c>
      <c r="I86" s="237">
        <v>6</v>
      </c>
      <c r="J86" s="241">
        <v>10200000</v>
      </c>
      <c r="K86" s="238">
        <v>46106</v>
      </c>
      <c r="L86" s="372"/>
      <c r="M86" s="377" t="s">
        <v>1227</v>
      </c>
      <c r="N86" s="349"/>
      <c r="O86" s="349"/>
      <c r="P86" s="349"/>
      <c r="Q86" s="349"/>
      <c r="R86" s="349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165"/>
      <c r="BC86" s="165"/>
      <c r="BD86" s="165"/>
      <c r="BE86" s="165"/>
      <c r="BF86" s="165"/>
      <c r="BG86" s="165"/>
      <c r="BH86" s="165"/>
    </row>
    <row r="87" spans="1:60" customFormat="1">
      <c r="A87" s="3"/>
      <c r="B87" s="237" t="s">
        <v>765</v>
      </c>
      <c r="C87" s="237" t="s">
        <v>1225</v>
      </c>
      <c r="D87" s="237" t="s">
        <v>1226</v>
      </c>
      <c r="E87" s="238">
        <v>46091</v>
      </c>
      <c r="F87" s="239" t="s">
        <v>769</v>
      </c>
      <c r="G87" s="240" t="s">
        <v>768</v>
      </c>
      <c r="H87" s="237">
        <v>125</v>
      </c>
      <c r="I87" s="237">
        <v>5</v>
      </c>
      <c r="J87" s="241">
        <v>26250000</v>
      </c>
      <c r="K87" s="238">
        <v>46106</v>
      </c>
      <c r="L87" s="372"/>
      <c r="M87" s="242" t="s">
        <v>1227</v>
      </c>
      <c r="N87" s="349"/>
      <c r="O87" s="349"/>
      <c r="P87" s="349"/>
      <c r="Q87" s="349"/>
      <c r="R87" s="349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165"/>
      <c r="BB87" s="165"/>
      <c r="BC87" s="165"/>
      <c r="BD87" s="165"/>
      <c r="BE87" s="165"/>
      <c r="BF87" s="165"/>
      <c r="BG87" s="165"/>
      <c r="BH87" s="165"/>
    </row>
    <row r="88" spans="1:60" customFormat="1">
      <c r="A88" s="3"/>
      <c r="B88" s="237" t="s">
        <v>765</v>
      </c>
      <c r="C88" s="237" t="s">
        <v>1225</v>
      </c>
      <c r="D88" s="237" t="s">
        <v>1226</v>
      </c>
      <c r="E88" s="238">
        <v>46091</v>
      </c>
      <c r="F88" s="239" t="s">
        <v>769</v>
      </c>
      <c r="G88" s="240" t="s">
        <v>112</v>
      </c>
      <c r="H88" s="237">
        <v>120</v>
      </c>
      <c r="I88" s="237">
        <v>5</v>
      </c>
      <c r="J88" s="241">
        <v>6744000</v>
      </c>
      <c r="K88" s="238">
        <v>46106</v>
      </c>
      <c r="L88" s="372"/>
      <c r="M88" s="242" t="s">
        <v>1227</v>
      </c>
      <c r="N88" s="349"/>
      <c r="O88" s="349"/>
      <c r="P88" s="349"/>
      <c r="Q88" s="349"/>
      <c r="R88" s="349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165"/>
      <c r="BB88" s="165"/>
      <c r="BC88" s="165"/>
      <c r="BD88" s="165"/>
      <c r="BE88" s="165"/>
      <c r="BF88" s="165"/>
      <c r="BG88" s="165"/>
      <c r="BH88" s="165"/>
    </row>
    <row r="89" spans="1:60" customFormat="1">
      <c r="A89" s="3"/>
      <c r="B89" s="237" t="s">
        <v>765</v>
      </c>
      <c r="C89" s="237" t="s">
        <v>1228</v>
      </c>
      <c r="D89" s="237" t="s">
        <v>1229</v>
      </c>
      <c r="E89" s="238">
        <v>46091</v>
      </c>
      <c r="F89" s="239" t="s">
        <v>769</v>
      </c>
      <c r="G89" s="240" t="s">
        <v>912</v>
      </c>
      <c r="H89" s="237">
        <v>9</v>
      </c>
      <c r="I89" s="237">
        <v>0</v>
      </c>
      <c r="J89" s="237">
        <v>0</v>
      </c>
      <c r="K89" s="238">
        <v>46106</v>
      </c>
      <c r="L89" s="372"/>
      <c r="M89" s="242" t="s">
        <v>1227</v>
      </c>
      <c r="N89" s="349"/>
      <c r="O89" s="349"/>
      <c r="P89" s="349"/>
      <c r="Q89" s="349"/>
      <c r="R89" s="349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165"/>
      <c r="BB89" s="165"/>
      <c r="BC89" s="165"/>
      <c r="BD89" s="165"/>
      <c r="BE89" s="165"/>
      <c r="BF89" s="165"/>
      <c r="BG89" s="165"/>
      <c r="BH89" s="165"/>
    </row>
    <row r="90" spans="1:60" customFormat="1" ht="24">
      <c r="A90" s="3"/>
      <c r="B90" s="237" t="s">
        <v>765</v>
      </c>
      <c r="C90" s="237" t="s">
        <v>1230</v>
      </c>
      <c r="D90" s="237" t="s">
        <v>1231</v>
      </c>
      <c r="E90" s="238">
        <v>46091</v>
      </c>
      <c r="F90" s="239" t="s">
        <v>195</v>
      </c>
      <c r="G90" s="240" t="s">
        <v>773</v>
      </c>
      <c r="H90" s="237">
        <v>800</v>
      </c>
      <c r="I90" s="237">
        <v>32</v>
      </c>
      <c r="J90" s="241">
        <v>12800000</v>
      </c>
      <c r="K90" s="238">
        <v>46093</v>
      </c>
      <c r="L90" s="372"/>
      <c r="M90" s="242" t="s">
        <v>1232</v>
      </c>
      <c r="N90" s="349"/>
      <c r="O90" s="349"/>
      <c r="P90" s="349"/>
      <c r="Q90" s="349"/>
      <c r="R90" s="349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  <c r="AY90" s="165"/>
      <c r="AZ90" s="165"/>
      <c r="BA90" s="165"/>
      <c r="BB90" s="165"/>
      <c r="BC90" s="165"/>
      <c r="BD90" s="165"/>
      <c r="BE90" s="165"/>
      <c r="BF90" s="165"/>
      <c r="BG90" s="165"/>
      <c r="BH90" s="165"/>
    </row>
    <row r="91" spans="1:60" customFormat="1" ht="24">
      <c r="A91" s="3"/>
      <c r="B91" s="237" t="s">
        <v>765</v>
      </c>
      <c r="C91" s="237" t="s">
        <v>1233</v>
      </c>
      <c r="D91" s="237" t="s">
        <v>1234</v>
      </c>
      <c r="E91" s="238">
        <v>46091</v>
      </c>
      <c r="F91" s="239" t="s">
        <v>479</v>
      </c>
      <c r="G91" s="240" t="s">
        <v>780</v>
      </c>
      <c r="H91" s="237">
        <v>100</v>
      </c>
      <c r="I91" s="237">
        <v>4</v>
      </c>
      <c r="J91" s="241">
        <v>4000000</v>
      </c>
      <c r="K91" s="238">
        <v>46091</v>
      </c>
      <c r="L91" s="372"/>
      <c r="M91" s="242" t="s">
        <v>1235</v>
      </c>
      <c r="N91" s="349"/>
      <c r="O91" s="349"/>
      <c r="P91" s="349"/>
      <c r="Q91" s="349"/>
      <c r="R91" s="349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  <c r="AY91" s="165"/>
      <c r="AZ91" s="165"/>
      <c r="BA91" s="165"/>
      <c r="BB91" s="165"/>
      <c r="BC91" s="165"/>
      <c r="BD91" s="165"/>
      <c r="BE91" s="165"/>
      <c r="BF91" s="165"/>
      <c r="BG91" s="165"/>
      <c r="BH91" s="165"/>
    </row>
    <row r="92" spans="1:60" customFormat="1" ht="24">
      <c r="A92" s="3"/>
      <c r="B92" s="237" t="s">
        <v>765</v>
      </c>
      <c r="C92" s="237" t="s">
        <v>1256</v>
      </c>
      <c r="D92" s="237" t="s">
        <v>1257</v>
      </c>
      <c r="E92" s="238">
        <v>46092</v>
      </c>
      <c r="F92" s="239" t="s">
        <v>148</v>
      </c>
      <c r="G92" s="240" t="s">
        <v>221</v>
      </c>
      <c r="H92" s="237">
        <v>35</v>
      </c>
      <c r="I92" s="237">
        <v>1</v>
      </c>
      <c r="J92" s="241">
        <v>9450000</v>
      </c>
      <c r="K92" s="238">
        <v>46093</v>
      </c>
      <c r="L92" s="239"/>
      <c r="M92" s="242" t="s">
        <v>1686</v>
      </c>
      <c r="N92" s="349"/>
      <c r="O92" s="349"/>
      <c r="P92" s="349"/>
      <c r="Q92" s="349"/>
      <c r="R92" s="349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/>
      <c r="BA92" s="165"/>
      <c r="BB92" s="165"/>
      <c r="BC92" s="165"/>
      <c r="BD92" s="165"/>
      <c r="BE92" s="165"/>
      <c r="BF92" s="165"/>
      <c r="BG92" s="165"/>
      <c r="BH92" s="165"/>
    </row>
    <row r="93" spans="1:60" s="165" customFormat="1" ht="24">
      <c r="A93" s="349"/>
      <c r="B93" s="237" t="s">
        <v>765</v>
      </c>
      <c r="C93" s="237" t="s">
        <v>1259</v>
      </c>
      <c r="D93" s="239"/>
      <c r="E93" s="238">
        <v>46098</v>
      </c>
      <c r="F93" s="239" t="s">
        <v>148</v>
      </c>
      <c r="G93" s="240" t="s">
        <v>221</v>
      </c>
      <c r="H93" s="237">
        <v>11</v>
      </c>
      <c r="I93" s="237">
        <v>0</v>
      </c>
      <c r="J93" s="241">
        <v>2970000</v>
      </c>
      <c r="K93" s="238">
        <v>46093</v>
      </c>
      <c r="L93" s="239"/>
      <c r="M93" s="242" t="s">
        <v>1686</v>
      </c>
      <c r="N93" s="349"/>
      <c r="O93" s="349"/>
      <c r="P93" s="349"/>
      <c r="Q93" s="349"/>
      <c r="R93" s="349"/>
    </row>
    <row r="94" spans="1:60" customFormat="1" ht="24">
      <c r="A94" s="3"/>
      <c r="B94" s="237" t="s">
        <v>765</v>
      </c>
      <c r="C94" s="237" t="s">
        <v>1261</v>
      </c>
      <c r="D94" s="237" t="s">
        <v>1262</v>
      </c>
      <c r="E94" s="238">
        <v>46092</v>
      </c>
      <c r="F94" s="239" t="s">
        <v>148</v>
      </c>
      <c r="G94" s="240" t="s">
        <v>221</v>
      </c>
      <c r="H94" s="237">
        <v>26</v>
      </c>
      <c r="I94" s="237">
        <v>1</v>
      </c>
      <c r="J94" s="241">
        <v>7020000</v>
      </c>
      <c r="K94" s="238">
        <v>46093</v>
      </c>
      <c r="L94" s="239"/>
      <c r="M94" s="242" t="s">
        <v>1686</v>
      </c>
      <c r="N94" s="349"/>
      <c r="O94" s="349"/>
      <c r="P94" s="349"/>
      <c r="Q94" s="349"/>
      <c r="R94" s="349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165"/>
      <c r="BB94" s="165"/>
      <c r="BC94" s="165"/>
      <c r="BD94" s="165"/>
      <c r="BE94" s="165"/>
      <c r="BF94" s="165"/>
      <c r="BG94" s="165"/>
      <c r="BH94" s="165"/>
    </row>
    <row r="95" spans="1:60" customFormat="1">
      <c r="A95" s="3"/>
      <c r="B95" s="367" t="s">
        <v>374</v>
      </c>
      <c r="C95" s="367" t="s">
        <v>1220</v>
      </c>
      <c r="D95" s="367" t="s">
        <v>486</v>
      </c>
      <c r="E95" s="368">
        <v>46091</v>
      </c>
      <c r="F95" s="369" t="s">
        <v>769</v>
      </c>
      <c r="G95" s="370" t="s">
        <v>209</v>
      </c>
      <c r="H95" s="367">
        <v>50</v>
      </c>
      <c r="I95" s="367">
        <v>2</v>
      </c>
      <c r="J95" s="371">
        <v>5391000</v>
      </c>
      <c r="K95" s="368">
        <v>46065</v>
      </c>
      <c r="L95" s="369"/>
      <c r="M95" s="369" t="s">
        <v>1695</v>
      </c>
      <c r="N95" s="349"/>
      <c r="O95" s="349"/>
      <c r="P95" s="349"/>
      <c r="Q95" s="349"/>
      <c r="R95" s="349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165"/>
      <c r="BB95" s="165"/>
      <c r="BC95" s="165"/>
      <c r="BD95" s="165"/>
      <c r="BE95" s="165"/>
      <c r="BF95" s="165"/>
      <c r="BG95" s="165"/>
      <c r="BH95" s="165"/>
    </row>
  </sheetData>
  <autoFilter ref="B39:O39" xr:uid="{00000000-0001-0000-0100-000000000000}"/>
  <mergeCells count="6">
    <mergeCell ref="B34:C34"/>
    <mergeCell ref="B4:D4"/>
    <mergeCell ref="F4:G4"/>
    <mergeCell ref="B5:B6"/>
    <mergeCell ref="D5:D6"/>
    <mergeCell ref="F5:F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0E87-E30D-4A30-BE9D-4D3E780EBDFF}">
  <dimension ref="A1:R527"/>
  <sheetViews>
    <sheetView tabSelected="1" workbookViewId="0">
      <selection activeCell="F1" sqref="B1:F1"/>
    </sheetView>
  </sheetViews>
  <sheetFormatPr baseColWidth="10" defaultRowHeight="13"/>
  <cols>
    <col min="1" max="1" width="21.69921875" customWidth="1"/>
    <col min="2" max="5" width="11.19921875" customWidth="1"/>
    <col min="9" max="9" width="11.19921875" customWidth="1"/>
    <col min="10" max="10" width="31.69921875" customWidth="1"/>
    <col min="11" max="11" width="15.69921875" hidden="1" customWidth="1"/>
    <col min="12" max="12" width="27.59765625" customWidth="1"/>
    <col min="17" max="17" width="32.19921875" style="225" customWidth="1"/>
    <col min="18" max="18" width="20.296875" customWidth="1"/>
  </cols>
  <sheetData>
    <row r="1" spans="1:18" ht="46.5" thickBot="1">
      <c r="A1" s="200" t="s">
        <v>807</v>
      </c>
      <c r="B1" s="81" t="s">
        <v>68</v>
      </c>
      <c r="C1" s="81" t="s">
        <v>130</v>
      </c>
      <c r="D1" s="81" t="s">
        <v>405</v>
      </c>
      <c r="E1" s="81" t="s">
        <v>758</v>
      </c>
      <c r="F1" s="81" t="s">
        <v>70</v>
      </c>
      <c r="G1" s="81" t="s">
        <v>71</v>
      </c>
      <c r="H1" s="82" t="s">
        <v>72</v>
      </c>
      <c r="I1" s="81" t="s">
        <v>73</v>
      </c>
      <c r="J1" s="81" t="s">
        <v>406</v>
      </c>
      <c r="K1" s="81" t="s">
        <v>74</v>
      </c>
      <c r="L1" s="82" t="s">
        <v>107</v>
      </c>
      <c r="M1" s="81" t="s">
        <v>382</v>
      </c>
      <c r="N1" s="81" t="s">
        <v>94</v>
      </c>
      <c r="O1" s="81" t="s">
        <v>132</v>
      </c>
      <c r="P1" s="81" t="s">
        <v>108</v>
      </c>
      <c r="Q1" s="81" t="s">
        <v>836</v>
      </c>
      <c r="R1" s="81" t="s">
        <v>838</v>
      </c>
    </row>
    <row r="2" spans="1:18" ht="13.5" thickBot="1">
      <c r="A2" s="253"/>
      <c r="B2" s="254">
        <v>4700008344</v>
      </c>
      <c r="C2" s="255">
        <v>45992</v>
      </c>
      <c r="D2" s="256">
        <v>0.50138888888888888</v>
      </c>
      <c r="E2" s="257"/>
      <c r="F2" s="254" t="s">
        <v>840</v>
      </c>
      <c r="G2" s="258" t="s">
        <v>841</v>
      </c>
      <c r="H2" s="255">
        <v>46100</v>
      </c>
      <c r="I2" s="256">
        <v>0.375</v>
      </c>
      <c r="J2" s="257" t="s">
        <v>759</v>
      </c>
      <c r="K2" s="254" t="s">
        <v>83</v>
      </c>
      <c r="L2" s="259" t="s">
        <v>773</v>
      </c>
      <c r="M2" s="254">
        <v>52000</v>
      </c>
      <c r="N2" s="260">
        <v>2080</v>
      </c>
      <c r="O2" s="260">
        <v>661180000</v>
      </c>
      <c r="P2" s="255">
        <v>46095</v>
      </c>
      <c r="Q2" s="257"/>
      <c r="R2" s="257"/>
    </row>
    <row r="3" spans="1:18" ht="13.5" thickBot="1">
      <c r="A3" s="146"/>
      <c r="B3" s="37">
        <v>4700008464</v>
      </c>
      <c r="C3" s="38">
        <v>45992</v>
      </c>
      <c r="D3" s="39">
        <v>0.50138888888888888</v>
      </c>
      <c r="E3" s="41"/>
      <c r="F3" s="37" t="s">
        <v>842</v>
      </c>
      <c r="G3" s="37" t="s">
        <v>843</v>
      </c>
      <c r="H3" s="38">
        <v>46100</v>
      </c>
      <c r="I3" s="39">
        <v>0.36458333333333331</v>
      </c>
      <c r="J3" s="41" t="s">
        <v>759</v>
      </c>
      <c r="K3" s="37" t="s">
        <v>83</v>
      </c>
      <c r="L3" s="40" t="s">
        <v>773</v>
      </c>
      <c r="M3" s="37">
        <v>26000</v>
      </c>
      <c r="N3" s="147">
        <v>1040</v>
      </c>
      <c r="O3" s="147">
        <v>333970000</v>
      </c>
      <c r="P3" s="38">
        <v>46095</v>
      </c>
      <c r="Q3" s="41"/>
      <c r="R3" s="41"/>
    </row>
    <row r="4" spans="1:18" ht="25.5" thickBot="1">
      <c r="A4" s="146"/>
      <c r="B4" s="37" t="s">
        <v>844</v>
      </c>
      <c r="C4" s="41"/>
      <c r="D4" s="41"/>
      <c r="E4" s="41"/>
      <c r="F4" s="37" t="s">
        <v>845</v>
      </c>
      <c r="G4" s="79" t="s">
        <v>846</v>
      </c>
      <c r="H4" s="38">
        <v>46107</v>
      </c>
      <c r="I4" s="39">
        <v>0.33124999999999999</v>
      </c>
      <c r="J4" s="41" t="s">
        <v>847</v>
      </c>
      <c r="K4" s="37" t="s">
        <v>396</v>
      </c>
      <c r="L4" s="40" t="s">
        <v>194</v>
      </c>
      <c r="M4" s="37">
        <v>10000</v>
      </c>
      <c r="N4" s="37">
        <v>400</v>
      </c>
      <c r="O4" s="37" t="s">
        <v>830</v>
      </c>
      <c r="P4" s="38">
        <v>46107</v>
      </c>
      <c r="Q4" s="41"/>
      <c r="R4" s="41"/>
    </row>
    <row r="5" spans="1:18" ht="25.5" thickBot="1">
      <c r="A5" s="146"/>
      <c r="B5" s="37" t="s">
        <v>123</v>
      </c>
      <c r="C5" s="41"/>
      <c r="D5" s="41"/>
      <c r="E5" s="41"/>
      <c r="F5" s="37" t="s">
        <v>848</v>
      </c>
      <c r="G5" s="79" t="s">
        <v>849</v>
      </c>
      <c r="H5" s="38">
        <v>46030</v>
      </c>
      <c r="I5" s="39">
        <v>0.35416666666666669</v>
      </c>
      <c r="J5" s="41" t="s">
        <v>847</v>
      </c>
      <c r="K5" s="37" t="s">
        <v>396</v>
      </c>
      <c r="L5" s="40" t="s">
        <v>116</v>
      </c>
      <c r="M5" s="37">
        <v>10000</v>
      </c>
      <c r="N5" s="37">
        <v>400</v>
      </c>
      <c r="O5" s="147">
        <v>161880000</v>
      </c>
      <c r="P5" s="38">
        <v>46108</v>
      </c>
      <c r="Q5" s="41"/>
      <c r="R5" s="41"/>
    </row>
    <row r="6" spans="1:18" ht="25.5" thickBot="1">
      <c r="A6" s="207"/>
      <c r="B6" s="208">
        <v>7000398994</v>
      </c>
      <c r="C6" s="209">
        <v>45677</v>
      </c>
      <c r="D6" s="210">
        <v>0.44444444444444442</v>
      </c>
      <c r="E6" s="211"/>
      <c r="F6" s="208" t="s">
        <v>850</v>
      </c>
      <c r="G6" s="208" t="s">
        <v>851</v>
      </c>
      <c r="H6" s="209">
        <v>46085</v>
      </c>
      <c r="I6" s="210">
        <v>0.52777777777777779</v>
      </c>
      <c r="J6" s="211" t="s">
        <v>133</v>
      </c>
      <c r="K6" s="208" t="s">
        <v>191</v>
      </c>
      <c r="L6" s="212" t="s">
        <v>388</v>
      </c>
      <c r="M6" s="208">
        <v>1625</v>
      </c>
      <c r="N6" s="208">
        <v>65</v>
      </c>
      <c r="O6" s="213">
        <v>106843750</v>
      </c>
      <c r="P6" s="209">
        <v>46092</v>
      </c>
      <c r="Q6" s="211"/>
      <c r="R6" s="211"/>
    </row>
    <row r="7" spans="1:18" ht="13.5" thickBot="1">
      <c r="A7" s="146"/>
      <c r="B7" s="37">
        <v>4500371435</v>
      </c>
      <c r="C7" s="38">
        <v>46071</v>
      </c>
      <c r="D7" s="39">
        <v>0.75486111111111109</v>
      </c>
      <c r="E7" s="41"/>
      <c r="F7" s="37" t="s">
        <v>852</v>
      </c>
      <c r="G7" s="37" t="s">
        <v>853</v>
      </c>
      <c r="H7" s="38">
        <v>46070</v>
      </c>
      <c r="I7" s="39">
        <v>0.52083333333333337</v>
      </c>
      <c r="J7" s="41" t="s">
        <v>64</v>
      </c>
      <c r="K7" s="37" t="s">
        <v>142</v>
      </c>
      <c r="L7" s="40" t="s">
        <v>111</v>
      </c>
      <c r="M7" s="37">
        <v>550</v>
      </c>
      <c r="N7" s="37">
        <v>22</v>
      </c>
      <c r="O7" s="147">
        <v>14465000</v>
      </c>
      <c r="P7" s="38">
        <v>45724</v>
      </c>
      <c r="Q7" s="41"/>
      <c r="R7" s="41"/>
    </row>
    <row r="8" spans="1:18" ht="13.5" thickBot="1">
      <c r="A8" s="146"/>
      <c r="B8" s="37">
        <v>4500371435</v>
      </c>
      <c r="C8" s="38">
        <v>46071</v>
      </c>
      <c r="D8" s="39">
        <v>0.75486111111111109</v>
      </c>
      <c r="E8" s="41"/>
      <c r="F8" s="37" t="s">
        <v>852</v>
      </c>
      <c r="G8" s="37" t="s">
        <v>853</v>
      </c>
      <c r="H8" s="38">
        <v>46070</v>
      </c>
      <c r="I8" s="39">
        <v>0.52083333333333337</v>
      </c>
      <c r="J8" s="41" t="s">
        <v>64</v>
      </c>
      <c r="K8" s="37" t="s">
        <v>142</v>
      </c>
      <c r="L8" s="40" t="s">
        <v>854</v>
      </c>
      <c r="M8" s="37">
        <v>625</v>
      </c>
      <c r="N8" s="37">
        <v>25</v>
      </c>
      <c r="O8" s="147">
        <v>25312500</v>
      </c>
      <c r="P8" s="38">
        <v>45724</v>
      </c>
      <c r="Q8" s="41"/>
      <c r="R8" s="41"/>
    </row>
    <row r="9" spans="1:18" ht="13.5" thickBot="1">
      <c r="A9" s="146"/>
      <c r="B9" s="37">
        <v>4500371435</v>
      </c>
      <c r="C9" s="38">
        <v>46071</v>
      </c>
      <c r="D9" s="39">
        <v>0.75486111111111109</v>
      </c>
      <c r="E9" s="41"/>
      <c r="F9" s="37" t="s">
        <v>852</v>
      </c>
      <c r="G9" s="37" t="s">
        <v>853</v>
      </c>
      <c r="H9" s="38">
        <v>46070</v>
      </c>
      <c r="I9" s="39">
        <v>0.52083333333333337</v>
      </c>
      <c r="J9" s="41" t="s">
        <v>64</v>
      </c>
      <c r="K9" s="37" t="s">
        <v>142</v>
      </c>
      <c r="L9" s="40" t="s">
        <v>768</v>
      </c>
      <c r="M9" s="37">
        <v>50</v>
      </c>
      <c r="N9" s="37">
        <v>2</v>
      </c>
      <c r="O9" s="147">
        <v>9500000</v>
      </c>
      <c r="P9" s="38">
        <v>45724</v>
      </c>
      <c r="Q9" s="41"/>
      <c r="R9" s="41"/>
    </row>
    <row r="10" spans="1:18" ht="13.5" thickBot="1">
      <c r="A10" s="146"/>
      <c r="B10" s="37">
        <v>4500371435</v>
      </c>
      <c r="C10" s="38">
        <v>46071</v>
      </c>
      <c r="D10" s="39">
        <v>0.75486111111111109</v>
      </c>
      <c r="E10" s="41"/>
      <c r="F10" s="37" t="s">
        <v>855</v>
      </c>
      <c r="G10" s="37" t="s">
        <v>856</v>
      </c>
      <c r="H10" s="38">
        <v>46070</v>
      </c>
      <c r="I10" s="39">
        <v>0.52083333333333337</v>
      </c>
      <c r="J10" s="41" t="s">
        <v>64</v>
      </c>
      <c r="K10" s="37" t="s">
        <v>142</v>
      </c>
      <c r="L10" s="40" t="s">
        <v>111</v>
      </c>
      <c r="M10" s="37">
        <v>550</v>
      </c>
      <c r="N10" s="37">
        <v>22</v>
      </c>
      <c r="O10" s="147">
        <v>13807500</v>
      </c>
      <c r="P10" s="38">
        <v>46097</v>
      </c>
      <c r="Q10" s="41"/>
      <c r="R10" s="41"/>
    </row>
    <row r="11" spans="1:18" ht="13.5" thickBot="1">
      <c r="A11" s="146"/>
      <c r="B11" s="37">
        <v>4500371435</v>
      </c>
      <c r="C11" s="38">
        <v>46071</v>
      </c>
      <c r="D11" s="39">
        <v>0.75486111111111109</v>
      </c>
      <c r="E11" s="41"/>
      <c r="F11" s="37" t="s">
        <v>855</v>
      </c>
      <c r="G11" s="37" t="s">
        <v>856</v>
      </c>
      <c r="H11" s="38">
        <v>46070</v>
      </c>
      <c r="I11" s="39">
        <v>0.52083333333333337</v>
      </c>
      <c r="J11" s="41" t="s">
        <v>64</v>
      </c>
      <c r="K11" s="37" t="s">
        <v>142</v>
      </c>
      <c r="L11" s="40" t="s">
        <v>854</v>
      </c>
      <c r="M11" s="37">
        <v>625</v>
      </c>
      <c r="N11" s="37">
        <v>25</v>
      </c>
      <c r="O11" s="147">
        <v>8100000</v>
      </c>
      <c r="P11" s="38">
        <v>46097</v>
      </c>
      <c r="Q11" s="41"/>
      <c r="R11" s="41"/>
    </row>
    <row r="12" spans="1:18" ht="23.5" thickBot="1">
      <c r="A12" s="146"/>
      <c r="B12" s="37" t="s">
        <v>857</v>
      </c>
      <c r="C12" s="38">
        <v>46072</v>
      </c>
      <c r="D12" s="39">
        <v>0.36736111111111114</v>
      </c>
      <c r="E12" s="41"/>
      <c r="F12" s="37" t="s">
        <v>858</v>
      </c>
      <c r="G12" s="37" t="s">
        <v>859</v>
      </c>
      <c r="H12" s="38">
        <v>46070</v>
      </c>
      <c r="I12" s="39">
        <v>0.52986111111111112</v>
      </c>
      <c r="J12" s="41" t="s">
        <v>167</v>
      </c>
      <c r="K12" s="37" t="s">
        <v>168</v>
      </c>
      <c r="L12" s="40" t="s">
        <v>773</v>
      </c>
      <c r="M12" s="37">
        <v>1200</v>
      </c>
      <c r="N12" s="37">
        <v>48</v>
      </c>
      <c r="O12" s="147">
        <v>19200000</v>
      </c>
      <c r="P12" s="38">
        <v>46084</v>
      </c>
      <c r="Q12" s="41"/>
      <c r="R12" s="41"/>
    </row>
    <row r="13" spans="1:18" ht="13.5" thickBot="1">
      <c r="A13" s="146"/>
      <c r="B13" s="37">
        <v>1366212</v>
      </c>
      <c r="C13" s="38">
        <v>46073</v>
      </c>
      <c r="D13" s="39">
        <v>0.70902777777777781</v>
      </c>
      <c r="E13" s="41"/>
      <c r="F13" s="37" t="s">
        <v>860</v>
      </c>
      <c r="G13" s="79" t="s">
        <v>861</v>
      </c>
      <c r="H13" s="38">
        <v>46078</v>
      </c>
      <c r="I13" s="39">
        <v>0.53888888888888886</v>
      </c>
      <c r="J13" s="41" t="s">
        <v>38</v>
      </c>
      <c r="K13" s="37" t="s">
        <v>142</v>
      </c>
      <c r="L13" s="40" t="s">
        <v>762</v>
      </c>
      <c r="M13" s="37">
        <v>150</v>
      </c>
      <c r="N13" s="37">
        <v>6</v>
      </c>
      <c r="O13" s="147">
        <v>7779000</v>
      </c>
      <c r="P13" s="38">
        <v>46085</v>
      </c>
      <c r="Q13" s="41"/>
      <c r="R13" s="41"/>
    </row>
    <row r="14" spans="1:18" ht="13.5" thickBot="1">
      <c r="A14" s="146"/>
      <c r="B14" s="37">
        <v>1002046391</v>
      </c>
      <c r="C14" s="38">
        <v>46076</v>
      </c>
      <c r="D14" s="39">
        <v>0.69652777777777775</v>
      </c>
      <c r="E14" s="41"/>
      <c r="F14" s="37" t="s">
        <v>862</v>
      </c>
      <c r="G14" s="79" t="s">
        <v>863</v>
      </c>
      <c r="H14" s="38">
        <v>46078</v>
      </c>
      <c r="I14" s="39">
        <v>0.55138888888888893</v>
      </c>
      <c r="J14" s="41" t="s">
        <v>195</v>
      </c>
      <c r="K14" s="37" t="s">
        <v>141</v>
      </c>
      <c r="L14" s="40" t="s">
        <v>760</v>
      </c>
      <c r="M14" s="37">
        <v>100</v>
      </c>
      <c r="N14" s="37">
        <v>4</v>
      </c>
      <c r="O14" s="147">
        <v>24000000</v>
      </c>
      <c r="P14" s="38">
        <v>46090</v>
      </c>
      <c r="Q14" s="41"/>
      <c r="R14" s="41"/>
    </row>
    <row r="15" spans="1:18" ht="23.5" thickBot="1">
      <c r="A15" s="146"/>
      <c r="B15" s="37" t="s">
        <v>864</v>
      </c>
      <c r="C15" s="38">
        <v>46077</v>
      </c>
      <c r="D15" s="39">
        <v>0.29166666666666669</v>
      </c>
      <c r="E15" s="41"/>
      <c r="F15" s="37" t="s">
        <v>865</v>
      </c>
      <c r="G15" s="37" t="s">
        <v>866</v>
      </c>
      <c r="H15" s="38">
        <v>46078</v>
      </c>
      <c r="I15" s="39">
        <v>0.55555555555555558</v>
      </c>
      <c r="J15" s="41" t="s">
        <v>146</v>
      </c>
      <c r="K15" s="37" t="s">
        <v>147</v>
      </c>
      <c r="L15" s="40" t="s">
        <v>854</v>
      </c>
      <c r="M15" s="37">
        <v>300</v>
      </c>
      <c r="N15" s="37">
        <v>12</v>
      </c>
      <c r="O15" s="147">
        <v>12150000</v>
      </c>
      <c r="P15" s="38">
        <v>46083</v>
      </c>
      <c r="Q15" s="41"/>
      <c r="R15" s="41"/>
    </row>
    <row r="16" spans="1:18" ht="23.5" thickBot="1">
      <c r="A16" s="146"/>
      <c r="B16" s="37" t="s">
        <v>864</v>
      </c>
      <c r="C16" s="38">
        <v>46077</v>
      </c>
      <c r="D16" s="39">
        <v>0.29166666666666669</v>
      </c>
      <c r="E16" s="41"/>
      <c r="F16" s="37" t="s">
        <v>865</v>
      </c>
      <c r="G16" s="37" t="s">
        <v>866</v>
      </c>
      <c r="H16" s="38">
        <v>46078</v>
      </c>
      <c r="I16" s="39">
        <v>0.55555555555555558</v>
      </c>
      <c r="J16" s="41" t="s">
        <v>146</v>
      </c>
      <c r="K16" s="37" t="s">
        <v>147</v>
      </c>
      <c r="L16" s="40" t="s">
        <v>111</v>
      </c>
      <c r="M16" s="37">
        <v>150</v>
      </c>
      <c r="N16" s="37">
        <v>6</v>
      </c>
      <c r="O16" s="147">
        <v>3945000</v>
      </c>
      <c r="P16" s="38">
        <v>46083</v>
      </c>
      <c r="Q16" s="41"/>
      <c r="R16" s="41"/>
    </row>
    <row r="17" spans="1:18" ht="23.5" thickBot="1">
      <c r="A17" s="146"/>
      <c r="B17" s="37" t="s">
        <v>864</v>
      </c>
      <c r="C17" s="38">
        <v>46077</v>
      </c>
      <c r="D17" s="39">
        <v>0.29166666666666669</v>
      </c>
      <c r="E17" s="41"/>
      <c r="F17" s="37" t="s">
        <v>865</v>
      </c>
      <c r="G17" s="37" t="s">
        <v>866</v>
      </c>
      <c r="H17" s="38">
        <v>46078</v>
      </c>
      <c r="I17" s="39">
        <v>0.55555555555555558</v>
      </c>
      <c r="J17" s="41" t="s">
        <v>146</v>
      </c>
      <c r="K17" s="37" t="s">
        <v>147</v>
      </c>
      <c r="L17" s="40" t="s">
        <v>194</v>
      </c>
      <c r="M17" s="37">
        <v>300</v>
      </c>
      <c r="N17" s="37">
        <v>12</v>
      </c>
      <c r="O17" s="147">
        <v>5850000</v>
      </c>
      <c r="P17" s="38">
        <v>46083</v>
      </c>
      <c r="Q17" s="41"/>
      <c r="R17" s="41"/>
    </row>
    <row r="18" spans="1:18" ht="23.5" thickBot="1">
      <c r="A18" s="146"/>
      <c r="B18" s="37" t="s">
        <v>867</v>
      </c>
      <c r="C18" s="38">
        <v>46077</v>
      </c>
      <c r="D18" s="39">
        <v>0.29166666666666669</v>
      </c>
      <c r="E18" s="41"/>
      <c r="F18" s="37" t="s">
        <v>868</v>
      </c>
      <c r="G18" s="37" t="s">
        <v>869</v>
      </c>
      <c r="H18" s="38">
        <v>46078</v>
      </c>
      <c r="I18" s="39">
        <v>0.55555555555555558</v>
      </c>
      <c r="J18" s="41" t="s">
        <v>146</v>
      </c>
      <c r="K18" s="37" t="s">
        <v>147</v>
      </c>
      <c r="L18" s="40" t="s">
        <v>854</v>
      </c>
      <c r="M18" s="37">
        <v>250</v>
      </c>
      <c r="N18" s="37">
        <v>10</v>
      </c>
      <c r="O18" s="147">
        <v>10125000</v>
      </c>
      <c r="P18" s="38">
        <v>46083</v>
      </c>
      <c r="Q18" s="41"/>
      <c r="R18" s="41"/>
    </row>
    <row r="19" spans="1:18" ht="23.5" thickBot="1">
      <c r="A19" s="146"/>
      <c r="B19" s="37" t="s">
        <v>867</v>
      </c>
      <c r="C19" s="38">
        <v>46077</v>
      </c>
      <c r="D19" s="39">
        <v>0.29166666666666669</v>
      </c>
      <c r="E19" s="41"/>
      <c r="F19" s="37" t="s">
        <v>868</v>
      </c>
      <c r="G19" s="37" t="s">
        <v>869</v>
      </c>
      <c r="H19" s="38">
        <v>46078</v>
      </c>
      <c r="I19" s="39">
        <v>0.55555555555555558</v>
      </c>
      <c r="J19" s="41" t="s">
        <v>146</v>
      </c>
      <c r="K19" s="37" t="s">
        <v>147</v>
      </c>
      <c r="L19" s="40" t="s">
        <v>111</v>
      </c>
      <c r="M19" s="37">
        <v>200</v>
      </c>
      <c r="N19" s="37">
        <v>8</v>
      </c>
      <c r="O19" s="147">
        <v>5260000</v>
      </c>
      <c r="P19" s="38">
        <v>46083</v>
      </c>
      <c r="Q19" s="41"/>
      <c r="R19" s="41"/>
    </row>
    <row r="20" spans="1:18" ht="13.5" thickBot="1">
      <c r="A20" s="146"/>
      <c r="B20" s="37">
        <v>49743</v>
      </c>
      <c r="C20" s="38">
        <v>46077</v>
      </c>
      <c r="D20" s="39">
        <v>0.51180555555555551</v>
      </c>
      <c r="E20" s="41"/>
      <c r="F20" s="37" t="s">
        <v>870</v>
      </c>
      <c r="G20" s="37" t="s">
        <v>871</v>
      </c>
      <c r="H20" s="38">
        <v>46078</v>
      </c>
      <c r="I20" s="39">
        <v>0.61250000000000004</v>
      </c>
      <c r="J20" s="41" t="s">
        <v>776</v>
      </c>
      <c r="K20" s="37" t="s">
        <v>872</v>
      </c>
      <c r="L20" s="40" t="s">
        <v>780</v>
      </c>
      <c r="M20" s="37">
        <v>20</v>
      </c>
      <c r="N20" s="37">
        <v>1</v>
      </c>
      <c r="O20" s="147">
        <v>800000</v>
      </c>
      <c r="P20" s="38">
        <v>46086</v>
      </c>
      <c r="Q20" s="41"/>
      <c r="R20" s="41"/>
    </row>
    <row r="21" spans="1:18" ht="25.5" thickBot="1">
      <c r="A21" s="146"/>
      <c r="B21" s="37">
        <v>4700008790</v>
      </c>
      <c r="C21" s="38">
        <v>46078</v>
      </c>
      <c r="D21" s="39">
        <v>0.37222222222222223</v>
      </c>
      <c r="E21" s="41"/>
      <c r="F21" s="37" t="s">
        <v>873</v>
      </c>
      <c r="G21" s="37" t="s">
        <v>874</v>
      </c>
      <c r="H21" s="38">
        <v>46079</v>
      </c>
      <c r="I21" s="39">
        <v>0.53055555555555556</v>
      </c>
      <c r="J21" s="41" t="s">
        <v>875</v>
      </c>
      <c r="K21" s="37" t="s">
        <v>782</v>
      </c>
      <c r="L21" s="40" t="s">
        <v>773</v>
      </c>
      <c r="M21" s="37">
        <v>1000</v>
      </c>
      <c r="N21" s="37">
        <v>40</v>
      </c>
      <c r="O21" s="37" t="s">
        <v>808</v>
      </c>
      <c r="P21" s="38">
        <v>414991</v>
      </c>
      <c r="Q21" s="41"/>
      <c r="R21" s="41"/>
    </row>
    <row r="22" spans="1:18" ht="25.5" thickBot="1">
      <c r="A22" s="146"/>
      <c r="B22" s="37">
        <v>4700008790</v>
      </c>
      <c r="C22" s="38">
        <v>46078</v>
      </c>
      <c r="D22" s="39">
        <v>0.37222222222222223</v>
      </c>
      <c r="E22" s="41"/>
      <c r="F22" s="37" t="s">
        <v>873</v>
      </c>
      <c r="G22" s="37" t="s">
        <v>874</v>
      </c>
      <c r="H22" s="38">
        <v>46079</v>
      </c>
      <c r="I22" s="39">
        <v>0.53055555555555556</v>
      </c>
      <c r="J22" s="41" t="s">
        <v>875</v>
      </c>
      <c r="K22" s="37" t="s">
        <v>782</v>
      </c>
      <c r="L22" s="40" t="s">
        <v>162</v>
      </c>
      <c r="M22" s="37">
        <v>900</v>
      </c>
      <c r="N22" s="37">
        <v>36</v>
      </c>
      <c r="O22" s="37" t="s">
        <v>876</v>
      </c>
      <c r="P22" s="38">
        <v>414991</v>
      </c>
      <c r="Q22" s="41"/>
      <c r="R22" s="41"/>
    </row>
    <row r="23" spans="1:18" ht="35" thickBot="1">
      <c r="A23" s="146"/>
      <c r="B23" s="37" t="s">
        <v>877</v>
      </c>
      <c r="C23" s="38">
        <v>46078</v>
      </c>
      <c r="D23" s="39">
        <v>0.55208333333333337</v>
      </c>
      <c r="E23" s="41"/>
      <c r="F23" s="37" t="s">
        <v>878</v>
      </c>
      <c r="G23" s="79" t="s">
        <v>879</v>
      </c>
      <c r="H23" s="38">
        <v>46078</v>
      </c>
      <c r="I23" s="39">
        <v>0.62430555555555556</v>
      </c>
      <c r="J23" s="41" t="s">
        <v>323</v>
      </c>
      <c r="K23" s="37" t="s">
        <v>880</v>
      </c>
      <c r="L23" s="40" t="s">
        <v>676</v>
      </c>
      <c r="M23" s="37">
        <v>675</v>
      </c>
      <c r="N23" s="37">
        <v>27</v>
      </c>
      <c r="O23" s="147">
        <v>27337500</v>
      </c>
      <c r="P23" s="38">
        <v>46080</v>
      </c>
      <c r="Q23" s="41"/>
      <c r="R23" s="41"/>
    </row>
    <row r="24" spans="1:18" ht="23.5" thickBot="1">
      <c r="A24" s="146"/>
      <c r="B24" s="37" t="s">
        <v>881</v>
      </c>
      <c r="C24" s="38">
        <v>46078</v>
      </c>
      <c r="D24" s="39">
        <v>0.55138888888888893</v>
      </c>
      <c r="E24" s="41"/>
      <c r="F24" s="37" t="s">
        <v>882</v>
      </c>
      <c r="G24" s="37" t="s">
        <v>883</v>
      </c>
      <c r="H24" s="38">
        <v>46078</v>
      </c>
      <c r="I24" s="39">
        <v>0.62708333333333333</v>
      </c>
      <c r="J24" s="41" t="s">
        <v>114</v>
      </c>
      <c r="K24" s="37" t="s">
        <v>333</v>
      </c>
      <c r="L24" s="40" t="s">
        <v>884</v>
      </c>
      <c r="M24" s="37">
        <v>100</v>
      </c>
      <c r="N24" s="37">
        <v>4</v>
      </c>
      <c r="O24" s="147">
        <v>2100000</v>
      </c>
      <c r="P24" s="38">
        <v>46090</v>
      </c>
      <c r="Q24" s="41"/>
      <c r="R24" s="41"/>
    </row>
    <row r="25" spans="1:18" ht="23.5" thickBot="1">
      <c r="A25" s="146"/>
      <c r="B25" s="37" t="s">
        <v>885</v>
      </c>
      <c r="C25" s="38">
        <v>46078</v>
      </c>
      <c r="D25" s="39">
        <v>0.59583333333333333</v>
      </c>
      <c r="E25" s="41"/>
      <c r="F25" s="37" t="s">
        <v>886</v>
      </c>
      <c r="G25" s="37" t="s">
        <v>887</v>
      </c>
      <c r="H25" s="38">
        <v>46079</v>
      </c>
      <c r="I25" s="39">
        <v>0.64583333333333337</v>
      </c>
      <c r="J25" s="41" t="s">
        <v>319</v>
      </c>
      <c r="K25" s="37" t="s">
        <v>888</v>
      </c>
      <c r="L25" s="40" t="s">
        <v>111</v>
      </c>
      <c r="M25" s="37">
        <v>1000</v>
      </c>
      <c r="N25" s="37">
        <v>40</v>
      </c>
      <c r="O25" s="147">
        <v>25500000</v>
      </c>
      <c r="P25" s="38">
        <v>411325</v>
      </c>
      <c r="Q25" s="41"/>
      <c r="R25" s="41"/>
    </row>
    <row r="26" spans="1:18" ht="23.5" thickBot="1">
      <c r="A26" s="146"/>
      <c r="B26" s="37" t="s">
        <v>889</v>
      </c>
      <c r="C26" s="38">
        <v>46078</v>
      </c>
      <c r="D26" s="39">
        <v>0.59583333333333333</v>
      </c>
      <c r="E26" s="41"/>
      <c r="F26" s="37" t="s">
        <v>890</v>
      </c>
      <c r="G26" s="37" t="s">
        <v>891</v>
      </c>
      <c r="H26" s="38">
        <v>46079</v>
      </c>
      <c r="I26" s="39">
        <v>0.64583333333333337</v>
      </c>
      <c r="J26" s="41" t="s">
        <v>319</v>
      </c>
      <c r="K26" s="37" t="s">
        <v>81</v>
      </c>
      <c r="L26" s="40" t="s">
        <v>111</v>
      </c>
      <c r="M26" s="37">
        <v>3500</v>
      </c>
      <c r="N26" s="37">
        <v>140</v>
      </c>
      <c r="O26" s="147">
        <v>89250000</v>
      </c>
      <c r="P26" s="38">
        <v>411325</v>
      </c>
      <c r="Q26" s="41"/>
      <c r="R26" s="41"/>
    </row>
    <row r="27" spans="1:18" ht="23.5" thickBot="1">
      <c r="A27" s="146"/>
      <c r="B27" s="37" t="s">
        <v>892</v>
      </c>
      <c r="C27" s="38">
        <v>46078</v>
      </c>
      <c r="D27" s="39">
        <v>0.72777777777777775</v>
      </c>
      <c r="E27" s="41"/>
      <c r="F27" s="37" t="s">
        <v>893</v>
      </c>
      <c r="G27" s="37" t="s">
        <v>894</v>
      </c>
      <c r="H27" s="38">
        <v>46079</v>
      </c>
      <c r="I27" s="39">
        <v>0.65</v>
      </c>
      <c r="J27" s="41" t="s">
        <v>169</v>
      </c>
      <c r="K27" s="37" t="s">
        <v>147</v>
      </c>
      <c r="L27" s="40" t="s">
        <v>111</v>
      </c>
      <c r="M27" s="37">
        <v>1500</v>
      </c>
      <c r="N27" s="37">
        <v>60</v>
      </c>
      <c r="O27" s="147">
        <v>39450000</v>
      </c>
      <c r="P27" s="38">
        <v>411325</v>
      </c>
      <c r="Q27" s="41"/>
      <c r="R27" s="41"/>
    </row>
    <row r="28" spans="1:18" ht="13.5" thickBot="1">
      <c r="A28" s="146"/>
      <c r="B28" s="37">
        <v>1372909</v>
      </c>
      <c r="C28" s="38">
        <v>46079</v>
      </c>
      <c r="D28" s="39">
        <v>0.38541666666666669</v>
      </c>
      <c r="E28" s="41"/>
      <c r="F28" s="37" t="s">
        <v>895</v>
      </c>
      <c r="G28" s="37" t="s">
        <v>896</v>
      </c>
      <c r="H28" s="38">
        <v>46079</v>
      </c>
      <c r="I28" s="39">
        <v>0.65416666666666667</v>
      </c>
      <c r="J28" s="41" t="s">
        <v>30</v>
      </c>
      <c r="K28" s="37" t="s">
        <v>80</v>
      </c>
      <c r="L28" s="40" t="s">
        <v>212</v>
      </c>
      <c r="M28" s="37">
        <v>75</v>
      </c>
      <c r="N28" s="37">
        <v>3</v>
      </c>
      <c r="O28" s="147">
        <v>1629750</v>
      </c>
      <c r="P28" s="38">
        <v>46087</v>
      </c>
      <c r="Q28" s="41"/>
      <c r="R28" s="41"/>
    </row>
    <row r="29" spans="1:18" ht="13.5" thickBot="1">
      <c r="A29" s="146"/>
      <c r="B29" s="37">
        <v>1373106</v>
      </c>
      <c r="C29" s="38">
        <v>46079</v>
      </c>
      <c r="D29" s="39">
        <v>0.4597222222222222</v>
      </c>
      <c r="E29" s="41"/>
      <c r="F29" s="37" t="s">
        <v>897</v>
      </c>
      <c r="G29" s="79" t="s">
        <v>898</v>
      </c>
      <c r="H29" s="38">
        <v>46079</v>
      </c>
      <c r="I29" s="39">
        <v>0.66597222222222219</v>
      </c>
      <c r="J29" s="41" t="s">
        <v>38</v>
      </c>
      <c r="K29" s="37" t="s">
        <v>141</v>
      </c>
      <c r="L29" s="40" t="s">
        <v>161</v>
      </c>
      <c r="M29" s="37">
        <v>75</v>
      </c>
      <c r="N29" s="37">
        <v>3</v>
      </c>
      <c r="O29" s="147">
        <v>11025000</v>
      </c>
      <c r="P29" s="38">
        <v>46083</v>
      </c>
      <c r="Q29" s="41"/>
      <c r="R29" s="41"/>
    </row>
    <row r="30" spans="1:18" ht="13.5" thickBot="1">
      <c r="A30" s="201" t="s">
        <v>117</v>
      </c>
      <c r="B30" s="54">
        <v>1373106</v>
      </c>
      <c r="C30" s="52">
        <v>46079</v>
      </c>
      <c r="D30" s="53">
        <v>0.4597222222222222</v>
      </c>
      <c r="E30" s="148"/>
      <c r="F30" s="54" t="s">
        <v>897</v>
      </c>
      <c r="G30" s="79" t="s">
        <v>899</v>
      </c>
      <c r="H30" s="52">
        <v>46079</v>
      </c>
      <c r="I30" s="53">
        <v>0.66597222222222219</v>
      </c>
      <c r="J30" s="148" t="s">
        <v>38</v>
      </c>
      <c r="K30" s="54" t="s">
        <v>141</v>
      </c>
      <c r="L30" s="56" t="s">
        <v>770</v>
      </c>
      <c r="M30" s="54">
        <v>100</v>
      </c>
      <c r="N30" s="54">
        <v>4</v>
      </c>
      <c r="O30" s="149">
        <v>3000000</v>
      </c>
      <c r="P30" s="52">
        <v>46083</v>
      </c>
      <c r="Q30" s="148"/>
      <c r="R30" s="148"/>
    </row>
    <row r="31" spans="1:18" ht="13.5" thickBot="1">
      <c r="A31" s="146"/>
      <c r="B31" s="37">
        <v>1373106</v>
      </c>
      <c r="C31" s="38">
        <v>46079</v>
      </c>
      <c r="D31" s="39">
        <v>0.4597222222222222</v>
      </c>
      <c r="E31" s="41"/>
      <c r="F31" s="37" t="s">
        <v>897</v>
      </c>
      <c r="G31" s="79" t="s">
        <v>898</v>
      </c>
      <c r="H31" s="38">
        <v>46079</v>
      </c>
      <c r="I31" s="39">
        <v>0.66597222222222219</v>
      </c>
      <c r="J31" s="41" t="s">
        <v>38</v>
      </c>
      <c r="K31" s="37" t="s">
        <v>141</v>
      </c>
      <c r="L31" s="40" t="s">
        <v>111</v>
      </c>
      <c r="M31" s="37">
        <v>100</v>
      </c>
      <c r="N31" s="37">
        <v>4</v>
      </c>
      <c r="O31" s="147">
        <v>2475000</v>
      </c>
      <c r="P31" s="38">
        <v>46083</v>
      </c>
      <c r="Q31" s="41"/>
      <c r="R31" s="41"/>
    </row>
    <row r="32" spans="1:18" ht="23.5" thickBot="1">
      <c r="A32" s="201" t="s">
        <v>117</v>
      </c>
      <c r="B32" s="54" t="s">
        <v>900</v>
      </c>
      <c r="C32" s="52">
        <v>46079</v>
      </c>
      <c r="D32" s="53">
        <v>0.47986111111111113</v>
      </c>
      <c r="E32" s="148"/>
      <c r="F32" s="54" t="s">
        <v>901</v>
      </c>
      <c r="G32" s="54" t="s">
        <v>902</v>
      </c>
      <c r="H32" s="52">
        <v>46079</v>
      </c>
      <c r="I32" s="53">
        <v>0.67013888888888884</v>
      </c>
      <c r="J32" s="148" t="s">
        <v>759</v>
      </c>
      <c r="K32" s="54" t="s">
        <v>83</v>
      </c>
      <c r="L32" s="56" t="s">
        <v>111</v>
      </c>
      <c r="M32" s="54">
        <v>1000</v>
      </c>
      <c r="N32" s="54">
        <v>40</v>
      </c>
      <c r="O32" s="149">
        <v>2475000</v>
      </c>
      <c r="P32" s="52">
        <v>46084</v>
      </c>
      <c r="Q32" s="148"/>
      <c r="R32" s="148"/>
    </row>
    <row r="33" spans="1:18" ht="23.5" thickBot="1">
      <c r="A33" s="146"/>
      <c r="B33" s="37">
        <v>42000009917</v>
      </c>
      <c r="C33" s="38">
        <v>46080</v>
      </c>
      <c r="D33" s="39">
        <v>0.42777777777777776</v>
      </c>
      <c r="E33" s="41"/>
      <c r="F33" s="37" t="s">
        <v>903</v>
      </c>
      <c r="G33" s="37" t="s">
        <v>904</v>
      </c>
      <c r="H33" s="38">
        <v>46080</v>
      </c>
      <c r="I33" s="39">
        <v>0.4777777777777778</v>
      </c>
      <c r="J33" s="41" t="s">
        <v>785</v>
      </c>
      <c r="K33" s="37" t="s">
        <v>905</v>
      </c>
      <c r="L33" s="40" t="s">
        <v>786</v>
      </c>
      <c r="M33" s="37">
        <v>40</v>
      </c>
      <c r="N33" s="37">
        <v>2</v>
      </c>
      <c r="O33" s="147">
        <v>8400000</v>
      </c>
      <c r="P33" s="38">
        <v>46083</v>
      </c>
      <c r="Q33" s="41"/>
      <c r="R33" s="41"/>
    </row>
    <row r="34" spans="1:18" ht="23.5" thickBot="1">
      <c r="A34" s="146"/>
      <c r="B34" s="37">
        <v>42000009917</v>
      </c>
      <c r="C34" s="38">
        <v>46080</v>
      </c>
      <c r="D34" s="39">
        <v>0.42777777777777776</v>
      </c>
      <c r="E34" s="41"/>
      <c r="F34" s="37" t="s">
        <v>903</v>
      </c>
      <c r="G34" s="37" t="s">
        <v>904</v>
      </c>
      <c r="H34" s="38">
        <v>46080</v>
      </c>
      <c r="I34" s="39">
        <v>0.4777777777777778</v>
      </c>
      <c r="J34" s="41" t="s">
        <v>785</v>
      </c>
      <c r="K34" s="37" t="s">
        <v>905</v>
      </c>
      <c r="L34" s="40" t="s">
        <v>230</v>
      </c>
      <c r="M34" s="37">
        <v>263</v>
      </c>
      <c r="N34" s="37">
        <v>11</v>
      </c>
      <c r="O34" s="147">
        <v>28930000</v>
      </c>
      <c r="P34" s="38">
        <v>46083</v>
      </c>
      <c r="Q34" s="41"/>
      <c r="R34" s="41"/>
    </row>
    <row r="35" spans="1:18" ht="13.5" thickBot="1">
      <c r="A35" s="146"/>
      <c r="B35" s="37">
        <v>4500087191</v>
      </c>
      <c r="C35" s="38">
        <v>46079</v>
      </c>
      <c r="D35" s="39">
        <v>0.47986111111111113</v>
      </c>
      <c r="E35" s="41"/>
      <c r="F35" s="37" t="s">
        <v>906</v>
      </c>
      <c r="G35" s="37" t="s">
        <v>907</v>
      </c>
      <c r="H35" s="38">
        <v>46080</v>
      </c>
      <c r="I35" s="39">
        <v>0.48194444444444445</v>
      </c>
      <c r="J35" s="41" t="s">
        <v>759</v>
      </c>
      <c r="K35" s="37" t="s">
        <v>83</v>
      </c>
      <c r="L35" s="40" t="s">
        <v>116</v>
      </c>
      <c r="M35" s="37">
        <v>1000</v>
      </c>
      <c r="N35" s="37">
        <v>40</v>
      </c>
      <c r="O35" s="147">
        <v>19250000</v>
      </c>
      <c r="P35" s="38">
        <v>46084</v>
      </c>
      <c r="Q35" s="41"/>
      <c r="R35" s="41"/>
    </row>
    <row r="36" spans="1:18" ht="13.5" thickBot="1">
      <c r="A36" s="146"/>
      <c r="B36" s="37">
        <v>4500087191</v>
      </c>
      <c r="C36" s="38">
        <v>46079</v>
      </c>
      <c r="D36" s="39">
        <v>0.47986111111111113</v>
      </c>
      <c r="E36" s="41"/>
      <c r="F36" s="37" t="s">
        <v>906</v>
      </c>
      <c r="G36" s="37" t="s">
        <v>907</v>
      </c>
      <c r="H36" s="38">
        <v>46080</v>
      </c>
      <c r="I36" s="39">
        <v>0.48194444444444445</v>
      </c>
      <c r="J36" s="41" t="s">
        <v>759</v>
      </c>
      <c r="K36" s="37" t="s">
        <v>83</v>
      </c>
      <c r="L36" s="40" t="s">
        <v>151</v>
      </c>
      <c r="M36" s="37">
        <v>300</v>
      </c>
      <c r="N36" s="37">
        <v>12</v>
      </c>
      <c r="O36" s="147">
        <v>18510000</v>
      </c>
      <c r="P36" s="38">
        <v>46084</v>
      </c>
      <c r="Q36" s="41"/>
      <c r="R36" s="41"/>
    </row>
    <row r="37" spans="1:18" ht="13.5" thickBot="1">
      <c r="A37" s="146"/>
      <c r="B37" s="37">
        <v>4500087191</v>
      </c>
      <c r="C37" s="38">
        <v>46079</v>
      </c>
      <c r="D37" s="39">
        <v>0.47986111111111113</v>
      </c>
      <c r="E37" s="41"/>
      <c r="F37" s="37" t="s">
        <v>906</v>
      </c>
      <c r="G37" s="37" t="s">
        <v>907</v>
      </c>
      <c r="H37" s="38">
        <v>46080</v>
      </c>
      <c r="I37" s="39">
        <v>0.48194444444444445</v>
      </c>
      <c r="J37" s="41" t="s">
        <v>759</v>
      </c>
      <c r="K37" s="37" t="s">
        <v>83</v>
      </c>
      <c r="L37" s="40" t="s">
        <v>221</v>
      </c>
      <c r="M37" s="37">
        <v>400</v>
      </c>
      <c r="N37" s="37">
        <v>16</v>
      </c>
      <c r="O37" s="147">
        <v>7000000</v>
      </c>
      <c r="P37" s="38">
        <v>46084</v>
      </c>
      <c r="Q37" s="41"/>
      <c r="R37" s="41"/>
    </row>
    <row r="38" spans="1:18" ht="13.5" thickBot="1">
      <c r="A38" s="146"/>
      <c r="B38" s="37">
        <v>4500087191</v>
      </c>
      <c r="C38" s="38">
        <v>46079</v>
      </c>
      <c r="D38" s="39">
        <v>0.47986111111111113</v>
      </c>
      <c r="E38" s="41"/>
      <c r="F38" s="37" t="s">
        <v>906</v>
      </c>
      <c r="G38" s="37" t="s">
        <v>907</v>
      </c>
      <c r="H38" s="38">
        <v>46080</v>
      </c>
      <c r="I38" s="39">
        <v>0.48194444444444445</v>
      </c>
      <c r="J38" s="41" t="s">
        <v>759</v>
      </c>
      <c r="K38" s="37" t="s">
        <v>83</v>
      </c>
      <c r="L38" s="40" t="s">
        <v>779</v>
      </c>
      <c r="M38" s="37">
        <v>200</v>
      </c>
      <c r="N38" s="37">
        <v>8</v>
      </c>
      <c r="O38" s="147">
        <v>89760000</v>
      </c>
      <c r="P38" s="38">
        <v>46084</v>
      </c>
      <c r="Q38" s="41"/>
      <c r="R38" s="41"/>
    </row>
    <row r="39" spans="1:18" ht="13.5" thickBot="1">
      <c r="A39" s="146"/>
      <c r="B39" s="37">
        <v>4500087191</v>
      </c>
      <c r="C39" s="38">
        <v>46079</v>
      </c>
      <c r="D39" s="39">
        <v>0.47986111111111113</v>
      </c>
      <c r="E39" s="41"/>
      <c r="F39" s="37" t="s">
        <v>906</v>
      </c>
      <c r="G39" s="37" t="s">
        <v>907</v>
      </c>
      <c r="H39" s="38">
        <v>46080</v>
      </c>
      <c r="I39" s="39">
        <v>0.48194444444444445</v>
      </c>
      <c r="J39" s="41" t="s">
        <v>759</v>
      </c>
      <c r="K39" s="37" t="s">
        <v>83</v>
      </c>
      <c r="L39" s="40" t="s">
        <v>884</v>
      </c>
      <c r="M39" s="37">
        <v>250</v>
      </c>
      <c r="N39" s="37">
        <v>10</v>
      </c>
      <c r="O39" s="147">
        <v>4918000</v>
      </c>
      <c r="P39" s="38">
        <v>46084</v>
      </c>
      <c r="Q39" s="41"/>
      <c r="R39" s="41"/>
    </row>
    <row r="40" spans="1:18" ht="13.5" thickBot="1">
      <c r="A40" s="146"/>
      <c r="B40" s="37">
        <v>1373153</v>
      </c>
      <c r="C40" s="38">
        <v>46079</v>
      </c>
      <c r="D40" s="39">
        <v>0.48958333333333331</v>
      </c>
      <c r="E40" s="41"/>
      <c r="F40" s="37" t="s">
        <v>908</v>
      </c>
      <c r="G40" s="37" t="s">
        <v>909</v>
      </c>
      <c r="H40" s="38">
        <v>46080</v>
      </c>
      <c r="I40" s="39">
        <v>0.48541666666666666</v>
      </c>
      <c r="J40" s="41" t="s">
        <v>51</v>
      </c>
      <c r="K40" s="37" t="s">
        <v>78</v>
      </c>
      <c r="L40" s="40" t="s">
        <v>112</v>
      </c>
      <c r="M40" s="37">
        <v>15</v>
      </c>
      <c r="N40" s="37">
        <v>1</v>
      </c>
      <c r="O40" s="147">
        <v>787500</v>
      </c>
      <c r="P40" s="38">
        <v>46080</v>
      </c>
      <c r="Q40" s="41"/>
      <c r="R40" s="41"/>
    </row>
    <row r="41" spans="1:18" ht="13.5" thickBot="1">
      <c r="A41" s="146"/>
      <c r="B41" s="37">
        <v>1373153</v>
      </c>
      <c r="C41" s="38">
        <v>46079</v>
      </c>
      <c r="D41" s="39">
        <v>0.48958333333333331</v>
      </c>
      <c r="E41" s="41"/>
      <c r="F41" s="37" t="s">
        <v>908</v>
      </c>
      <c r="G41" s="37" t="s">
        <v>909</v>
      </c>
      <c r="H41" s="38">
        <v>46080</v>
      </c>
      <c r="I41" s="39">
        <v>0.48541666666666666</v>
      </c>
      <c r="J41" s="41" t="s">
        <v>51</v>
      </c>
      <c r="K41" s="37" t="s">
        <v>78</v>
      </c>
      <c r="L41" s="40" t="s">
        <v>207</v>
      </c>
      <c r="M41" s="37">
        <v>5.5</v>
      </c>
      <c r="N41" s="37">
        <v>0</v>
      </c>
      <c r="O41" s="147">
        <v>2349875</v>
      </c>
      <c r="P41" s="38">
        <v>46080</v>
      </c>
      <c r="Q41" s="41"/>
      <c r="R41" s="41"/>
    </row>
    <row r="42" spans="1:18" ht="13.5" thickBot="1">
      <c r="A42" s="146"/>
      <c r="B42" s="37">
        <v>1373153</v>
      </c>
      <c r="C42" s="38">
        <v>46079</v>
      </c>
      <c r="D42" s="39">
        <v>0.48958333333333331</v>
      </c>
      <c r="E42" s="41"/>
      <c r="F42" s="37" t="s">
        <v>910</v>
      </c>
      <c r="G42" s="37" t="s">
        <v>911</v>
      </c>
      <c r="H42" s="38">
        <v>46080</v>
      </c>
      <c r="I42" s="39">
        <v>0.48541666666666666</v>
      </c>
      <c r="J42" s="41" t="s">
        <v>51</v>
      </c>
      <c r="K42" s="37" t="s">
        <v>78</v>
      </c>
      <c r="L42" s="40" t="s">
        <v>912</v>
      </c>
      <c r="M42" s="37">
        <v>1.125</v>
      </c>
      <c r="N42" s="37">
        <v>0</v>
      </c>
      <c r="O42" s="37">
        <v>0</v>
      </c>
      <c r="P42" s="38">
        <v>46080</v>
      </c>
      <c r="Q42" s="41"/>
      <c r="R42" s="41"/>
    </row>
    <row r="43" spans="1:18" ht="13.5" thickBot="1">
      <c r="A43" s="261" t="s">
        <v>789</v>
      </c>
      <c r="B43" s="262">
        <v>1373424</v>
      </c>
      <c r="C43" s="263">
        <v>46079</v>
      </c>
      <c r="D43" s="264">
        <v>0.64583333333333337</v>
      </c>
      <c r="E43" s="265"/>
      <c r="F43" s="262" t="s">
        <v>913</v>
      </c>
      <c r="G43" s="79" t="s">
        <v>914</v>
      </c>
      <c r="H43" s="263">
        <v>46080</v>
      </c>
      <c r="I43" s="264">
        <v>0.49444444444444446</v>
      </c>
      <c r="J43" s="265" t="s">
        <v>38</v>
      </c>
      <c r="K43" s="262" t="s">
        <v>78</v>
      </c>
      <c r="L43" s="266" t="s">
        <v>111</v>
      </c>
      <c r="M43" s="262">
        <v>400</v>
      </c>
      <c r="N43" s="262">
        <v>16</v>
      </c>
      <c r="O43" s="267">
        <v>9900000</v>
      </c>
      <c r="P43" s="263">
        <v>46080</v>
      </c>
      <c r="Q43" s="265"/>
      <c r="R43" s="265"/>
    </row>
    <row r="44" spans="1:18" ht="23.5" thickBot="1">
      <c r="A44" s="146"/>
      <c r="B44" s="37" t="s">
        <v>915</v>
      </c>
      <c r="C44" s="38">
        <v>46079</v>
      </c>
      <c r="D44" s="39">
        <v>0.8256944444444444</v>
      </c>
      <c r="E44" s="41"/>
      <c r="F44" s="37" t="s">
        <v>916</v>
      </c>
      <c r="G44" s="37" t="s">
        <v>917</v>
      </c>
      <c r="H44" s="38">
        <v>46080</v>
      </c>
      <c r="I44" s="39">
        <v>0.49861111111111112</v>
      </c>
      <c r="J44" s="41" t="s">
        <v>31</v>
      </c>
      <c r="K44" s="37" t="s">
        <v>82</v>
      </c>
      <c r="L44" s="40" t="s">
        <v>194</v>
      </c>
      <c r="M44" s="37">
        <v>50</v>
      </c>
      <c r="N44" s="37">
        <v>2</v>
      </c>
      <c r="O44" s="147">
        <v>960000</v>
      </c>
      <c r="P44" s="38">
        <v>46090</v>
      </c>
      <c r="Q44" s="41"/>
      <c r="R44" s="41"/>
    </row>
    <row r="45" spans="1:18" ht="23.5" thickBot="1">
      <c r="A45" s="146"/>
      <c r="B45" s="37" t="s">
        <v>915</v>
      </c>
      <c r="C45" s="38">
        <v>46079</v>
      </c>
      <c r="D45" s="39">
        <v>0.8256944444444444</v>
      </c>
      <c r="E45" s="41"/>
      <c r="F45" s="37" t="s">
        <v>916</v>
      </c>
      <c r="G45" s="37" t="s">
        <v>917</v>
      </c>
      <c r="H45" s="38">
        <v>46080</v>
      </c>
      <c r="I45" s="39">
        <v>0.49861111111111112</v>
      </c>
      <c r="J45" s="41" t="s">
        <v>31</v>
      </c>
      <c r="K45" s="37" t="s">
        <v>82</v>
      </c>
      <c r="L45" s="40" t="s">
        <v>209</v>
      </c>
      <c r="M45" s="37">
        <v>500</v>
      </c>
      <c r="N45" s="37">
        <v>20</v>
      </c>
      <c r="O45" s="147">
        <v>82000000</v>
      </c>
      <c r="P45" s="38">
        <v>46090</v>
      </c>
      <c r="Q45" s="41"/>
      <c r="R45" s="41"/>
    </row>
    <row r="46" spans="1:18" ht="23.5" thickBot="1">
      <c r="A46" s="207"/>
      <c r="B46" s="208" t="s">
        <v>915</v>
      </c>
      <c r="C46" s="209">
        <v>46079</v>
      </c>
      <c r="D46" s="210">
        <v>0.8256944444444444</v>
      </c>
      <c r="E46" s="211"/>
      <c r="F46" s="211"/>
      <c r="G46" s="208" t="s">
        <v>486</v>
      </c>
      <c r="H46" s="209">
        <v>46080</v>
      </c>
      <c r="I46" s="210">
        <v>0.49861111111111112</v>
      </c>
      <c r="J46" s="211" t="s">
        <v>31</v>
      </c>
      <c r="K46" s="208" t="s">
        <v>82</v>
      </c>
      <c r="L46" s="212" t="s">
        <v>918</v>
      </c>
      <c r="M46" s="208">
        <v>50</v>
      </c>
      <c r="N46" s="208">
        <v>0</v>
      </c>
      <c r="O46" s="208">
        <v>0</v>
      </c>
      <c r="P46" s="208">
        <v>0</v>
      </c>
      <c r="Q46" s="211"/>
      <c r="R46" s="211"/>
    </row>
    <row r="47" spans="1:18" ht="23.5" thickBot="1">
      <c r="A47" s="146"/>
      <c r="B47" s="41"/>
      <c r="C47" s="38">
        <v>46080</v>
      </c>
      <c r="D47" s="39">
        <v>0.45833333333333331</v>
      </c>
      <c r="E47" s="41"/>
      <c r="F47" s="37" t="s">
        <v>919</v>
      </c>
      <c r="G47" s="37" t="s">
        <v>917</v>
      </c>
      <c r="H47" s="38">
        <v>46080</v>
      </c>
      <c r="I47" s="39">
        <v>0.50486111111111109</v>
      </c>
      <c r="J47" s="41" t="s">
        <v>920</v>
      </c>
      <c r="K47" s="37" t="s">
        <v>377</v>
      </c>
      <c r="L47" s="40" t="s">
        <v>773</v>
      </c>
      <c r="M47" s="37">
        <v>100</v>
      </c>
      <c r="N47" s="37">
        <v>4</v>
      </c>
      <c r="O47" s="147">
        <v>1580000</v>
      </c>
      <c r="P47" s="38">
        <v>46080</v>
      </c>
      <c r="Q47" s="41"/>
      <c r="R47" s="41"/>
    </row>
    <row r="48" spans="1:18" ht="13.5" thickBot="1">
      <c r="A48" s="146"/>
      <c r="B48" s="41"/>
      <c r="C48" s="38">
        <v>46080</v>
      </c>
      <c r="D48" s="39">
        <v>0.36666666666666664</v>
      </c>
      <c r="E48" s="41"/>
      <c r="F48" s="37" t="s">
        <v>921</v>
      </c>
      <c r="G48" s="79" t="s">
        <v>922</v>
      </c>
      <c r="H48" s="38">
        <v>46080</v>
      </c>
      <c r="I48" s="39">
        <v>0.50694444444444442</v>
      </c>
      <c r="J48" s="41" t="s">
        <v>18</v>
      </c>
      <c r="K48" s="37" t="s">
        <v>77</v>
      </c>
      <c r="L48" s="40" t="s">
        <v>111</v>
      </c>
      <c r="M48" s="37">
        <v>1000</v>
      </c>
      <c r="N48" s="37">
        <v>40</v>
      </c>
      <c r="O48" s="147">
        <v>26300000</v>
      </c>
      <c r="P48" s="38">
        <v>46056</v>
      </c>
      <c r="Q48" s="41"/>
      <c r="R48" s="41"/>
    </row>
    <row r="49" spans="1:18" ht="13.5" thickBot="1">
      <c r="A49" s="268"/>
      <c r="B49" s="269"/>
      <c r="C49" s="270">
        <v>46080</v>
      </c>
      <c r="D49" s="271">
        <v>0.37291666666666667</v>
      </c>
      <c r="E49" s="269"/>
      <c r="F49" s="272" t="s">
        <v>923</v>
      </c>
      <c r="G49" s="272" t="s">
        <v>924</v>
      </c>
      <c r="H49" s="270">
        <v>46080</v>
      </c>
      <c r="I49" s="271">
        <v>0.50972222222222219</v>
      </c>
      <c r="J49" s="269" t="s">
        <v>393</v>
      </c>
      <c r="K49" s="272" t="s">
        <v>775</v>
      </c>
      <c r="L49" s="273" t="s">
        <v>760</v>
      </c>
      <c r="M49" s="272">
        <v>75</v>
      </c>
      <c r="N49" s="272">
        <v>3</v>
      </c>
      <c r="O49" s="272">
        <v>0</v>
      </c>
      <c r="P49" s="270">
        <v>46056</v>
      </c>
      <c r="Q49" s="269"/>
      <c r="R49" s="269"/>
    </row>
    <row r="50" spans="1:18" ht="23.5" thickBot="1">
      <c r="A50" s="214" t="s">
        <v>925</v>
      </c>
      <c r="B50" s="63"/>
      <c r="C50" s="64">
        <v>46080</v>
      </c>
      <c r="D50" s="65">
        <v>0.37291666666666667</v>
      </c>
      <c r="E50" s="63"/>
      <c r="F50" s="66" t="s">
        <v>926</v>
      </c>
      <c r="G50" s="66" t="s">
        <v>927</v>
      </c>
      <c r="H50" s="64">
        <v>46080</v>
      </c>
      <c r="I50" s="65">
        <v>0.50972222222222219</v>
      </c>
      <c r="J50" s="63" t="s">
        <v>393</v>
      </c>
      <c r="K50" s="66" t="s">
        <v>775</v>
      </c>
      <c r="L50" s="70" t="s">
        <v>760</v>
      </c>
      <c r="M50" s="66">
        <v>525</v>
      </c>
      <c r="N50" s="66">
        <v>21</v>
      </c>
      <c r="O50" s="215">
        <v>136275000</v>
      </c>
      <c r="P50" s="64">
        <v>46056</v>
      </c>
      <c r="Q50" s="63"/>
      <c r="R50" s="63"/>
    </row>
    <row r="51" spans="1:18" ht="23.5" thickBot="1">
      <c r="A51" s="202" t="s">
        <v>109</v>
      </c>
      <c r="B51" s="57" t="s">
        <v>123</v>
      </c>
      <c r="C51" s="58">
        <v>46080</v>
      </c>
      <c r="D51" s="59">
        <v>0.47430555555555554</v>
      </c>
      <c r="E51" s="60"/>
      <c r="F51" s="57" t="s">
        <v>928</v>
      </c>
      <c r="G51" s="57" t="s">
        <v>486</v>
      </c>
      <c r="H51" s="58">
        <v>46080</v>
      </c>
      <c r="I51" s="59">
        <v>0.51249999999999996</v>
      </c>
      <c r="J51" s="60" t="s">
        <v>157</v>
      </c>
      <c r="K51" s="57" t="s">
        <v>80</v>
      </c>
      <c r="L51" s="62" t="s">
        <v>590</v>
      </c>
      <c r="M51" s="57">
        <v>6</v>
      </c>
      <c r="N51" s="57">
        <v>0</v>
      </c>
      <c r="O51" s="206">
        <v>300000</v>
      </c>
      <c r="P51" s="58">
        <v>49736</v>
      </c>
      <c r="Q51" s="60"/>
      <c r="R51" s="60"/>
    </row>
    <row r="52" spans="1:18" ht="13.5" thickBot="1">
      <c r="A52" s="146"/>
      <c r="B52" s="37" t="s">
        <v>929</v>
      </c>
      <c r="C52" s="38">
        <v>46080</v>
      </c>
      <c r="D52" s="39">
        <v>0.50624999999999998</v>
      </c>
      <c r="E52" s="41"/>
      <c r="F52" s="37" t="s">
        <v>930</v>
      </c>
      <c r="G52" s="37" t="s">
        <v>931</v>
      </c>
      <c r="H52" s="38">
        <v>46080</v>
      </c>
      <c r="I52" s="39">
        <v>0.51597222222222228</v>
      </c>
      <c r="J52" s="41" t="s">
        <v>160</v>
      </c>
      <c r="K52" s="37" t="s">
        <v>80</v>
      </c>
      <c r="L52" s="40" t="s">
        <v>590</v>
      </c>
      <c r="M52" s="37">
        <v>6</v>
      </c>
      <c r="N52" s="37">
        <v>0</v>
      </c>
      <c r="O52" s="147">
        <v>294000</v>
      </c>
      <c r="P52" s="38">
        <v>49736</v>
      </c>
      <c r="Q52" s="41"/>
      <c r="R52" s="41"/>
    </row>
    <row r="53" spans="1:18" ht="38" thickBot="1">
      <c r="A53" s="146"/>
      <c r="B53" s="37" t="s">
        <v>932</v>
      </c>
      <c r="C53" s="38">
        <v>46080</v>
      </c>
      <c r="D53" s="39">
        <v>0.51388888888888884</v>
      </c>
      <c r="E53" s="41"/>
      <c r="F53" s="37" t="s">
        <v>933</v>
      </c>
      <c r="G53" s="79" t="s">
        <v>934</v>
      </c>
      <c r="H53" s="38">
        <v>46080</v>
      </c>
      <c r="I53" s="39">
        <v>0.55555555555555558</v>
      </c>
      <c r="J53" s="41" t="s">
        <v>32</v>
      </c>
      <c r="K53" s="37" t="s">
        <v>331</v>
      </c>
      <c r="L53" s="40" t="s">
        <v>230</v>
      </c>
      <c r="M53" s="37">
        <v>5</v>
      </c>
      <c r="N53" s="37">
        <v>0</v>
      </c>
      <c r="O53" s="147">
        <v>512500</v>
      </c>
      <c r="P53" s="38">
        <v>49736</v>
      </c>
      <c r="Q53" s="41"/>
      <c r="R53" s="41"/>
    </row>
    <row r="54" spans="1:18" ht="38" thickBot="1">
      <c r="A54" s="146"/>
      <c r="B54" s="37" t="s">
        <v>932</v>
      </c>
      <c r="C54" s="38">
        <v>46080</v>
      </c>
      <c r="D54" s="39">
        <v>0.51388888888888884</v>
      </c>
      <c r="E54" s="41"/>
      <c r="F54" s="37" t="s">
        <v>933</v>
      </c>
      <c r="G54" s="79" t="s">
        <v>934</v>
      </c>
      <c r="H54" s="38">
        <v>46080</v>
      </c>
      <c r="I54" s="39">
        <v>0.55555555555555558</v>
      </c>
      <c r="J54" s="41" t="s">
        <v>32</v>
      </c>
      <c r="K54" s="37" t="s">
        <v>331</v>
      </c>
      <c r="L54" s="40" t="s">
        <v>764</v>
      </c>
      <c r="M54" s="37">
        <v>3</v>
      </c>
      <c r="N54" s="37">
        <v>0</v>
      </c>
      <c r="O54" s="147">
        <v>163500</v>
      </c>
      <c r="P54" s="38">
        <v>49736</v>
      </c>
      <c r="Q54" s="41"/>
      <c r="R54" s="41"/>
    </row>
    <row r="55" spans="1:18" ht="23.5" thickBot="1">
      <c r="A55" s="146"/>
      <c r="B55" s="37" t="s">
        <v>935</v>
      </c>
      <c r="C55" s="38">
        <v>46080</v>
      </c>
      <c r="D55" s="39">
        <v>0.53888888888888886</v>
      </c>
      <c r="E55" s="41"/>
      <c r="F55" s="37" t="s">
        <v>936</v>
      </c>
      <c r="G55" s="79" t="s">
        <v>937</v>
      </c>
      <c r="H55" s="38">
        <v>46080</v>
      </c>
      <c r="I55" s="39">
        <v>0.56180555555555556</v>
      </c>
      <c r="J55" s="41" t="s">
        <v>323</v>
      </c>
      <c r="K55" s="37" t="s">
        <v>938</v>
      </c>
      <c r="L55" s="40" t="s">
        <v>780</v>
      </c>
      <c r="M55" s="37">
        <v>20</v>
      </c>
      <c r="N55" s="37">
        <v>1</v>
      </c>
      <c r="O55" s="147">
        <v>810000</v>
      </c>
      <c r="P55" s="38">
        <v>46084</v>
      </c>
      <c r="Q55" s="41"/>
      <c r="R55" s="41"/>
    </row>
    <row r="56" spans="1:18" ht="23.5" thickBot="1">
      <c r="A56" s="146"/>
      <c r="B56" s="37" t="s">
        <v>939</v>
      </c>
      <c r="C56" s="38">
        <v>46080</v>
      </c>
      <c r="D56" s="39">
        <v>0.53888888888888886</v>
      </c>
      <c r="E56" s="41"/>
      <c r="F56" s="37" t="s">
        <v>940</v>
      </c>
      <c r="G56" s="79" t="s">
        <v>941</v>
      </c>
      <c r="H56" s="38">
        <v>46080</v>
      </c>
      <c r="I56" s="39">
        <v>0.56180555555555556</v>
      </c>
      <c r="J56" s="41" t="s">
        <v>323</v>
      </c>
      <c r="K56" s="37" t="s">
        <v>942</v>
      </c>
      <c r="L56" s="40" t="s">
        <v>780</v>
      </c>
      <c r="M56" s="37">
        <v>720</v>
      </c>
      <c r="N56" s="37">
        <v>29</v>
      </c>
      <c r="O56" s="147">
        <v>29160000</v>
      </c>
      <c r="P56" s="38">
        <v>46084</v>
      </c>
      <c r="Q56" s="41"/>
      <c r="R56" s="41"/>
    </row>
    <row r="57" spans="1:18" ht="13.5" thickBot="1">
      <c r="A57" s="146"/>
      <c r="B57" s="41"/>
      <c r="C57" s="38">
        <v>46080</v>
      </c>
      <c r="D57" s="39">
        <v>0.58333333333333337</v>
      </c>
      <c r="E57" s="41"/>
      <c r="F57" s="37" t="s">
        <v>943</v>
      </c>
      <c r="G57" s="79" t="s">
        <v>944</v>
      </c>
      <c r="H57" s="38">
        <v>46080</v>
      </c>
      <c r="I57" s="39">
        <v>0.61319444444444449</v>
      </c>
      <c r="J57" s="41" t="s">
        <v>945</v>
      </c>
      <c r="K57" s="37" t="s">
        <v>142</v>
      </c>
      <c r="L57" s="40" t="s">
        <v>113</v>
      </c>
      <c r="M57" s="37">
        <v>50</v>
      </c>
      <c r="N57" s="37">
        <v>2</v>
      </c>
      <c r="O57" s="147">
        <v>3194500</v>
      </c>
      <c r="P57" s="38">
        <v>46084</v>
      </c>
      <c r="Q57" s="41"/>
      <c r="R57" s="41"/>
    </row>
    <row r="58" spans="1:18" ht="13.5" thickBot="1">
      <c r="A58" s="146"/>
      <c r="B58" s="41"/>
      <c r="C58" s="38">
        <v>46080</v>
      </c>
      <c r="D58" s="39">
        <v>0.58263888888888893</v>
      </c>
      <c r="E58" s="41"/>
      <c r="F58" s="37" t="s">
        <v>946</v>
      </c>
      <c r="G58" s="37" t="s">
        <v>947</v>
      </c>
      <c r="H58" s="38">
        <v>46080</v>
      </c>
      <c r="I58" s="39">
        <v>0.66180555555555554</v>
      </c>
      <c r="J58" s="41" t="s">
        <v>45</v>
      </c>
      <c r="K58" s="37" t="s">
        <v>78</v>
      </c>
      <c r="L58" s="40" t="s">
        <v>221</v>
      </c>
      <c r="M58" s="37">
        <v>5</v>
      </c>
      <c r="N58" s="37">
        <v>0</v>
      </c>
      <c r="O58" s="147">
        <v>1250000</v>
      </c>
      <c r="P58" s="38">
        <v>46080</v>
      </c>
      <c r="Q58" s="41"/>
      <c r="R58" s="41"/>
    </row>
    <row r="59" spans="1:18" ht="25.5" thickBot="1">
      <c r="A59" s="146"/>
      <c r="B59" s="37" t="s">
        <v>948</v>
      </c>
      <c r="C59" s="38">
        <v>46083</v>
      </c>
      <c r="D59" s="39">
        <v>0.39583333333333331</v>
      </c>
      <c r="E59" s="41"/>
      <c r="F59" s="37" t="s">
        <v>949</v>
      </c>
      <c r="G59" s="37" t="s">
        <v>950</v>
      </c>
      <c r="H59" s="38">
        <v>46083</v>
      </c>
      <c r="I59" s="39">
        <v>0.43055555555555558</v>
      </c>
      <c r="J59" s="41" t="s">
        <v>154</v>
      </c>
      <c r="K59" s="37" t="s">
        <v>155</v>
      </c>
      <c r="L59" s="40" t="s">
        <v>115</v>
      </c>
      <c r="M59" s="37">
        <v>100</v>
      </c>
      <c r="N59" s="37">
        <v>4</v>
      </c>
      <c r="O59" s="147">
        <v>10250000</v>
      </c>
      <c r="P59" s="38">
        <v>411326</v>
      </c>
      <c r="Q59" s="41"/>
      <c r="R59" s="41"/>
    </row>
    <row r="60" spans="1:18" ht="25.5" thickBot="1">
      <c r="A60" s="146"/>
      <c r="B60" s="37" t="s">
        <v>948</v>
      </c>
      <c r="C60" s="38">
        <v>46083</v>
      </c>
      <c r="D60" s="39">
        <v>0.39583333333333331</v>
      </c>
      <c r="E60" s="41"/>
      <c r="F60" s="37" t="s">
        <v>949</v>
      </c>
      <c r="G60" s="37" t="s">
        <v>950</v>
      </c>
      <c r="H60" s="38">
        <v>46083</v>
      </c>
      <c r="I60" s="39">
        <v>0.43055555555555558</v>
      </c>
      <c r="J60" s="41" t="s">
        <v>154</v>
      </c>
      <c r="K60" s="37" t="s">
        <v>155</v>
      </c>
      <c r="L60" s="40" t="s">
        <v>773</v>
      </c>
      <c r="M60" s="37">
        <v>1000</v>
      </c>
      <c r="N60" s="37">
        <v>40</v>
      </c>
      <c r="O60" s="147">
        <v>16000000</v>
      </c>
      <c r="P60" s="38">
        <v>411326</v>
      </c>
      <c r="Q60" s="41"/>
      <c r="R60" s="41"/>
    </row>
    <row r="61" spans="1:18" ht="25.5" thickBot="1">
      <c r="A61" s="146"/>
      <c r="B61" s="37" t="s">
        <v>948</v>
      </c>
      <c r="C61" s="38">
        <v>46083</v>
      </c>
      <c r="D61" s="39">
        <v>0.39583333333333331</v>
      </c>
      <c r="E61" s="41"/>
      <c r="F61" s="37" t="s">
        <v>949</v>
      </c>
      <c r="G61" s="37" t="s">
        <v>950</v>
      </c>
      <c r="H61" s="38">
        <v>46083</v>
      </c>
      <c r="I61" s="39">
        <v>0.43055555555555558</v>
      </c>
      <c r="J61" s="41" t="s">
        <v>154</v>
      </c>
      <c r="K61" s="37" t="s">
        <v>155</v>
      </c>
      <c r="L61" s="40" t="s">
        <v>120</v>
      </c>
      <c r="M61" s="37">
        <v>200</v>
      </c>
      <c r="N61" s="37">
        <v>8</v>
      </c>
      <c r="O61" s="147">
        <v>32000000</v>
      </c>
      <c r="P61" s="38">
        <v>411326</v>
      </c>
      <c r="Q61" s="41"/>
      <c r="R61" s="41"/>
    </row>
    <row r="62" spans="1:18" ht="25.5" thickBot="1">
      <c r="A62" s="146"/>
      <c r="B62" s="41"/>
      <c r="C62" s="41"/>
      <c r="D62" s="41"/>
      <c r="E62" s="41"/>
      <c r="F62" s="37" t="s">
        <v>951</v>
      </c>
      <c r="G62" s="37" t="s">
        <v>952</v>
      </c>
      <c r="H62" s="38">
        <v>46083</v>
      </c>
      <c r="I62" s="39">
        <v>0.46944444444444444</v>
      </c>
      <c r="J62" s="41" t="s">
        <v>398</v>
      </c>
      <c r="K62" s="37" t="s">
        <v>399</v>
      </c>
      <c r="L62" s="40" t="s">
        <v>153</v>
      </c>
      <c r="M62" s="37">
        <v>2000</v>
      </c>
      <c r="N62" s="37">
        <v>80</v>
      </c>
      <c r="O62" s="37" t="s">
        <v>953</v>
      </c>
      <c r="P62" s="38">
        <v>46086</v>
      </c>
      <c r="Q62" s="41"/>
      <c r="R62" s="41"/>
    </row>
    <row r="63" spans="1:18" ht="38" thickBot="1">
      <c r="A63" s="146"/>
      <c r="B63" s="37" t="s">
        <v>954</v>
      </c>
      <c r="C63" s="38">
        <v>46083</v>
      </c>
      <c r="D63" s="39">
        <v>0.39583333333333331</v>
      </c>
      <c r="E63" s="41"/>
      <c r="F63" s="37" t="s">
        <v>955</v>
      </c>
      <c r="G63" s="79" t="s">
        <v>956</v>
      </c>
      <c r="H63" s="38">
        <v>46083</v>
      </c>
      <c r="I63" s="39">
        <v>0.4375</v>
      </c>
      <c r="J63" s="41" t="s">
        <v>32</v>
      </c>
      <c r="K63" s="37" t="s">
        <v>150</v>
      </c>
      <c r="L63" s="40" t="s">
        <v>115</v>
      </c>
      <c r="M63" s="37">
        <v>300</v>
      </c>
      <c r="N63" s="37">
        <v>12</v>
      </c>
      <c r="O63" s="147">
        <v>30750000</v>
      </c>
      <c r="P63" s="38">
        <v>46084</v>
      </c>
      <c r="Q63" s="41"/>
      <c r="R63" s="41"/>
    </row>
    <row r="64" spans="1:18" ht="38" thickBot="1">
      <c r="A64" s="146"/>
      <c r="B64" s="37" t="s">
        <v>954</v>
      </c>
      <c r="C64" s="38">
        <v>46083</v>
      </c>
      <c r="D64" s="39">
        <v>0.39583333333333331</v>
      </c>
      <c r="E64" s="41"/>
      <c r="F64" s="37" t="s">
        <v>955</v>
      </c>
      <c r="G64" s="79" t="s">
        <v>956</v>
      </c>
      <c r="H64" s="38">
        <v>46083</v>
      </c>
      <c r="I64" s="39">
        <v>0.4375</v>
      </c>
      <c r="J64" s="41" t="s">
        <v>32</v>
      </c>
      <c r="K64" s="37" t="s">
        <v>150</v>
      </c>
      <c r="L64" s="40" t="s">
        <v>120</v>
      </c>
      <c r="M64" s="37">
        <v>50</v>
      </c>
      <c r="N64" s="37">
        <v>2</v>
      </c>
      <c r="O64" s="147">
        <v>7515000</v>
      </c>
      <c r="P64" s="38">
        <v>46084</v>
      </c>
      <c r="Q64" s="41"/>
      <c r="R64" s="41"/>
    </row>
    <row r="65" spans="1:18" ht="38" thickBot="1">
      <c r="A65" s="146"/>
      <c r="B65" s="37" t="s">
        <v>954</v>
      </c>
      <c r="C65" s="38">
        <v>46083</v>
      </c>
      <c r="D65" s="39">
        <v>0.39583333333333331</v>
      </c>
      <c r="E65" s="41"/>
      <c r="F65" s="37" t="s">
        <v>955</v>
      </c>
      <c r="G65" s="79" t="s">
        <v>956</v>
      </c>
      <c r="H65" s="38">
        <v>46083</v>
      </c>
      <c r="I65" s="39">
        <v>0.4375</v>
      </c>
      <c r="J65" s="41" t="s">
        <v>32</v>
      </c>
      <c r="K65" s="37" t="s">
        <v>150</v>
      </c>
      <c r="L65" s="40" t="s">
        <v>762</v>
      </c>
      <c r="M65" s="37">
        <v>1500</v>
      </c>
      <c r="N65" s="37">
        <v>60</v>
      </c>
      <c r="O65" s="147">
        <v>97500000</v>
      </c>
      <c r="P65" s="38">
        <v>46084</v>
      </c>
      <c r="Q65" s="41"/>
      <c r="R65" s="41"/>
    </row>
    <row r="66" spans="1:18" ht="38" thickBot="1">
      <c r="A66" s="146"/>
      <c r="B66" s="37" t="s">
        <v>954</v>
      </c>
      <c r="C66" s="38">
        <v>46083</v>
      </c>
      <c r="D66" s="39">
        <v>0.39583333333333331</v>
      </c>
      <c r="E66" s="41"/>
      <c r="F66" s="37" t="s">
        <v>955</v>
      </c>
      <c r="G66" s="79" t="s">
        <v>956</v>
      </c>
      <c r="H66" s="38">
        <v>46083</v>
      </c>
      <c r="I66" s="39">
        <v>0.4375</v>
      </c>
      <c r="J66" s="41" t="s">
        <v>32</v>
      </c>
      <c r="K66" s="37" t="s">
        <v>150</v>
      </c>
      <c r="L66" s="40" t="s">
        <v>112</v>
      </c>
      <c r="M66" s="37">
        <v>100</v>
      </c>
      <c r="N66" s="37">
        <v>4</v>
      </c>
      <c r="O66" s="147">
        <v>5300000</v>
      </c>
      <c r="P66" s="38">
        <v>46084</v>
      </c>
      <c r="Q66" s="41"/>
      <c r="R66" s="41"/>
    </row>
    <row r="67" spans="1:18" ht="38" thickBot="1">
      <c r="A67" s="146"/>
      <c r="B67" s="37" t="s">
        <v>954</v>
      </c>
      <c r="C67" s="38">
        <v>46083</v>
      </c>
      <c r="D67" s="39">
        <v>0.39583333333333331</v>
      </c>
      <c r="E67" s="41"/>
      <c r="F67" s="37" t="s">
        <v>955</v>
      </c>
      <c r="G67" s="79" t="s">
        <v>956</v>
      </c>
      <c r="H67" s="38">
        <v>46083</v>
      </c>
      <c r="I67" s="39">
        <v>0.4375</v>
      </c>
      <c r="J67" s="41" t="s">
        <v>32</v>
      </c>
      <c r="K67" s="37" t="s">
        <v>150</v>
      </c>
      <c r="L67" s="40" t="s">
        <v>111</v>
      </c>
      <c r="M67" s="37">
        <v>100</v>
      </c>
      <c r="N67" s="37">
        <v>4</v>
      </c>
      <c r="O67" s="147">
        <v>2550000</v>
      </c>
      <c r="P67" s="38">
        <v>46084</v>
      </c>
      <c r="Q67" s="41"/>
      <c r="R67" s="41"/>
    </row>
    <row r="68" spans="1:18" ht="38" thickBot="1">
      <c r="A68" s="146"/>
      <c r="B68" s="37" t="s">
        <v>954</v>
      </c>
      <c r="C68" s="38">
        <v>46083</v>
      </c>
      <c r="D68" s="39">
        <v>0.39583333333333331</v>
      </c>
      <c r="E68" s="41"/>
      <c r="F68" s="37" t="s">
        <v>955</v>
      </c>
      <c r="G68" s="79" t="s">
        <v>956</v>
      </c>
      <c r="H68" s="38">
        <v>46083</v>
      </c>
      <c r="I68" s="39">
        <v>0.4375</v>
      </c>
      <c r="J68" s="41" t="s">
        <v>32</v>
      </c>
      <c r="K68" s="37" t="s">
        <v>150</v>
      </c>
      <c r="L68" s="40" t="s">
        <v>768</v>
      </c>
      <c r="M68" s="37">
        <v>200</v>
      </c>
      <c r="N68" s="37">
        <v>8</v>
      </c>
      <c r="O68" s="147">
        <v>38000000</v>
      </c>
      <c r="P68" s="38">
        <v>46084</v>
      </c>
      <c r="Q68" s="41"/>
      <c r="R68" s="41"/>
    </row>
    <row r="69" spans="1:18" ht="38" thickBot="1">
      <c r="A69" s="146"/>
      <c r="B69" s="37" t="s">
        <v>954</v>
      </c>
      <c r="C69" s="38">
        <v>46083</v>
      </c>
      <c r="D69" s="39">
        <v>0.39583333333333331</v>
      </c>
      <c r="E69" s="41"/>
      <c r="F69" s="37" t="s">
        <v>957</v>
      </c>
      <c r="G69" s="79" t="s">
        <v>958</v>
      </c>
      <c r="H69" s="38">
        <v>46083</v>
      </c>
      <c r="I69" s="39">
        <v>0.4375</v>
      </c>
      <c r="J69" s="41" t="s">
        <v>32</v>
      </c>
      <c r="K69" s="37" t="s">
        <v>150</v>
      </c>
      <c r="L69" s="40" t="s">
        <v>912</v>
      </c>
      <c r="M69" s="37">
        <v>7.5</v>
      </c>
      <c r="N69" s="37">
        <v>0</v>
      </c>
      <c r="O69" s="37">
        <v>0</v>
      </c>
      <c r="P69" s="38">
        <v>46084</v>
      </c>
      <c r="Q69" s="41"/>
      <c r="R69" s="41"/>
    </row>
    <row r="70" spans="1:18" ht="13.5" thickBot="1">
      <c r="A70" s="146"/>
      <c r="B70" s="37">
        <v>1374617</v>
      </c>
      <c r="C70" s="38">
        <v>46080</v>
      </c>
      <c r="D70" s="39">
        <v>0.67083333333333328</v>
      </c>
      <c r="E70" s="41"/>
      <c r="F70" s="37" t="s">
        <v>959</v>
      </c>
      <c r="G70" s="79" t="s">
        <v>960</v>
      </c>
      <c r="H70" s="38">
        <v>46083</v>
      </c>
      <c r="I70" s="39">
        <v>0.54166666666666663</v>
      </c>
      <c r="J70" s="41" t="s">
        <v>30</v>
      </c>
      <c r="K70" s="37" t="s">
        <v>79</v>
      </c>
      <c r="L70" s="40" t="s">
        <v>768</v>
      </c>
      <c r="M70" s="37">
        <v>25</v>
      </c>
      <c r="N70" s="37">
        <v>1</v>
      </c>
      <c r="O70" s="147">
        <v>4505000</v>
      </c>
      <c r="P70" s="38">
        <v>46085</v>
      </c>
      <c r="Q70" s="37">
        <v>180200</v>
      </c>
      <c r="R70" s="41"/>
    </row>
    <row r="71" spans="1:18" ht="13.5" thickBot="1">
      <c r="A71" s="146"/>
      <c r="B71" s="37">
        <v>4500087121</v>
      </c>
      <c r="C71" s="38">
        <v>46080</v>
      </c>
      <c r="D71" s="39">
        <v>0.67083333333333328</v>
      </c>
      <c r="E71" s="41"/>
      <c r="F71" s="37" t="s">
        <v>961</v>
      </c>
      <c r="G71" s="37" t="s">
        <v>962</v>
      </c>
      <c r="H71" s="38">
        <v>46083</v>
      </c>
      <c r="I71" s="39">
        <v>0.54305555555555551</v>
      </c>
      <c r="J71" s="41" t="s">
        <v>385</v>
      </c>
      <c r="K71" s="37" t="s">
        <v>788</v>
      </c>
      <c r="L71" s="40" t="s">
        <v>115</v>
      </c>
      <c r="M71" s="37">
        <v>800</v>
      </c>
      <c r="N71" s="37">
        <v>32</v>
      </c>
      <c r="O71" s="147">
        <v>58293600</v>
      </c>
      <c r="P71" s="38">
        <v>46084</v>
      </c>
      <c r="Q71" s="41"/>
      <c r="R71" s="41"/>
    </row>
    <row r="72" spans="1:18" ht="13.5" thickBot="1">
      <c r="A72" s="146"/>
      <c r="B72" s="37">
        <v>4500087121</v>
      </c>
      <c r="C72" s="38">
        <v>46080</v>
      </c>
      <c r="D72" s="39">
        <v>0.67083333333333328</v>
      </c>
      <c r="E72" s="41"/>
      <c r="F72" s="37" t="s">
        <v>961</v>
      </c>
      <c r="G72" s="37" t="s">
        <v>962</v>
      </c>
      <c r="H72" s="38">
        <v>46083</v>
      </c>
      <c r="I72" s="39">
        <v>0.54305555555555551</v>
      </c>
      <c r="J72" s="41" t="s">
        <v>385</v>
      </c>
      <c r="K72" s="37" t="s">
        <v>788</v>
      </c>
      <c r="L72" s="40" t="s">
        <v>209</v>
      </c>
      <c r="M72" s="37">
        <v>50</v>
      </c>
      <c r="N72" s="37">
        <v>2</v>
      </c>
      <c r="O72" s="147">
        <v>6145000</v>
      </c>
      <c r="P72" s="38">
        <v>46084</v>
      </c>
      <c r="Q72" s="41"/>
      <c r="R72" s="41"/>
    </row>
    <row r="73" spans="1:18" ht="38" thickBot="1">
      <c r="A73" s="146"/>
      <c r="B73" s="37" t="s">
        <v>963</v>
      </c>
      <c r="C73" s="38">
        <v>46081</v>
      </c>
      <c r="D73" s="39">
        <v>0.48055555555555557</v>
      </c>
      <c r="E73" s="41"/>
      <c r="F73" s="37" t="s">
        <v>964</v>
      </c>
      <c r="G73" s="37" t="s">
        <v>965</v>
      </c>
      <c r="H73" s="38">
        <v>46083</v>
      </c>
      <c r="I73" s="39">
        <v>0.54513888888888884</v>
      </c>
      <c r="J73" s="41" t="s">
        <v>386</v>
      </c>
      <c r="K73" s="37" t="s">
        <v>76</v>
      </c>
      <c r="L73" s="40" t="s">
        <v>194</v>
      </c>
      <c r="M73" s="37">
        <v>2000</v>
      </c>
      <c r="N73" s="37">
        <v>80</v>
      </c>
      <c r="O73" s="147">
        <v>39000000</v>
      </c>
      <c r="P73" s="38">
        <v>46057</v>
      </c>
      <c r="Q73" s="41"/>
      <c r="R73" s="41"/>
    </row>
    <row r="74" spans="1:18" ht="23.5" thickBot="1">
      <c r="A74" s="146"/>
      <c r="B74" s="37" t="s">
        <v>966</v>
      </c>
      <c r="C74" s="38">
        <v>46082</v>
      </c>
      <c r="D74" s="39">
        <v>0.89513888888888893</v>
      </c>
      <c r="E74" s="41"/>
      <c r="F74" s="37" t="s">
        <v>967</v>
      </c>
      <c r="G74" s="79" t="s">
        <v>968</v>
      </c>
      <c r="H74" s="38">
        <v>46083</v>
      </c>
      <c r="I74" s="39">
        <v>0.54652777777777772</v>
      </c>
      <c r="J74" s="41" t="s">
        <v>323</v>
      </c>
      <c r="K74" s="37" t="s">
        <v>811</v>
      </c>
      <c r="L74" s="40" t="s">
        <v>676</v>
      </c>
      <c r="M74" s="37">
        <v>150</v>
      </c>
      <c r="N74" s="37">
        <v>6</v>
      </c>
      <c r="O74" s="147">
        <v>6075000</v>
      </c>
      <c r="P74" s="38">
        <v>46057</v>
      </c>
      <c r="Q74" s="41"/>
      <c r="R74" s="41"/>
    </row>
    <row r="75" spans="1:18" ht="13.5" thickBot="1">
      <c r="A75" s="146"/>
      <c r="B75" s="37">
        <v>1375326</v>
      </c>
      <c r="C75" s="38">
        <v>46083</v>
      </c>
      <c r="D75" s="39">
        <v>0.4201388888888889</v>
      </c>
      <c r="E75" s="41"/>
      <c r="F75" s="37" t="s">
        <v>969</v>
      </c>
      <c r="G75" s="79" t="s">
        <v>970</v>
      </c>
      <c r="H75" s="38">
        <v>46083</v>
      </c>
      <c r="I75" s="39">
        <v>0.54861111111111116</v>
      </c>
      <c r="J75" s="41" t="s">
        <v>30</v>
      </c>
      <c r="K75" s="37" t="s">
        <v>80</v>
      </c>
      <c r="L75" s="40" t="s">
        <v>768</v>
      </c>
      <c r="M75" s="37">
        <v>50</v>
      </c>
      <c r="N75" s="37">
        <v>2</v>
      </c>
      <c r="O75" s="147">
        <v>9010000</v>
      </c>
      <c r="P75" s="38">
        <v>46056</v>
      </c>
      <c r="Q75" s="37">
        <v>180200</v>
      </c>
      <c r="R75" s="41"/>
    </row>
    <row r="76" spans="1:18" ht="25.5" thickBot="1">
      <c r="A76" s="146"/>
      <c r="B76" s="37">
        <v>4500147866</v>
      </c>
      <c r="C76" s="38">
        <v>46083</v>
      </c>
      <c r="D76" s="39">
        <v>0.40625</v>
      </c>
      <c r="E76" s="41"/>
      <c r="F76" s="37" t="s">
        <v>971</v>
      </c>
      <c r="G76" s="37" t="s">
        <v>972</v>
      </c>
      <c r="H76" s="38">
        <v>46083</v>
      </c>
      <c r="I76" s="39">
        <v>0.55000000000000004</v>
      </c>
      <c r="J76" s="41" t="s">
        <v>973</v>
      </c>
      <c r="K76" s="37" t="s">
        <v>809</v>
      </c>
      <c r="L76" s="40" t="s">
        <v>207</v>
      </c>
      <c r="M76" s="37">
        <v>7</v>
      </c>
      <c r="N76" s="37">
        <v>0</v>
      </c>
      <c r="O76" s="147">
        <v>3640000</v>
      </c>
      <c r="P76" s="38">
        <v>46056</v>
      </c>
      <c r="Q76" s="41"/>
      <c r="R76" s="41"/>
    </row>
    <row r="77" spans="1:18" ht="13.5" thickBot="1">
      <c r="A77" s="146"/>
      <c r="B77" s="37" t="s">
        <v>766</v>
      </c>
      <c r="C77" s="38">
        <v>46083</v>
      </c>
      <c r="D77" s="39">
        <v>0.46527777777777779</v>
      </c>
      <c r="E77" s="41"/>
      <c r="F77" s="37" t="s">
        <v>974</v>
      </c>
      <c r="G77" s="37" t="s">
        <v>975</v>
      </c>
      <c r="H77" s="38">
        <v>46083</v>
      </c>
      <c r="I77" s="39">
        <v>0.55347222222222225</v>
      </c>
      <c r="J77" s="41" t="s">
        <v>45</v>
      </c>
      <c r="K77" s="37" t="s">
        <v>78</v>
      </c>
      <c r="L77" s="40" t="s">
        <v>976</v>
      </c>
      <c r="M77" s="37">
        <v>2</v>
      </c>
      <c r="N77" s="37">
        <v>0</v>
      </c>
      <c r="O77" s="147">
        <v>320000</v>
      </c>
      <c r="P77" s="38">
        <v>46056</v>
      </c>
      <c r="Q77" s="41"/>
      <c r="R77" s="41"/>
    </row>
    <row r="78" spans="1:18" ht="13.5" thickBot="1">
      <c r="A78" s="146"/>
      <c r="B78" s="37">
        <v>4500147961</v>
      </c>
      <c r="C78" s="38">
        <v>46083</v>
      </c>
      <c r="D78" s="39">
        <v>0.5229166666666667</v>
      </c>
      <c r="E78" s="41"/>
      <c r="F78" s="37" t="s">
        <v>977</v>
      </c>
      <c r="G78" s="224" t="s">
        <v>978</v>
      </c>
      <c r="H78" s="38">
        <v>46083</v>
      </c>
      <c r="I78" s="39">
        <v>0.55763888888888891</v>
      </c>
      <c r="J78" s="41" t="s">
        <v>6</v>
      </c>
      <c r="K78" s="37" t="s">
        <v>85</v>
      </c>
      <c r="L78" s="40" t="s">
        <v>112</v>
      </c>
      <c r="M78" s="37">
        <v>75</v>
      </c>
      <c r="N78" s="37">
        <v>3</v>
      </c>
      <c r="O78" s="147">
        <v>4290000</v>
      </c>
      <c r="P78" s="38">
        <v>46085</v>
      </c>
      <c r="Q78" s="41"/>
      <c r="R78" s="41"/>
    </row>
    <row r="79" spans="1:18" ht="25.5" thickBot="1">
      <c r="A79" s="274" t="s">
        <v>979</v>
      </c>
      <c r="B79" s="275">
        <v>4504000613</v>
      </c>
      <c r="C79" s="276">
        <v>46083</v>
      </c>
      <c r="D79" s="277">
        <v>0.55555555555555558</v>
      </c>
      <c r="E79" s="278"/>
      <c r="F79" s="275" t="s">
        <v>980</v>
      </c>
      <c r="G79" s="275" t="s">
        <v>981</v>
      </c>
      <c r="H79" s="276">
        <v>46083</v>
      </c>
      <c r="I79" s="277">
        <v>0.60763888888888884</v>
      </c>
      <c r="J79" s="278" t="s">
        <v>174</v>
      </c>
      <c r="K79" s="275" t="s">
        <v>142</v>
      </c>
      <c r="L79" s="279" t="s">
        <v>194</v>
      </c>
      <c r="M79" s="275">
        <v>1500</v>
      </c>
      <c r="N79" s="275">
        <v>60</v>
      </c>
      <c r="O79" s="280">
        <v>26635000</v>
      </c>
      <c r="P79" s="276">
        <v>46085</v>
      </c>
      <c r="Q79" s="278" t="s">
        <v>1691</v>
      </c>
      <c r="R79" s="278"/>
    </row>
    <row r="80" spans="1:18" ht="13.5" thickBot="1">
      <c r="A80" s="146"/>
      <c r="B80" s="37">
        <v>4500087143</v>
      </c>
      <c r="C80" s="38">
        <v>46077</v>
      </c>
      <c r="D80" s="39">
        <v>0.60486111111111107</v>
      </c>
      <c r="E80" s="41"/>
      <c r="F80" s="37" t="s">
        <v>829</v>
      </c>
      <c r="G80" s="37" t="s">
        <v>982</v>
      </c>
      <c r="H80" s="38">
        <v>46078</v>
      </c>
      <c r="I80" s="39">
        <v>0.41388888888888886</v>
      </c>
      <c r="J80" s="41" t="s">
        <v>759</v>
      </c>
      <c r="K80" s="37" t="s">
        <v>83</v>
      </c>
      <c r="L80" s="40" t="s">
        <v>111</v>
      </c>
      <c r="M80" s="37">
        <v>2000</v>
      </c>
      <c r="N80" s="37">
        <v>80</v>
      </c>
      <c r="O80" s="147">
        <v>49500000</v>
      </c>
      <c r="P80" s="38">
        <v>46080</v>
      </c>
      <c r="Q80" s="41"/>
      <c r="R80" s="41"/>
    </row>
    <row r="81" spans="1:18" ht="23.5" thickBot="1">
      <c r="A81" s="146"/>
      <c r="B81" s="37" t="s">
        <v>766</v>
      </c>
      <c r="C81" s="38">
        <v>46083</v>
      </c>
      <c r="D81" s="39">
        <v>0.72986111111111107</v>
      </c>
      <c r="E81" s="41"/>
      <c r="F81" s="37" t="s">
        <v>983</v>
      </c>
      <c r="G81" s="37" t="s">
        <v>984</v>
      </c>
      <c r="H81" s="38">
        <v>46084</v>
      </c>
      <c r="I81" s="39">
        <v>0.41458333333333336</v>
      </c>
      <c r="J81" s="41" t="s">
        <v>771</v>
      </c>
      <c r="K81" s="37" t="s">
        <v>810</v>
      </c>
      <c r="L81" s="223" t="s">
        <v>764</v>
      </c>
      <c r="M81" s="37">
        <v>5</v>
      </c>
      <c r="N81" s="37">
        <v>0</v>
      </c>
      <c r="O81" s="147">
        <v>325000</v>
      </c>
      <c r="P81" s="38">
        <v>46084</v>
      </c>
      <c r="Q81" s="41"/>
      <c r="R81" s="41"/>
    </row>
    <row r="82" spans="1:18" ht="13.5" thickBot="1">
      <c r="A82" s="146"/>
      <c r="B82" s="37">
        <v>4500087252</v>
      </c>
      <c r="C82" s="38">
        <v>46083</v>
      </c>
      <c r="D82" s="39">
        <v>0.63888888888888884</v>
      </c>
      <c r="E82" s="41"/>
      <c r="F82" s="37" t="s">
        <v>985</v>
      </c>
      <c r="G82" s="37" t="s">
        <v>986</v>
      </c>
      <c r="H82" s="38">
        <v>46084</v>
      </c>
      <c r="I82" s="39">
        <v>0.41805555555555557</v>
      </c>
      <c r="J82" s="41" t="s">
        <v>759</v>
      </c>
      <c r="K82" s="37" t="s">
        <v>83</v>
      </c>
      <c r="L82" s="40" t="s">
        <v>136</v>
      </c>
      <c r="M82" s="37">
        <v>3000</v>
      </c>
      <c r="N82" s="37">
        <v>120</v>
      </c>
      <c r="O82" s="147">
        <v>155700000</v>
      </c>
      <c r="P82" s="38">
        <v>46085</v>
      </c>
      <c r="Q82" s="41"/>
      <c r="R82" s="41"/>
    </row>
    <row r="83" spans="1:18" ht="13.5" thickBot="1">
      <c r="A83" s="146"/>
      <c r="B83" s="37">
        <v>4500087252</v>
      </c>
      <c r="C83" s="38">
        <v>46083</v>
      </c>
      <c r="D83" s="39">
        <v>0.63888888888888884</v>
      </c>
      <c r="E83" s="41"/>
      <c r="F83" s="37" t="s">
        <v>985</v>
      </c>
      <c r="G83" s="37" t="s">
        <v>986</v>
      </c>
      <c r="H83" s="38">
        <v>46084</v>
      </c>
      <c r="I83" s="39">
        <v>0.41805555555555557</v>
      </c>
      <c r="J83" s="41" t="s">
        <v>759</v>
      </c>
      <c r="K83" s="37" t="s">
        <v>83</v>
      </c>
      <c r="L83" s="40" t="s">
        <v>116</v>
      </c>
      <c r="M83" s="37">
        <v>625</v>
      </c>
      <c r="N83" s="37">
        <v>25</v>
      </c>
      <c r="O83" s="147">
        <v>12031250</v>
      </c>
      <c r="P83" s="38">
        <v>46085</v>
      </c>
      <c r="Q83" s="41"/>
      <c r="R83" s="41"/>
    </row>
    <row r="84" spans="1:18" ht="13.5" thickBot="1">
      <c r="A84" s="201" t="s">
        <v>117</v>
      </c>
      <c r="B84" s="54">
        <v>4500087252</v>
      </c>
      <c r="C84" s="52">
        <v>46083</v>
      </c>
      <c r="D84" s="53">
        <v>0.63888888888888884</v>
      </c>
      <c r="E84" s="148"/>
      <c r="F84" s="54" t="s">
        <v>985</v>
      </c>
      <c r="G84" s="54" t="s">
        <v>987</v>
      </c>
      <c r="H84" s="52">
        <v>46084</v>
      </c>
      <c r="I84" s="53">
        <v>0.41805555555555557</v>
      </c>
      <c r="J84" s="148" t="s">
        <v>759</v>
      </c>
      <c r="K84" s="54" t="s">
        <v>83</v>
      </c>
      <c r="L84" s="56" t="s">
        <v>116</v>
      </c>
      <c r="M84" s="54">
        <v>1375</v>
      </c>
      <c r="N84" s="54">
        <v>55</v>
      </c>
      <c r="O84" s="149">
        <v>26468750</v>
      </c>
      <c r="P84" s="52">
        <v>46085</v>
      </c>
      <c r="Q84" s="148"/>
      <c r="R84" s="148"/>
    </row>
    <row r="85" spans="1:18" ht="13.5" thickBot="1">
      <c r="A85" s="146"/>
      <c r="B85" s="37">
        <v>4500087252</v>
      </c>
      <c r="C85" s="38">
        <v>46083</v>
      </c>
      <c r="D85" s="39">
        <v>0.63888888888888884</v>
      </c>
      <c r="E85" s="41"/>
      <c r="F85" s="37" t="s">
        <v>985</v>
      </c>
      <c r="G85" s="37" t="s">
        <v>986</v>
      </c>
      <c r="H85" s="38">
        <v>46084</v>
      </c>
      <c r="I85" s="39">
        <v>0.41805555555555557</v>
      </c>
      <c r="J85" s="41" t="s">
        <v>759</v>
      </c>
      <c r="K85" s="37" t="s">
        <v>83</v>
      </c>
      <c r="L85" s="40" t="s">
        <v>112</v>
      </c>
      <c r="M85" s="37">
        <v>800</v>
      </c>
      <c r="N85" s="37">
        <v>32</v>
      </c>
      <c r="O85" s="147">
        <v>42000000</v>
      </c>
      <c r="P85" s="38">
        <v>46085</v>
      </c>
      <c r="Q85" s="41"/>
      <c r="R85" s="41"/>
    </row>
    <row r="86" spans="1:18" ht="13.5" thickBot="1">
      <c r="A86" s="146"/>
      <c r="B86" s="37">
        <v>4500087252</v>
      </c>
      <c r="C86" s="38">
        <v>46083</v>
      </c>
      <c r="D86" s="39">
        <v>0.63888888888888884</v>
      </c>
      <c r="E86" s="41"/>
      <c r="F86" s="37" t="s">
        <v>988</v>
      </c>
      <c r="G86" s="37" t="s">
        <v>989</v>
      </c>
      <c r="H86" s="38">
        <v>46084</v>
      </c>
      <c r="I86" s="39">
        <v>0.41805555555555557</v>
      </c>
      <c r="J86" s="41" t="s">
        <v>759</v>
      </c>
      <c r="K86" s="37" t="s">
        <v>83</v>
      </c>
      <c r="L86" s="40" t="s">
        <v>990</v>
      </c>
      <c r="M86" s="37">
        <v>60</v>
      </c>
      <c r="N86" s="37">
        <v>2</v>
      </c>
      <c r="O86" s="37">
        <v>0</v>
      </c>
      <c r="P86" s="38">
        <v>46085</v>
      </c>
      <c r="Q86" s="41"/>
      <c r="R86" s="41"/>
    </row>
    <row r="87" spans="1:18" ht="13.5" thickBot="1">
      <c r="A87" s="146"/>
      <c r="B87" s="41"/>
      <c r="C87" s="38">
        <v>46083</v>
      </c>
      <c r="D87" s="39">
        <v>0.70833333333333337</v>
      </c>
      <c r="E87" s="41"/>
      <c r="F87" s="37" t="s">
        <v>991</v>
      </c>
      <c r="G87" s="37" t="s">
        <v>992</v>
      </c>
      <c r="H87" s="38">
        <v>46084</v>
      </c>
      <c r="I87" s="39">
        <v>0.4375</v>
      </c>
      <c r="J87" s="41" t="s">
        <v>479</v>
      </c>
      <c r="K87" s="37" t="s">
        <v>168</v>
      </c>
      <c r="L87" s="40" t="s">
        <v>780</v>
      </c>
      <c r="M87" s="37">
        <v>80</v>
      </c>
      <c r="N87" s="37">
        <v>3</v>
      </c>
      <c r="O87" s="147">
        <v>3200000</v>
      </c>
      <c r="P87" s="38">
        <v>46056</v>
      </c>
      <c r="Q87" s="41"/>
      <c r="R87" s="41"/>
    </row>
    <row r="88" spans="1:18" ht="23.5" thickBot="1">
      <c r="A88" s="146"/>
      <c r="B88" s="37">
        <v>1375663</v>
      </c>
      <c r="C88" s="38">
        <v>46083</v>
      </c>
      <c r="D88" s="39">
        <v>0.66874999999999996</v>
      </c>
      <c r="E88" s="41"/>
      <c r="F88" s="37" t="s">
        <v>993</v>
      </c>
      <c r="G88" s="37" t="s">
        <v>994</v>
      </c>
      <c r="H88" s="38">
        <v>46084</v>
      </c>
      <c r="I88" s="39">
        <v>0.46597222222222223</v>
      </c>
      <c r="J88" s="41" t="s">
        <v>51</v>
      </c>
      <c r="K88" s="37" t="s">
        <v>784</v>
      </c>
      <c r="L88" s="40" t="s">
        <v>207</v>
      </c>
      <c r="M88" s="37">
        <v>20</v>
      </c>
      <c r="N88" s="37">
        <v>1</v>
      </c>
      <c r="O88" s="147">
        <v>8545000</v>
      </c>
      <c r="P88" s="38">
        <v>46087</v>
      </c>
      <c r="Q88" s="41"/>
      <c r="R88" s="41"/>
    </row>
    <row r="89" spans="1:18" ht="25.5" thickBot="1">
      <c r="A89" s="202" t="s">
        <v>765</v>
      </c>
      <c r="B89" s="57" t="s">
        <v>995</v>
      </c>
      <c r="C89" s="58">
        <v>46083</v>
      </c>
      <c r="D89" s="59">
        <v>0.74722222222222223</v>
      </c>
      <c r="E89" s="281"/>
      <c r="F89" s="282" t="s">
        <v>996</v>
      </c>
      <c r="G89" s="57" t="s">
        <v>486</v>
      </c>
      <c r="H89" s="58">
        <v>46084</v>
      </c>
      <c r="I89" s="59">
        <v>0.47499999999999998</v>
      </c>
      <c r="J89" s="60" t="s">
        <v>154</v>
      </c>
      <c r="K89" s="57" t="s">
        <v>155</v>
      </c>
      <c r="L89" s="62" t="s">
        <v>768</v>
      </c>
      <c r="M89" s="57">
        <v>300</v>
      </c>
      <c r="N89" s="57">
        <v>12</v>
      </c>
      <c r="O89" s="206">
        <v>63000000</v>
      </c>
      <c r="P89" s="58">
        <v>46085</v>
      </c>
      <c r="Q89" s="60"/>
      <c r="R89" s="60"/>
    </row>
    <row r="90" spans="1:18" ht="38" thickBot="1">
      <c r="A90" s="146"/>
      <c r="B90" s="37" t="s">
        <v>997</v>
      </c>
      <c r="C90" s="38">
        <v>46084</v>
      </c>
      <c r="D90" s="39">
        <v>0.33263888888888887</v>
      </c>
      <c r="E90" s="41"/>
      <c r="F90" s="37" t="s">
        <v>998</v>
      </c>
      <c r="G90" s="79" t="s">
        <v>999</v>
      </c>
      <c r="H90" s="38">
        <v>46084</v>
      </c>
      <c r="I90" s="39">
        <v>0.48055555555555557</v>
      </c>
      <c r="J90" s="41" t="s">
        <v>32</v>
      </c>
      <c r="K90" s="37" t="s">
        <v>150</v>
      </c>
      <c r="L90" s="40" t="s">
        <v>760</v>
      </c>
      <c r="M90" s="37">
        <v>100</v>
      </c>
      <c r="N90" s="37">
        <v>4</v>
      </c>
      <c r="O90" s="147">
        <v>23800000</v>
      </c>
      <c r="P90" s="38">
        <v>46085</v>
      </c>
      <c r="Q90" s="41"/>
      <c r="R90" s="41"/>
    </row>
    <row r="91" spans="1:18" ht="38" thickBot="1">
      <c r="A91" s="146"/>
      <c r="B91" s="37" t="s">
        <v>997</v>
      </c>
      <c r="C91" s="38">
        <v>46084</v>
      </c>
      <c r="D91" s="39">
        <v>0.33263888888888887</v>
      </c>
      <c r="E91" s="41"/>
      <c r="F91" s="37" t="s">
        <v>998</v>
      </c>
      <c r="G91" s="79" t="s">
        <v>999</v>
      </c>
      <c r="H91" s="38">
        <v>46084</v>
      </c>
      <c r="I91" s="39">
        <v>0.48055555555555557</v>
      </c>
      <c r="J91" s="41" t="s">
        <v>32</v>
      </c>
      <c r="K91" s="37" t="s">
        <v>150</v>
      </c>
      <c r="L91" s="40" t="s">
        <v>136</v>
      </c>
      <c r="M91" s="37">
        <v>50</v>
      </c>
      <c r="N91" s="37">
        <v>2</v>
      </c>
      <c r="O91" s="147">
        <v>2825000</v>
      </c>
      <c r="P91" s="38">
        <v>46085</v>
      </c>
      <c r="Q91" s="41"/>
      <c r="R91" s="41"/>
    </row>
    <row r="92" spans="1:18" ht="13.5" thickBot="1">
      <c r="A92" s="146"/>
      <c r="B92" s="41"/>
      <c r="C92" s="38">
        <v>46084</v>
      </c>
      <c r="D92" s="39">
        <v>0.31319444444444444</v>
      </c>
      <c r="E92" s="41"/>
      <c r="F92" s="37" t="s">
        <v>1000</v>
      </c>
      <c r="G92" s="37" t="s">
        <v>1001</v>
      </c>
      <c r="H92" s="38">
        <v>46084</v>
      </c>
      <c r="I92" s="39">
        <v>0.48680555555555555</v>
      </c>
      <c r="J92" s="41" t="s">
        <v>177</v>
      </c>
      <c r="K92" s="37" t="s">
        <v>83</v>
      </c>
      <c r="L92" s="40" t="s">
        <v>209</v>
      </c>
      <c r="M92" s="37">
        <v>50</v>
      </c>
      <c r="N92" s="37">
        <v>2</v>
      </c>
      <c r="O92" s="147">
        <v>8200000</v>
      </c>
      <c r="P92" s="38">
        <v>46085</v>
      </c>
      <c r="Q92" s="41"/>
      <c r="R92" s="41"/>
    </row>
    <row r="93" spans="1:18" ht="13.5" thickBot="1">
      <c r="A93" s="146"/>
      <c r="B93" s="41"/>
      <c r="C93" s="38">
        <v>46084</v>
      </c>
      <c r="D93" s="39">
        <v>0.31319444444444444</v>
      </c>
      <c r="E93" s="41"/>
      <c r="F93" s="37" t="s">
        <v>1000</v>
      </c>
      <c r="G93" s="37" t="s">
        <v>1001</v>
      </c>
      <c r="H93" s="38">
        <v>46084</v>
      </c>
      <c r="I93" s="39">
        <v>0.48680555555555555</v>
      </c>
      <c r="J93" s="41" t="s">
        <v>177</v>
      </c>
      <c r="K93" s="37" t="s">
        <v>83</v>
      </c>
      <c r="L93" s="40" t="s">
        <v>221</v>
      </c>
      <c r="M93" s="37">
        <v>50</v>
      </c>
      <c r="N93" s="37">
        <v>2</v>
      </c>
      <c r="O93" s="147">
        <v>11500000</v>
      </c>
      <c r="P93" s="38">
        <v>46085</v>
      </c>
      <c r="Q93" s="41"/>
      <c r="R93" s="41"/>
    </row>
    <row r="94" spans="1:18" ht="13.5" thickBot="1">
      <c r="A94" s="146"/>
      <c r="B94" s="41"/>
      <c r="C94" s="38">
        <v>46084</v>
      </c>
      <c r="D94" s="39">
        <v>0.31319444444444444</v>
      </c>
      <c r="E94" s="41"/>
      <c r="F94" s="37" t="s">
        <v>1000</v>
      </c>
      <c r="G94" s="37" t="s">
        <v>1001</v>
      </c>
      <c r="H94" s="38">
        <v>46084</v>
      </c>
      <c r="I94" s="39">
        <v>0.48680555555555555</v>
      </c>
      <c r="J94" s="41" t="s">
        <v>177</v>
      </c>
      <c r="K94" s="37" t="s">
        <v>83</v>
      </c>
      <c r="L94" s="40" t="s">
        <v>762</v>
      </c>
      <c r="M94" s="37">
        <v>25</v>
      </c>
      <c r="N94" s="37">
        <v>1</v>
      </c>
      <c r="O94" s="147">
        <v>1700000</v>
      </c>
      <c r="P94" s="38">
        <v>46085</v>
      </c>
      <c r="Q94" s="41"/>
      <c r="R94" s="41"/>
    </row>
    <row r="95" spans="1:18" ht="13.5" thickBot="1">
      <c r="A95" s="146"/>
      <c r="B95" s="41"/>
      <c r="C95" s="38">
        <v>46084</v>
      </c>
      <c r="D95" s="39">
        <v>0.31319444444444444</v>
      </c>
      <c r="E95" s="41"/>
      <c r="F95" s="37" t="s">
        <v>1000</v>
      </c>
      <c r="G95" s="37" t="s">
        <v>1001</v>
      </c>
      <c r="H95" s="38">
        <v>46084</v>
      </c>
      <c r="I95" s="39">
        <v>0.48680555555555555</v>
      </c>
      <c r="J95" s="41" t="s">
        <v>177</v>
      </c>
      <c r="K95" s="37" t="s">
        <v>83</v>
      </c>
      <c r="L95" s="40" t="s">
        <v>760</v>
      </c>
      <c r="M95" s="37">
        <v>25</v>
      </c>
      <c r="N95" s="37">
        <v>1</v>
      </c>
      <c r="O95" s="147">
        <v>6000000</v>
      </c>
      <c r="P95" s="38">
        <v>46085</v>
      </c>
      <c r="Q95" s="41"/>
      <c r="R95" s="41"/>
    </row>
    <row r="96" spans="1:18" ht="13.5" thickBot="1">
      <c r="A96" s="146"/>
      <c r="B96" s="41"/>
      <c r="C96" s="38">
        <v>46084</v>
      </c>
      <c r="D96" s="39">
        <v>0.31319444444444444</v>
      </c>
      <c r="E96" s="41"/>
      <c r="F96" s="37" t="s">
        <v>1002</v>
      </c>
      <c r="G96" s="37" t="s">
        <v>1003</v>
      </c>
      <c r="H96" s="38">
        <v>46084</v>
      </c>
      <c r="I96" s="39">
        <v>0.48680555555555555</v>
      </c>
      <c r="J96" s="41" t="s">
        <v>177</v>
      </c>
      <c r="K96" s="37" t="s">
        <v>83</v>
      </c>
      <c r="L96" s="40" t="s">
        <v>760</v>
      </c>
      <c r="M96" s="37">
        <v>50</v>
      </c>
      <c r="N96" s="37">
        <v>2</v>
      </c>
      <c r="O96" s="147">
        <v>12000000</v>
      </c>
      <c r="P96" s="38">
        <v>46086</v>
      </c>
      <c r="Q96" s="41"/>
      <c r="R96" s="41"/>
    </row>
    <row r="97" spans="1:18" ht="13.5" thickBot="1">
      <c r="A97" s="146"/>
      <c r="B97" s="41"/>
      <c r="C97" s="38">
        <v>46084</v>
      </c>
      <c r="D97" s="39">
        <v>0.31319444444444444</v>
      </c>
      <c r="E97" s="41"/>
      <c r="F97" s="37" t="s">
        <v>1002</v>
      </c>
      <c r="G97" s="37" t="s">
        <v>1003</v>
      </c>
      <c r="H97" s="38">
        <v>46084</v>
      </c>
      <c r="I97" s="39">
        <v>0.48680555555555555</v>
      </c>
      <c r="J97" s="41" t="s">
        <v>177</v>
      </c>
      <c r="K97" s="37" t="s">
        <v>83</v>
      </c>
      <c r="L97" s="40" t="s">
        <v>120</v>
      </c>
      <c r="M97" s="37">
        <v>25</v>
      </c>
      <c r="N97" s="37">
        <v>1</v>
      </c>
      <c r="O97" s="147">
        <v>4000000</v>
      </c>
      <c r="P97" s="38">
        <v>46086</v>
      </c>
      <c r="Q97" s="41"/>
      <c r="R97" s="41"/>
    </row>
    <row r="98" spans="1:18" ht="38" thickBot="1">
      <c r="A98" s="283" t="s">
        <v>117</v>
      </c>
      <c r="B98" s="284"/>
      <c r="C98" s="285">
        <v>46084</v>
      </c>
      <c r="D98" s="286">
        <v>0.31319444444444444</v>
      </c>
      <c r="E98" s="284"/>
      <c r="F98" s="287" t="s">
        <v>1005</v>
      </c>
      <c r="G98" s="287" t="s">
        <v>1006</v>
      </c>
      <c r="H98" s="285">
        <v>46084</v>
      </c>
      <c r="I98" s="286">
        <v>0.48680555555555555</v>
      </c>
      <c r="J98" s="284" t="s">
        <v>177</v>
      </c>
      <c r="K98" s="287" t="s">
        <v>83</v>
      </c>
      <c r="L98" s="288" t="s">
        <v>158</v>
      </c>
      <c r="M98" s="287">
        <v>25</v>
      </c>
      <c r="N98" s="287">
        <v>1</v>
      </c>
      <c r="O98" s="289">
        <v>1287500</v>
      </c>
      <c r="P98" s="290">
        <v>46086</v>
      </c>
      <c r="Q98" s="284" t="s">
        <v>1004</v>
      </c>
      <c r="R98" s="284"/>
    </row>
    <row r="99" spans="1:18" ht="13.5" thickBot="1">
      <c r="A99" s="214" t="s">
        <v>725</v>
      </c>
      <c r="B99" s="63"/>
      <c r="C99" s="64">
        <v>46084</v>
      </c>
      <c r="D99" s="65">
        <v>0.32500000000000001</v>
      </c>
      <c r="E99" s="63"/>
      <c r="F99" s="66" t="s">
        <v>1007</v>
      </c>
      <c r="G99" s="63"/>
      <c r="H99" s="64">
        <v>46084</v>
      </c>
      <c r="I99" s="65">
        <v>0.49375000000000002</v>
      </c>
      <c r="J99" s="63" t="s">
        <v>53</v>
      </c>
      <c r="K99" s="66" t="s">
        <v>155</v>
      </c>
      <c r="L99" s="70" t="s">
        <v>230</v>
      </c>
      <c r="M99" s="66">
        <v>10</v>
      </c>
      <c r="N99" s="66">
        <v>0</v>
      </c>
      <c r="O99" s="215">
        <v>972000</v>
      </c>
      <c r="P99" s="64">
        <v>46086</v>
      </c>
      <c r="Q99" s="63"/>
      <c r="R99" s="63"/>
    </row>
    <row r="100" spans="1:18" ht="23.5" thickBot="1">
      <c r="A100" s="146"/>
      <c r="B100" s="37" t="s">
        <v>1008</v>
      </c>
      <c r="C100" s="38">
        <v>46084</v>
      </c>
      <c r="D100" s="39">
        <v>0.4284722222222222</v>
      </c>
      <c r="E100" s="41"/>
      <c r="F100" s="37" t="s">
        <v>1009</v>
      </c>
      <c r="G100" s="79" t="s">
        <v>1010</v>
      </c>
      <c r="H100" s="38">
        <v>46084</v>
      </c>
      <c r="I100" s="39">
        <v>0.5</v>
      </c>
      <c r="J100" s="41" t="s">
        <v>54</v>
      </c>
      <c r="K100" s="37" t="s">
        <v>75</v>
      </c>
      <c r="L100" s="40" t="s">
        <v>215</v>
      </c>
      <c r="M100" s="37">
        <v>250</v>
      </c>
      <c r="N100" s="37">
        <v>10</v>
      </c>
      <c r="O100" s="147">
        <v>4250000</v>
      </c>
      <c r="P100" s="38">
        <v>46086</v>
      </c>
      <c r="Q100" s="41"/>
      <c r="R100" s="41"/>
    </row>
    <row r="101" spans="1:18" ht="13.5" thickBot="1">
      <c r="A101" s="146"/>
      <c r="B101" s="37" t="s">
        <v>1011</v>
      </c>
      <c r="C101" s="38">
        <v>46084</v>
      </c>
      <c r="D101" s="39">
        <v>0.35555555555555557</v>
      </c>
      <c r="E101" s="41"/>
      <c r="F101" s="37" t="s">
        <v>1009</v>
      </c>
      <c r="G101" s="79" t="s">
        <v>1012</v>
      </c>
      <c r="H101" s="38">
        <v>46084</v>
      </c>
      <c r="I101" s="39">
        <v>0.50208333333333333</v>
      </c>
      <c r="J101" s="41" t="s">
        <v>783</v>
      </c>
      <c r="K101" s="37" t="s">
        <v>78</v>
      </c>
      <c r="L101" s="40" t="s">
        <v>111</v>
      </c>
      <c r="M101" s="37">
        <v>75</v>
      </c>
      <c r="N101" s="37">
        <v>3</v>
      </c>
      <c r="O101" s="147">
        <v>1912500</v>
      </c>
      <c r="P101" s="38">
        <v>46086</v>
      </c>
      <c r="Q101" s="41"/>
      <c r="R101" s="41"/>
    </row>
    <row r="102" spans="1:18" ht="23.5" thickBot="1">
      <c r="A102" s="146"/>
      <c r="B102" s="37" t="s">
        <v>1013</v>
      </c>
      <c r="C102" s="38">
        <v>46084</v>
      </c>
      <c r="D102" s="39">
        <v>0.3263888888888889</v>
      </c>
      <c r="E102" s="41"/>
      <c r="F102" s="37" t="s">
        <v>1014</v>
      </c>
      <c r="G102" s="79" t="s">
        <v>1015</v>
      </c>
      <c r="H102" s="38">
        <v>46084</v>
      </c>
      <c r="I102" s="39">
        <v>0.51458333333333328</v>
      </c>
      <c r="J102" s="41" t="s">
        <v>355</v>
      </c>
      <c r="K102" s="37" t="s">
        <v>86</v>
      </c>
      <c r="L102" s="40" t="s">
        <v>976</v>
      </c>
      <c r="M102" s="37">
        <v>80</v>
      </c>
      <c r="N102" s="37">
        <v>3</v>
      </c>
      <c r="O102" s="147">
        <v>11992000</v>
      </c>
      <c r="P102" s="38">
        <v>46086</v>
      </c>
      <c r="Q102" s="41"/>
      <c r="R102" s="41"/>
    </row>
    <row r="103" spans="1:18" ht="13.5" thickBot="1">
      <c r="A103" s="146"/>
      <c r="B103" s="41"/>
      <c r="C103" s="38">
        <v>46084</v>
      </c>
      <c r="D103" s="39">
        <v>0.45694444444444443</v>
      </c>
      <c r="E103" s="41"/>
      <c r="F103" s="37" t="s">
        <v>1016</v>
      </c>
      <c r="G103" s="79" t="s">
        <v>1017</v>
      </c>
      <c r="H103" s="38">
        <v>46084</v>
      </c>
      <c r="I103" s="39">
        <v>0.53819444444444442</v>
      </c>
      <c r="J103" s="41" t="s">
        <v>1018</v>
      </c>
      <c r="K103" s="37" t="s">
        <v>78</v>
      </c>
      <c r="L103" s="40" t="s">
        <v>221</v>
      </c>
      <c r="M103" s="37">
        <v>25</v>
      </c>
      <c r="N103" s="37">
        <v>1</v>
      </c>
      <c r="O103" s="147">
        <v>6250000</v>
      </c>
      <c r="P103" s="38">
        <v>45719</v>
      </c>
      <c r="Q103" s="41"/>
      <c r="R103" s="41"/>
    </row>
    <row r="104" spans="1:18" ht="13.5" thickBot="1">
      <c r="A104" s="146"/>
      <c r="B104" s="41"/>
      <c r="C104" s="38">
        <v>46084</v>
      </c>
      <c r="D104" s="39">
        <v>0.45694444444444443</v>
      </c>
      <c r="E104" s="41"/>
      <c r="F104" s="37" t="s">
        <v>1016</v>
      </c>
      <c r="G104" s="79" t="s">
        <v>1017</v>
      </c>
      <c r="H104" s="38">
        <v>46084</v>
      </c>
      <c r="I104" s="39">
        <v>0.53819444444444442</v>
      </c>
      <c r="J104" s="41" t="s">
        <v>1018</v>
      </c>
      <c r="K104" s="37" t="s">
        <v>78</v>
      </c>
      <c r="L104" s="40" t="s">
        <v>207</v>
      </c>
      <c r="M104" s="37">
        <v>6</v>
      </c>
      <c r="N104" s="37">
        <v>0</v>
      </c>
      <c r="O104" s="147">
        <v>3114000</v>
      </c>
      <c r="P104" s="38">
        <v>45719</v>
      </c>
      <c r="Q104" s="41"/>
      <c r="R104" s="41"/>
    </row>
    <row r="105" spans="1:18" ht="13.5" thickBot="1">
      <c r="A105" s="146"/>
      <c r="B105" s="41"/>
      <c r="C105" s="38">
        <v>46084</v>
      </c>
      <c r="D105" s="39">
        <v>0.45694444444444443</v>
      </c>
      <c r="E105" s="41"/>
      <c r="F105" s="37" t="s">
        <v>1016</v>
      </c>
      <c r="G105" s="79" t="s">
        <v>1017</v>
      </c>
      <c r="H105" s="38">
        <v>46084</v>
      </c>
      <c r="I105" s="39">
        <v>0.53819444444444442</v>
      </c>
      <c r="J105" s="41" t="s">
        <v>1018</v>
      </c>
      <c r="K105" s="37" t="s">
        <v>78</v>
      </c>
      <c r="L105" s="40" t="s">
        <v>781</v>
      </c>
      <c r="M105" s="37">
        <v>30</v>
      </c>
      <c r="N105" s="37">
        <v>1</v>
      </c>
      <c r="O105" s="147">
        <v>7035000</v>
      </c>
      <c r="P105" s="38">
        <v>45719</v>
      </c>
      <c r="Q105" s="41"/>
      <c r="R105" s="41"/>
    </row>
    <row r="106" spans="1:18" ht="13.5" thickBot="1">
      <c r="A106" s="146"/>
      <c r="B106" s="41"/>
      <c r="C106" s="38">
        <v>46084</v>
      </c>
      <c r="D106" s="39">
        <v>0.45694444444444443</v>
      </c>
      <c r="E106" s="41"/>
      <c r="F106" s="37" t="s">
        <v>1019</v>
      </c>
      <c r="G106" s="79" t="s">
        <v>1020</v>
      </c>
      <c r="H106" s="38">
        <v>46084</v>
      </c>
      <c r="I106" s="39">
        <v>0.53819444444444442</v>
      </c>
      <c r="J106" s="41" t="s">
        <v>1018</v>
      </c>
      <c r="K106" s="37" t="s">
        <v>78</v>
      </c>
      <c r="L106" s="40" t="s">
        <v>912</v>
      </c>
      <c r="M106" s="37">
        <v>0.45</v>
      </c>
      <c r="N106" s="37">
        <v>0</v>
      </c>
      <c r="O106" s="37">
        <v>0</v>
      </c>
      <c r="P106" s="38">
        <v>45719</v>
      </c>
      <c r="Q106" s="41"/>
      <c r="R106" s="41"/>
    </row>
    <row r="107" spans="1:18" ht="23.5" thickBot="1">
      <c r="A107" s="201" t="s">
        <v>117</v>
      </c>
      <c r="B107" s="148"/>
      <c r="C107" s="52">
        <v>46084</v>
      </c>
      <c r="D107" s="53">
        <v>0.45694444444444443</v>
      </c>
      <c r="E107" s="148"/>
      <c r="F107" s="54" t="s">
        <v>1021</v>
      </c>
      <c r="G107" s="79" t="s">
        <v>1022</v>
      </c>
      <c r="H107" s="148"/>
      <c r="I107" s="148"/>
      <c r="J107" s="148" t="s">
        <v>1018</v>
      </c>
      <c r="K107" s="54" t="s">
        <v>78</v>
      </c>
      <c r="L107" s="56" t="s">
        <v>976</v>
      </c>
      <c r="M107" s="54">
        <v>10</v>
      </c>
      <c r="N107" s="54">
        <v>0</v>
      </c>
      <c r="O107" s="54">
        <v>0</v>
      </c>
      <c r="P107" s="52">
        <v>45719</v>
      </c>
      <c r="Q107" s="148"/>
      <c r="R107" s="148"/>
    </row>
    <row r="108" spans="1:18" ht="13.5" thickBot="1">
      <c r="A108" s="146"/>
      <c r="B108" s="37" t="s">
        <v>1023</v>
      </c>
      <c r="C108" s="38">
        <v>46084</v>
      </c>
      <c r="D108" s="39">
        <v>0.5</v>
      </c>
      <c r="E108" s="41"/>
      <c r="F108" s="37" t="s">
        <v>1024</v>
      </c>
      <c r="G108" s="79" t="s">
        <v>1025</v>
      </c>
      <c r="H108" s="38">
        <v>46084</v>
      </c>
      <c r="I108" s="39">
        <v>0.58263888888888893</v>
      </c>
      <c r="J108" s="41" t="s">
        <v>173</v>
      </c>
      <c r="K108" s="37" t="s">
        <v>80</v>
      </c>
      <c r="L108" s="40" t="s">
        <v>112</v>
      </c>
      <c r="M108" s="37">
        <v>40</v>
      </c>
      <c r="N108" s="37">
        <v>2</v>
      </c>
      <c r="O108" s="147">
        <v>2440000</v>
      </c>
      <c r="P108" s="38">
        <v>46085</v>
      </c>
      <c r="Q108" s="41"/>
      <c r="R108" s="41"/>
    </row>
    <row r="109" spans="1:18" ht="13.5" thickBot="1">
      <c r="A109" s="146"/>
      <c r="B109" s="37" t="s">
        <v>1023</v>
      </c>
      <c r="C109" s="38">
        <v>46084</v>
      </c>
      <c r="D109" s="39">
        <v>0.5</v>
      </c>
      <c r="E109" s="41"/>
      <c r="F109" s="37" t="s">
        <v>1026</v>
      </c>
      <c r="G109" s="79" t="s">
        <v>1027</v>
      </c>
      <c r="H109" s="38">
        <v>46084</v>
      </c>
      <c r="I109" s="39">
        <v>0.58263888888888893</v>
      </c>
      <c r="J109" s="41" t="s">
        <v>173</v>
      </c>
      <c r="K109" s="37" t="s">
        <v>80</v>
      </c>
      <c r="L109" s="40" t="s">
        <v>912</v>
      </c>
      <c r="M109" s="37">
        <v>3</v>
      </c>
      <c r="N109" s="37">
        <v>0</v>
      </c>
      <c r="O109" s="37">
        <v>0</v>
      </c>
      <c r="P109" s="38">
        <v>46085</v>
      </c>
      <c r="Q109" s="41"/>
      <c r="R109" s="41"/>
    </row>
    <row r="110" spans="1:18" ht="13.5" thickBot="1">
      <c r="A110" s="146"/>
      <c r="B110" s="41"/>
      <c r="C110" s="38">
        <v>46084</v>
      </c>
      <c r="D110" s="39">
        <v>0.4861111111111111</v>
      </c>
      <c r="E110" s="41"/>
      <c r="F110" s="37" t="s">
        <v>1028</v>
      </c>
      <c r="G110" s="37" t="s">
        <v>1029</v>
      </c>
      <c r="H110" s="38">
        <v>46084</v>
      </c>
      <c r="I110" s="39">
        <v>0.61875000000000002</v>
      </c>
      <c r="J110" s="41" t="s">
        <v>1030</v>
      </c>
      <c r="K110" s="37" t="s">
        <v>366</v>
      </c>
      <c r="L110" s="40" t="s">
        <v>221</v>
      </c>
      <c r="M110" s="37">
        <v>4</v>
      </c>
      <c r="N110" s="37">
        <v>0</v>
      </c>
      <c r="O110" s="147">
        <v>1000000</v>
      </c>
      <c r="P110" s="38">
        <v>46084</v>
      </c>
      <c r="Q110" s="41"/>
      <c r="R110" s="41"/>
    </row>
    <row r="111" spans="1:18" ht="13.5" thickBot="1">
      <c r="A111" s="146"/>
      <c r="B111" s="41"/>
      <c r="C111" s="38">
        <v>46084</v>
      </c>
      <c r="D111" s="39">
        <v>0.4861111111111111</v>
      </c>
      <c r="E111" s="41"/>
      <c r="F111" s="37" t="s">
        <v>1028</v>
      </c>
      <c r="G111" s="37" t="s">
        <v>1029</v>
      </c>
      <c r="H111" s="38">
        <v>46084</v>
      </c>
      <c r="I111" s="39">
        <v>0.61875000000000002</v>
      </c>
      <c r="J111" s="41" t="s">
        <v>1030</v>
      </c>
      <c r="K111" s="37" t="s">
        <v>366</v>
      </c>
      <c r="L111" s="40" t="s">
        <v>207</v>
      </c>
      <c r="M111" s="37">
        <v>4</v>
      </c>
      <c r="N111" s="37">
        <v>0</v>
      </c>
      <c r="O111" s="147">
        <v>2080000</v>
      </c>
      <c r="P111" s="38">
        <v>46084</v>
      </c>
      <c r="Q111" s="41"/>
      <c r="R111" s="41"/>
    </row>
    <row r="112" spans="1:18" ht="38" thickBot="1">
      <c r="A112" s="146"/>
      <c r="B112" s="37" t="s">
        <v>1031</v>
      </c>
      <c r="C112" s="38">
        <v>46084</v>
      </c>
      <c r="D112" s="39">
        <v>0.56458333333333333</v>
      </c>
      <c r="E112" s="41"/>
      <c r="F112" s="37" t="s">
        <v>1032</v>
      </c>
      <c r="G112" s="37" t="s">
        <v>1033</v>
      </c>
      <c r="H112" s="38">
        <v>46084</v>
      </c>
      <c r="I112" s="39">
        <v>0.64027777777777772</v>
      </c>
      <c r="J112" s="41" t="s">
        <v>386</v>
      </c>
      <c r="K112" s="37" t="s">
        <v>79</v>
      </c>
      <c r="L112" s="40" t="s">
        <v>194</v>
      </c>
      <c r="M112" s="37">
        <v>1000</v>
      </c>
      <c r="N112" s="37">
        <v>40</v>
      </c>
      <c r="O112" s="147">
        <v>19500000</v>
      </c>
      <c r="P112" s="38">
        <v>46087</v>
      </c>
      <c r="Q112" s="41"/>
      <c r="R112" s="41"/>
    </row>
    <row r="113" spans="1:18" ht="23.5" thickBot="1">
      <c r="A113" s="146"/>
      <c r="B113" s="37" t="s">
        <v>1034</v>
      </c>
      <c r="C113" s="38">
        <v>46084</v>
      </c>
      <c r="D113" s="39">
        <v>0.59166666666666667</v>
      </c>
      <c r="E113" s="41"/>
      <c r="F113" s="37" t="s">
        <v>1035</v>
      </c>
      <c r="G113" s="79" t="s">
        <v>1036</v>
      </c>
      <c r="H113" s="38">
        <v>46084</v>
      </c>
      <c r="I113" s="39">
        <v>0.64583333333333337</v>
      </c>
      <c r="J113" s="41" t="s">
        <v>169</v>
      </c>
      <c r="K113" s="37" t="s">
        <v>147</v>
      </c>
      <c r="L113" s="40" t="s">
        <v>212</v>
      </c>
      <c r="M113" s="37">
        <v>500</v>
      </c>
      <c r="N113" s="37">
        <v>20</v>
      </c>
      <c r="O113" s="147">
        <v>12750000</v>
      </c>
      <c r="P113" s="38">
        <v>46087</v>
      </c>
      <c r="Q113" s="41"/>
      <c r="R113" s="41"/>
    </row>
    <row r="114" spans="1:18" ht="23.5" thickBot="1">
      <c r="A114" s="146"/>
      <c r="B114" s="41"/>
      <c r="C114" s="38">
        <v>46084</v>
      </c>
      <c r="D114" s="39">
        <v>0.63055555555555554</v>
      </c>
      <c r="E114" s="41"/>
      <c r="F114" s="37" t="s">
        <v>1037</v>
      </c>
      <c r="G114" s="37" t="s">
        <v>1038</v>
      </c>
      <c r="H114" s="38">
        <v>46084</v>
      </c>
      <c r="I114" s="39">
        <v>0.69513888888888886</v>
      </c>
      <c r="J114" s="41" t="s">
        <v>920</v>
      </c>
      <c r="K114" s="37" t="s">
        <v>377</v>
      </c>
      <c r="L114" s="40" t="s">
        <v>773</v>
      </c>
      <c r="M114" s="37">
        <v>400</v>
      </c>
      <c r="N114" s="37">
        <v>16</v>
      </c>
      <c r="O114" s="147">
        <v>6320000</v>
      </c>
      <c r="P114" s="38">
        <v>46085</v>
      </c>
      <c r="Q114" s="41"/>
      <c r="R114" s="41"/>
    </row>
    <row r="115" spans="1:18" ht="13.5" thickBot="1">
      <c r="A115" s="146"/>
      <c r="B115" s="41"/>
      <c r="C115" s="38">
        <v>46080</v>
      </c>
      <c r="D115" s="39">
        <v>0.58263888888888893</v>
      </c>
      <c r="E115" s="41"/>
      <c r="F115" s="37" t="s">
        <v>1039</v>
      </c>
      <c r="G115" s="37" t="s">
        <v>1040</v>
      </c>
      <c r="H115" s="38">
        <v>46085</v>
      </c>
      <c r="I115" s="39">
        <v>0.32083333333333336</v>
      </c>
      <c r="J115" s="41" t="s">
        <v>45</v>
      </c>
      <c r="K115" s="37" t="s">
        <v>78</v>
      </c>
      <c r="L115" s="40" t="s">
        <v>221</v>
      </c>
      <c r="M115" s="37">
        <v>2</v>
      </c>
      <c r="N115" s="37">
        <v>0</v>
      </c>
      <c r="O115" s="147">
        <v>500000</v>
      </c>
      <c r="P115" s="38">
        <v>46085</v>
      </c>
      <c r="Q115" s="41"/>
      <c r="R115" s="41"/>
    </row>
    <row r="116" spans="1:18" ht="13.5" thickBot="1">
      <c r="A116" s="146"/>
      <c r="B116" s="37" t="s">
        <v>1041</v>
      </c>
      <c r="C116" s="38">
        <v>46084</v>
      </c>
      <c r="D116" s="39">
        <v>0.50208333333333333</v>
      </c>
      <c r="E116" s="41"/>
      <c r="F116" s="37" t="s">
        <v>1042</v>
      </c>
      <c r="G116" s="79" t="s">
        <v>1043</v>
      </c>
      <c r="H116" s="38">
        <v>46085</v>
      </c>
      <c r="I116" s="39">
        <v>0.3298611111111111</v>
      </c>
      <c r="J116" s="41" t="s">
        <v>359</v>
      </c>
      <c r="K116" s="37" t="s">
        <v>176</v>
      </c>
      <c r="L116" s="40" t="s">
        <v>976</v>
      </c>
      <c r="M116" s="37">
        <v>10</v>
      </c>
      <c r="N116" s="37">
        <v>0</v>
      </c>
      <c r="O116" s="147">
        <v>1550000</v>
      </c>
      <c r="P116" s="38">
        <v>46085</v>
      </c>
      <c r="Q116" s="41"/>
      <c r="R116" s="41"/>
    </row>
    <row r="117" spans="1:18" ht="13.5" thickBot="1">
      <c r="A117" s="146"/>
      <c r="B117" s="37" t="s">
        <v>1041</v>
      </c>
      <c r="C117" s="38">
        <v>46084</v>
      </c>
      <c r="D117" s="39">
        <v>0.50208333333333333</v>
      </c>
      <c r="E117" s="41"/>
      <c r="F117" s="37" t="s">
        <v>1042</v>
      </c>
      <c r="G117" s="79" t="s">
        <v>1043</v>
      </c>
      <c r="H117" s="38">
        <v>46085</v>
      </c>
      <c r="I117" s="39">
        <v>0.3298611111111111</v>
      </c>
      <c r="J117" s="41" t="s">
        <v>359</v>
      </c>
      <c r="K117" s="37" t="s">
        <v>176</v>
      </c>
      <c r="L117" s="40" t="s">
        <v>207</v>
      </c>
      <c r="M117" s="37">
        <v>6</v>
      </c>
      <c r="N117" s="37">
        <v>0</v>
      </c>
      <c r="O117" s="147">
        <v>3120000</v>
      </c>
      <c r="P117" s="38">
        <v>46085</v>
      </c>
      <c r="Q117" s="41"/>
      <c r="R117" s="41"/>
    </row>
    <row r="118" spans="1:18" ht="13.5" thickBot="1">
      <c r="A118" s="146"/>
      <c r="B118" s="37">
        <v>4500198561</v>
      </c>
      <c r="C118" s="38">
        <v>46084</v>
      </c>
      <c r="D118" s="39">
        <v>0.66736111111111107</v>
      </c>
      <c r="E118" s="41"/>
      <c r="F118" s="37" t="s">
        <v>1044</v>
      </c>
      <c r="G118" s="79" t="s">
        <v>1045</v>
      </c>
      <c r="H118" s="38">
        <v>46085</v>
      </c>
      <c r="I118" s="39">
        <v>0.34513888888888888</v>
      </c>
      <c r="J118" s="41" t="s">
        <v>1046</v>
      </c>
      <c r="K118" s="37" t="s">
        <v>293</v>
      </c>
      <c r="L118" s="40" t="s">
        <v>194</v>
      </c>
      <c r="M118" s="37">
        <v>3500</v>
      </c>
      <c r="N118" s="37">
        <v>140</v>
      </c>
      <c r="O118" s="147">
        <v>71480500</v>
      </c>
      <c r="P118" s="38">
        <v>46086</v>
      </c>
      <c r="Q118" s="41"/>
      <c r="R118" s="41"/>
    </row>
    <row r="119" spans="1:18" ht="13.5" thickBot="1">
      <c r="A119" s="146"/>
      <c r="B119" s="37">
        <v>4500198635</v>
      </c>
      <c r="C119" s="38">
        <v>46084</v>
      </c>
      <c r="D119" s="39">
        <v>0.66736111111111107</v>
      </c>
      <c r="E119" s="41"/>
      <c r="F119" s="37" t="s">
        <v>1047</v>
      </c>
      <c r="G119" s="79" t="s">
        <v>1048</v>
      </c>
      <c r="H119" s="38">
        <v>46085</v>
      </c>
      <c r="I119" s="39">
        <v>0.34513888888888888</v>
      </c>
      <c r="J119" s="41" t="s">
        <v>1046</v>
      </c>
      <c r="K119" s="37" t="s">
        <v>293</v>
      </c>
      <c r="L119" s="40" t="s">
        <v>151</v>
      </c>
      <c r="M119" s="37">
        <v>200</v>
      </c>
      <c r="N119" s="37">
        <v>8</v>
      </c>
      <c r="O119" s="147">
        <v>13500000</v>
      </c>
      <c r="P119" s="38">
        <v>46086</v>
      </c>
      <c r="Q119" s="41"/>
      <c r="R119" s="41"/>
    </row>
    <row r="120" spans="1:18" ht="13.5" thickBot="1">
      <c r="A120" s="146"/>
      <c r="B120" s="164" t="s">
        <v>1049</v>
      </c>
      <c r="C120" s="38">
        <v>46084</v>
      </c>
      <c r="D120" s="39">
        <v>0.6</v>
      </c>
      <c r="E120" s="41"/>
      <c r="F120" s="37" t="s">
        <v>1050</v>
      </c>
      <c r="G120" s="79" t="s">
        <v>1051</v>
      </c>
      <c r="H120" s="38">
        <v>46085</v>
      </c>
      <c r="I120" s="39">
        <v>0.3611111111111111</v>
      </c>
      <c r="J120" s="41" t="s">
        <v>383</v>
      </c>
      <c r="K120" s="37" t="s">
        <v>816</v>
      </c>
      <c r="L120" s="40" t="s">
        <v>226</v>
      </c>
      <c r="M120" s="37">
        <v>125</v>
      </c>
      <c r="N120" s="37">
        <v>5</v>
      </c>
      <c r="O120" s="147">
        <v>6625000</v>
      </c>
      <c r="P120" s="38">
        <v>46087</v>
      </c>
      <c r="Q120" s="41"/>
      <c r="R120" s="41"/>
    </row>
    <row r="121" spans="1:18" ht="13.5" thickBot="1">
      <c r="A121" s="146"/>
      <c r="B121" s="164" t="s">
        <v>1049</v>
      </c>
      <c r="C121" s="38">
        <v>46084</v>
      </c>
      <c r="D121" s="39">
        <v>0.6</v>
      </c>
      <c r="E121" s="41"/>
      <c r="F121" s="37" t="s">
        <v>1050</v>
      </c>
      <c r="G121" s="79" t="s">
        <v>1051</v>
      </c>
      <c r="H121" s="38">
        <v>46085</v>
      </c>
      <c r="I121" s="39">
        <v>0.3611111111111111</v>
      </c>
      <c r="J121" s="41" t="s">
        <v>383</v>
      </c>
      <c r="K121" s="37" t="s">
        <v>816</v>
      </c>
      <c r="L121" s="40" t="s">
        <v>773</v>
      </c>
      <c r="M121" s="37">
        <v>225</v>
      </c>
      <c r="N121" s="37">
        <v>9</v>
      </c>
      <c r="O121" s="147">
        <v>3600000</v>
      </c>
      <c r="P121" s="38">
        <v>46087</v>
      </c>
      <c r="Q121" s="41"/>
      <c r="R121" s="41"/>
    </row>
    <row r="122" spans="1:18" ht="23.5" thickBot="1">
      <c r="A122" s="146"/>
      <c r="B122" s="37" t="s">
        <v>1052</v>
      </c>
      <c r="C122" s="38">
        <v>46084</v>
      </c>
      <c r="D122" s="39">
        <v>0.48125000000000001</v>
      </c>
      <c r="E122" s="41"/>
      <c r="F122" s="37" t="s">
        <v>1053</v>
      </c>
      <c r="G122" s="79" t="s">
        <v>1054</v>
      </c>
      <c r="H122" s="38">
        <v>46085</v>
      </c>
      <c r="I122" s="39">
        <v>0.36458333333333331</v>
      </c>
      <c r="J122" s="41" t="s">
        <v>144</v>
      </c>
      <c r="K122" s="37" t="s">
        <v>88</v>
      </c>
      <c r="L122" s="40" t="s">
        <v>770</v>
      </c>
      <c r="M122" s="37">
        <v>100</v>
      </c>
      <c r="N122" s="37">
        <v>4</v>
      </c>
      <c r="O122" s="147">
        <v>3500000</v>
      </c>
      <c r="P122" s="38">
        <v>46090</v>
      </c>
      <c r="Q122" s="41"/>
      <c r="R122" s="41"/>
    </row>
    <row r="123" spans="1:18" ht="23.5" thickBot="1">
      <c r="A123" s="146"/>
      <c r="B123" s="37" t="s">
        <v>1052</v>
      </c>
      <c r="C123" s="38">
        <v>46084</v>
      </c>
      <c r="D123" s="39">
        <v>0.48125000000000001</v>
      </c>
      <c r="E123" s="41"/>
      <c r="F123" s="37" t="s">
        <v>1053</v>
      </c>
      <c r="G123" s="79" t="s">
        <v>1054</v>
      </c>
      <c r="H123" s="38">
        <v>46085</v>
      </c>
      <c r="I123" s="39">
        <v>0.36458333333333331</v>
      </c>
      <c r="J123" s="41" t="s">
        <v>144</v>
      </c>
      <c r="K123" s="37" t="s">
        <v>88</v>
      </c>
      <c r="L123" s="40" t="s">
        <v>773</v>
      </c>
      <c r="M123" s="37">
        <v>25</v>
      </c>
      <c r="N123" s="37">
        <v>1</v>
      </c>
      <c r="O123" s="147">
        <v>481250</v>
      </c>
      <c r="P123" s="38">
        <v>46090</v>
      </c>
      <c r="Q123" s="41"/>
      <c r="R123" s="41"/>
    </row>
    <row r="124" spans="1:18" ht="23.5" thickBot="1">
      <c r="A124" s="146"/>
      <c r="B124" s="37" t="s">
        <v>1055</v>
      </c>
      <c r="C124" s="38">
        <v>46084</v>
      </c>
      <c r="D124" s="39">
        <v>0.62222222222222223</v>
      </c>
      <c r="E124" s="41"/>
      <c r="F124" s="37" t="s">
        <v>1056</v>
      </c>
      <c r="G124" s="37" t="s">
        <v>1057</v>
      </c>
      <c r="H124" s="38">
        <v>46085</v>
      </c>
      <c r="I124" s="39">
        <v>0.37083333333333335</v>
      </c>
      <c r="J124" s="41" t="s">
        <v>376</v>
      </c>
      <c r="K124" s="37" t="s">
        <v>366</v>
      </c>
      <c r="L124" s="40" t="s">
        <v>768</v>
      </c>
      <c r="M124" s="37">
        <v>150</v>
      </c>
      <c r="N124" s="37">
        <v>6</v>
      </c>
      <c r="O124" s="147">
        <v>30000000</v>
      </c>
      <c r="P124" s="38">
        <v>46064</v>
      </c>
      <c r="Q124" s="41"/>
      <c r="R124" s="41"/>
    </row>
    <row r="125" spans="1:18" ht="13.5" thickBot="1">
      <c r="A125" s="146"/>
      <c r="B125" s="37">
        <v>1376826</v>
      </c>
      <c r="C125" s="38">
        <v>46085</v>
      </c>
      <c r="D125" s="39">
        <v>0.36527777777777776</v>
      </c>
      <c r="E125" s="41"/>
      <c r="F125" s="37" t="s">
        <v>1058</v>
      </c>
      <c r="G125" s="37" t="s">
        <v>1059</v>
      </c>
      <c r="H125" s="38">
        <v>46085</v>
      </c>
      <c r="I125" s="39">
        <v>0.43472222222222223</v>
      </c>
      <c r="J125" s="41" t="s">
        <v>30</v>
      </c>
      <c r="K125" s="37" t="s">
        <v>79</v>
      </c>
      <c r="L125" s="40" t="s">
        <v>158</v>
      </c>
      <c r="M125" s="37">
        <v>75</v>
      </c>
      <c r="N125" s="37">
        <v>3</v>
      </c>
      <c r="O125" s="147">
        <v>2917500</v>
      </c>
      <c r="P125" s="38">
        <v>46058</v>
      </c>
      <c r="Q125" s="41"/>
      <c r="R125" s="41"/>
    </row>
    <row r="126" spans="1:18" ht="13.5" thickBot="1">
      <c r="A126" s="291"/>
      <c r="B126" s="292"/>
      <c r="C126" s="293">
        <v>46085</v>
      </c>
      <c r="D126" s="294">
        <v>0.44861111111111113</v>
      </c>
      <c r="E126" s="292"/>
      <c r="F126" s="295" t="s">
        <v>1060</v>
      </c>
      <c r="G126" s="295" t="s">
        <v>1061</v>
      </c>
      <c r="H126" s="293">
        <v>46085</v>
      </c>
      <c r="I126" s="294">
        <v>0.46944444444444444</v>
      </c>
      <c r="J126" s="292" t="s">
        <v>393</v>
      </c>
      <c r="K126" s="295" t="s">
        <v>775</v>
      </c>
      <c r="L126" s="296" t="s">
        <v>116</v>
      </c>
      <c r="M126" s="295">
        <v>25</v>
      </c>
      <c r="N126" s="295">
        <v>1</v>
      </c>
      <c r="O126" s="295">
        <v>0</v>
      </c>
      <c r="P126" s="293">
        <v>46059</v>
      </c>
      <c r="Q126" s="292"/>
      <c r="R126" s="292"/>
    </row>
    <row r="127" spans="1:18" ht="13.5" thickBot="1">
      <c r="A127" s="214" t="s">
        <v>725</v>
      </c>
      <c r="B127" s="63"/>
      <c r="C127" s="64">
        <v>46085</v>
      </c>
      <c r="D127" s="65">
        <v>0.44861111111111113</v>
      </c>
      <c r="E127" s="63"/>
      <c r="F127" s="66" t="s">
        <v>1062</v>
      </c>
      <c r="G127" s="66" t="s">
        <v>1063</v>
      </c>
      <c r="H127" s="64">
        <v>46085</v>
      </c>
      <c r="I127" s="65">
        <v>0.46944444444444444</v>
      </c>
      <c r="J127" s="63" t="s">
        <v>393</v>
      </c>
      <c r="K127" s="66" t="s">
        <v>775</v>
      </c>
      <c r="L127" s="70" t="s">
        <v>116</v>
      </c>
      <c r="M127" s="66">
        <v>75</v>
      </c>
      <c r="N127" s="66">
        <v>3</v>
      </c>
      <c r="O127" s="215">
        <v>1575000</v>
      </c>
      <c r="P127" s="64">
        <v>46059</v>
      </c>
      <c r="Q127" s="63"/>
      <c r="R127" s="63"/>
    </row>
    <row r="128" spans="1:18" ht="13.5" thickBot="1">
      <c r="A128" s="214" t="s">
        <v>725</v>
      </c>
      <c r="B128" s="63"/>
      <c r="C128" s="64">
        <v>46085</v>
      </c>
      <c r="D128" s="65">
        <v>0.44861111111111113</v>
      </c>
      <c r="E128" s="63"/>
      <c r="F128" s="66" t="s">
        <v>1062</v>
      </c>
      <c r="G128" s="66" t="s">
        <v>1063</v>
      </c>
      <c r="H128" s="64">
        <v>46085</v>
      </c>
      <c r="I128" s="65">
        <v>0.46944444444444444</v>
      </c>
      <c r="J128" s="63" t="s">
        <v>393</v>
      </c>
      <c r="K128" s="66" t="s">
        <v>775</v>
      </c>
      <c r="L128" s="70" t="s">
        <v>226</v>
      </c>
      <c r="M128" s="66">
        <v>275</v>
      </c>
      <c r="N128" s="66">
        <v>11</v>
      </c>
      <c r="O128" s="215">
        <v>14025000</v>
      </c>
      <c r="P128" s="64">
        <v>46059</v>
      </c>
      <c r="Q128" s="63"/>
      <c r="R128" s="63"/>
    </row>
    <row r="129" spans="1:18" ht="13.5" thickBot="1">
      <c r="A129" s="146"/>
      <c r="B129" s="37">
        <v>1376444</v>
      </c>
      <c r="C129" s="38">
        <v>46084</v>
      </c>
      <c r="D129" s="39">
        <v>0.6479166666666667</v>
      </c>
      <c r="E129" s="41"/>
      <c r="F129" s="37" t="s">
        <v>1064</v>
      </c>
      <c r="G129" s="37" t="s">
        <v>1065</v>
      </c>
      <c r="H129" s="38">
        <v>46085</v>
      </c>
      <c r="I129" s="39">
        <v>0.47916666666666669</v>
      </c>
      <c r="J129" s="41" t="s">
        <v>51</v>
      </c>
      <c r="K129" s="37" t="s">
        <v>78</v>
      </c>
      <c r="L129" s="40" t="s">
        <v>112</v>
      </c>
      <c r="M129" s="37">
        <v>30</v>
      </c>
      <c r="N129" s="37">
        <v>1</v>
      </c>
      <c r="O129" s="147">
        <v>1575000</v>
      </c>
      <c r="P129" s="38">
        <v>46085</v>
      </c>
      <c r="Q129" s="41"/>
      <c r="R129" s="41"/>
    </row>
    <row r="130" spans="1:18" ht="13.5" thickBot="1">
      <c r="A130" s="146"/>
      <c r="B130" s="37">
        <v>1376444</v>
      </c>
      <c r="C130" s="38">
        <v>46084</v>
      </c>
      <c r="D130" s="39">
        <v>0.6479166666666667</v>
      </c>
      <c r="E130" s="41"/>
      <c r="F130" s="37" t="s">
        <v>1066</v>
      </c>
      <c r="G130" s="37" t="s">
        <v>1067</v>
      </c>
      <c r="H130" s="38">
        <v>46085</v>
      </c>
      <c r="I130" s="39">
        <v>0.47916666666666669</v>
      </c>
      <c r="J130" s="41" t="s">
        <v>51</v>
      </c>
      <c r="K130" s="37" t="s">
        <v>78</v>
      </c>
      <c r="L130" s="40" t="s">
        <v>912</v>
      </c>
      <c r="M130" s="37">
        <v>2.25</v>
      </c>
      <c r="N130" s="37">
        <v>0</v>
      </c>
      <c r="O130" s="37">
        <v>0</v>
      </c>
      <c r="P130" s="38">
        <v>46085</v>
      </c>
      <c r="Q130" s="41"/>
      <c r="R130" s="41"/>
    </row>
    <row r="131" spans="1:18" ht="13.5" thickBot="1">
      <c r="A131" s="146"/>
      <c r="B131" s="37">
        <v>1376409</v>
      </c>
      <c r="C131" s="38">
        <v>46084</v>
      </c>
      <c r="D131" s="39">
        <v>0.61597222222222225</v>
      </c>
      <c r="E131" s="41"/>
      <c r="F131" s="37" t="s">
        <v>1068</v>
      </c>
      <c r="G131" s="79" t="s">
        <v>1069</v>
      </c>
      <c r="H131" s="38">
        <v>46085</v>
      </c>
      <c r="I131" s="39">
        <v>0.51111111111111107</v>
      </c>
      <c r="J131" s="41" t="s">
        <v>38</v>
      </c>
      <c r="K131" s="37" t="s">
        <v>141</v>
      </c>
      <c r="L131" s="40" t="s">
        <v>762</v>
      </c>
      <c r="M131" s="37">
        <v>100</v>
      </c>
      <c r="N131" s="37">
        <v>4</v>
      </c>
      <c r="O131" s="147">
        <v>5186000</v>
      </c>
      <c r="P131" s="38">
        <v>46090</v>
      </c>
      <c r="Q131" s="41"/>
      <c r="R131" s="41"/>
    </row>
    <row r="132" spans="1:18" ht="13.5" thickBot="1">
      <c r="A132" s="146"/>
      <c r="B132" s="37">
        <v>4500087287</v>
      </c>
      <c r="C132" s="38">
        <v>46084</v>
      </c>
      <c r="D132" s="39">
        <v>0.70833333333333337</v>
      </c>
      <c r="E132" s="41"/>
      <c r="F132" s="37" t="s">
        <v>1070</v>
      </c>
      <c r="G132" s="37" t="s">
        <v>1071</v>
      </c>
      <c r="H132" s="38">
        <v>46085</v>
      </c>
      <c r="I132" s="39">
        <v>0.5131944444444444</v>
      </c>
      <c r="J132" s="41" t="s">
        <v>759</v>
      </c>
      <c r="K132" s="37" t="s">
        <v>375</v>
      </c>
      <c r="L132" s="40" t="s">
        <v>116</v>
      </c>
      <c r="M132" s="37">
        <v>1500</v>
      </c>
      <c r="N132" s="37">
        <v>60</v>
      </c>
      <c r="O132" s="147">
        <v>28875000</v>
      </c>
      <c r="P132" s="38">
        <v>46086</v>
      </c>
      <c r="Q132" s="41"/>
      <c r="R132" s="41"/>
    </row>
    <row r="133" spans="1:18" ht="13.5" thickBot="1">
      <c r="A133" s="146"/>
      <c r="B133" s="37">
        <v>4500087287</v>
      </c>
      <c r="C133" s="38">
        <v>46084</v>
      </c>
      <c r="D133" s="39">
        <v>0.70833333333333337</v>
      </c>
      <c r="E133" s="41"/>
      <c r="F133" s="37" t="s">
        <v>1070</v>
      </c>
      <c r="G133" s="37" t="s">
        <v>1071</v>
      </c>
      <c r="H133" s="38">
        <v>46085</v>
      </c>
      <c r="I133" s="39">
        <v>0.5131944444444444</v>
      </c>
      <c r="J133" s="41" t="s">
        <v>759</v>
      </c>
      <c r="K133" s="37" t="s">
        <v>375</v>
      </c>
      <c r="L133" s="40" t="s">
        <v>111</v>
      </c>
      <c r="M133" s="37">
        <v>150</v>
      </c>
      <c r="N133" s="37">
        <v>6</v>
      </c>
      <c r="O133" s="147">
        <v>3721000</v>
      </c>
      <c r="P133" s="38">
        <v>46086</v>
      </c>
      <c r="Q133" s="41"/>
      <c r="R133" s="41"/>
    </row>
    <row r="134" spans="1:18" ht="13.5" thickBot="1">
      <c r="A134" s="146"/>
      <c r="B134" s="37">
        <v>4500087287</v>
      </c>
      <c r="C134" s="38">
        <v>46084</v>
      </c>
      <c r="D134" s="39">
        <v>0.70833333333333337</v>
      </c>
      <c r="E134" s="41"/>
      <c r="F134" s="37" t="s">
        <v>1070</v>
      </c>
      <c r="G134" s="37" t="s">
        <v>1071</v>
      </c>
      <c r="H134" s="38">
        <v>46085</v>
      </c>
      <c r="I134" s="39">
        <v>0.5131944444444444</v>
      </c>
      <c r="J134" s="41" t="s">
        <v>759</v>
      </c>
      <c r="K134" s="37" t="s">
        <v>375</v>
      </c>
      <c r="L134" s="40" t="s">
        <v>676</v>
      </c>
      <c r="M134" s="37">
        <v>100</v>
      </c>
      <c r="N134" s="37">
        <v>4</v>
      </c>
      <c r="O134" s="147">
        <v>3450000</v>
      </c>
      <c r="P134" s="38">
        <v>46086</v>
      </c>
      <c r="Q134" s="41"/>
      <c r="R134" s="41"/>
    </row>
    <row r="135" spans="1:18" ht="13.5" thickBot="1">
      <c r="A135" s="146"/>
      <c r="B135" s="37">
        <v>4500087309</v>
      </c>
      <c r="C135" s="38">
        <v>46085</v>
      </c>
      <c r="D135" s="39">
        <v>0.45208333333333334</v>
      </c>
      <c r="E135" s="41"/>
      <c r="F135" s="37" t="s">
        <v>1072</v>
      </c>
      <c r="G135" s="37" t="s">
        <v>1073</v>
      </c>
      <c r="H135" s="38">
        <v>46085</v>
      </c>
      <c r="I135" s="39">
        <v>0.51875000000000004</v>
      </c>
      <c r="J135" s="41" t="s">
        <v>759</v>
      </c>
      <c r="K135" s="37" t="s">
        <v>83</v>
      </c>
      <c r="L135" s="40" t="s">
        <v>151</v>
      </c>
      <c r="M135" s="37">
        <v>600</v>
      </c>
      <c r="N135" s="37">
        <v>24</v>
      </c>
      <c r="O135" s="147">
        <v>37020000</v>
      </c>
      <c r="P135" s="38">
        <v>46087</v>
      </c>
      <c r="Q135" s="41"/>
      <c r="R135" s="41"/>
    </row>
    <row r="136" spans="1:18" ht="13.5" thickBot="1">
      <c r="A136" s="146"/>
      <c r="B136" s="37">
        <v>4500087309</v>
      </c>
      <c r="C136" s="38">
        <v>46085</v>
      </c>
      <c r="D136" s="39">
        <v>0.45208333333333334</v>
      </c>
      <c r="E136" s="41"/>
      <c r="F136" s="37" t="s">
        <v>1072</v>
      </c>
      <c r="G136" s="37" t="s">
        <v>1073</v>
      </c>
      <c r="H136" s="38">
        <v>46085</v>
      </c>
      <c r="I136" s="39">
        <v>0.51875000000000004</v>
      </c>
      <c r="J136" s="41" t="s">
        <v>759</v>
      </c>
      <c r="K136" s="37" t="s">
        <v>83</v>
      </c>
      <c r="L136" s="40" t="s">
        <v>884</v>
      </c>
      <c r="M136" s="37">
        <v>600</v>
      </c>
      <c r="N136" s="37">
        <v>24</v>
      </c>
      <c r="O136" s="147">
        <v>11805000</v>
      </c>
      <c r="P136" s="38">
        <v>46087</v>
      </c>
      <c r="Q136" s="41"/>
      <c r="R136" s="41"/>
    </row>
    <row r="137" spans="1:18" ht="13.5" thickBot="1">
      <c r="A137" s="146"/>
      <c r="B137" s="37">
        <v>4500087309</v>
      </c>
      <c r="C137" s="38">
        <v>46085</v>
      </c>
      <c r="D137" s="39">
        <v>0.45208333333333334</v>
      </c>
      <c r="E137" s="41"/>
      <c r="F137" s="37" t="s">
        <v>1072</v>
      </c>
      <c r="G137" s="37" t="s">
        <v>1073</v>
      </c>
      <c r="H137" s="38">
        <v>46085</v>
      </c>
      <c r="I137" s="39">
        <v>0.51875000000000004</v>
      </c>
      <c r="J137" s="41" t="s">
        <v>759</v>
      </c>
      <c r="K137" s="37" t="s">
        <v>83</v>
      </c>
      <c r="L137" s="40" t="s">
        <v>112</v>
      </c>
      <c r="M137" s="37">
        <v>400</v>
      </c>
      <c r="N137" s="37">
        <v>16</v>
      </c>
      <c r="O137" s="147">
        <v>21000000</v>
      </c>
      <c r="P137" s="38">
        <v>46087</v>
      </c>
      <c r="Q137" s="41"/>
      <c r="R137" s="41"/>
    </row>
    <row r="138" spans="1:18" ht="13.5" thickBot="1">
      <c r="A138" s="146"/>
      <c r="B138" s="37">
        <v>4500087309</v>
      </c>
      <c r="C138" s="38">
        <v>46085</v>
      </c>
      <c r="D138" s="39">
        <v>0.45208333333333334</v>
      </c>
      <c r="E138" s="41"/>
      <c r="F138" s="37" t="s">
        <v>1074</v>
      </c>
      <c r="G138" s="37" t="s">
        <v>1075</v>
      </c>
      <c r="H138" s="38">
        <v>46085</v>
      </c>
      <c r="I138" s="39">
        <v>0.51875000000000004</v>
      </c>
      <c r="J138" s="41" t="s">
        <v>759</v>
      </c>
      <c r="K138" s="37" t="s">
        <v>83</v>
      </c>
      <c r="L138" s="40" t="s">
        <v>990</v>
      </c>
      <c r="M138" s="37">
        <v>30</v>
      </c>
      <c r="N138" s="37">
        <v>1</v>
      </c>
      <c r="O138" s="37">
        <v>0</v>
      </c>
      <c r="P138" s="38">
        <v>46087</v>
      </c>
      <c r="Q138" s="41"/>
      <c r="R138" s="41"/>
    </row>
    <row r="139" spans="1:18" ht="13.5" thickBot="1">
      <c r="A139" s="146"/>
      <c r="B139" s="37">
        <v>4500087309</v>
      </c>
      <c r="C139" s="38">
        <v>46085</v>
      </c>
      <c r="D139" s="39">
        <v>0.45208333333333334</v>
      </c>
      <c r="E139" s="41"/>
      <c r="F139" s="37" t="s">
        <v>1076</v>
      </c>
      <c r="G139" s="37" t="s">
        <v>1077</v>
      </c>
      <c r="H139" s="38">
        <v>46085</v>
      </c>
      <c r="I139" s="39">
        <v>0.51875000000000004</v>
      </c>
      <c r="J139" s="41" t="s">
        <v>759</v>
      </c>
      <c r="K139" s="37" t="s">
        <v>83</v>
      </c>
      <c r="L139" s="40" t="s">
        <v>111</v>
      </c>
      <c r="M139" s="37">
        <v>3000</v>
      </c>
      <c r="N139" s="37">
        <v>120</v>
      </c>
      <c r="O139" s="147">
        <v>74250000</v>
      </c>
      <c r="P139" s="38">
        <v>46087</v>
      </c>
      <c r="Q139" s="41"/>
      <c r="R139" s="41"/>
    </row>
    <row r="140" spans="1:18" ht="13.5" thickBot="1">
      <c r="A140" s="146"/>
      <c r="B140" s="37">
        <v>4500087327</v>
      </c>
      <c r="C140" s="38">
        <v>46085</v>
      </c>
      <c r="D140" s="39">
        <v>0.45208333333333334</v>
      </c>
      <c r="E140" s="41"/>
      <c r="F140" s="37" t="s">
        <v>1078</v>
      </c>
      <c r="G140" s="37" t="s">
        <v>1079</v>
      </c>
      <c r="H140" s="38">
        <v>46085</v>
      </c>
      <c r="I140" s="39">
        <v>0.52361111111111114</v>
      </c>
      <c r="J140" s="41" t="s">
        <v>759</v>
      </c>
      <c r="K140" s="37" t="s">
        <v>83</v>
      </c>
      <c r="L140" s="40" t="s">
        <v>976</v>
      </c>
      <c r="M140" s="37">
        <v>200</v>
      </c>
      <c r="N140" s="37">
        <v>8</v>
      </c>
      <c r="O140" s="147">
        <v>27100000</v>
      </c>
      <c r="P140" s="38">
        <v>46087</v>
      </c>
      <c r="Q140" s="41"/>
      <c r="R140" s="41"/>
    </row>
    <row r="141" spans="1:18" ht="13.5" thickBot="1">
      <c r="A141" s="146"/>
      <c r="B141" s="41"/>
      <c r="C141" s="38">
        <v>46086</v>
      </c>
      <c r="D141" s="39">
        <v>0.33333333333333331</v>
      </c>
      <c r="E141" s="41"/>
      <c r="F141" s="37" t="s">
        <v>1080</v>
      </c>
      <c r="G141" s="37" t="s">
        <v>1081</v>
      </c>
      <c r="H141" s="38">
        <v>46086</v>
      </c>
      <c r="I141" s="39">
        <v>0.35555555555555557</v>
      </c>
      <c r="J141" s="41" t="s">
        <v>1030</v>
      </c>
      <c r="K141" s="37" t="s">
        <v>366</v>
      </c>
      <c r="L141" s="40" t="s">
        <v>221</v>
      </c>
      <c r="M141" s="37">
        <v>7</v>
      </c>
      <c r="N141" s="37">
        <v>0</v>
      </c>
      <c r="O141" s="147">
        <v>1750000</v>
      </c>
      <c r="P141" s="38">
        <v>46086</v>
      </c>
      <c r="Q141" s="41"/>
      <c r="R141" s="41"/>
    </row>
    <row r="142" spans="1:18" ht="13.5" thickBot="1">
      <c r="A142" s="146"/>
      <c r="B142" s="41"/>
      <c r="C142" s="38">
        <v>46085</v>
      </c>
      <c r="D142" s="39">
        <v>0.68611111111111112</v>
      </c>
      <c r="E142" s="41"/>
      <c r="F142" s="37" t="s">
        <v>1082</v>
      </c>
      <c r="G142" s="37" t="s">
        <v>1083</v>
      </c>
      <c r="H142" s="38">
        <v>46086</v>
      </c>
      <c r="I142" s="39">
        <v>0.35694444444444445</v>
      </c>
      <c r="J142" s="41" t="s">
        <v>45</v>
      </c>
      <c r="K142" s="37" t="s">
        <v>78</v>
      </c>
      <c r="L142" s="40" t="s">
        <v>161</v>
      </c>
      <c r="M142" s="37">
        <v>5</v>
      </c>
      <c r="N142" s="37">
        <v>0</v>
      </c>
      <c r="O142" s="147">
        <v>850000</v>
      </c>
      <c r="P142" s="38">
        <v>46086</v>
      </c>
      <c r="Q142" s="41"/>
      <c r="R142" s="41"/>
    </row>
    <row r="143" spans="1:18" ht="23.5" thickBot="1">
      <c r="A143" s="146"/>
      <c r="B143" s="37" t="s">
        <v>1084</v>
      </c>
      <c r="C143" s="38">
        <v>46085</v>
      </c>
      <c r="D143" s="39">
        <v>0.64166666666666672</v>
      </c>
      <c r="E143" s="41"/>
      <c r="F143" s="37" t="s">
        <v>1085</v>
      </c>
      <c r="G143" s="79" t="s">
        <v>1086</v>
      </c>
      <c r="H143" s="38">
        <v>46086</v>
      </c>
      <c r="I143" s="39">
        <v>0.40694444444444444</v>
      </c>
      <c r="J143" s="41" t="s">
        <v>761</v>
      </c>
      <c r="K143" s="37" t="s">
        <v>141</v>
      </c>
      <c r="L143" s="40" t="s">
        <v>220</v>
      </c>
      <c r="M143" s="37">
        <v>300</v>
      </c>
      <c r="N143" s="37">
        <v>12</v>
      </c>
      <c r="O143" s="147">
        <v>10500000</v>
      </c>
      <c r="P143" s="38">
        <v>46097</v>
      </c>
      <c r="Q143" s="41"/>
      <c r="R143" s="41"/>
    </row>
    <row r="144" spans="1:18" ht="13.5" thickBot="1">
      <c r="A144" s="146"/>
      <c r="B144" s="41"/>
      <c r="C144" s="38">
        <v>46086</v>
      </c>
      <c r="D144" s="39">
        <v>0.41180555555555554</v>
      </c>
      <c r="E144" s="41"/>
      <c r="F144" s="37" t="s">
        <v>1087</v>
      </c>
      <c r="G144" s="37" t="s">
        <v>1088</v>
      </c>
      <c r="H144" s="38">
        <v>46086</v>
      </c>
      <c r="I144" s="39">
        <v>0.43888888888888888</v>
      </c>
      <c r="J144" s="41" t="s">
        <v>819</v>
      </c>
      <c r="K144" s="37" t="s">
        <v>142</v>
      </c>
      <c r="L144" s="40" t="s">
        <v>207</v>
      </c>
      <c r="M144" s="37">
        <v>100</v>
      </c>
      <c r="N144" s="37">
        <v>4</v>
      </c>
      <c r="O144" s="147">
        <v>51480000</v>
      </c>
      <c r="P144" s="38">
        <v>46087</v>
      </c>
      <c r="Q144" s="41"/>
      <c r="R144" s="41"/>
    </row>
    <row r="145" spans="1:18" ht="13.5" thickBot="1">
      <c r="A145" s="146"/>
      <c r="B145" s="37">
        <v>65732</v>
      </c>
      <c r="C145" s="38">
        <v>46086</v>
      </c>
      <c r="D145" s="39">
        <v>0.33611111111111114</v>
      </c>
      <c r="E145" s="41"/>
      <c r="F145" s="37" t="s">
        <v>1089</v>
      </c>
      <c r="G145" s="37" t="s">
        <v>1090</v>
      </c>
      <c r="H145" s="38">
        <v>46086</v>
      </c>
      <c r="I145" s="39">
        <v>0.46597222222222223</v>
      </c>
      <c r="J145" s="41" t="s">
        <v>157</v>
      </c>
      <c r="K145" s="37" t="s">
        <v>78</v>
      </c>
      <c r="L145" s="40" t="s">
        <v>215</v>
      </c>
      <c r="M145" s="37">
        <v>700</v>
      </c>
      <c r="N145" s="37">
        <v>28</v>
      </c>
      <c r="O145" s="147">
        <v>12495000</v>
      </c>
      <c r="P145" s="38">
        <v>46087</v>
      </c>
      <c r="Q145" s="41"/>
      <c r="R145" s="41"/>
    </row>
    <row r="146" spans="1:18" ht="13.5" thickBot="1">
      <c r="A146" s="146"/>
      <c r="B146" s="37">
        <v>65731</v>
      </c>
      <c r="C146" s="38">
        <v>46086</v>
      </c>
      <c r="D146" s="39">
        <v>0.33611111111111114</v>
      </c>
      <c r="E146" s="41"/>
      <c r="F146" s="37" t="s">
        <v>1091</v>
      </c>
      <c r="G146" s="37" t="s">
        <v>1092</v>
      </c>
      <c r="H146" s="38">
        <v>46086</v>
      </c>
      <c r="I146" s="39">
        <v>0.46597222222222223</v>
      </c>
      <c r="J146" s="41" t="s">
        <v>157</v>
      </c>
      <c r="K146" s="37" t="s">
        <v>78</v>
      </c>
      <c r="L146" s="40" t="s">
        <v>194</v>
      </c>
      <c r="M146" s="37">
        <v>50</v>
      </c>
      <c r="N146" s="37">
        <v>2</v>
      </c>
      <c r="O146" s="147">
        <v>1021150</v>
      </c>
      <c r="P146" s="38">
        <v>46087</v>
      </c>
      <c r="Q146" s="41"/>
      <c r="R146" s="41"/>
    </row>
    <row r="147" spans="1:18" ht="13.5" thickBot="1">
      <c r="A147" s="146"/>
      <c r="B147" s="37">
        <v>4504002371</v>
      </c>
      <c r="C147" s="38">
        <v>46086</v>
      </c>
      <c r="D147" s="39">
        <v>0.34097222222222223</v>
      </c>
      <c r="E147" s="41"/>
      <c r="F147" s="37" t="s">
        <v>1093</v>
      </c>
      <c r="G147" s="37" t="s">
        <v>1094</v>
      </c>
      <c r="H147" s="38">
        <v>46086</v>
      </c>
      <c r="I147" s="39">
        <v>0.47222222222222221</v>
      </c>
      <c r="J147" s="41" t="s">
        <v>380</v>
      </c>
      <c r="K147" s="37" t="s">
        <v>142</v>
      </c>
      <c r="L147" s="40" t="s">
        <v>194</v>
      </c>
      <c r="M147" s="37">
        <v>5600</v>
      </c>
      <c r="N147" s="37">
        <v>224</v>
      </c>
      <c r="O147" s="147">
        <v>99400000</v>
      </c>
      <c r="P147" s="38">
        <v>46090</v>
      </c>
      <c r="Q147" s="41"/>
      <c r="R147" s="41"/>
    </row>
    <row r="148" spans="1:18" ht="13.5" thickBot="1">
      <c r="A148" s="146"/>
      <c r="B148" s="37">
        <v>4504002371</v>
      </c>
      <c r="C148" s="38">
        <v>46086</v>
      </c>
      <c r="D148" s="39">
        <v>0.34097222222222223</v>
      </c>
      <c r="E148" s="41"/>
      <c r="F148" s="37" t="s">
        <v>1095</v>
      </c>
      <c r="G148" s="37" t="s">
        <v>1096</v>
      </c>
      <c r="H148" s="38">
        <v>46086</v>
      </c>
      <c r="I148" s="39">
        <v>0.47222222222222221</v>
      </c>
      <c r="J148" s="41" t="s">
        <v>380</v>
      </c>
      <c r="K148" s="37" t="s">
        <v>142</v>
      </c>
      <c r="L148" s="40" t="s">
        <v>194</v>
      </c>
      <c r="M148" s="37">
        <v>5600</v>
      </c>
      <c r="N148" s="37">
        <v>224</v>
      </c>
      <c r="O148" s="147">
        <v>99400000</v>
      </c>
      <c r="P148" s="38">
        <v>46097</v>
      </c>
      <c r="Q148" s="41"/>
      <c r="R148" s="41"/>
    </row>
    <row r="149" spans="1:18" ht="13.5" thickBot="1">
      <c r="A149" s="146"/>
      <c r="B149" s="37">
        <v>4504002371</v>
      </c>
      <c r="C149" s="38">
        <v>46086</v>
      </c>
      <c r="D149" s="39">
        <v>0.34097222222222223</v>
      </c>
      <c r="E149" s="41"/>
      <c r="F149" s="37" t="s">
        <v>1097</v>
      </c>
      <c r="G149" s="37" t="s">
        <v>1098</v>
      </c>
      <c r="H149" s="38">
        <v>46086</v>
      </c>
      <c r="I149" s="39">
        <v>0.47222222222222221</v>
      </c>
      <c r="J149" s="41" t="s">
        <v>380</v>
      </c>
      <c r="K149" s="37" t="s">
        <v>142</v>
      </c>
      <c r="L149" s="40" t="s">
        <v>194</v>
      </c>
      <c r="M149" s="37">
        <v>5600</v>
      </c>
      <c r="N149" s="37">
        <v>224</v>
      </c>
      <c r="O149" s="147">
        <v>99400000</v>
      </c>
      <c r="P149" s="38">
        <v>46106</v>
      </c>
      <c r="Q149" s="41"/>
      <c r="R149" s="41"/>
    </row>
    <row r="150" spans="1:18" ht="13.5" thickBot="1">
      <c r="A150" s="146"/>
      <c r="B150" s="37">
        <v>1377704</v>
      </c>
      <c r="C150" s="38">
        <v>46086</v>
      </c>
      <c r="D150" s="39">
        <v>0.35625000000000001</v>
      </c>
      <c r="E150" s="41"/>
      <c r="F150" s="37" t="s">
        <v>1099</v>
      </c>
      <c r="G150" s="79" t="s">
        <v>1100</v>
      </c>
      <c r="H150" s="38">
        <v>46086</v>
      </c>
      <c r="I150" s="39">
        <v>0.4861111111111111</v>
      </c>
      <c r="J150" s="41" t="s">
        <v>38</v>
      </c>
      <c r="K150" s="37" t="s">
        <v>78</v>
      </c>
      <c r="L150" s="40" t="s">
        <v>768</v>
      </c>
      <c r="M150" s="37">
        <v>75</v>
      </c>
      <c r="N150" s="37">
        <v>3</v>
      </c>
      <c r="O150" s="147">
        <v>13515000</v>
      </c>
      <c r="P150" s="38">
        <v>46093</v>
      </c>
      <c r="Q150" s="41"/>
      <c r="R150" s="41"/>
    </row>
    <row r="151" spans="1:18" ht="25.5" thickBot="1">
      <c r="A151" s="146"/>
      <c r="B151" s="37" t="s">
        <v>1101</v>
      </c>
      <c r="C151" s="38">
        <v>46086</v>
      </c>
      <c r="D151" s="39">
        <v>0.43194444444444446</v>
      </c>
      <c r="E151" s="41"/>
      <c r="F151" s="37" t="s">
        <v>1102</v>
      </c>
      <c r="G151" s="37" t="s">
        <v>1103</v>
      </c>
      <c r="H151" s="38">
        <v>46086</v>
      </c>
      <c r="I151" s="39">
        <v>0.50624999999999998</v>
      </c>
      <c r="J151" s="41" t="s">
        <v>371</v>
      </c>
      <c r="K151" s="37" t="s">
        <v>82</v>
      </c>
      <c r="L151" s="40" t="s">
        <v>207</v>
      </c>
      <c r="M151" s="37">
        <v>10</v>
      </c>
      <c r="N151" s="37">
        <v>20</v>
      </c>
      <c r="O151" s="147">
        <v>5190000</v>
      </c>
      <c r="P151" s="38">
        <v>46086</v>
      </c>
      <c r="Q151" s="41"/>
      <c r="R151" s="41"/>
    </row>
    <row r="152" spans="1:18" ht="13.5" thickBot="1">
      <c r="A152" s="146"/>
      <c r="B152" s="37">
        <v>4500373026</v>
      </c>
      <c r="C152" s="38">
        <v>46086</v>
      </c>
      <c r="D152" s="39">
        <v>0.36527777777777776</v>
      </c>
      <c r="E152" s="41"/>
      <c r="F152" s="37" t="s">
        <v>1104</v>
      </c>
      <c r="G152" s="37" t="s">
        <v>1105</v>
      </c>
      <c r="H152" s="38">
        <v>46086</v>
      </c>
      <c r="I152" s="39">
        <v>0.36527777777777776</v>
      </c>
      <c r="J152" s="41" t="s">
        <v>64</v>
      </c>
      <c r="K152" s="37" t="s">
        <v>142</v>
      </c>
      <c r="L152" s="40" t="s">
        <v>676</v>
      </c>
      <c r="M152" s="37">
        <v>400</v>
      </c>
      <c r="N152" s="37">
        <v>20</v>
      </c>
      <c r="O152" s="147">
        <v>16200000</v>
      </c>
      <c r="P152" s="38">
        <v>46105</v>
      </c>
      <c r="Q152" s="41"/>
      <c r="R152" s="41"/>
    </row>
    <row r="153" spans="1:18" ht="13.5" thickBot="1">
      <c r="A153" s="214" t="s">
        <v>725</v>
      </c>
      <c r="B153" s="63"/>
      <c r="C153" s="64">
        <v>46077</v>
      </c>
      <c r="D153" s="65">
        <v>0.40833333333333333</v>
      </c>
      <c r="E153" s="63"/>
      <c r="F153" s="66" t="s">
        <v>826</v>
      </c>
      <c r="G153" s="66" t="s">
        <v>1106</v>
      </c>
      <c r="H153" s="64">
        <v>45712</v>
      </c>
      <c r="I153" s="65">
        <v>0.52986111111111112</v>
      </c>
      <c r="J153" s="63" t="s">
        <v>479</v>
      </c>
      <c r="K153" s="66" t="s">
        <v>366</v>
      </c>
      <c r="L153" s="70" t="s">
        <v>815</v>
      </c>
      <c r="M153" s="66">
        <v>20</v>
      </c>
      <c r="N153" s="66">
        <v>1</v>
      </c>
      <c r="O153" s="215">
        <v>4500000</v>
      </c>
      <c r="P153" s="64">
        <v>46078</v>
      </c>
      <c r="Q153" s="63"/>
      <c r="R153" s="63"/>
    </row>
    <row r="154" spans="1:18" ht="13.5" thickBot="1">
      <c r="A154" s="214" t="s">
        <v>725</v>
      </c>
      <c r="B154" s="63"/>
      <c r="C154" s="64">
        <v>46077</v>
      </c>
      <c r="D154" s="65">
        <v>0.40833333333333333</v>
      </c>
      <c r="E154" s="63"/>
      <c r="F154" s="66" t="s">
        <v>827</v>
      </c>
      <c r="G154" s="66" t="s">
        <v>1107</v>
      </c>
      <c r="H154" s="64">
        <v>45712</v>
      </c>
      <c r="I154" s="65">
        <v>0.52986111111111112</v>
      </c>
      <c r="J154" s="63" t="s">
        <v>479</v>
      </c>
      <c r="K154" s="66" t="s">
        <v>366</v>
      </c>
      <c r="L154" s="70" t="s">
        <v>774</v>
      </c>
      <c r="M154" s="66">
        <v>1.5</v>
      </c>
      <c r="N154" s="66">
        <v>0</v>
      </c>
      <c r="O154" s="66">
        <v>0</v>
      </c>
      <c r="P154" s="64">
        <v>46078</v>
      </c>
      <c r="Q154" s="63"/>
      <c r="R154" s="63"/>
    </row>
    <row r="155" spans="1:18" ht="13.5" thickBot="1">
      <c r="A155" s="214" t="s">
        <v>725</v>
      </c>
      <c r="B155" s="63"/>
      <c r="C155" s="64">
        <v>46077</v>
      </c>
      <c r="D155" s="65">
        <v>0.40833333333333333</v>
      </c>
      <c r="E155" s="63"/>
      <c r="F155" s="66" t="s">
        <v>833</v>
      </c>
      <c r="G155" s="66" t="s">
        <v>1108</v>
      </c>
      <c r="H155" s="64">
        <v>45712</v>
      </c>
      <c r="I155" s="65">
        <v>0.52986111111111112</v>
      </c>
      <c r="J155" s="63" t="s">
        <v>479</v>
      </c>
      <c r="K155" s="66" t="s">
        <v>366</v>
      </c>
      <c r="L155" s="70" t="s">
        <v>815</v>
      </c>
      <c r="M155" s="66">
        <v>10</v>
      </c>
      <c r="N155" s="66">
        <v>0</v>
      </c>
      <c r="O155" s="215">
        <v>2250000</v>
      </c>
      <c r="P155" s="64">
        <v>46078</v>
      </c>
      <c r="Q155" s="63"/>
      <c r="R155" s="63"/>
    </row>
    <row r="156" spans="1:18" ht="13.5" thickBot="1">
      <c r="A156" s="203" t="s">
        <v>765</v>
      </c>
      <c r="B156" s="153"/>
      <c r="C156" s="151">
        <v>46077</v>
      </c>
      <c r="D156" s="152">
        <v>0.40833333333333333</v>
      </c>
      <c r="E156" s="153"/>
      <c r="F156" s="150" t="s">
        <v>834</v>
      </c>
      <c r="G156" s="150" t="s">
        <v>1109</v>
      </c>
      <c r="H156" s="151">
        <v>45712</v>
      </c>
      <c r="I156" s="152">
        <v>0.52986111111111112</v>
      </c>
      <c r="J156" s="153" t="s">
        <v>479</v>
      </c>
      <c r="K156" s="150" t="s">
        <v>366</v>
      </c>
      <c r="L156" s="204" t="s">
        <v>774</v>
      </c>
      <c r="M156" s="150">
        <v>0.75</v>
      </c>
      <c r="N156" s="150">
        <v>0</v>
      </c>
      <c r="O156" s="150">
        <v>0</v>
      </c>
      <c r="P156" s="151">
        <v>46078</v>
      </c>
      <c r="Q156" s="153"/>
      <c r="R156" s="153"/>
    </row>
    <row r="157" spans="1:18" ht="13.5" thickBot="1">
      <c r="A157" s="146"/>
      <c r="B157" s="41"/>
      <c r="C157" s="38">
        <v>46087</v>
      </c>
      <c r="D157" s="39">
        <v>0.34513888888888888</v>
      </c>
      <c r="E157" s="41"/>
      <c r="F157" s="37" t="s">
        <v>1111</v>
      </c>
      <c r="G157" s="37" t="s">
        <v>1112</v>
      </c>
      <c r="H157" s="38">
        <v>46087</v>
      </c>
      <c r="I157" s="39">
        <v>0.40972222222222221</v>
      </c>
      <c r="J157" s="41" t="s">
        <v>479</v>
      </c>
      <c r="K157" s="37" t="s">
        <v>366</v>
      </c>
      <c r="L157" s="40" t="s">
        <v>230</v>
      </c>
      <c r="M157" s="37">
        <v>50</v>
      </c>
      <c r="N157" s="37">
        <v>2</v>
      </c>
      <c r="O157" s="147">
        <v>5100000</v>
      </c>
      <c r="P157" s="38">
        <v>411329</v>
      </c>
      <c r="Q157" s="41"/>
      <c r="R157" s="41"/>
    </row>
    <row r="158" spans="1:18" ht="13.5" thickBot="1">
      <c r="A158" s="146"/>
      <c r="B158" s="41"/>
      <c r="C158" s="38">
        <v>46087</v>
      </c>
      <c r="D158" s="39">
        <v>0.34513888888888888</v>
      </c>
      <c r="E158" s="41"/>
      <c r="F158" s="37" t="s">
        <v>1111</v>
      </c>
      <c r="G158" s="37" t="s">
        <v>1112</v>
      </c>
      <c r="H158" s="38">
        <v>46087</v>
      </c>
      <c r="I158" s="39">
        <v>0.40972222222222221</v>
      </c>
      <c r="J158" s="41" t="s">
        <v>479</v>
      </c>
      <c r="K158" s="37" t="s">
        <v>366</v>
      </c>
      <c r="L158" s="40" t="s">
        <v>815</v>
      </c>
      <c r="M158" s="37">
        <v>30</v>
      </c>
      <c r="N158" s="37">
        <v>1</v>
      </c>
      <c r="O158" s="147">
        <v>6750000</v>
      </c>
      <c r="P158" s="38">
        <v>411329</v>
      </c>
      <c r="Q158" s="41"/>
      <c r="R158" s="41"/>
    </row>
    <row r="159" spans="1:18" ht="13.5" thickBot="1">
      <c r="A159" s="146"/>
      <c r="B159" s="41"/>
      <c r="C159" s="38">
        <v>46087</v>
      </c>
      <c r="D159" s="39">
        <v>0.34513888888888888</v>
      </c>
      <c r="E159" s="41"/>
      <c r="F159" s="37" t="s">
        <v>1111</v>
      </c>
      <c r="G159" s="37" t="s">
        <v>1112</v>
      </c>
      <c r="H159" s="38">
        <v>46087</v>
      </c>
      <c r="I159" s="39">
        <v>0.40972222222222221</v>
      </c>
      <c r="J159" s="41" t="s">
        <v>479</v>
      </c>
      <c r="K159" s="37" t="s">
        <v>366</v>
      </c>
      <c r="L159" s="40" t="s">
        <v>780</v>
      </c>
      <c r="M159" s="37">
        <v>100</v>
      </c>
      <c r="N159" s="37">
        <v>4</v>
      </c>
      <c r="O159" s="147">
        <v>4000000</v>
      </c>
      <c r="P159" s="38">
        <v>411329</v>
      </c>
      <c r="Q159" s="41"/>
      <c r="R159" s="41"/>
    </row>
    <row r="160" spans="1:18" ht="13.5" thickBot="1">
      <c r="A160" s="146"/>
      <c r="B160" s="41"/>
      <c r="C160" s="38">
        <v>46087</v>
      </c>
      <c r="D160" s="39">
        <v>0.34513888888888888</v>
      </c>
      <c r="E160" s="41"/>
      <c r="F160" s="37" t="s">
        <v>1113</v>
      </c>
      <c r="G160" s="37" t="s">
        <v>1114</v>
      </c>
      <c r="H160" s="38">
        <v>46087</v>
      </c>
      <c r="I160" s="39">
        <v>0.40972222222222221</v>
      </c>
      <c r="J160" s="41" t="s">
        <v>479</v>
      </c>
      <c r="K160" s="37" t="s">
        <v>366</v>
      </c>
      <c r="L160" s="40" t="s">
        <v>912</v>
      </c>
      <c r="M160" s="37">
        <v>2.25</v>
      </c>
      <c r="N160" s="37">
        <v>0</v>
      </c>
      <c r="O160" s="37">
        <v>0</v>
      </c>
      <c r="P160" s="38">
        <v>411329</v>
      </c>
      <c r="Q160" s="41"/>
      <c r="R160" s="41"/>
    </row>
    <row r="161" spans="1:18" ht="13.5" thickBot="1">
      <c r="A161" s="146"/>
      <c r="B161" s="37">
        <v>5504426752</v>
      </c>
      <c r="C161" s="38">
        <v>46087</v>
      </c>
      <c r="D161" s="39">
        <v>0.41666666666666669</v>
      </c>
      <c r="E161" s="41"/>
      <c r="F161" s="37" t="s">
        <v>1115</v>
      </c>
      <c r="G161" s="37" t="s">
        <v>1116</v>
      </c>
      <c r="H161" s="38">
        <v>46087</v>
      </c>
      <c r="I161" s="39">
        <v>0.42569444444444443</v>
      </c>
      <c r="J161" s="41" t="s">
        <v>52</v>
      </c>
      <c r="K161" s="37" t="s">
        <v>828</v>
      </c>
      <c r="L161" s="40" t="s">
        <v>590</v>
      </c>
      <c r="M161" s="37">
        <v>100</v>
      </c>
      <c r="N161" s="37">
        <v>4</v>
      </c>
      <c r="O161" s="147">
        <v>4650000</v>
      </c>
      <c r="P161" s="38">
        <v>46087</v>
      </c>
      <c r="Q161" s="41"/>
      <c r="R161" s="41"/>
    </row>
    <row r="162" spans="1:18" ht="35" thickBot="1">
      <c r="A162" s="146"/>
      <c r="B162" s="37" t="s">
        <v>818</v>
      </c>
      <c r="C162" s="38">
        <v>46087</v>
      </c>
      <c r="D162" s="39">
        <v>0.29930555555555555</v>
      </c>
      <c r="E162" s="41"/>
      <c r="F162" s="37" t="s">
        <v>1117</v>
      </c>
      <c r="G162" s="37" t="s">
        <v>1118</v>
      </c>
      <c r="H162" s="38">
        <v>46087</v>
      </c>
      <c r="I162" s="39">
        <v>0.43055555555555558</v>
      </c>
      <c r="J162" s="41" t="s">
        <v>385</v>
      </c>
      <c r="K162" s="37" t="s">
        <v>379</v>
      </c>
      <c r="L162" s="40" t="s">
        <v>115</v>
      </c>
      <c r="M162" s="37">
        <v>3000</v>
      </c>
      <c r="N162" s="37">
        <v>120</v>
      </c>
      <c r="O162" s="147">
        <v>218601000</v>
      </c>
      <c r="P162" s="38">
        <v>411329</v>
      </c>
      <c r="Q162" s="41"/>
      <c r="R162" s="41"/>
    </row>
    <row r="163" spans="1:18" ht="35" thickBot="1">
      <c r="A163" s="146"/>
      <c r="B163" s="37" t="s">
        <v>818</v>
      </c>
      <c r="C163" s="38">
        <v>46087</v>
      </c>
      <c r="D163" s="39">
        <v>0.29930555555555555</v>
      </c>
      <c r="E163" s="41"/>
      <c r="F163" s="37" t="s">
        <v>1117</v>
      </c>
      <c r="G163" s="37" t="s">
        <v>1118</v>
      </c>
      <c r="H163" s="38">
        <v>46087</v>
      </c>
      <c r="I163" s="39">
        <v>0.43055555555555558</v>
      </c>
      <c r="J163" s="41" t="s">
        <v>385</v>
      </c>
      <c r="K163" s="37" t="s">
        <v>379</v>
      </c>
      <c r="L163" s="40" t="s">
        <v>209</v>
      </c>
      <c r="M163" s="37">
        <v>1000</v>
      </c>
      <c r="N163" s="37">
        <v>40</v>
      </c>
      <c r="O163" s="147">
        <v>122901000</v>
      </c>
      <c r="P163" s="38">
        <v>411329</v>
      </c>
      <c r="Q163" s="41"/>
      <c r="R163" s="41"/>
    </row>
    <row r="164" spans="1:18" s="330" customFormat="1" ht="25.5" thickBot="1">
      <c r="A164" s="329" t="s">
        <v>117</v>
      </c>
      <c r="B164" s="327"/>
      <c r="C164" s="325">
        <v>46087</v>
      </c>
      <c r="D164" s="327"/>
      <c r="E164" s="327"/>
      <c r="F164" s="324" t="s">
        <v>1119</v>
      </c>
      <c r="G164" s="324" t="s">
        <v>1120</v>
      </c>
      <c r="H164" s="325">
        <v>46087</v>
      </c>
      <c r="I164" s="326">
        <v>0.60763888888888884</v>
      </c>
      <c r="J164" s="327" t="s">
        <v>319</v>
      </c>
      <c r="K164" s="37" t="s">
        <v>81</v>
      </c>
      <c r="L164" s="328" t="s">
        <v>976</v>
      </c>
      <c r="M164" s="324">
        <v>80</v>
      </c>
      <c r="N164" s="324">
        <v>3</v>
      </c>
      <c r="O164" s="334">
        <v>12400000</v>
      </c>
      <c r="P164" s="325">
        <v>411329</v>
      </c>
      <c r="Q164" s="327" t="s">
        <v>1687</v>
      </c>
      <c r="R164" s="327"/>
    </row>
    <row r="165" spans="1:18" ht="23.5" thickBot="1">
      <c r="A165" s="146"/>
      <c r="B165" s="37" t="s">
        <v>123</v>
      </c>
      <c r="C165" s="38">
        <v>46087</v>
      </c>
      <c r="D165" s="39">
        <v>0.4597222222222222</v>
      </c>
      <c r="E165" s="41"/>
      <c r="F165" s="37" t="s">
        <v>1121</v>
      </c>
      <c r="G165" s="37" t="s">
        <v>1122</v>
      </c>
      <c r="H165" s="38">
        <v>46087</v>
      </c>
      <c r="I165" s="39">
        <v>0.4826388888888889</v>
      </c>
      <c r="J165" s="41" t="s">
        <v>319</v>
      </c>
      <c r="K165" s="37" t="s">
        <v>81</v>
      </c>
      <c r="L165" s="40" t="s">
        <v>151</v>
      </c>
      <c r="M165" s="37">
        <v>400</v>
      </c>
      <c r="N165" s="37">
        <v>16</v>
      </c>
      <c r="O165" s="147">
        <v>27000000</v>
      </c>
      <c r="P165" s="38">
        <v>411329</v>
      </c>
      <c r="Q165" s="41"/>
      <c r="R165" s="41"/>
    </row>
    <row r="166" spans="1:18" ht="13.5" thickBot="1">
      <c r="A166" s="146"/>
      <c r="B166" s="41"/>
      <c r="C166" s="38">
        <v>46058</v>
      </c>
      <c r="D166" s="39">
        <v>0.66180555555555554</v>
      </c>
      <c r="E166" s="41"/>
      <c r="F166" s="37" t="s">
        <v>1123</v>
      </c>
      <c r="G166" s="37" t="s">
        <v>1124</v>
      </c>
      <c r="H166" s="38">
        <v>46087</v>
      </c>
      <c r="I166" s="39">
        <v>0.4861111111111111</v>
      </c>
      <c r="J166" s="41" t="s">
        <v>45</v>
      </c>
      <c r="K166" s="37" t="s">
        <v>78</v>
      </c>
      <c r="L166" s="40" t="s">
        <v>221</v>
      </c>
      <c r="M166" s="37">
        <v>2</v>
      </c>
      <c r="N166" s="37">
        <v>0</v>
      </c>
      <c r="O166" s="147">
        <v>500000</v>
      </c>
      <c r="P166" s="38">
        <v>411329</v>
      </c>
      <c r="Q166" s="41"/>
      <c r="R166" s="41"/>
    </row>
    <row r="167" spans="1:18" ht="13.5" thickBot="1">
      <c r="A167" s="146"/>
      <c r="B167" s="41"/>
      <c r="C167" s="38">
        <v>46058</v>
      </c>
      <c r="D167" s="39">
        <v>0.66180555555555554</v>
      </c>
      <c r="E167" s="41"/>
      <c r="F167" s="37" t="s">
        <v>1123</v>
      </c>
      <c r="G167" s="37" t="s">
        <v>1124</v>
      </c>
      <c r="H167" s="38">
        <v>46087</v>
      </c>
      <c r="I167" s="39">
        <v>0.4861111111111111</v>
      </c>
      <c r="J167" s="41" t="s">
        <v>45</v>
      </c>
      <c r="K167" s="37" t="s">
        <v>78</v>
      </c>
      <c r="L167" s="40" t="s">
        <v>207</v>
      </c>
      <c r="M167" s="37">
        <v>3</v>
      </c>
      <c r="N167" s="37">
        <v>0</v>
      </c>
      <c r="O167" s="147">
        <v>1560000</v>
      </c>
      <c r="P167" s="38">
        <v>411329</v>
      </c>
      <c r="Q167" s="41"/>
      <c r="R167" s="41"/>
    </row>
    <row r="168" spans="1:18" ht="13.5" thickBot="1">
      <c r="A168" s="146"/>
      <c r="B168" s="41"/>
      <c r="C168" s="38">
        <v>46058</v>
      </c>
      <c r="D168" s="39">
        <v>0.67777777777777781</v>
      </c>
      <c r="E168" s="41"/>
      <c r="F168" s="37" t="s">
        <v>1125</v>
      </c>
      <c r="G168" s="37" t="s">
        <v>1126</v>
      </c>
      <c r="H168" s="38">
        <v>46087</v>
      </c>
      <c r="I168" s="39">
        <v>0.49166666666666664</v>
      </c>
      <c r="J168" s="41" t="s">
        <v>52</v>
      </c>
      <c r="K168" s="37" t="s">
        <v>823</v>
      </c>
      <c r="L168" s="40" t="s">
        <v>590</v>
      </c>
      <c r="M168" s="37">
        <v>50</v>
      </c>
      <c r="N168" s="37">
        <v>2</v>
      </c>
      <c r="O168" s="147">
        <v>2325000</v>
      </c>
      <c r="P168" s="38">
        <v>46097</v>
      </c>
      <c r="Q168" s="41"/>
      <c r="R168" s="41"/>
    </row>
    <row r="169" spans="1:18" ht="38" thickBot="1">
      <c r="A169" s="146"/>
      <c r="B169" s="37" t="s">
        <v>1127</v>
      </c>
      <c r="C169" s="38">
        <v>46087</v>
      </c>
      <c r="D169" s="39">
        <v>0.37430555555555556</v>
      </c>
      <c r="E169" s="41"/>
      <c r="F169" s="37" t="s">
        <v>1128</v>
      </c>
      <c r="G169" s="37" t="s">
        <v>1129</v>
      </c>
      <c r="H169" s="38">
        <v>46087</v>
      </c>
      <c r="I169" s="39">
        <v>0.49652777777777779</v>
      </c>
      <c r="J169" s="41" t="s">
        <v>386</v>
      </c>
      <c r="K169" s="37" t="s">
        <v>79</v>
      </c>
      <c r="L169" s="40" t="s">
        <v>194</v>
      </c>
      <c r="M169" s="37">
        <v>1000</v>
      </c>
      <c r="N169" s="37">
        <v>40</v>
      </c>
      <c r="O169" s="147">
        <v>19500000</v>
      </c>
      <c r="P169" s="38">
        <v>46091</v>
      </c>
      <c r="Q169" s="41"/>
      <c r="R169" s="41"/>
    </row>
    <row r="170" spans="1:18" ht="13.5" thickBot="1">
      <c r="A170" s="146"/>
      <c r="B170" s="41"/>
      <c r="C170" s="38">
        <v>46087</v>
      </c>
      <c r="D170" s="39">
        <v>0.54027777777777775</v>
      </c>
      <c r="E170" s="41"/>
      <c r="F170" s="37" t="s">
        <v>1130</v>
      </c>
      <c r="G170" s="37" t="s">
        <v>1131</v>
      </c>
      <c r="H170" s="38">
        <v>46087</v>
      </c>
      <c r="I170" s="39">
        <v>0.59861111111111109</v>
      </c>
      <c r="J170" s="41" t="s">
        <v>45</v>
      </c>
      <c r="K170" s="37" t="s">
        <v>78</v>
      </c>
      <c r="L170" s="40" t="s">
        <v>221</v>
      </c>
      <c r="M170" s="37">
        <v>8</v>
      </c>
      <c r="N170" s="37">
        <v>0</v>
      </c>
      <c r="O170" s="147">
        <v>2000000</v>
      </c>
      <c r="P170" s="38">
        <v>411329</v>
      </c>
      <c r="Q170" s="41"/>
      <c r="R170" s="41"/>
    </row>
    <row r="171" spans="1:18" ht="13.5" thickBot="1">
      <c r="A171" s="146"/>
      <c r="B171" s="41"/>
      <c r="C171" s="38">
        <v>46087</v>
      </c>
      <c r="D171" s="39">
        <v>0.54027777777777775</v>
      </c>
      <c r="E171" s="41"/>
      <c r="F171" s="37" t="s">
        <v>1130</v>
      </c>
      <c r="G171" s="37" t="s">
        <v>1131</v>
      </c>
      <c r="H171" s="38">
        <v>46087</v>
      </c>
      <c r="I171" s="39">
        <v>0.59861111111111109</v>
      </c>
      <c r="J171" s="41" t="s">
        <v>45</v>
      </c>
      <c r="K171" s="37" t="s">
        <v>78</v>
      </c>
      <c r="L171" s="40" t="s">
        <v>230</v>
      </c>
      <c r="M171" s="37">
        <v>10</v>
      </c>
      <c r="N171" s="37">
        <v>0</v>
      </c>
      <c r="O171" s="147">
        <v>1050000</v>
      </c>
      <c r="P171" s="38">
        <v>411329</v>
      </c>
      <c r="Q171" s="41"/>
      <c r="R171" s="41"/>
    </row>
    <row r="172" spans="1:18" ht="13.5" thickBot="1">
      <c r="A172" s="146"/>
      <c r="B172" s="41"/>
      <c r="C172" s="38">
        <v>46087</v>
      </c>
      <c r="D172" s="39">
        <v>0.54027777777777775</v>
      </c>
      <c r="E172" s="41"/>
      <c r="F172" s="37" t="s">
        <v>1130</v>
      </c>
      <c r="G172" s="37" t="s">
        <v>1131</v>
      </c>
      <c r="H172" s="38">
        <v>46087</v>
      </c>
      <c r="I172" s="39">
        <v>0.59861111111111109</v>
      </c>
      <c r="J172" s="41" t="s">
        <v>45</v>
      </c>
      <c r="K172" s="37" t="s">
        <v>78</v>
      </c>
      <c r="L172" s="40" t="s">
        <v>166</v>
      </c>
      <c r="M172" s="37">
        <v>20</v>
      </c>
      <c r="N172" s="37">
        <v>1</v>
      </c>
      <c r="O172" s="147">
        <v>1440000</v>
      </c>
      <c r="P172" s="38">
        <v>411329</v>
      </c>
      <c r="Q172" s="41"/>
      <c r="R172" s="41"/>
    </row>
    <row r="173" spans="1:18" ht="23.5" thickBot="1">
      <c r="A173" s="146"/>
      <c r="B173" s="41"/>
      <c r="C173" s="38">
        <v>46087</v>
      </c>
      <c r="D173" s="39">
        <v>0.54027777777777775</v>
      </c>
      <c r="E173" s="41"/>
      <c r="F173" s="37" t="s">
        <v>1130</v>
      </c>
      <c r="G173" s="37" t="s">
        <v>1132</v>
      </c>
      <c r="H173" s="38">
        <v>46087</v>
      </c>
      <c r="I173" s="39">
        <v>0.59861111111111109</v>
      </c>
      <c r="J173" s="41" t="s">
        <v>45</v>
      </c>
      <c r="K173" s="37" t="s">
        <v>78</v>
      </c>
      <c r="L173" s="40" t="s">
        <v>781</v>
      </c>
      <c r="M173" s="37">
        <v>4</v>
      </c>
      <c r="N173" s="37">
        <v>0</v>
      </c>
      <c r="O173" s="147">
        <v>942000</v>
      </c>
      <c r="P173" s="38">
        <v>411329</v>
      </c>
      <c r="Q173" s="41"/>
      <c r="R173" s="41"/>
    </row>
    <row r="174" spans="1:18" ht="13.5" thickBot="1">
      <c r="A174" s="146"/>
      <c r="B174" s="41"/>
      <c r="C174" s="38">
        <v>46087</v>
      </c>
      <c r="D174" s="39">
        <v>0.54027777777777775</v>
      </c>
      <c r="E174" s="41"/>
      <c r="F174" s="37" t="s">
        <v>1130</v>
      </c>
      <c r="G174" s="37" t="s">
        <v>1133</v>
      </c>
      <c r="H174" s="38">
        <v>46087</v>
      </c>
      <c r="I174" s="39">
        <v>0.59861111111111109</v>
      </c>
      <c r="J174" s="41" t="s">
        <v>45</v>
      </c>
      <c r="K174" s="37" t="s">
        <v>78</v>
      </c>
      <c r="L174" s="40" t="s">
        <v>590</v>
      </c>
      <c r="M174" s="37">
        <v>10</v>
      </c>
      <c r="N174" s="37">
        <v>0</v>
      </c>
      <c r="O174" s="147">
        <v>500000</v>
      </c>
      <c r="P174" s="38">
        <v>411329</v>
      </c>
      <c r="Q174" s="41"/>
      <c r="R174" s="41"/>
    </row>
    <row r="175" spans="1:18" ht="13.5" thickBot="1">
      <c r="A175" s="146"/>
      <c r="B175" s="41"/>
      <c r="C175" s="38">
        <v>46087</v>
      </c>
      <c r="D175" s="39">
        <v>0.54027777777777775</v>
      </c>
      <c r="E175" s="41"/>
      <c r="F175" s="37" t="s">
        <v>1134</v>
      </c>
      <c r="G175" s="37" t="s">
        <v>1135</v>
      </c>
      <c r="H175" s="38">
        <v>46087</v>
      </c>
      <c r="I175" s="39">
        <v>0.59861111111111109</v>
      </c>
      <c r="J175" s="41" t="s">
        <v>45</v>
      </c>
      <c r="K175" s="37" t="s">
        <v>78</v>
      </c>
      <c r="L175" s="40" t="s">
        <v>912</v>
      </c>
      <c r="M175" s="37">
        <v>9</v>
      </c>
      <c r="N175" s="37">
        <v>0</v>
      </c>
      <c r="O175" s="37">
        <v>0</v>
      </c>
      <c r="P175" s="38">
        <v>411329</v>
      </c>
      <c r="Q175" s="41"/>
      <c r="R175" s="41"/>
    </row>
    <row r="176" spans="1:18" ht="23.5" thickBot="1">
      <c r="A176" s="203" t="s">
        <v>765</v>
      </c>
      <c r="B176" s="150" t="s">
        <v>1136</v>
      </c>
      <c r="C176" s="151">
        <v>46087</v>
      </c>
      <c r="D176" s="152">
        <v>0.60416666666666663</v>
      </c>
      <c r="E176" s="153"/>
      <c r="F176" s="150" t="s">
        <v>1137</v>
      </c>
      <c r="G176" s="150" t="s">
        <v>1138</v>
      </c>
      <c r="H176" s="151">
        <v>46087</v>
      </c>
      <c r="I176" s="152">
        <v>0.62013888888888891</v>
      </c>
      <c r="J176" s="153" t="s">
        <v>400</v>
      </c>
      <c r="K176" s="150" t="s">
        <v>168</v>
      </c>
      <c r="L176" s="204" t="s">
        <v>590</v>
      </c>
      <c r="M176" s="150">
        <v>10</v>
      </c>
      <c r="N176" s="150">
        <v>0</v>
      </c>
      <c r="O176" s="205">
        <v>550000</v>
      </c>
      <c r="P176" s="151">
        <v>411329</v>
      </c>
      <c r="Q176" s="153"/>
      <c r="R176" s="153"/>
    </row>
    <row r="177" spans="1:18" ht="23.5" thickBot="1">
      <c r="A177" s="203" t="s">
        <v>765</v>
      </c>
      <c r="B177" s="150" t="s">
        <v>1136</v>
      </c>
      <c r="C177" s="151">
        <v>46087</v>
      </c>
      <c r="D177" s="152">
        <v>0.60416666666666663</v>
      </c>
      <c r="E177" s="153"/>
      <c r="F177" s="150" t="s">
        <v>1140</v>
      </c>
      <c r="G177" s="150" t="s">
        <v>1141</v>
      </c>
      <c r="H177" s="151">
        <v>46087</v>
      </c>
      <c r="I177" s="152">
        <v>0.62013888888888891</v>
      </c>
      <c r="J177" s="153" t="s">
        <v>400</v>
      </c>
      <c r="K177" s="150" t="s">
        <v>168</v>
      </c>
      <c r="L177" s="204" t="s">
        <v>590</v>
      </c>
      <c r="M177" s="150">
        <v>5</v>
      </c>
      <c r="N177" s="150">
        <v>0</v>
      </c>
      <c r="O177" s="205">
        <v>275000</v>
      </c>
      <c r="P177" s="151">
        <v>411329</v>
      </c>
      <c r="Q177" s="153"/>
      <c r="R177" s="153"/>
    </row>
    <row r="178" spans="1:18" ht="38" thickBot="1">
      <c r="A178" s="146"/>
      <c r="B178" s="37" t="s">
        <v>1142</v>
      </c>
      <c r="C178" s="38">
        <v>46087</v>
      </c>
      <c r="D178" s="39">
        <v>0.62361111111111112</v>
      </c>
      <c r="E178" s="41"/>
      <c r="F178" s="37" t="s">
        <v>1143</v>
      </c>
      <c r="G178" s="37" t="s">
        <v>1144</v>
      </c>
      <c r="H178" s="38">
        <v>46087</v>
      </c>
      <c r="I178" s="39">
        <v>0.625</v>
      </c>
      <c r="J178" s="41" t="s">
        <v>386</v>
      </c>
      <c r="K178" s="37" t="s">
        <v>141</v>
      </c>
      <c r="L178" s="40" t="s">
        <v>113</v>
      </c>
      <c r="M178" s="37">
        <v>25</v>
      </c>
      <c r="N178" s="37">
        <v>1</v>
      </c>
      <c r="O178" s="147">
        <v>1580000</v>
      </c>
      <c r="P178" s="38">
        <v>411329</v>
      </c>
      <c r="Q178" s="41"/>
      <c r="R178" s="41"/>
    </row>
    <row r="179" spans="1:18" ht="13.5" thickBot="1">
      <c r="A179" s="146"/>
      <c r="B179" s="41"/>
      <c r="C179" s="38">
        <v>46090</v>
      </c>
      <c r="D179" s="39">
        <v>0.31874999999999998</v>
      </c>
      <c r="E179" s="41"/>
      <c r="F179" s="37" t="s">
        <v>1145</v>
      </c>
      <c r="G179" s="37" t="s">
        <v>1146</v>
      </c>
      <c r="H179" s="38">
        <v>46090</v>
      </c>
      <c r="I179" s="39">
        <v>0.46666666666666667</v>
      </c>
      <c r="J179" s="41" t="s">
        <v>368</v>
      </c>
      <c r="K179" s="37" t="s">
        <v>142</v>
      </c>
      <c r="L179" s="40" t="s">
        <v>112</v>
      </c>
      <c r="M179" s="37">
        <v>150</v>
      </c>
      <c r="N179" s="37">
        <v>6</v>
      </c>
      <c r="O179" s="147">
        <v>8430000</v>
      </c>
      <c r="P179" s="38">
        <v>46091</v>
      </c>
      <c r="Q179" s="41"/>
      <c r="R179" s="41"/>
    </row>
    <row r="180" spans="1:18" ht="13.5" thickBot="1">
      <c r="A180" s="146"/>
      <c r="B180" s="41"/>
      <c r="C180" s="38">
        <v>46090</v>
      </c>
      <c r="D180" s="39">
        <v>0.31874999999999998</v>
      </c>
      <c r="E180" s="41"/>
      <c r="F180" s="37" t="s">
        <v>1145</v>
      </c>
      <c r="G180" s="37" t="s">
        <v>1146</v>
      </c>
      <c r="H180" s="38">
        <v>46090</v>
      </c>
      <c r="I180" s="39">
        <v>0.46666666666666667</v>
      </c>
      <c r="J180" s="41" t="s">
        <v>368</v>
      </c>
      <c r="K180" s="37" t="s">
        <v>142</v>
      </c>
      <c r="L180" s="40" t="s">
        <v>151</v>
      </c>
      <c r="M180" s="37">
        <v>150</v>
      </c>
      <c r="N180" s="37">
        <v>6</v>
      </c>
      <c r="O180" s="147">
        <v>10650000</v>
      </c>
      <c r="P180" s="38">
        <v>46091</v>
      </c>
      <c r="Q180" s="41"/>
      <c r="R180" s="41"/>
    </row>
    <row r="181" spans="1:18" ht="13.5" thickBot="1">
      <c r="A181" s="146"/>
      <c r="B181" s="41"/>
      <c r="C181" s="38">
        <v>46090</v>
      </c>
      <c r="D181" s="39">
        <v>0.31874999999999998</v>
      </c>
      <c r="E181" s="41"/>
      <c r="F181" s="37" t="s">
        <v>1145</v>
      </c>
      <c r="G181" s="37" t="s">
        <v>1146</v>
      </c>
      <c r="H181" s="38">
        <v>46090</v>
      </c>
      <c r="I181" s="39">
        <v>0.46666666666666667</v>
      </c>
      <c r="J181" s="41" t="s">
        <v>368</v>
      </c>
      <c r="K181" s="37" t="s">
        <v>142</v>
      </c>
      <c r="L181" s="40" t="s">
        <v>773</v>
      </c>
      <c r="M181" s="37">
        <v>200</v>
      </c>
      <c r="N181" s="37">
        <v>8</v>
      </c>
      <c r="O181" s="147">
        <v>3200000</v>
      </c>
      <c r="P181" s="38">
        <v>46091</v>
      </c>
      <c r="Q181" s="41"/>
      <c r="R181" s="41"/>
    </row>
    <row r="182" spans="1:18" ht="13.5" thickBot="1">
      <c r="A182" s="146"/>
      <c r="B182" s="41"/>
      <c r="C182" s="38">
        <v>46090</v>
      </c>
      <c r="D182" s="39">
        <v>0.31874999999999998</v>
      </c>
      <c r="E182" s="41"/>
      <c r="F182" s="37" t="s">
        <v>1147</v>
      </c>
      <c r="G182" s="37" t="s">
        <v>1148</v>
      </c>
      <c r="H182" s="38">
        <v>46090</v>
      </c>
      <c r="I182" s="39">
        <v>0.46666666666666667</v>
      </c>
      <c r="J182" s="41" t="s">
        <v>368</v>
      </c>
      <c r="K182" s="37" t="s">
        <v>142</v>
      </c>
      <c r="L182" s="40" t="s">
        <v>912</v>
      </c>
      <c r="M182" s="37">
        <v>11.25</v>
      </c>
      <c r="N182" s="37">
        <v>0</v>
      </c>
      <c r="O182" s="37">
        <v>0</v>
      </c>
      <c r="P182" s="38">
        <v>46091</v>
      </c>
      <c r="Q182" s="41"/>
      <c r="R182" s="41"/>
    </row>
    <row r="183" spans="1:18" ht="13.5" thickBot="1">
      <c r="A183" s="146"/>
      <c r="B183" s="41"/>
      <c r="C183" s="38">
        <v>46090</v>
      </c>
      <c r="D183" s="39">
        <v>0.36805555555555558</v>
      </c>
      <c r="E183" s="41"/>
      <c r="F183" s="37" t="s">
        <v>1149</v>
      </c>
      <c r="G183" s="37" t="s">
        <v>1150</v>
      </c>
      <c r="H183" s="38">
        <v>46090</v>
      </c>
      <c r="I183" s="39">
        <v>0.47638888888888886</v>
      </c>
      <c r="J183" s="41" t="s">
        <v>1151</v>
      </c>
      <c r="K183" s="37" t="s">
        <v>78</v>
      </c>
      <c r="L183" s="40" t="s">
        <v>162</v>
      </c>
      <c r="M183" s="37">
        <v>25</v>
      </c>
      <c r="N183" s="37">
        <v>1</v>
      </c>
      <c r="O183" s="147">
        <v>600000</v>
      </c>
      <c r="P183" s="38">
        <v>46091</v>
      </c>
      <c r="Q183" s="41"/>
      <c r="R183" s="41"/>
    </row>
    <row r="184" spans="1:18" ht="13.5" thickBot="1">
      <c r="A184" s="146"/>
      <c r="B184" s="37">
        <v>1379625</v>
      </c>
      <c r="C184" s="38">
        <v>46090</v>
      </c>
      <c r="D184" s="39">
        <v>0.30208333333333331</v>
      </c>
      <c r="E184" s="41"/>
      <c r="F184" s="37" t="s">
        <v>1152</v>
      </c>
      <c r="G184" s="37" t="s">
        <v>1153</v>
      </c>
      <c r="H184" s="38">
        <v>46090</v>
      </c>
      <c r="I184" s="39">
        <v>0.48541666666666666</v>
      </c>
      <c r="J184" s="41" t="s">
        <v>51</v>
      </c>
      <c r="K184" s="37" t="s">
        <v>78</v>
      </c>
      <c r="L184" s="40" t="s">
        <v>112</v>
      </c>
      <c r="M184" s="37">
        <v>100</v>
      </c>
      <c r="N184" s="37">
        <v>4</v>
      </c>
      <c r="O184" s="147">
        <v>5250000</v>
      </c>
      <c r="P184" s="38">
        <v>46090</v>
      </c>
      <c r="Q184" s="41"/>
      <c r="R184" s="41"/>
    </row>
    <row r="185" spans="1:18" ht="13.5" thickBot="1">
      <c r="A185" s="146"/>
      <c r="B185" s="37">
        <v>1379625</v>
      </c>
      <c r="C185" s="38">
        <v>46090</v>
      </c>
      <c r="D185" s="39">
        <v>0.30208333333333331</v>
      </c>
      <c r="E185" s="41"/>
      <c r="F185" s="37" t="s">
        <v>1154</v>
      </c>
      <c r="G185" s="37" t="s">
        <v>1155</v>
      </c>
      <c r="H185" s="38">
        <v>46090</v>
      </c>
      <c r="I185" s="39">
        <v>0.48541666666666666</v>
      </c>
      <c r="J185" s="41" t="s">
        <v>51</v>
      </c>
      <c r="K185" s="37" t="s">
        <v>78</v>
      </c>
      <c r="L185" s="40" t="s">
        <v>912</v>
      </c>
      <c r="M185" s="37">
        <v>7.5</v>
      </c>
      <c r="N185" s="37">
        <v>0</v>
      </c>
      <c r="O185" s="37">
        <v>0</v>
      </c>
      <c r="P185" s="38">
        <v>46090</v>
      </c>
      <c r="Q185" s="41"/>
      <c r="R185" s="41"/>
    </row>
    <row r="186" spans="1:18" ht="13.5" thickBot="1">
      <c r="A186" s="207" t="s">
        <v>725</v>
      </c>
      <c r="B186" s="213">
        <v>100817</v>
      </c>
      <c r="C186" s="209">
        <v>46090</v>
      </c>
      <c r="D186" s="210">
        <v>0.34097222222222223</v>
      </c>
      <c r="E186" s="211"/>
      <c r="F186" s="208" t="s">
        <v>1156</v>
      </c>
      <c r="G186" s="208" t="s">
        <v>1157</v>
      </c>
      <c r="H186" s="209">
        <v>46090</v>
      </c>
      <c r="I186" s="210">
        <v>0.49166666666666664</v>
      </c>
      <c r="J186" s="211" t="s">
        <v>231</v>
      </c>
      <c r="K186" s="208" t="s">
        <v>142</v>
      </c>
      <c r="L186" s="212" t="s">
        <v>780</v>
      </c>
      <c r="M186" s="208">
        <v>400</v>
      </c>
      <c r="N186" s="208">
        <v>16</v>
      </c>
      <c r="O186" s="213">
        <v>16000000</v>
      </c>
      <c r="P186" s="209">
        <v>46092</v>
      </c>
      <c r="Q186" s="211"/>
      <c r="R186" s="211"/>
    </row>
    <row r="187" spans="1:18" ht="13.5" thickBot="1">
      <c r="A187" s="207" t="s">
        <v>725</v>
      </c>
      <c r="B187" s="213">
        <v>100818</v>
      </c>
      <c r="C187" s="209">
        <v>46090</v>
      </c>
      <c r="D187" s="210">
        <v>0.34097222222222223</v>
      </c>
      <c r="E187" s="211"/>
      <c r="F187" s="208" t="s">
        <v>1158</v>
      </c>
      <c r="G187" s="208" t="s">
        <v>1159</v>
      </c>
      <c r="H187" s="209">
        <v>46090</v>
      </c>
      <c r="I187" s="210">
        <v>0.49305555555555558</v>
      </c>
      <c r="J187" s="211" t="s">
        <v>231</v>
      </c>
      <c r="K187" s="208" t="s">
        <v>142</v>
      </c>
      <c r="L187" s="212" t="s">
        <v>230</v>
      </c>
      <c r="M187" s="208">
        <v>400</v>
      </c>
      <c r="N187" s="208">
        <v>16</v>
      </c>
      <c r="O187" s="213">
        <v>38880000</v>
      </c>
      <c r="P187" s="209">
        <v>46092</v>
      </c>
      <c r="Q187" s="211"/>
      <c r="R187" s="211"/>
    </row>
    <row r="188" spans="1:18" ht="13.5" thickBot="1">
      <c r="A188" s="146"/>
      <c r="B188" s="37">
        <v>1379877</v>
      </c>
      <c r="C188" s="38">
        <v>46090</v>
      </c>
      <c r="D188" s="39">
        <v>0.42708333333333331</v>
      </c>
      <c r="E188" s="41"/>
      <c r="F188" s="37" t="s">
        <v>1160</v>
      </c>
      <c r="G188" s="37" t="s">
        <v>1161</v>
      </c>
      <c r="H188" s="38">
        <v>46090</v>
      </c>
      <c r="I188" s="39">
        <v>0.53055555555555556</v>
      </c>
      <c r="J188" s="41" t="s">
        <v>51</v>
      </c>
      <c r="K188" s="37" t="s">
        <v>78</v>
      </c>
      <c r="L188" s="40" t="s">
        <v>207</v>
      </c>
      <c r="M188" s="37">
        <v>10</v>
      </c>
      <c r="N188" s="37">
        <v>0</v>
      </c>
      <c r="O188" s="147">
        <v>4272500</v>
      </c>
      <c r="P188" s="38">
        <v>46090</v>
      </c>
      <c r="Q188" s="41"/>
      <c r="R188" s="41"/>
    </row>
    <row r="189" spans="1:18" ht="23.5" thickBot="1">
      <c r="A189" s="146"/>
      <c r="B189" s="41"/>
      <c r="C189" s="38">
        <v>46090</v>
      </c>
      <c r="D189" s="39">
        <v>0.58333333333333337</v>
      </c>
      <c r="E189" s="41"/>
      <c r="F189" s="37" t="s">
        <v>1162</v>
      </c>
      <c r="G189" s="79" t="s">
        <v>1163</v>
      </c>
      <c r="H189" s="38">
        <v>46090</v>
      </c>
      <c r="I189" s="39">
        <v>0.61458333333333337</v>
      </c>
      <c r="J189" s="41" t="s">
        <v>163</v>
      </c>
      <c r="K189" s="37" t="s">
        <v>377</v>
      </c>
      <c r="L189" s="40" t="s">
        <v>221</v>
      </c>
      <c r="M189" s="37">
        <v>30</v>
      </c>
      <c r="N189" s="37">
        <v>1</v>
      </c>
      <c r="O189" s="147">
        <v>7500000</v>
      </c>
      <c r="P189" s="38">
        <v>46090</v>
      </c>
      <c r="Q189" s="41"/>
      <c r="R189" s="41"/>
    </row>
    <row r="190" spans="1:18" ht="38" thickBot="1">
      <c r="A190" s="146"/>
      <c r="B190" s="37" t="s">
        <v>123</v>
      </c>
      <c r="C190" s="38">
        <v>46090</v>
      </c>
      <c r="D190" s="39">
        <v>0.67638888888888893</v>
      </c>
      <c r="E190" s="41"/>
      <c r="F190" s="37" t="s">
        <v>1164</v>
      </c>
      <c r="G190" s="37" t="s">
        <v>1165</v>
      </c>
      <c r="H190" s="38">
        <v>46090</v>
      </c>
      <c r="I190" s="39">
        <v>0.71250000000000002</v>
      </c>
      <c r="J190" s="41" t="s">
        <v>386</v>
      </c>
      <c r="K190" s="37" t="s">
        <v>79</v>
      </c>
      <c r="L190" s="40" t="s">
        <v>773</v>
      </c>
      <c r="M190" s="37">
        <v>950</v>
      </c>
      <c r="N190" s="37">
        <v>38</v>
      </c>
      <c r="O190" s="147">
        <v>15010000</v>
      </c>
      <c r="P190" s="38">
        <v>46092</v>
      </c>
      <c r="Q190" s="41"/>
      <c r="R190" s="41"/>
    </row>
    <row r="191" spans="1:18" ht="38" thickBot="1">
      <c r="A191" s="146"/>
      <c r="B191" s="37" t="s">
        <v>123</v>
      </c>
      <c r="C191" s="38">
        <v>46090</v>
      </c>
      <c r="D191" s="39">
        <v>0.67638888888888893</v>
      </c>
      <c r="E191" s="41"/>
      <c r="F191" s="37" t="s">
        <v>1164</v>
      </c>
      <c r="G191" s="37" t="s">
        <v>1165</v>
      </c>
      <c r="H191" s="38">
        <v>46090</v>
      </c>
      <c r="I191" s="39">
        <v>0.71250000000000002</v>
      </c>
      <c r="J191" s="41" t="s">
        <v>386</v>
      </c>
      <c r="K191" s="37" t="s">
        <v>79</v>
      </c>
      <c r="L191" s="40" t="s">
        <v>768</v>
      </c>
      <c r="M191" s="37">
        <v>50</v>
      </c>
      <c r="N191" s="37">
        <v>2</v>
      </c>
      <c r="O191" s="41"/>
      <c r="P191" s="38">
        <v>46092</v>
      </c>
      <c r="Q191" s="41"/>
      <c r="R191" s="41"/>
    </row>
    <row r="192" spans="1:18" ht="23.5" thickBot="1">
      <c r="A192" s="146"/>
      <c r="B192" s="37">
        <v>1379896</v>
      </c>
      <c r="C192" s="38">
        <v>46090</v>
      </c>
      <c r="D192" s="39">
        <v>0.42916666666666664</v>
      </c>
      <c r="E192" s="41"/>
      <c r="F192" s="37" t="s">
        <v>1166</v>
      </c>
      <c r="G192" s="37" t="s">
        <v>1167</v>
      </c>
      <c r="H192" s="38">
        <v>46090</v>
      </c>
      <c r="I192" s="39">
        <v>0.71527777777777779</v>
      </c>
      <c r="J192" s="41" t="s">
        <v>51</v>
      </c>
      <c r="K192" s="37" t="s">
        <v>784</v>
      </c>
      <c r="L192" s="40" t="s">
        <v>112</v>
      </c>
      <c r="M192" s="37">
        <v>200</v>
      </c>
      <c r="N192" s="37">
        <v>8</v>
      </c>
      <c r="O192" s="41"/>
      <c r="P192" s="38">
        <v>46092</v>
      </c>
      <c r="Q192" s="41"/>
      <c r="R192" s="41"/>
    </row>
    <row r="193" spans="1:18" ht="23.5" thickBot="1">
      <c r="A193" s="146"/>
      <c r="B193" s="37">
        <v>1379896</v>
      </c>
      <c r="C193" s="38">
        <v>46090</v>
      </c>
      <c r="D193" s="39">
        <v>0.42916666666666664</v>
      </c>
      <c r="E193" s="41"/>
      <c r="F193" s="37" t="s">
        <v>1166</v>
      </c>
      <c r="G193" s="37" t="s">
        <v>1167</v>
      </c>
      <c r="H193" s="38">
        <v>46090</v>
      </c>
      <c r="I193" s="39">
        <v>0.71527777777777779</v>
      </c>
      <c r="J193" s="41" t="s">
        <v>51</v>
      </c>
      <c r="K193" s="37" t="s">
        <v>784</v>
      </c>
      <c r="L193" s="40" t="s">
        <v>590</v>
      </c>
      <c r="M193" s="37">
        <v>144</v>
      </c>
      <c r="N193" s="37">
        <v>6</v>
      </c>
      <c r="O193" s="41"/>
      <c r="P193" s="38">
        <v>46092</v>
      </c>
      <c r="Q193" s="41"/>
      <c r="R193" s="41"/>
    </row>
    <row r="194" spans="1:18" ht="23.5" thickBot="1">
      <c r="A194" s="146"/>
      <c r="B194" s="37">
        <v>1379896</v>
      </c>
      <c r="C194" s="38">
        <v>46090</v>
      </c>
      <c r="D194" s="39">
        <v>0.42916666666666664</v>
      </c>
      <c r="E194" s="41"/>
      <c r="F194" s="37" t="s">
        <v>1168</v>
      </c>
      <c r="G194" s="37" t="s">
        <v>1169</v>
      </c>
      <c r="H194" s="38">
        <v>46090</v>
      </c>
      <c r="I194" s="39">
        <v>0.71527777777777779</v>
      </c>
      <c r="J194" s="41" t="s">
        <v>51</v>
      </c>
      <c r="K194" s="37" t="s">
        <v>784</v>
      </c>
      <c r="L194" s="40" t="s">
        <v>912</v>
      </c>
      <c r="M194" s="37">
        <v>15</v>
      </c>
      <c r="N194" s="37">
        <v>1</v>
      </c>
      <c r="O194" s="37">
        <v>0</v>
      </c>
      <c r="P194" s="38">
        <v>46092</v>
      </c>
      <c r="Q194" s="41"/>
      <c r="R194" s="41"/>
    </row>
    <row r="195" spans="1:18" ht="13.5" thickBot="1">
      <c r="A195" s="146"/>
      <c r="B195" s="37">
        <v>4500087433</v>
      </c>
      <c r="C195" s="38">
        <v>46090</v>
      </c>
      <c r="D195" s="39">
        <v>0.44513888888888886</v>
      </c>
      <c r="E195" s="41"/>
      <c r="F195" s="37" t="s">
        <v>1170</v>
      </c>
      <c r="G195" s="37" t="s">
        <v>1171</v>
      </c>
      <c r="H195" s="38">
        <v>46090</v>
      </c>
      <c r="I195" s="39">
        <v>0.72777777777777775</v>
      </c>
      <c r="J195" s="41" t="s">
        <v>759</v>
      </c>
      <c r="K195" s="37" t="s">
        <v>375</v>
      </c>
      <c r="L195" s="40" t="s">
        <v>1172</v>
      </c>
      <c r="M195" s="37">
        <v>2500</v>
      </c>
      <c r="N195" s="37">
        <v>100</v>
      </c>
      <c r="O195" s="147">
        <v>48125000</v>
      </c>
      <c r="P195" s="38">
        <v>46091</v>
      </c>
      <c r="Q195" s="41"/>
      <c r="R195" s="41"/>
    </row>
    <row r="196" spans="1:18" ht="13.5" thickBot="1">
      <c r="A196" s="146"/>
      <c r="B196" s="37">
        <v>4500087433</v>
      </c>
      <c r="C196" s="38">
        <v>46090</v>
      </c>
      <c r="D196" s="39">
        <v>0.44513888888888886</v>
      </c>
      <c r="E196" s="41"/>
      <c r="F196" s="37" t="s">
        <v>1170</v>
      </c>
      <c r="G196" s="37" t="s">
        <v>1171</v>
      </c>
      <c r="H196" s="38">
        <v>46090</v>
      </c>
      <c r="I196" s="39">
        <v>0.72777777777777775</v>
      </c>
      <c r="J196" s="41" t="s">
        <v>759</v>
      </c>
      <c r="K196" s="37" t="s">
        <v>375</v>
      </c>
      <c r="L196" s="40" t="s">
        <v>884</v>
      </c>
      <c r="M196" s="37">
        <v>600</v>
      </c>
      <c r="N196" s="37">
        <v>24</v>
      </c>
      <c r="O196" s="147">
        <v>11805000</v>
      </c>
      <c r="P196" s="38">
        <v>46091</v>
      </c>
      <c r="Q196" s="41"/>
      <c r="R196" s="41"/>
    </row>
    <row r="197" spans="1:18" ht="13.5" thickBot="1">
      <c r="A197" s="146"/>
      <c r="B197" s="37">
        <v>4500087433</v>
      </c>
      <c r="C197" s="38">
        <v>46090</v>
      </c>
      <c r="D197" s="39">
        <v>0.44513888888888886</v>
      </c>
      <c r="E197" s="41"/>
      <c r="F197" s="37" t="s">
        <v>1170</v>
      </c>
      <c r="G197" s="37" t="s">
        <v>1171</v>
      </c>
      <c r="H197" s="38">
        <v>46090</v>
      </c>
      <c r="I197" s="39">
        <v>0.72777777777777775</v>
      </c>
      <c r="J197" s="41" t="s">
        <v>759</v>
      </c>
      <c r="K197" s="37" t="s">
        <v>375</v>
      </c>
      <c r="L197" s="40" t="s">
        <v>116</v>
      </c>
      <c r="M197" s="37">
        <v>1600</v>
      </c>
      <c r="N197" s="37">
        <v>64</v>
      </c>
      <c r="O197" s="147">
        <v>30800000</v>
      </c>
      <c r="P197" s="38">
        <v>46091</v>
      </c>
      <c r="Q197" s="41"/>
      <c r="R197" s="41"/>
    </row>
    <row r="198" spans="1:18" ht="13.5" thickBot="1">
      <c r="A198" s="146"/>
      <c r="B198" s="37">
        <v>4500087433</v>
      </c>
      <c r="C198" s="38">
        <v>46090</v>
      </c>
      <c r="D198" s="39">
        <v>0.44513888888888886</v>
      </c>
      <c r="E198" s="41"/>
      <c r="F198" s="37" t="s">
        <v>1170</v>
      </c>
      <c r="G198" s="37" t="s">
        <v>1171</v>
      </c>
      <c r="H198" s="38">
        <v>46090</v>
      </c>
      <c r="I198" s="39">
        <v>0.72777777777777775</v>
      </c>
      <c r="J198" s="41" t="s">
        <v>759</v>
      </c>
      <c r="K198" s="37" t="s">
        <v>375</v>
      </c>
      <c r="L198" s="40" t="s">
        <v>194</v>
      </c>
      <c r="M198" s="37">
        <v>100</v>
      </c>
      <c r="N198" s="37">
        <v>4</v>
      </c>
      <c r="O198" s="147">
        <v>1760000</v>
      </c>
      <c r="P198" s="38">
        <v>46091</v>
      </c>
      <c r="Q198" s="41"/>
      <c r="R198" s="41"/>
    </row>
    <row r="199" spans="1:18" ht="13.5" thickBot="1">
      <c r="A199" s="146"/>
      <c r="B199" s="37">
        <v>4500087433</v>
      </c>
      <c r="C199" s="38">
        <v>46090</v>
      </c>
      <c r="D199" s="39">
        <v>0.44513888888888886</v>
      </c>
      <c r="E199" s="41"/>
      <c r="F199" s="37" t="s">
        <v>1170</v>
      </c>
      <c r="G199" s="37" t="s">
        <v>1171</v>
      </c>
      <c r="H199" s="38">
        <v>46090</v>
      </c>
      <c r="I199" s="39">
        <v>0.72777777777777775</v>
      </c>
      <c r="J199" s="41" t="s">
        <v>759</v>
      </c>
      <c r="K199" s="37" t="s">
        <v>375</v>
      </c>
      <c r="L199" s="40" t="s">
        <v>111</v>
      </c>
      <c r="M199" s="37">
        <v>200</v>
      </c>
      <c r="N199" s="37">
        <v>8</v>
      </c>
      <c r="O199" s="147">
        <v>4950000</v>
      </c>
      <c r="P199" s="38">
        <v>46091</v>
      </c>
      <c r="Q199" s="41"/>
      <c r="R199" s="41"/>
    </row>
    <row r="200" spans="1:18" ht="13.5" thickBot="1">
      <c r="A200" s="146"/>
      <c r="B200" s="37">
        <v>4500087433</v>
      </c>
      <c r="C200" s="38">
        <v>46090</v>
      </c>
      <c r="D200" s="39">
        <v>0.44513888888888886</v>
      </c>
      <c r="E200" s="41"/>
      <c r="F200" s="37" t="s">
        <v>1173</v>
      </c>
      <c r="G200" s="37" t="s">
        <v>1174</v>
      </c>
      <c r="H200" s="38">
        <v>46090</v>
      </c>
      <c r="I200" s="39">
        <v>0.72777777777777775</v>
      </c>
      <c r="J200" s="41" t="s">
        <v>759</v>
      </c>
      <c r="K200" s="37" t="s">
        <v>375</v>
      </c>
      <c r="L200" s="40" t="s">
        <v>676</v>
      </c>
      <c r="M200" s="37">
        <v>100</v>
      </c>
      <c r="N200" s="37">
        <v>4</v>
      </c>
      <c r="O200" s="147">
        <v>3450000</v>
      </c>
      <c r="P200" s="38">
        <v>46091</v>
      </c>
      <c r="Q200" s="41"/>
      <c r="R200" s="41"/>
    </row>
    <row r="201" spans="1:18" ht="13.5" thickBot="1">
      <c r="A201" s="146"/>
      <c r="B201" s="37">
        <v>1379900</v>
      </c>
      <c r="C201" s="38">
        <v>46090</v>
      </c>
      <c r="D201" s="39">
        <v>0.42916666666666664</v>
      </c>
      <c r="E201" s="41"/>
      <c r="F201" s="37" t="s">
        <v>1175</v>
      </c>
      <c r="G201" s="37" t="s">
        <v>1176</v>
      </c>
      <c r="H201" s="38">
        <v>46090</v>
      </c>
      <c r="I201" s="39">
        <v>0.73263888888888884</v>
      </c>
      <c r="J201" s="41" t="s">
        <v>51</v>
      </c>
      <c r="K201" s="37" t="s">
        <v>78</v>
      </c>
      <c r="L201" s="40" t="s">
        <v>207</v>
      </c>
      <c r="M201" s="37">
        <v>12</v>
      </c>
      <c r="N201" s="37">
        <v>0</v>
      </c>
      <c r="O201" s="147">
        <v>5127000</v>
      </c>
      <c r="P201" s="38">
        <v>46091</v>
      </c>
      <c r="Q201" s="41"/>
      <c r="R201" s="41"/>
    </row>
    <row r="202" spans="1:18" ht="13.5" thickBot="1">
      <c r="A202" s="146"/>
      <c r="B202" s="41"/>
      <c r="C202" s="38">
        <v>46090</v>
      </c>
      <c r="D202" s="39">
        <v>0.60416666666666663</v>
      </c>
      <c r="E202" s="41"/>
      <c r="F202" s="37" t="s">
        <v>1177</v>
      </c>
      <c r="G202" s="37" t="s">
        <v>1178</v>
      </c>
      <c r="H202" s="38">
        <v>46090</v>
      </c>
      <c r="I202" s="39">
        <v>7.4305555555555555E-2</v>
      </c>
      <c r="J202" s="41" t="s">
        <v>45</v>
      </c>
      <c r="K202" s="37" t="s">
        <v>78</v>
      </c>
      <c r="L202" s="40" t="s">
        <v>207</v>
      </c>
      <c r="M202" s="37">
        <v>4</v>
      </c>
      <c r="N202" s="37">
        <v>0</v>
      </c>
      <c r="O202" s="147">
        <v>2080000</v>
      </c>
      <c r="P202" s="38">
        <v>46091</v>
      </c>
      <c r="Q202" s="41"/>
      <c r="R202" s="41"/>
    </row>
    <row r="203" spans="1:18" ht="13.5" thickBot="1">
      <c r="A203" s="146"/>
      <c r="B203" s="37" t="s">
        <v>1179</v>
      </c>
      <c r="C203" s="38">
        <v>46090</v>
      </c>
      <c r="D203" s="39">
        <v>0.74722222222222223</v>
      </c>
      <c r="E203" s="41"/>
      <c r="F203" s="37" t="s">
        <v>1180</v>
      </c>
      <c r="G203" s="79" t="s">
        <v>1181</v>
      </c>
      <c r="H203" s="38">
        <v>46091</v>
      </c>
      <c r="I203" s="39">
        <v>0.30902777777777779</v>
      </c>
      <c r="J203" s="41" t="s">
        <v>355</v>
      </c>
      <c r="K203" s="37" t="s">
        <v>114</v>
      </c>
      <c r="L203" s="40" t="s">
        <v>194</v>
      </c>
      <c r="M203" s="37">
        <v>50</v>
      </c>
      <c r="N203" s="37">
        <v>2</v>
      </c>
      <c r="O203" s="147">
        <v>994500</v>
      </c>
      <c r="P203" s="38">
        <v>46092</v>
      </c>
      <c r="Q203" s="41"/>
      <c r="R203" s="41"/>
    </row>
    <row r="204" spans="1:18" ht="13.5" thickBot="1">
      <c r="A204" s="146"/>
      <c r="B204" s="37" t="s">
        <v>1179</v>
      </c>
      <c r="C204" s="38">
        <v>46090</v>
      </c>
      <c r="D204" s="39">
        <v>0.74722222222222223</v>
      </c>
      <c r="E204" s="41"/>
      <c r="F204" s="37" t="s">
        <v>1180</v>
      </c>
      <c r="G204" s="224" t="s">
        <v>1181</v>
      </c>
      <c r="H204" s="38">
        <v>46091</v>
      </c>
      <c r="I204" s="39">
        <v>0.30902777777777779</v>
      </c>
      <c r="J204" s="41" t="s">
        <v>355</v>
      </c>
      <c r="K204" s="37" t="s">
        <v>114</v>
      </c>
      <c r="L204" s="40" t="s">
        <v>111</v>
      </c>
      <c r="M204" s="37">
        <v>600</v>
      </c>
      <c r="N204" s="37">
        <v>24</v>
      </c>
      <c r="O204" s="147">
        <v>15300000</v>
      </c>
      <c r="P204" s="38">
        <v>46092</v>
      </c>
      <c r="Q204" s="41"/>
      <c r="R204" s="41"/>
    </row>
    <row r="205" spans="1:18" ht="13.5" thickBot="1">
      <c r="A205" s="146"/>
      <c r="B205" s="37" t="s">
        <v>1179</v>
      </c>
      <c r="C205" s="38">
        <v>46090</v>
      </c>
      <c r="D205" s="39">
        <v>0.74722222222222223</v>
      </c>
      <c r="E205" s="41"/>
      <c r="F205" s="37" t="s">
        <v>1180</v>
      </c>
      <c r="G205" s="224" t="s">
        <v>1181</v>
      </c>
      <c r="H205" s="38">
        <v>46091</v>
      </c>
      <c r="I205" s="39">
        <v>0.30902777777777779</v>
      </c>
      <c r="J205" s="41" t="s">
        <v>355</v>
      </c>
      <c r="K205" s="37" t="s">
        <v>114</v>
      </c>
      <c r="L205" s="40" t="s">
        <v>773</v>
      </c>
      <c r="M205" s="37">
        <v>700</v>
      </c>
      <c r="N205" s="37">
        <v>28</v>
      </c>
      <c r="O205" s="147">
        <v>11340000</v>
      </c>
      <c r="P205" s="38">
        <v>46092</v>
      </c>
      <c r="Q205" s="41"/>
      <c r="R205" s="41"/>
    </row>
    <row r="206" spans="1:18" ht="13.5" thickBot="1">
      <c r="A206" s="146"/>
      <c r="B206" s="37" t="s">
        <v>1179</v>
      </c>
      <c r="C206" s="38">
        <v>46090</v>
      </c>
      <c r="D206" s="39">
        <v>0.74722222222222223</v>
      </c>
      <c r="E206" s="41"/>
      <c r="F206" s="37" t="s">
        <v>1180</v>
      </c>
      <c r="G206" s="224" t="s">
        <v>1181</v>
      </c>
      <c r="H206" s="38">
        <v>46091</v>
      </c>
      <c r="I206" s="39">
        <v>0.30902777777777779</v>
      </c>
      <c r="J206" s="41" t="s">
        <v>355</v>
      </c>
      <c r="K206" s="37" t="s">
        <v>114</v>
      </c>
      <c r="L206" s="40" t="s">
        <v>115</v>
      </c>
      <c r="M206" s="37">
        <v>75</v>
      </c>
      <c r="N206" s="37">
        <v>3</v>
      </c>
      <c r="O206" s="147">
        <v>7687500</v>
      </c>
      <c r="P206" s="38">
        <v>46092</v>
      </c>
      <c r="Q206" s="41"/>
      <c r="R206" s="41"/>
    </row>
    <row r="207" spans="1:18" ht="13.5" thickBot="1">
      <c r="A207" s="146"/>
      <c r="B207" s="37" t="s">
        <v>1179</v>
      </c>
      <c r="C207" s="38">
        <v>46090</v>
      </c>
      <c r="D207" s="39">
        <v>0.74722222222222223</v>
      </c>
      <c r="E207" s="41"/>
      <c r="F207" s="37" t="s">
        <v>1180</v>
      </c>
      <c r="G207" s="79" t="s">
        <v>1181</v>
      </c>
      <c r="H207" s="38">
        <v>46091</v>
      </c>
      <c r="I207" s="39">
        <v>0.30902777777777779</v>
      </c>
      <c r="J207" s="41" t="s">
        <v>355</v>
      </c>
      <c r="K207" s="37" t="s">
        <v>114</v>
      </c>
      <c r="L207" s="40" t="s">
        <v>209</v>
      </c>
      <c r="M207" s="37">
        <v>50</v>
      </c>
      <c r="N207" s="37">
        <v>2</v>
      </c>
      <c r="O207" s="147">
        <v>8210000</v>
      </c>
      <c r="P207" s="38">
        <v>46092</v>
      </c>
      <c r="Q207" s="41"/>
      <c r="R207" s="41"/>
    </row>
    <row r="208" spans="1:18" ht="23.5" thickBot="1">
      <c r="A208" s="146"/>
      <c r="B208" s="37" t="s">
        <v>1182</v>
      </c>
      <c r="C208" s="38">
        <v>46090</v>
      </c>
      <c r="D208" s="39">
        <v>0.70625000000000004</v>
      </c>
      <c r="E208" s="41"/>
      <c r="F208" s="37" t="s">
        <v>1183</v>
      </c>
      <c r="G208" s="79" t="s">
        <v>1184</v>
      </c>
      <c r="H208" s="38">
        <v>46091</v>
      </c>
      <c r="I208" s="39">
        <v>0.31874999999999998</v>
      </c>
      <c r="J208" s="41" t="s">
        <v>169</v>
      </c>
      <c r="K208" s="37" t="s">
        <v>331</v>
      </c>
      <c r="L208" s="40" t="s">
        <v>194</v>
      </c>
      <c r="M208" s="37">
        <v>1000</v>
      </c>
      <c r="N208" s="37">
        <v>40</v>
      </c>
      <c r="O208" s="147">
        <v>19500000</v>
      </c>
      <c r="P208" s="38">
        <v>46092</v>
      </c>
      <c r="Q208" s="41"/>
      <c r="R208" s="41"/>
    </row>
    <row r="209" spans="1:18" ht="23.5" thickBot="1">
      <c r="A209" s="146"/>
      <c r="B209" s="37">
        <v>1379915</v>
      </c>
      <c r="C209" s="38">
        <v>46090</v>
      </c>
      <c r="D209" s="39">
        <v>0.43958333333333333</v>
      </c>
      <c r="E209" s="41"/>
      <c r="F209" s="37" t="s">
        <v>1185</v>
      </c>
      <c r="G209" s="37" t="s">
        <v>1186</v>
      </c>
      <c r="H209" s="38">
        <v>46091</v>
      </c>
      <c r="I209" s="39">
        <v>0.32083333333333336</v>
      </c>
      <c r="J209" s="41" t="s">
        <v>30</v>
      </c>
      <c r="K209" s="37" t="s">
        <v>79</v>
      </c>
      <c r="L209" s="40" t="s">
        <v>158</v>
      </c>
      <c r="M209" s="37">
        <v>50</v>
      </c>
      <c r="N209" s="37">
        <v>2</v>
      </c>
      <c r="O209" s="147">
        <v>1950000</v>
      </c>
      <c r="P209" s="38">
        <v>46092</v>
      </c>
      <c r="Q209" s="41"/>
      <c r="R209" s="41"/>
    </row>
    <row r="210" spans="1:18" ht="23.5" thickBot="1">
      <c r="A210" s="146"/>
      <c r="B210" s="37">
        <v>1380339</v>
      </c>
      <c r="C210" s="38">
        <v>46090</v>
      </c>
      <c r="D210" s="39">
        <v>0.68888888888888888</v>
      </c>
      <c r="E210" s="41"/>
      <c r="F210" s="37" t="s">
        <v>1187</v>
      </c>
      <c r="G210" s="37" t="s">
        <v>1188</v>
      </c>
      <c r="H210" s="38">
        <v>46091</v>
      </c>
      <c r="I210" s="39">
        <v>0.34513888888888888</v>
      </c>
      <c r="J210" s="41" t="s">
        <v>51</v>
      </c>
      <c r="K210" s="37" t="s">
        <v>784</v>
      </c>
      <c r="L210" s="40" t="s">
        <v>815</v>
      </c>
      <c r="M210" s="37">
        <v>13</v>
      </c>
      <c r="N210" s="37">
        <v>1</v>
      </c>
      <c r="O210" s="147">
        <v>2992600</v>
      </c>
      <c r="P210" s="38">
        <v>46091</v>
      </c>
      <c r="Q210" s="41"/>
      <c r="R210" s="41"/>
    </row>
    <row r="211" spans="1:18" ht="23.5" thickBot="1">
      <c r="A211" s="146"/>
      <c r="B211" s="37">
        <v>1380339</v>
      </c>
      <c r="C211" s="38">
        <v>46090</v>
      </c>
      <c r="D211" s="39">
        <v>0.68888888888888888</v>
      </c>
      <c r="E211" s="41"/>
      <c r="F211" s="37" t="s">
        <v>1189</v>
      </c>
      <c r="G211" s="37" t="s">
        <v>1190</v>
      </c>
      <c r="H211" s="38">
        <v>46091</v>
      </c>
      <c r="I211" s="39">
        <v>0.34513888888888888</v>
      </c>
      <c r="J211" s="41" t="s">
        <v>51</v>
      </c>
      <c r="K211" s="37" t="s">
        <v>784</v>
      </c>
      <c r="L211" s="40" t="s">
        <v>912</v>
      </c>
      <c r="M211" s="37">
        <v>1</v>
      </c>
      <c r="N211" s="37">
        <v>0</v>
      </c>
      <c r="O211" s="37">
        <v>0</v>
      </c>
      <c r="P211" s="38">
        <v>46091</v>
      </c>
      <c r="Q211" s="41"/>
      <c r="R211" s="41"/>
    </row>
    <row r="212" spans="1:18" ht="23.5" thickBot="1">
      <c r="A212" s="146"/>
      <c r="B212" s="37">
        <v>1380290</v>
      </c>
      <c r="C212" s="38">
        <v>46090</v>
      </c>
      <c r="D212" s="39">
        <v>0.66874999999999996</v>
      </c>
      <c r="E212" s="41"/>
      <c r="F212" s="37" t="s">
        <v>1191</v>
      </c>
      <c r="G212" s="37" t="s">
        <v>1192</v>
      </c>
      <c r="H212" s="38">
        <v>46091</v>
      </c>
      <c r="I212" s="39">
        <v>0.34861111111111109</v>
      </c>
      <c r="J212" s="41" t="s">
        <v>30</v>
      </c>
      <c r="K212" s="37" t="s">
        <v>80</v>
      </c>
      <c r="L212" s="40" t="s">
        <v>762</v>
      </c>
      <c r="M212" s="37">
        <v>50</v>
      </c>
      <c r="N212" s="37">
        <v>2</v>
      </c>
      <c r="O212" s="147">
        <v>2593000</v>
      </c>
      <c r="P212" s="38">
        <v>46093</v>
      </c>
      <c r="Q212" s="41"/>
      <c r="R212" s="41"/>
    </row>
    <row r="213" spans="1:18" ht="23.5" thickBot="1">
      <c r="A213" s="298"/>
      <c r="B213" s="66" t="s">
        <v>831</v>
      </c>
      <c r="C213" s="64">
        <v>46078</v>
      </c>
      <c r="D213" s="65">
        <v>0.57499999999999996</v>
      </c>
      <c r="E213" s="63"/>
      <c r="F213" s="66" t="s">
        <v>832</v>
      </c>
      <c r="G213" s="66" t="s">
        <v>1193</v>
      </c>
      <c r="H213" s="64">
        <v>46078</v>
      </c>
      <c r="I213" s="65">
        <v>0.62847222222222221</v>
      </c>
      <c r="J213" s="63" t="s">
        <v>381</v>
      </c>
      <c r="K213" s="66" t="s">
        <v>114</v>
      </c>
      <c r="L213" s="70" t="s">
        <v>194</v>
      </c>
      <c r="M213" s="66">
        <v>175</v>
      </c>
      <c r="N213" s="66">
        <v>7</v>
      </c>
      <c r="O213" s="215">
        <v>3412000</v>
      </c>
      <c r="P213" s="64">
        <v>46080</v>
      </c>
      <c r="Q213" s="63"/>
      <c r="R213" s="63"/>
    </row>
    <row r="214" spans="1:18" ht="23.5" thickBot="1">
      <c r="A214" s="298"/>
      <c r="B214" s="66" t="s">
        <v>831</v>
      </c>
      <c r="C214" s="64">
        <v>46078</v>
      </c>
      <c r="D214" s="65">
        <v>0.57499999999999996</v>
      </c>
      <c r="E214" s="63"/>
      <c r="F214" s="66" t="s">
        <v>835</v>
      </c>
      <c r="G214" s="66" t="s">
        <v>1194</v>
      </c>
      <c r="H214" s="64">
        <v>46078</v>
      </c>
      <c r="I214" s="65">
        <v>0.62847222222222221</v>
      </c>
      <c r="J214" s="63" t="s">
        <v>381</v>
      </c>
      <c r="K214" s="66" t="s">
        <v>114</v>
      </c>
      <c r="L214" s="70" t="s">
        <v>760</v>
      </c>
      <c r="M214" s="66">
        <v>25</v>
      </c>
      <c r="N214" s="66">
        <v>1</v>
      </c>
      <c r="O214" s="215">
        <v>6000000</v>
      </c>
      <c r="P214" s="64">
        <v>46080</v>
      </c>
      <c r="Q214" s="63"/>
      <c r="R214" s="63"/>
    </row>
    <row r="215" spans="1:18" ht="23.5" thickBot="1">
      <c r="A215" s="146"/>
      <c r="B215" s="37" t="s">
        <v>1195</v>
      </c>
      <c r="C215" s="38">
        <v>46090</v>
      </c>
      <c r="D215" s="39">
        <v>0.39791666666666664</v>
      </c>
      <c r="E215" s="41"/>
      <c r="F215" s="37" t="s">
        <v>1196</v>
      </c>
      <c r="G215" s="79" t="s">
        <v>1197</v>
      </c>
      <c r="H215" s="38">
        <v>46091</v>
      </c>
      <c r="I215" s="39">
        <v>0.45</v>
      </c>
      <c r="J215" s="41" t="s">
        <v>323</v>
      </c>
      <c r="K215" s="37" t="s">
        <v>377</v>
      </c>
      <c r="L215" s="40" t="s">
        <v>188</v>
      </c>
      <c r="M215" s="37">
        <v>4</v>
      </c>
      <c r="N215" s="37">
        <v>0</v>
      </c>
      <c r="O215" s="147">
        <v>232000</v>
      </c>
      <c r="P215" s="38">
        <v>46091</v>
      </c>
      <c r="Q215" s="41"/>
      <c r="R215" s="41"/>
    </row>
    <row r="216" spans="1:18" ht="23.5" thickBot="1">
      <c r="A216" s="146"/>
      <c r="B216" s="37" t="s">
        <v>1195</v>
      </c>
      <c r="C216" s="38">
        <v>46090</v>
      </c>
      <c r="D216" s="39">
        <v>0.39791666666666664</v>
      </c>
      <c r="E216" s="41"/>
      <c r="F216" s="37" t="s">
        <v>1198</v>
      </c>
      <c r="G216" s="79" t="s">
        <v>1199</v>
      </c>
      <c r="H216" s="38">
        <v>46091</v>
      </c>
      <c r="I216" s="39">
        <v>0.45</v>
      </c>
      <c r="J216" s="41" t="s">
        <v>323</v>
      </c>
      <c r="K216" s="37" t="s">
        <v>377</v>
      </c>
      <c r="L216" s="40" t="s">
        <v>912</v>
      </c>
      <c r="M216" s="37">
        <v>0.3</v>
      </c>
      <c r="N216" s="37">
        <v>0</v>
      </c>
      <c r="O216" s="37">
        <v>0</v>
      </c>
      <c r="P216" s="38">
        <v>46091</v>
      </c>
      <c r="Q216" s="41"/>
      <c r="R216" s="41"/>
    </row>
    <row r="217" spans="1:18" ht="23.5" thickBot="1">
      <c r="A217" s="146"/>
      <c r="B217" s="41"/>
      <c r="C217" s="38">
        <v>46090</v>
      </c>
      <c r="D217" s="39">
        <v>0.44791666666666669</v>
      </c>
      <c r="E217" s="41"/>
      <c r="F217" s="37" t="s">
        <v>1200</v>
      </c>
      <c r="G217" s="37" t="s">
        <v>1201</v>
      </c>
      <c r="H217" s="38">
        <v>46091</v>
      </c>
      <c r="I217" s="39">
        <v>0.45624999999999999</v>
      </c>
      <c r="J217" s="41" t="s">
        <v>920</v>
      </c>
      <c r="K217" s="37" t="s">
        <v>377</v>
      </c>
      <c r="L217" s="40" t="s">
        <v>773</v>
      </c>
      <c r="M217" s="37">
        <v>600</v>
      </c>
      <c r="N217" s="37">
        <v>24</v>
      </c>
      <c r="O217" s="147">
        <v>9480000</v>
      </c>
      <c r="P217" s="38">
        <v>46091</v>
      </c>
      <c r="Q217" s="41"/>
      <c r="R217" s="41"/>
    </row>
    <row r="218" spans="1:18" ht="13.5" thickBot="1">
      <c r="A218" s="146"/>
      <c r="B218" s="37">
        <v>1380941</v>
      </c>
      <c r="C218" s="38">
        <v>46090</v>
      </c>
      <c r="D218" s="39">
        <v>0.43958333333333333</v>
      </c>
      <c r="E218" s="41"/>
      <c r="F218" s="37" t="s">
        <v>1202</v>
      </c>
      <c r="G218" s="37" t="s">
        <v>1203</v>
      </c>
      <c r="H218" s="38">
        <v>46091</v>
      </c>
      <c r="I218" s="39">
        <v>0.48125000000000001</v>
      </c>
      <c r="J218" s="41" t="s">
        <v>30</v>
      </c>
      <c r="K218" s="37" t="s">
        <v>79</v>
      </c>
      <c r="L218" s="40" t="s">
        <v>158</v>
      </c>
      <c r="M218" s="37">
        <v>100</v>
      </c>
      <c r="N218" s="37">
        <v>4</v>
      </c>
      <c r="O218" s="147">
        <v>3900000</v>
      </c>
      <c r="P218" s="38">
        <v>46092</v>
      </c>
      <c r="Q218" s="41"/>
      <c r="R218" s="41"/>
    </row>
    <row r="219" spans="1:18" ht="13.5" thickBot="1">
      <c r="A219" s="146"/>
      <c r="B219" s="37">
        <v>1380909</v>
      </c>
      <c r="C219" s="38">
        <v>46090</v>
      </c>
      <c r="D219" s="39">
        <v>0.50208333333333333</v>
      </c>
      <c r="E219" s="41"/>
      <c r="F219" s="37" t="s">
        <v>1204</v>
      </c>
      <c r="G219" s="79" t="s">
        <v>1205</v>
      </c>
      <c r="H219" s="38">
        <v>46091</v>
      </c>
      <c r="I219" s="39">
        <v>0.50972222222222219</v>
      </c>
      <c r="J219" s="41" t="s">
        <v>30</v>
      </c>
      <c r="K219" s="37" t="s">
        <v>175</v>
      </c>
      <c r="L219" s="40" t="s">
        <v>768</v>
      </c>
      <c r="M219" s="37">
        <v>50</v>
      </c>
      <c r="N219" s="37">
        <v>2</v>
      </c>
      <c r="O219" s="147">
        <v>9010000</v>
      </c>
      <c r="P219" s="38">
        <v>46094</v>
      </c>
      <c r="Q219" s="41"/>
      <c r="R219" s="41"/>
    </row>
    <row r="220" spans="1:18" ht="23.5" thickBot="1">
      <c r="A220" s="146"/>
      <c r="B220" s="37" t="s">
        <v>1206</v>
      </c>
      <c r="C220" s="38">
        <v>46091</v>
      </c>
      <c r="D220" s="39">
        <v>0.47083333333333333</v>
      </c>
      <c r="E220" s="41"/>
      <c r="F220" s="37" t="s">
        <v>1207</v>
      </c>
      <c r="G220" s="79" t="s">
        <v>1208</v>
      </c>
      <c r="H220" s="38">
        <v>46091</v>
      </c>
      <c r="I220" s="39">
        <v>0.51388888888888884</v>
      </c>
      <c r="J220" s="41" t="s">
        <v>169</v>
      </c>
      <c r="K220" s="37" t="s">
        <v>147</v>
      </c>
      <c r="L220" s="40" t="s">
        <v>212</v>
      </c>
      <c r="M220" s="37">
        <v>200</v>
      </c>
      <c r="N220" s="37">
        <v>8</v>
      </c>
      <c r="O220" s="147">
        <v>5260000</v>
      </c>
      <c r="P220" s="38">
        <v>46094</v>
      </c>
      <c r="Q220" s="41"/>
      <c r="R220" s="41"/>
    </row>
    <row r="221" spans="1:18" ht="23.5" thickBot="1">
      <c r="A221" s="146"/>
      <c r="B221" s="37" t="s">
        <v>1206</v>
      </c>
      <c r="C221" s="38">
        <v>46091</v>
      </c>
      <c r="D221" s="39">
        <v>0.47083333333333333</v>
      </c>
      <c r="E221" s="41"/>
      <c r="F221" s="37" t="s">
        <v>1207</v>
      </c>
      <c r="G221" s="79" t="s">
        <v>1208</v>
      </c>
      <c r="H221" s="38">
        <v>46091</v>
      </c>
      <c r="I221" s="39">
        <v>0.51388888888888884</v>
      </c>
      <c r="J221" s="41" t="s">
        <v>169</v>
      </c>
      <c r="K221" s="37" t="s">
        <v>147</v>
      </c>
      <c r="L221" s="40" t="s">
        <v>194</v>
      </c>
      <c r="M221" s="37">
        <v>200</v>
      </c>
      <c r="N221" s="37">
        <v>8</v>
      </c>
      <c r="O221" s="147">
        <v>3900000</v>
      </c>
      <c r="P221" s="38">
        <v>46094</v>
      </c>
      <c r="Q221" s="41"/>
      <c r="R221" s="41"/>
    </row>
    <row r="222" spans="1:18" ht="23.5" thickBot="1">
      <c r="A222" s="146"/>
      <c r="B222" s="37" t="s">
        <v>1206</v>
      </c>
      <c r="C222" s="38">
        <v>46091</v>
      </c>
      <c r="D222" s="39">
        <v>0.47083333333333333</v>
      </c>
      <c r="E222" s="41"/>
      <c r="F222" s="37" t="s">
        <v>1207</v>
      </c>
      <c r="G222" s="37" t="s">
        <v>1208</v>
      </c>
      <c r="H222" s="38">
        <v>46091</v>
      </c>
      <c r="I222" s="39">
        <v>0.51388888888888884</v>
      </c>
      <c r="J222" s="41" t="s">
        <v>169</v>
      </c>
      <c r="K222" s="37" t="s">
        <v>147</v>
      </c>
      <c r="L222" s="40" t="s">
        <v>111</v>
      </c>
      <c r="M222" s="37">
        <v>1000</v>
      </c>
      <c r="N222" s="37">
        <v>40</v>
      </c>
      <c r="O222" s="147">
        <v>26300000</v>
      </c>
      <c r="P222" s="38">
        <v>46094</v>
      </c>
      <c r="Q222" s="41"/>
      <c r="R222" s="41"/>
    </row>
    <row r="223" spans="1:18" ht="13.5" thickBot="1">
      <c r="A223" s="146"/>
      <c r="B223" s="37">
        <v>13173</v>
      </c>
      <c r="C223" s="38">
        <v>46091</v>
      </c>
      <c r="D223" s="39">
        <v>0.57222222222222219</v>
      </c>
      <c r="E223" s="41"/>
      <c r="F223" s="37" t="s">
        <v>1209</v>
      </c>
      <c r="G223" s="37" t="s">
        <v>1210</v>
      </c>
      <c r="H223" s="38">
        <v>46091</v>
      </c>
      <c r="I223" s="39">
        <v>0.5854166666666667</v>
      </c>
      <c r="J223" s="41" t="s">
        <v>219</v>
      </c>
      <c r="K223" s="37" t="s">
        <v>78</v>
      </c>
      <c r="L223" s="40" t="s">
        <v>590</v>
      </c>
      <c r="M223" s="37">
        <v>12</v>
      </c>
      <c r="N223" s="37">
        <v>0</v>
      </c>
      <c r="O223" s="147">
        <v>600000</v>
      </c>
      <c r="P223" s="38">
        <v>46091</v>
      </c>
      <c r="Q223" s="41"/>
      <c r="R223" s="41"/>
    </row>
    <row r="224" spans="1:18" ht="13.5" thickBot="1">
      <c r="A224" s="146"/>
      <c r="B224" s="37">
        <v>5504426752</v>
      </c>
      <c r="C224" s="38">
        <v>46087</v>
      </c>
      <c r="D224" s="39">
        <v>0.41666666666666669</v>
      </c>
      <c r="E224" s="41"/>
      <c r="F224" s="37" t="s">
        <v>1211</v>
      </c>
      <c r="G224" s="37" t="s">
        <v>1212</v>
      </c>
      <c r="H224" s="38">
        <v>46091</v>
      </c>
      <c r="I224" s="39">
        <v>0.58750000000000002</v>
      </c>
      <c r="J224" s="41" t="s">
        <v>52</v>
      </c>
      <c r="K224" s="37" t="s">
        <v>828</v>
      </c>
      <c r="L224" s="40" t="s">
        <v>590</v>
      </c>
      <c r="M224" s="37">
        <v>100</v>
      </c>
      <c r="N224" s="37">
        <v>4</v>
      </c>
      <c r="O224" s="147">
        <v>4650000</v>
      </c>
      <c r="P224" s="38">
        <v>46091</v>
      </c>
      <c r="Q224" s="41"/>
      <c r="R224" s="41"/>
    </row>
    <row r="225" spans="1:18" ht="23.5" thickBot="1">
      <c r="A225" s="146"/>
      <c r="B225" s="37" t="s">
        <v>123</v>
      </c>
      <c r="C225" s="38">
        <v>46091</v>
      </c>
      <c r="D225" s="39">
        <v>0.58333333333333337</v>
      </c>
      <c r="E225" s="41"/>
      <c r="F225" s="37" t="s">
        <v>1213</v>
      </c>
      <c r="G225" s="37" t="s">
        <v>486</v>
      </c>
      <c r="H225" s="38">
        <v>46091</v>
      </c>
      <c r="I225" s="39">
        <v>0.58750000000000002</v>
      </c>
      <c r="J225" s="41" t="s">
        <v>52</v>
      </c>
      <c r="K225" s="37" t="s">
        <v>828</v>
      </c>
      <c r="L225" s="40" t="s">
        <v>764</v>
      </c>
      <c r="M225" s="37">
        <v>100</v>
      </c>
      <c r="N225" s="37">
        <v>4</v>
      </c>
      <c r="O225" s="147">
        <v>6000000</v>
      </c>
      <c r="P225" s="38">
        <v>46093</v>
      </c>
      <c r="Q225" s="41"/>
      <c r="R225" s="41"/>
    </row>
    <row r="226" spans="1:18" ht="13.5" thickBot="1">
      <c r="A226" s="146"/>
      <c r="B226" s="41"/>
      <c r="C226" s="38">
        <v>46091</v>
      </c>
      <c r="D226" s="39">
        <v>0.59027777777777779</v>
      </c>
      <c r="E226" s="41"/>
      <c r="F226" s="37" t="s">
        <v>1214</v>
      </c>
      <c r="G226" s="79" t="s">
        <v>1215</v>
      </c>
      <c r="H226" s="38">
        <v>46091</v>
      </c>
      <c r="I226" s="39">
        <v>0.59652777777777777</v>
      </c>
      <c r="J226" s="41" t="s">
        <v>820</v>
      </c>
      <c r="K226" s="37" t="s">
        <v>80</v>
      </c>
      <c r="L226" s="40" t="s">
        <v>763</v>
      </c>
      <c r="M226" s="37">
        <v>23</v>
      </c>
      <c r="N226" s="37">
        <v>1</v>
      </c>
      <c r="O226" s="147">
        <v>3974998</v>
      </c>
      <c r="P226" s="38">
        <v>46092</v>
      </c>
      <c r="Q226" s="41"/>
      <c r="R226" s="41"/>
    </row>
    <row r="227" spans="1:18" ht="13.5" thickBot="1">
      <c r="A227" s="146"/>
      <c r="B227" s="41"/>
      <c r="C227" s="38">
        <v>46091</v>
      </c>
      <c r="D227" s="39">
        <v>0.59027777777777779</v>
      </c>
      <c r="E227" s="41"/>
      <c r="F227" s="37" t="s">
        <v>1216</v>
      </c>
      <c r="G227" s="79" t="s">
        <v>1217</v>
      </c>
      <c r="H227" s="38">
        <v>46091</v>
      </c>
      <c r="I227" s="39">
        <v>0.59652777777777777</v>
      </c>
      <c r="J227" s="41" t="s">
        <v>820</v>
      </c>
      <c r="K227" s="37" t="s">
        <v>80</v>
      </c>
      <c r="L227" s="40" t="s">
        <v>763</v>
      </c>
      <c r="M227" s="37">
        <v>28</v>
      </c>
      <c r="N227" s="37">
        <v>1</v>
      </c>
      <c r="O227" s="147">
        <v>4839128</v>
      </c>
      <c r="P227" s="38">
        <v>46092</v>
      </c>
      <c r="Q227" s="41"/>
      <c r="R227" s="41"/>
    </row>
    <row r="228" spans="1:18" ht="13.5" thickBot="1">
      <c r="A228" s="146"/>
      <c r="B228" s="41"/>
      <c r="C228" s="38">
        <v>46091</v>
      </c>
      <c r="D228" s="39">
        <v>0.59027777777777779</v>
      </c>
      <c r="E228" s="41"/>
      <c r="F228" s="37" t="s">
        <v>1218</v>
      </c>
      <c r="G228" s="79" t="s">
        <v>1219</v>
      </c>
      <c r="H228" s="38">
        <v>46091</v>
      </c>
      <c r="I228" s="39">
        <v>0.59652777777777777</v>
      </c>
      <c r="J228" s="41" t="s">
        <v>820</v>
      </c>
      <c r="K228" s="37" t="s">
        <v>80</v>
      </c>
      <c r="L228" s="40" t="s">
        <v>912</v>
      </c>
      <c r="M228" s="37">
        <v>3.8250000000000002</v>
      </c>
      <c r="N228" s="37">
        <v>0</v>
      </c>
      <c r="O228" s="37">
        <v>0</v>
      </c>
      <c r="P228" s="38">
        <v>46092</v>
      </c>
      <c r="Q228" s="41"/>
      <c r="R228" s="41"/>
    </row>
    <row r="229" spans="1:18" ht="23.5" thickBot="1">
      <c r="A229" s="299" t="s">
        <v>374</v>
      </c>
      <c r="B229" s="300"/>
      <c r="C229" s="301">
        <v>46091</v>
      </c>
      <c r="D229" s="302">
        <v>0.4375</v>
      </c>
      <c r="E229" s="300"/>
      <c r="F229" s="303" t="s">
        <v>1220</v>
      </c>
      <c r="G229" s="303" t="s">
        <v>486</v>
      </c>
      <c r="H229" s="301">
        <v>46091</v>
      </c>
      <c r="I229" s="302">
        <v>0.66319444444444442</v>
      </c>
      <c r="J229" s="300" t="s">
        <v>769</v>
      </c>
      <c r="K229" s="303" t="s">
        <v>1221</v>
      </c>
      <c r="L229" s="304" t="s">
        <v>209</v>
      </c>
      <c r="M229" s="303">
        <v>50</v>
      </c>
      <c r="N229" s="303">
        <v>2</v>
      </c>
      <c r="O229" s="305">
        <v>5391000</v>
      </c>
      <c r="P229" s="301">
        <v>46065</v>
      </c>
      <c r="Q229" s="300"/>
      <c r="R229" s="300"/>
    </row>
    <row r="230" spans="1:18" ht="23.5" thickBot="1">
      <c r="A230" s="146"/>
      <c r="B230" s="41"/>
      <c r="C230" s="38">
        <v>46091</v>
      </c>
      <c r="D230" s="39">
        <v>0.4375</v>
      </c>
      <c r="E230" s="41"/>
      <c r="F230" s="37" t="s">
        <v>1220</v>
      </c>
      <c r="G230" s="37" t="s">
        <v>1222</v>
      </c>
      <c r="H230" s="38">
        <v>46091</v>
      </c>
      <c r="I230" s="39">
        <v>0.66319444444444442</v>
      </c>
      <c r="J230" s="41" t="s">
        <v>769</v>
      </c>
      <c r="K230" s="37" t="s">
        <v>1221</v>
      </c>
      <c r="L230" s="40" t="s">
        <v>194</v>
      </c>
      <c r="M230" s="37">
        <v>350</v>
      </c>
      <c r="N230" s="37">
        <v>14</v>
      </c>
      <c r="O230" s="147">
        <v>6825000</v>
      </c>
      <c r="P230" s="38">
        <v>46065</v>
      </c>
      <c r="Q230" s="41"/>
      <c r="R230" s="41"/>
    </row>
    <row r="231" spans="1:18" ht="23.5" thickBot="1">
      <c r="A231" s="146"/>
      <c r="B231" s="41"/>
      <c r="C231" s="38">
        <v>46091</v>
      </c>
      <c r="D231" s="39">
        <v>0.4375</v>
      </c>
      <c r="E231" s="41"/>
      <c r="F231" s="37" t="s">
        <v>1220</v>
      </c>
      <c r="G231" s="37" t="s">
        <v>1222</v>
      </c>
      <c r="H231" s="38">
        <v>46091</v>
      </c>
      <c r="I231" s="39">
        <v>0.66319444444444442</v>
      </c>
      <c r="J231" s="41" t="s">
        <v>769</v>
      </c>
      <c r="K231" s="37" t="s">
        <v>1221</v>
      </c>
      <c r="L231" s="40" t="s">
        <v>773</v>
      </c>
      <c r="M231" s="37">
        <v>300</v>
      </c>
      <c r="N231" s="37">
        <v>12</v>
      </c>
      <c r="O231" s="147">
        <v>4800000</v>
      </c>
      <c r="P231" s="38">
        <v>46065</v>
      </c>
      <c r="Q231" s="41"/>
      <c r="R231" s="41"/>
    </row>
    <row r="232" spans="1:18" ht="23.5" thickBot="1">
      <c r="A232" s="146"/>
      <c r="B232" s="41"/>
      <c r="C232" s="38">
        <v>46091</v>
      </c>
      <c r="D232" s="39">
        <v>0.4375</v>
      </c>
      <c r="E232" s="41"/>
      <c r="F232" s="37" t="s">
        <v>1220</v>
      </c>
      <c r="G232" s="37" t="s">
        <v>1222</v>
      </c>
      <c r="H232" s="38">
        <v>46091</v>
      </c>
      <c r="I232" s="39">
        <v>0.66319444444444442</v>
      </c>
      <c r="J232" s="41" t="s">
        <v>769</v>
      </c>
      <c r="K232" s="37" t="s">
        <v>1221</v>
      </c>
      <c r="L232" s="40" t="s">
        <v>762</v>
      </c>
      <c r="M232" s="37">
        <v>150</v>
      </c>
      <c r="N232" s="37">
        <v>6</v>
      </c>
      <c r="O232" s="147">
        <v>10200000</v>
      </c>
      <c r="P232" s="38">
        <v>46065</v>
      </c>
      <c r="Q232" s="41"/>
      <c r="R232" s="41"/>
    </row>
    <row r="233" spans="1:18" ht="23.5" thickBot="1">
      <c r="A233" s="146"/>
      <c r="B233" s="41"/>
      <c r="C233" s="38">
        <v>46091</v>
      </c>
      <c r="D233" s="39">
        <v>0.4375</v>
      </c>
      <c r="E233" s="41"/>
      <c r="F233" s="37" t="s">
        <v>1223</v>
      </c>
      <c r="G233" s="37" t="s">
        <v>1224</v>
      </c>
      <c r="H233" s="38">
        <v>46091</v>
      </c>
      <c r="I233" s="39">
        <v>0.66319444444444442</v>
      </c>
      <c r="J233" s="41" t="s">
        <v>769</v>
      </c>
      <c r="K233" s="37" t="s">
        <v>1221</v>
      </c>
      <c r="L233" s="40" t="s">
        <v>773</v>
      </c>
      <c r="M233" s="37">
        <v>300</v>
      </c>
      <c r="N233" s="37">
        <v>12</v>
      </c>
      <c r="O233" s="147">
        <v>4800000</v>
      </c>
      <c r="P233" s="38">
        <v>46099</v>
      </c>
      <c r="Q233" s="41"/>
      <c r="R233" s="41"/>
    </row>
    <row r="234" spans="1:18" ht="23.5" thickBot="1">
      <c r="A234" s="146"/>
      <c r="B234" s="41"/>
      <c r="C234" s="38">
        <v>46091</v>
      </c>
      <c r="D234" s="39">
        <v>0.4375</v>
      </c>
      <c r="E234" s="41"/>
      <c r="F234" s="37" t="s">
        <v>1223</v>
      </c>
      <c r="G234" s="37" t="s">
        <v>1224</v>
      </c>
      <c r="H234" s="38">
        <v>46091</v>
      </c>
      <c r="I234" s="39">
        <v>0.66319444444444442</v>
      </c>
      <c r="J234" s="41" t="s">
        <v>769</v>
      </c>
      <c r="K234" s="37" t="s">
        <v>1221</v>
      </c>
      <c r="L234" s="40" t="s">
        <v>762</v>
      </c>
      <c r="M234" s="37">
        <v>150</v>
      </c>
      <c r="N234" s="37">
        <v>6</v>
      </c>
      <c r="O234" s="147">
        <v>10200000</v>
      </c>
      <c r="P234" s="38">
        <v>46099</v>
      </c>
      <c r="Q234" s="41"/>
      <c r="R234" s="41"/>
    </row>
    <row r="235" spans="1:18" ht="23.5" thickBot="1">
      <c r="A235" s="203" t="s">
        <v>765</v>
      </c>
      <c r="B235" s="153"/>
      <c r="C235" s="151">
        <v>46091</v>
      </c>
      <c r="D235" s="152">
        <v>0.4375</v>
      </c>
      <c r="E235" s="153"/>
      <c r="F235" s="150" t="s">
        <v>1225</v>
      </c>
      <c r="G235" s="150" t="s">
        <v>1226</v>
      </c>
      <c r="H235" s="151">
        <v>46091</v>
      </c>
      <c r="I235" s="152">
        <v>0.66319444444444442</v>
      </c>
      <c r="J235" s="153" t="s">
        <v>769</v>
      </c>
      <c r="K235" s="150" t="s">
        <v>1221</v>
      </c>
      <c r="L235" s="204" t="s">
        <v>194</v>
      </c>
      <c r="M235" s="150">
        <v>350</v>
      </c>
      <c r="N235" s="150">
        <v>14</v>
      </c>
      <c r="O235" s="205">
        <v>6825000</v>
      </c>
      <c r="P235" s="151">
        <v>46106</v>
      </c>
      <c r="Q235" s="153"/>
      <c r="R235" s="153"/>
    </row>
    <row r="236" spans="1:18" ht="23.5" thickBot="1">
      <c r="A236" s="203" t="s">
        <v>765</v>
      </c>
      <c r="B236" s="153"/>
      <c r="C236" s="151">
        <v>46091</v>
      </c>
      <c r="D236" s="152">
        <v>0.4375</v>
      </c>
      <c r="E236" s="153"/>
      <c r="F236" s="150" t="s">
        <v>1225</v>
      </c>
      <c r="G236" s="150" t="s">
        <v>1226</v>
      </c>
      <c r="H236" s="151">
        <v>46091</v>
      </c>
      <c r="I236" s="152">
        <v>0.66319444444444442</v>
      </c>
      <c r="J236" s="153" t="s">
        <v>769</v>
      </c>
      <c r="K236" s="150" t="s">
        <v>1221</v>
      </c>
      <c r="L236" s="204" t="s">
        <v>773</v>
      </c>
      <c r="M236" s="150">
        <v>300</v>
      </c>
      <c r="N236" s="150">
        <v>12</v>
      </c>
      <c r="O236" s="205">
        <v>4800000</v>
      </c>
      <c r="P236" s="151">
        <v>46106</v>
      </c>
      <c r="Q236" s="153"/>
      <c r="R236" s="153"/>
    </row>
    <row r="237" spans="1:18" ht="23.5" thickBot="1">
      <c r="A237" s="203" t="s">
        <v>765</v>
      </c>
      <c r="B237" s="153"/>
      <c r="C237" s="151">
        <v>46091</v>
      </c>
      <c r="D237" s="152">
        <v>0.4375</v>
      </c>
      <c r="E237" s="153"/>
      <c r="F237" s="150" t="s">
        <v>1225</v>
      </c>
      <c r="G237" s="150" t="s">
        <v>1226</v>
      </c>
      <c r="H237" s="151">
        <v>46091</v>
      </c>
      <c r="I237" s="152">
        <v>0.66319444444444442</v>
      </c>
      <c r="J237" s="153" t="s">
        <v>769</v>
      </c>
      <c r="K237" s="150" t="s">
        <v>1221</v>
      </c>
      <c r="L237" s="204" t="s">
        <v>762</v>
      </c>
      <c r="M237" s="150">
        <v>150</v>
      </c>
      <c r="N237" s="150">
        <v>6</v>
      </c>
      <c r="O237" s="205">
        <v>10200000</v>
      </c>
      <c r="P237" s="151">
        <v>46106</v>
      </c>
      <c r="Q237" s="153"/>
      <c r="R237" s="153"/>
    </row>
    <row r="238" spans="1:18" ht="23.5" thickBot="1">
      <c r="A238" s="203" t="s">
        <v>765</v>
      </c>
      <c r="B238" s="153"/>
      <c r="C238" s="151">
        <v>46091</v>
      </c>
      <c r="D238" s="152">
        <v>0.4375</v>
      </c>
      <c r="E238" s="153"/>
      <c r="F238" s="150" t="s">
        <v>1225</v>
      </c>
      <c r="G238" s="150" t="s">
        <v>1226</v>
      </c>
      <c r="H238" s="151">
        <v>46091</v>
      </c>
      <c r="I238" s="152">
        <v>0.66319444444444442</v>
      </c>
      <c r="J238" s="153" t="s">
        <v>769</v>
      </c>
      <c r="K238" s="150" t="s">
        <v>1221</v>
      </c>
      <c r="L238" s="204" t="s">
        <v>768</v>
      </c>
      <c r="M238" s="150">
        <v>125</v>
      </c>
      <c r="N238" s="150">
        <v>5</v>
      </c>
      <c r="O238" s="205">
        <v>26250000</v>
      </c>
      <c r="P238" s="151">
        <v>46106</v>
      </c>
      <c r="Q238" s="153"/>
      <c r="R238" s="153"/>
    </row>
    <row r="239" spans="1:18" ht="23.5" thickBot="1">
      <c r="A239" s="203" t="s">
        <v>765</v>
      </c>
      <c r="B239" s="153"/>
      <c r="C239" s="151">
        <v>46091</v>
      </c>
      <c r="D239" s="152">
        <v>0.4375</v>
      </c>
      <c r="E239" s="153"/>
      <c r="F239" s="150" t="s">
        <v>1225</v>
      </c>
      <c r="G239" s="150" t="s">
        <v>1226</v>
      </c>
      <c r="H239" s="151">
        <v>46091</v>
      </c>
      <c r="I239" s="152">
        <v>0.66319444444444442</v>
      </c>
      <c r="J239" s="153" t="s">
        <v>769</v>
      </c>
      <c r="K239" s="150" t="s">
        <v>1221</v>
      </c>
      <c r="L239" s="204" t="s">
        <v>112</v>
      </c>
      <c r="M239" s="150">
        <v>120</v>
      </c>
      <c r="N239" s="150">
        <v>5</v>
      </c>
      <c r="O239" s="205">
        <v>6744000</v>
      </c>
      <c r="P239" s="151">
        <v>46106</v>
      </c>
      <c r="Q239" s="153"/>
      <c r="R239" s="153"/>
    </row>
    <row r="240" spans="1:18" ht="23.5" thickBot="1">
      <c r="A240" s="203" t="s">
        <v>765</v>
      </c>
      <c r="B240" s="153"/>
      <c r="C240" s="151">
        <v>46091</v>
      </c>
      <c r="D240" s="152">
        <v>0.4375</v>
      </c>
      <c r="E240" s="153"/>
      <c r="F240" s="150" t="s">
        <v>1228</v>
      </c>
      <c r="G240" s="150" t="s">
        <v>1229</v>
      </c>
      <c r="H240" s="151">
        <v>46091</v>
      </c>
      <c r="I240" s="152">
        <v>0.66319444444444442</v>
      </c>
      <c r="J240" s="153" t="s">
        <v>769</v>
      </c>
      <c r="K240" s="150" t="s">
        <v>1221</v>
      </c>
      <c r="L240" s="204" t="s">
        <v>912</v>
      </c>
      <c r="M240" s="150">
        <v>9</v>
      </c>
      <c r="N240" s="150">
        <v>0</v>
      </c>
      <c r="O240" s="150">
        <v>0</v>
      </c>
      <c r="P240" s="151">
        <v>46106</v>
      </c>
      <c r="Q240" s="153"/>
      <c r="R240" s="153"/>
    </row>
    <row r="241" spans="1:18" ht="13.5" thickBot="1">
      <c r="A241" s="203" t="s">
        <v>765</v>
      </c>
      <c r="B241" s="150">
        <v>1002058897</v>
      </c>
      <c r="C241" s="151">
        <v>46091</v>
      </c>
      <c r="D241" s="152">
        <v>0.57152777777777775</v>
      </c>
      <c r="E241" s="153"/>
      <c r="F241" s="150" t="s">
        <v>1230</v>
      </c>
      <c r="G241" s="150" t="s">
        <v>1231</v>
      </c>
      <c r="H241" s="151">
        <v>46091</v>
      </c>
      <c r="I241" s="152">
        <v>0.64166666666666672</v>
      </c>
      <c r="J241" s="153" t="s">
        <v>195</v>
      </c>
      <c r="K241" s="150" t="s">
        <v>141</v>
      </c>
      <c r="L241" s="204" t="s">
        <v>773</v>
      </c>
      <c r="M241" s="150">
        <v>800</v>
      </c>
      <c r="N241" s="150">
        <v>32</v>
      </c>
      <c r="O241" s="205">
        <v>12800000</v>
      </c>
      <c r="P241" s="151">
        <v>46093</v>
      </c>
      <c r="Q241" s="153"/>
      <c r="R241" s="153"/>
    </row>
    <row r="242" spans="1:18" ht="13.5" thickBot="1">
      <c r="A242" s="146"/>
      <c r="B242" s="37">
        <v>1380941</v>
      </c>
      <c r="C242" s="38">
        <v>46091</v>
      </c>
      <c r="D242" s="39">
        <v>0.50208333333333333</v>
      </c>
      <c r="E242" s="41"/>
      <c r="F242" s="37" t="s">
        <v>1204</v>
      </c>
      <c r="G242" s="37" t="s">
        <v>1203</v>
      </c>
      <c r="H242" s="38">
        <v>46091</v>
      </c>
      <c r="I242" s="39">
        <v>0.58333333333333337</v>
      </c>
      <c r="J242" s="41" t="s">
        <v>30</v>
      </c>
      <c r="K242" s="37" t="s">
        <v>79</v>
      </c>
      <c r="L242" s="40" t="s">
        <v>158</v>
      </c>
      <c r="M242" s="37">
        <v>100</v>
      </c>
      <c r="N242" s="37">
        <v>4</v>
      </c>
      <c r="O242" s="147">
        <v>3890000</v>
      </c>
      <c r="P242" s="38">
        <v>46092</v>
      </c>
      <c r="Q242" s="41"/>
      <c r="R242" s="41"/>
    </row>
    <row r="243" spans="1:18" ht="13.5" thickBot="1">
      <c r="A243" s="203" t="s">
        <v>765</v>
      </c>
      <c r="B243" s="153"/>
      <c r="C243" s="151">
        <v>46091</v>
      </c>
      <c r="D243" s="152">
        <v>0.62222222222222223</v>
      </c>
      <c r="E243" s="153"/>
      <c r="F243" s="150" t="s">
        <v>1233</v>
      </c>
      <c r="G243" s="150" t="s">
        <v>1234</v>
      </c>
      <c r="H243" s="151">
        <v>46091</v>
      </c>
      <c r="I243" s="152">
        <v>0.66319444444444442</v>
      </c>
      <c r="J243" s="153" t="s">
        <v>479</v>
      </c>
      <c r="K243" s="150" t="s">
        <v>366</v>
      </c>
      <c r="L243" s="204" t="s">
        <v>780</v>
      </c>
      <c r="M243" s="150">
        <v>100</v>
      </c>
      <c r="N243" s="150">
        <v>4</v>
      </c>
      <c r="O243" s="205">
        <v>4000000</v>
      </c>
      <c r="P243" s="151">
        <v>46091</v>
      </c>
      <c r="Q243" s="153"/>
      <c r="R243" s="153"/>
    </row>
    <row r="244" spans="1:18" ht="25.5" thickBot="1">
      <c r="A244" s="146"/>
      <c r="B244" s="37">
        <v>4700008855</v>
      </c>
      <c r="C244" s="38">
        <v>46091</v>
      </c>
      <c r="D244" s="39">
        <v>0.31041666666666667</v>
      </c>
      <c r="E244" s="41"/>
      <c r="F244" s="37" t="s">
        <v>1236</v>
      </c>
      <c r="G244" s="37" t="s">
        <v>1237</v>
      </c>
      <c r="H244" s="38">
        <v>46092</v>
      </c>
      <c r="I244" s="39">
        <v>0.33958333333333335</v>
      </c>
      <c r="J244" s="41" t="s">
        <v>875</v>
      </c>
      <c r="K244" s="37" t="s">
        <v>782</v>
      </c>
      <c r="L244" s="40" t="s">
        <v>773</v>
      </c>
      <c r="M244" s="37">
        <v>1000</v>
      </c>
      <c r="N244" s="37">
        <v>40</v>
      </c>
      <c r="O244" s="37" t="s">
        <v>808</v>
      </c>
      <c r="P244" s="38">
        <v>46101</v>
      </c>
      <c r="Q244" s="41"/>
      <c r="R244" s="41"/>
    </row>
    <row r="245" spans="1:18" ht="13.5" thickBot="1">
      <c r="A245" s="146"/>
      <c r="B245" s="37" t="s">
        <v>1238</v>
      </c>
      <c r="C245" s="38">
        <v>46090</v>
      </c>
      <c r="D245" s="39">
        <v>0.76736111111111116</v>
      </c>
      <c r="E245" s="41"/>
      <c r="F245" s="37" t="s">
        <v>1239</v>
      </c>
      <c r="G245" s="37" t="s">
        <v>1240</v>
      </c>
      <c r="H245" s="38">
        <v>46092</v>
      </c>
      <c r="I245" s="39">
        <v>0.35208333333333336</v>
      </c>
      <c r="J245" s="41" t="s">
        <v>152</v>
      </c>
      <c r="K245" s="37" t="s">
        <v>397</v>
      </c>
      <c r="L245" s="40" t="s">
        <v>111</v>
      </c>
      <c r="M245" s="37">
        <v>50</v>
      </c>
      <c r="N245" s="37">
        <v>2</v>
      </c>
      <c r="O245" s="147">
        <v>1315000</v>
      </c>
      <c r="P245" s="38">
        <v>46100</v>
      </c>
      <c r="Q245" s="41"/>
      <c r="R245" s="41"/>
    </row>
    <row r="246" spans="1:18" ht="13.5" thickBot="1">
      <c r="A246" s="146"/>
      <c r="B246" s="37" t="s">
        <v>1238</v>
      </c>
      <c r="C246" s="38">
        <v>46090</v>
      </c>
      <c r="D246" s="39">
        <v>0.76736111111111116</v>
      </c>
      <c r="E246" s="41"/>
      <c r="F246" s="37" t="s">
        <v>1241</v>
      </c>
      <c r="G246" s="37" t="s">
        <v>1242</v>
      </c>
      <c r="H246" s="38">
        <v>46092</v>
      </c>
      <c r="I246" s="39">
        <v>0.35208333333333336</v>
      </c>
      <c r="J246" s="41" t="s">
        <v>152</v>
      </c>
      <c r="K246" s="37" t="s">
        <v>397</v>
      </c>
      <c r="L246" s="40" t="s">
        <v>111</v>
      </c>
      <c r="M246" s="37">
        <v>50</v>
      </c>
      <c r="N246" s="37">
        <v>2</v>
      </c>
      <c r="O246" s="147">
        <v>1315000</v>
      </c>
      <c r="P246" s="38">
        <v>46100</v>
      </c>
      <c r="Q246" s="41"/>
      <c r="R246" s="41"/>
    </row>
    <row r="247" spans="1:18" ht="13.5" thickBot="1">
      <c r="A247" s="146"/>
      <c r="B247" s="37" t="s">
        <v>1238</v>
      </c>
      <c r="C247" s="38">
        <v>46090</v>
      </c>
      <c r="D247" s="39">
        <v>0.76736111111111116</v>
      </c>
      <c r="E247" s="41"/>
      <c r="F247" s="37" t="s">
        <v>1241</v>
      </c>
      <c r="G247" s="37" t="s">
        <v>1242</v>
      </c>
      <c r="H247" s="38">
        <v>46092</v>
      </c>
      <c r="I247" s="39">
        <v>0.35208333333333336</v>
      </c>
      <c r="J247" s="41" t="s">
        <v>152</v>
      </c>
      <c r="K247" s="37" t="s">
        <v>397</v>
      </c>
      <c r="L247" s="40" t="s">
        <v>773</v>
      </c>
      <c r="M247" s="37">
        <v>350</v>
      </c>
      <c r="N247" s="37">
        <v>14</v>
      </c>
      <c r="O247" s="147">
        <v>5600000</v>
      </c>
      <c r="P247" s="38">
        <v>46100</v>
      </c>
      <c r="Q247" s="41"/>
      <c r="R247" s="41"/>
    </row>
    <row r="248" spans="1:18" ht="23.5" thickBot="1">
      <c r="A248" s="146"/>
      <c r="B248" s="37" t="s">
        <v>123</v>
      </c>
      <c r="C248" s="38">
        <v>46092</v>
      </c>
      <c r="D248" s="39">
        <v>0.34444444444444444</v>
      </c>
      <c r="E248" s="41"/>
      <c r="F248" s="37" t="s">
        <v>1243</v>
      </c>
      <c r="G248" s="37" t="s">
        <v>1244</v>
      </c>
      <c r="H248" s="38">
        <v>46092</v>
      </c>
      <c r="I248" s="39">
        <v>0.375</v>
      </c>
      <c r="J248" s="41" t="s">
        <v>219</v>
      </c>
      <c r="K248" s="37" t="s">
        <v>78</v>
      </c>
      <c r="L248" s="40" t="s">
        <v>194</v>
      </c>
      <c r="M248" s="37">
        <v>900</v>
      </c>
      <c r="N248" s="37">
        <v>36</v>
      </c>
      <c r="O248" s="147">
        <v>18000000</v>
      </c>
      <c r="P248" s="38">
        <v>46093</v>
      </c>
      <c r="Q248" s="41"/>
      <c r="R248" s="41"/>
    </row>
    <row r="249" spans="1:18" ht="23.5" thickBot="1">
      <c r="A249" s="146"/>
      <c r="B249" s="37" t="s">
        <v>1245</v>
      </c>
      <c r="C249" s="38">
        <v>46091</v>
      </c>
      <c r="D249" s="39">
        <v>0.72291666666666665</v>
      </c>
      <c r="E249" s="41"/>
      <c r="F249" s="37" t="s">
        <v>1246</v>
      </c>
      <c r="G249" s="37" t="s">
        <v>1247</v>
      </c>
      <c r="H249" s="38">
        <v>46092</v>
      </c>
      <c r="I249" s="39">
        <v>0.40138888888888891</v>
      </c>
      <c r="J249" s="41" t="s">
        <v>759</v>
      </c>
      <c r="K249" s="37" t="s">
        <v>83</v>
      </c>
      <c r="L249" s="40" t="s">
        <v>112</v>
      </c>
      <c r="M249" s="37">
        <v>1600</v>
      </c>
      <c r="N249" s="37">
        <v>64</v>
      </c>
      <c r="O249" s="147">
        <v>84000000</v>
      </c>
      <c r="P249" s="38">
        <v>46093</v>
      </c>
      <c r="Q249" s="41"/>
      <c r="R249" s="41"/>
    </row>
    <row r="250" spans="1:18" ht="23.5" thickBot="1">
      <c r="A250" s="146"/>
      <c r="B250" s="37" t="s">
        <v>1245</v>
      </c>
      <c r="C250" s="38">
        <v>46091</v>
      </c>
      <c r="D250" s="39">
        <v>0.72291666666666665</v>
      </c>
      <c r="E250" s="41"/>
      <c r="F250" s="37" t="s">
        <v>1246</v>
      </c>
      <c r="G250" s="37" t="s">
        <v>1247</v>
      </c>
      <c r="H250" s="38">
        <v>46092</v>
      </c>
      <c r="I250" s="39">
        <v>0.40138888888888891</v>
      </c>
      <c r="J250" s="41" t="s">
        <v>759</v>
      </c>
      <c r="K250" s="37" t="s">
        <v>83</v>
      </c>
      <c r="L250" s="40" t="s">
        <v>884</v>
      </c>
      <c r="M250" s="37">
        <v>1500</v>
      </c>
      <c r="N250" s="37">
        <v>60</v>
      </c>
      <c r="O250" s="147">
        <v>29512000</v>
      </c>
      <c r="P250" s="38">
        <v>46093</v>
      </c>
      <c r="Q250" s="41"/>
      <c r="R250" s="41"/>
    </row>
    <row r="251" spans="1:18" ht="23.5" thickBot="1">
      <c r="A251" s="146"/>
      <c r="B251" s="37" t="s">
        <v>1245</v>
      </c>
      <c r="C251" s="38">
        <v>46091</v>
      </c>
      <c r="D251" s="39">
        <v>0.72291666666666665</v>
      </c>
      <c r="E251" s="41"/>
      <c r="F251" s="37" t="s">
        <v>1246</v>
      </c>
      <c r="G251" s="37" t="s">
        <v>1247</v>
      </c>
      <c r="H251" s="38">
        <v>46092</v>
      </c>
      <c r="I251" s="39">
        <v>0.40138888888888891</v>
      </c>
      <c r="J251" s="41" t="s">
        <v>759</v>
      </c>
      <c r="K251" s="37" t="s">
        <v>83</v>
      </c>
      <c r="L251" s="40" t="s">
        <v>151</v>
      </c>
      <c r="M251" s="37">
        <v>1000</v>
      </c>
      <c r="N251" s="37">
        <v>40</v>
      </c>
      <c r="O251" s="147">
        <v>61700000</v>
      </c>
      <c r="P251" s="38">
        <v>46093</v>
      </c>
      <c r="Q251" s="41"/>
      <c r="R251" s="41"/>
    </row>
    <row r="252" spans="1:18" ht="23.5" thickBot="1">
      <c r="A252" s="146"/>
      <c r="B252" s="37" t="s">
        <v>1245</v>
      </c>
      <c r="C252" s="38">
        <v>46091</v>
      </c>
      <c r="D252" s="39">
        <v>0.72291666666666665</v>
      </c>
      <c r="E252" s="41"/>
      <c r="F252" s="37" t="s">
        <v>1246</v>
      </c>
      <c r="G252" s="37" t="s">
        <v>1247</v>
      </c>
      <c r="H252" s="38">
        <v>46092</v>
      </c>
      <c r="I252" s="39">
        <v>0.40138888888888891</v>
      </c>
      <c r="J252" s="41" t="s">
        <v>759</v>
      </c>
      <c r="K252" s="37" t="s">
        <v>83</v>
      </c>
      <c r="L252" s="40" t="s">
        <v>136</v>
      </c>
      <c r="M252" s="37">
        <v>1500</v>
      </c>
      <c r="N252" s="37">
        <v>60</v>
      </c>
      <c r="O252" s="147">
        <v>77850000</v>
      </c>
      <c r="P252" s="38">
        <v>46093</v>
      </c>
      <c r="Q252" s="41"/>
      <c r="R252" s="41"/>
    </row>
    <row r="253" spans="1:18" ht="23.5" thickBot="1">
      <c r="A253" s="146"/>
      <c r="B253" s="37" t="s">
        <v>1245</v>
      </c>
      <c r="C253" s="38">
        <v>46091</v>
      </c>
      <c r="D253" s="39">
        <v>0.72291666666666665</v>
      </c>
      <c r="E253" s="41"/>
      <c r="F253" s="37" t="s">
        <v>1246</v>
      </c>
      <c r="G253" s="37" t="s">
        <v>1247</v>
      </c>
      <c r="H253" s="38">
        <v>46092</v>
      </c>
      <c r="I253" s="39">
        <v>0.40138888888888891</v>
      </c>
      <c r="J253" s="41" t="s">
        <v>759</v>
      </c>
      <c r="K253" s="37" t="s">
        <v>83</v>
      </c>
      <c r="L253" s="40" t="s">
        <v>120</v>
      </c>
      <c r="M253" s="37">
        <v>130</v>
      </c>
      <c r="N253" s="37">
        <v>5</v>
      </c>
      <c r="O253" s="147">
        <v>17888000</v>
      </c>
      <c r="P253" s="38">
        <v>46093</v>
      </c>
      <c r="Q253" s="41"/>
      <c r="R253" s="41"/>
    </row>
    <row r="254" spans="1:18" ht="23.5" thickBot="1">
      <c r="A254" s="146"/>
      <c r="B254" s="37" t="s">
        <v>1245</v>
      </c>
      <c r="C254" s="38">
        <v>46091</v>
      </c>
      <c r="D254" s="39">
        <v>0.72291666666666665</v>
      </c>
      <c r="E254" s="41"/>
      <c r="F254" s="37" t="s">
        <v>1246</v>
      </c>
      <c r="G254" s="37" t="s">
        <v>1247</v>
      </c>
      <c r="H254" s="38">
        <v>46092</v>
      </c>
      <c r="I254" s="39">
        <v>0.40138888888888891</v>
      </c>
      <c r="J254" s="41" t="s">
        <v>759</v>
      </c>
      <c r="K254" s="37" t="s">
        <v>83</v>
      </c>
      <c r="L254" s="40" t="s">
        <v>221</v>
      </c>
      <c r="M254" s="37">
        <v>20</v>
      </c>
      <c r="N254" s="37">
        <v>1</v>
      </c>
      <c r="O254" s="147">
        <v>7000000</v>
      </c>
      <c r="P254" s="38">
        <v>46093</v>
      </c>
      <c r="Q254" s="41"/>
      <c r="R254" s="41"/>
    </row>
    <row r="255" spans="1:18" ht="23.5" thickBot="1">
      <c r="A255" s="146"/>
      <c r="B255" s="37" t="s">
        <v>1245</v>
      </c>
      <c r="C255" s="38">
        <v>46091</v>
      </c>
      <c r="D255" s="39">
        <v>0.72291666666666665</v>
      </c>
      <c r="E255" s="41"/>
      <c r="F255" s="37" t="s">
        <v>1246</v>
      </c>
      <c r="G255" s="37" t="s">
        <v>1247</v>
      </c>
      <c r="H255" s="38">
        <v>46092</v>
      </c>
      <c r="I255" s="39">
        <v>0.40138888888888891</v>
      </c>
      <c r="J255" s="41" t="s">
        <v>759</v>
      </c>
      <c r="K255" s="37" t="s">
        <v>83</v>
      </c>
      <c r="L255" s="40" t="s">
        <v>113</v>
      </c>
      <c r="M255" s="37">
        <v>250</v>
      </c>
      <c r="N255" s="37">
        <v>10</v>
      </c>
      <c r="O255" s="147">
        <v>112200000</v>
      </c>
      <c r="P255" s="38">
        <v>46093</v>
      </c>
      <c r="Q255" s="41"/>
      <c r="R255" s="41"/>
    </row>
    <row r="256" spans="1:18" ht="23.5" thickBot="1">
      <c r="A256" s="306" t="s">
        <v>1248</v>
      </c>
      <c r="B256" s="307" t="s">
        <v>1245</v>
      </c>
      <c r="C256" s="308">
        <v>46091</v>
      </c>
      <c r="D256" s="309">
        <v>0.72291666666666665</v>
      </c>
      <c r="E256" s="310"/>
      <c r="F256" s="307" t="s">
        <v>1249</v>
      </c>
      <c r="G256" s="307" t="s">
        <v>1250</v>
      </c>
      <c r="H256" s="308">
        <v>46092</v>
      </c>
      <c r="I256" s="309">
        <v>0.40138888888888891</v>
      </c>
      <c r="J256" s="310" t="s">
        <v>759</v>
      </c>
      <c r="K256" s="307" t="s">
        <v>83</v>
      </c>
      <c r="L256" s="311" t="s">
        <v>990</v>
      </c>
      <c r="M256" s="307">
        <v>120</v>
      </c>
      <c r="N256" s="307">
        <v>5</v>
      </c>
      <c r="O256" s="307">
        <v>0</v>
      </c>
      <c r="P256" s="308">
        <v>46093</v>
      </c>
      <c r="Q256" s="310"/>
      <c r="R256" s="310"/>
    </row>
    <row r="257" spans="1:18" ht="23.5" thickBot="1">
      <c r="A257" s="146"/>
      <c r="B257" s="37" t="s">
        <v>1245</v>
      </c>
      <c r="C257" s="38">
        <v>46091</v>
      </c>
      <c r="D257" s="39">
        <v>0.72291666666666665</v>
      </c>
      <c r="E257" s="41"/>
      <c r="F257" s="37" t="s">
        <v>1251</v>
      </c>
      <c r="G257" s="37" t="s">
        <v>1252</v>
      </c>
      <c r="H257" s="38">
        <v>46092</v>
      </c>
      <c r="I257" s="39">
        <v>0.40138888888888891</v>
      </c>
      <c r="J257" s="41" t="s">
        <v>759</v>
      </c>
      <c r="K257" s="37" t="s">
        <v>83</v>
      </c>
      <c r="L257" s="40" t="s">
        <v>111</v>
      </c>
      <c r="M257" s="37">
        <v>3000</v>
      </c>
      <c r="N257" s="37">
        <v>120</v>
      </c>
      <c r="O257" s="147">
        <v>74250000</v>
      </c>
      <c r="P257" s="38">
        <v>46093</v>
      </c>
      <c r="Q257" s="41"/>
      <c r="R257" s="41"/>
    </row>
    <row r="258" spans="1:18" ht="23.5" thickBot="1">
      <c r="A258" s="146"/>
      <c r="B258" s="37" t="s">
        <v>1253</v>
      </c>
      <c r="C258" s="38">
        <v>46091</v>
      </c>
      <c r="D258" s="39">
        <v>0.72291666666666665</v>
      </c>
      <c r="E258" s="41"/>
      <c r="F258" s="37" t="s">
        <v>1254</v>
      </c>
      <c r="G258" s="37" t="s">
        <v>1255</v>
      </c>
      <c r="H258" s="38">
        <v>46092</v>
      </c>
      <c r="I258" s="39">
        <v>0.40138888888888891</v>
      </c>
      <c r="J258" s="41" t="s">
        <v>759</v>
      </c>
      <c r="K258" s="37" t="s">
        <v>83</v>
      </c>
      <c r="L258" s="40" t="s">
        <v>676</v>
      </c>
      <c r="M258" s="37">
        <v>2000</v>
      </c>
      <c r="N258" s="37">
        <v>80</v>
      </c>
      <c r="O258" s="147">
        <v>69000000</v>
      </c>
      <c r="P258" s="38">
        <v>46093</v>
      </c>
      <c r="Q258" s="41"/>
      <c r="R258" s="41"/>
    </row>
    <row r="259" spans="1:18" ht="13.5" thickBot="1">
      <c r="A259" s="203" t="s">
        <v>765</v>
      </c>
      <c r="B259" s="150">
        <v>32179</v>
      </c>
      <c r="C259" s="151">
        <v>46091</v>
      </c>
      <c r="D259" s="152">
        <v>0.61875000000000002</v>
      </c>
      <c r="E259" s="153"/>
      <c r="F259" s="150" t="s">
        <v>1256</v>
      </c>
      <c r="G259" s="150" t="s">
        <v>1257</v>
      </c>
      <c r="H259" s="151">
        <v>46092</v>
      </c>
      <c r="I259" s="152">
        <v>0.43402777777777779</v>
      </c>
      <c r="J259" s="153" t="s">
        <v>148</v>
      </c>
      <c r="K259" s="150" t="s">
        <v>1258</v>
      </c>
      <c r="L259" s="204" t="s">
        <v>221</v>
      </c>
      <c r="M259" s="150">
        <v>35</v>
      </c>
      <c r="N259" s="150">
        <v>1</v>
      </c>
      <c r="O259" s="205">
        <v>9450000</v>
      </c>
      <c r="P259" s="151">
        <v>46093</v>
      </c>
      <c r="Q259" s="153"/>
      <c r="R259" s="153"/>
    </row>
    <row r="260" spans="1:18" s="323" customFormat="1" ht="50.5" thickBot="1">
      <c r="A260" s="203" t="s">
        <v>765</v>
      </c>
      <c r="B260" s="150">
        <v>32194</v>
      </c>
      <c r="C260" s="151">
        <v>46091</v>
      </c>
      <c r="D260" s="152">
        <v>0.61875000000000002</v>
      </c>
      <c r="E260" s="153"/>
      <c r="F260" s="150" t="s">
        <v>1259</v>
      </c>
      <c r="G260" s="153"/>
      <c r="H260" s="151">
        <v>46098</v>
      </c>
      <c r="I260" s="152">
        <v>0.43611111111111112</v>
      </c>
      <c r="J260" s="153" t="s">
        <v>148</v>
      </c>
      <c r="K260" s="303" t="s">
        <v>1260</v>
      </c>
      <c r="L260" s="204" t="s">
        <v>221</v>
      </c>
      <c r="M260" s="150">
        <v>11</v>
      </c>
      <c r="N260" s="150">
        <v>0</v>
      </c>
      <c r="O260" s="205">
        <v>2970000</v>
      </c>
      <c r="P260" s="151">
        <v>46093</v>
      </c>
      <c r="Q260" s="153" t="s">
        <v>1686</v>
      </c>
      <c r="R260" s="153"/>
    </row>
    <row r="261" spans="1:18" ht="13.5" thickBot="1">
      <c r="A261" s="203" t="s">
        <v>765</v>
      </c>
      <c r="B261" s="150">
        <v>32194</v>
      </c>
      <c r="C261" s="151">
        <v>46091</v>
      </c>
      <c r="D261" s="152">
        <v>0.61875000000000002</v>
      </c>
      <c r="E261" s="153"/>
      <c r="F261" s="150" t="s">
        <v>1261</v>
      </c>
      <c r="G261" s="150" t="s">
        <v>1262</v>
      </c>
      <c r="H261" s="151">
        <v>46092</v>
      </c>
      <c r="I261" s="152">
        <v>0.43402777777777779</v>
      </c>
      <c r="J261" s="153" t="s">
        <v>148</v>
      </c>
      <c r="K261" s="150" t="s">
        <v>1260</v>
      </c>
      <c r="L261" s="204" t="s">
        <v>221</v>
      </c>
      <c r="M261" s="150">
        <v>26</v>
      </c>
      <c r="N261" s="150">
        <v>1</v>
      </c>
      <c r="O261" s="205">
        <v>7020000</v>
      </c>
      <c r="P261" s="151">
        <v>46093</v>
      </c>
      <c r="Q261" s="153"/>
      <c r="R261" s="153"/>
    </row>
    <row r="262" spans="1:18" ht="13.5" thickBot="1">
      <c r="A262" s="146"/>
      <c r="B262" s="37">
        <v>1381102</v>
      </c>
      <c r="C262" s="38">
        <v>46091</v>
      </c>
      <c r="D262" s="39">
        <v>0.6479166666666667</v>
      </c>
      <c r="E262" s="41"/>
      <c r="F262" s="37" t="s">
        <v>1263</v>
      </c>
      <c r="G262" s="79" t="s">
        <v>1264</v>
      </c>
      <c r="H262" s="38">
        <v>46092</v>
      </c>
      <c r="I262" s="39">
        <v>0.44027777777777777</v>
      </c>
      <c r="J262" s="41" t="s">
        <v>38</v>
      </c>
      <c r="K262" s="37" t="s">
        <v>141</v>
      </c>
      <c r="L262" s="40" t="s">
        <v>111</v>
      </c>
      <c r="M262" s="37">
        <v>200</v>
      </c>
      <c r="N262" s="37">
        <v>8</v>
      </c>
      <c r="O262" s="147">
        <v>4950000</v>
      </c>
      <c r="P262" s="38">
        <v>46093</v>
      </c>
      <c r="Q262" s="41"/>
      <c r="R262" s="41"/>
    </row>
    <row r="263" spans="1:18" ht="23.5" thickBot="1">
      <c r="A263" s="146"/>
      <c r="B263" s="37" t="s">
        <v>1265</v>
      </c>
      <c r="C263" s="38">
        <v>46092</v>
      </c>
      <c r="D263" s="39">
        <v>0.42083333333333334</v>
      </c>
      <c r="E263" s="41"/>
      <c r="F263" s="37" t="s">
        <v>1266</v>
      </c>
      <c r="G263" s="79" t="s">
        <v>1267</v>
      </c>
      <c r="H263" s="38">
        <v>46092</v>
      </c>
      <c r="I263" s="39">
        <v>0.45624999999999999</v>
      </c>
      <c r="J263" s="41" t="s">
        <v>54</v>
      </c>
      <c r="K263" s="37" t="s">
        <v>75</v>
      </c>
      <c r="L263" s="40" t="s">
        <v>215</v>
      </c>
      <c r="M263" s="37">
        <v>250</v>
      </c>
      <c r="N263" s="37">
        <v>10</v>
      </c>
      <c r="O263" s="147">
        <v>4250000</v>
      </c>
      <c r="P263" s="38">
        <v>46094</v>
      </c>
      <c r="Q263" s="41"/>
      <c r="R263" s="41"/>
    </row>
    <row r="264" spans="1:18" ht="23.5" thickBot="1">
      <c r="A264" s="146"/>
      <c r="B264" s="37" t="s">
        <v>1265</v>
      </c>
      <c r="C264" s="38">
        <v>46092</v>
      </c>
      <c r="D264" s="39">
        <v>0.42083333333333334</v>
      </c>
      <c r="E264" s="41"/>
      <c r="F264" s="37" t="s">
        <v>1266</v>
      </c>
      <c r="G264" s="79" t="s">
        <v>1267</v>
      </c>
      <c r="H264" s="38">
        <v>46092</v>
      </c>
      <c r="I264" s="39">
        <v>0.45624999999999999</v>
      </c>
      <c r="J264" s="41" t="s">
        <v>54</v>
      </c>
      <c r="K264" s="37" t="s">
        <v>75</v>
      </c>
      <c r="L264" s="40" t="s">
        <v>120</v>
      </c>
      <c r="M264" s="37">
        <v>25</v>
      </c>
      <c r="N264" s="37">
        <v>1</v>
      </c>
      <c r="O264" s="147">
        <v>4000000</v>
      </c>
      <c r="P264" s="38">
        <v>46094</v>
      </c>
      <c r="Q264" s="41"/>
      <c r="R264" s="41"/>
    </row>
    <row r="265" spans="1:18" ht="23.5" thickBot="1">
      <c r="A265" s="146"/>
      <c r="B265" s="37" t="s">
        <v>1265</v>
      </c>
      <c r="C265" s="38">
        <v>46092</v>
      </c>
      <c r="D265" s="39">
        <v>0.42083333333333334</v>
      </c>
      <c r="E265" s="41"/>
      <c r="F265" s="37" t="s">
        <v>1266</v>
      </c>
      <c r="G265" s="79" t="s">
        <v>1267</v>
      </c>
      <c r="H265" s="38">
        <v>46092</v>
      </c>
      <c r="I265" s="39">
        <v>0.45624999999999999</v>
      </c>
      <c r="J265" s="41" t="s">
        <v>54</v>
      </c>
      <c r="K265" s="37" t="s">
        <v>75</v>
      </c>
      <c r="L265" s="40" t="s">
        <v>111</v>
      </c>
      <c r="M265" s="37">
        <v>250</v>
      </c>
      <c r="N265" s="37">
        <v>10</v>
      </c>
      <c r="O265" s="147">
        <v>6375000</v>
      </c>
      <c r="P265" s="38">
        <v>46094</v>
      </c>
      <c r="Q265" s="41"/>
      <c r="R265" s="41"/>
    </row>
    <row r="266" spans="1:18" ht="23.5" thickBot="1">
      <c r="A266" s="146"/>
      <c r="B266" s="37" t="s">
        <v>1265</v>
      </c>
      <c r="C266" s="38">
        <v>46092</v>
      </c>
      <c r="D266" s="39">
        <v>0.42083333333333334</v>
      </c>
      <c r="E266" s="41"/>
      <c r="F266" s="37" t="s">
        <v>1266</v>
      </c>
      <c r="G266" s="79" t="s">
        <v>1267</v>
      </c>
      <c r="H266" s="38">
        <v>46092</v>
      </c>
      <c r="I266" s="39">
        <v>0.45624999999999999</v>
      </c>
      <c r="J266" s="41" t="s">
        <v>54</v>
      </c>
      <c r="K266" s="37" t="s">
        <v>75</v>
      </c>
      <c r="L266" s="40" t="s">
        <v>112</v>
      </c>
      <c r="M266" s="37">
        <v>100</v>
      </c>
      <c r="N266" s="37">
        <v>4</v>
      </c>
      <c r="O266" s="147">
        <v>5500000</v>
      </c>
      <c r="P266" s="38">
        <v>46094</v>
      </c>
      <c r="Q266" s="41"/>
      <c r="R266" s="41"/>
    </row>
    <row r="267" spans="1:18" ht="23.5" thickBot="1">
      <c r="A267" s="146"/>
      <c r="B267" s="37" t="s">
        <v>1265</v>
      </c>
      <c r="C267" s="38">
        <v>46092</v>
      </c>
      <c r="D267" s="39">
        <v>0.42083333333333334</v>
      </c>
      <c r="E267" s="41"/>
      <c r="F267" s="37" t="s">
        <v>1268</v>
      </c>
      <c r="G267" s="79" t="s">
        <v>1269</v>
      </c>
      <c r="H267" s="38">
        <v>46092</v>
      </c>
      <c r="I267" s="39">
        <v>0.45624999999999999</v>
      </c>
      <c r="J267" s="41" t="s">
        <v>54</v>
      </c>
      <c r="K267" s="37" t="s">
        <v>75</v>
      </c>
      <c r="L267" s="40" t="s">
        <v>912</v>
      </c>
      <c r="M267" s="37">
        <v>7.5</v>
      </c>
      <c r="N267" s="37">
        <v>0</v>
      </c>
      <c r="O267" s="37">
        <v>0</v>
      </c>
      <c r="P267" s="38">
        <v>46094</v>
      </c>
      <c r="Q267" s="41"/>
      <c r="R267" s="41"/>
    </row>
    <row r="268" spans="1:18" ht="25.5" thickBot="1">
      <c r="A268" s="146"/>
      <c r="B268" s="41"/>
      <c r="C268" s="38">
        <v>46092</v>
      </c>
      <c r="D268" s="39">
        <v>0.46805555555555556</v>
      </c>
      <c r="E268" s="41"/>
      <c r="F268" s="37" t="s">
        <v>1270</v>
      </c>
      <c r="G268" s="37" t="s">
        <v>1271</v>
      </c>
      <c r="H268" s="38">
        <v>46092</v>
      </c>
      <c r="I268" s="39">
        <v>0.46805555555555556</v>
      </c>
      <c r="J268" s="41" t="s">
        <v>1272</v>
      </c>
      <c r="K268" s="37" t="s">
        <v>178</v>
      </c>
      <c r="L268" s="40" t="s">
        <v>207</v>
      </c>
      <c r="M268" s="37">
        <v>20</v>
      </c>
      <c r="N268" s="37">
        <v>1</v>
      </c>
      <c r="O268" s="147">
        <v>11500000</v>
      </c>
      <c r="P268" s="38">
        <v>46094</v>
      </c>
      <c r="Q268" s="41"/>
      <c r="R268" s="41"/>
    </row>
    <row r="269" spans="1:18" ht="23.5" thickBot="1">
      <c r="A269" s="146"/>
      <c r="B269" s="37">
        <v>50022</v>
      </c>
      <c r="C269" s="38">
        <v>46090</v>
      </c>
      <c r="D269" s="39">
        <v>0.68055555555555558</v>
      </c>
      <c r="E269" s="41"/>
      <c r="F269" s="37" t="s">
        <v>1273</v>
      </c>
      <c r="G269" s="37" t="s">
        <v>1274</v>
      </c>
      <c r="H269" s="38">
        <v>46092</v>
      </c>
      <c r="I269" s="39">
        <v>0.51875000000000004</v>
      </c>
      <c r="J269" s="41" t="s">
        <v>776</v>
      </c>
      <c r="K269" s="37" t="s">
        <v>817</v>
      </c>
      <c r="L269" s="40" t="s">
        <v>780</v>
      </c>
      <c r="M269" s="37">
        <v>60</v>
      </c>
      <c r="N269" s="37">
        <v>2</v>
      </c>
      <c r="O269" s="147">
        <v>2400000</v>
      </c>
      <c r="P269" s="38">
        <v>46094</v>
      </c>
      <c r="Q269" s="41"/>
      <c r="R269" s="41"/>
    </row>
    <row r="270" spans="1:18" ht="23.5" thickBot="1">
      <c r="A270" s="146"/>
      <c r="B270" s="37" t="s">
        <v>1275</v>
      </c>
      <c r="C270" s="38">
        <v>46092</v>
      </c>
      <c r="D270" s="39">
        <v>0.29583333333333334</v>
      </c>
      <c r="E270" s="41"/>
      <c r="F270" s="37" t="s">
        <v>1276</v>
      </c>
      <c r="G270" s="79" t="s">
        <v>1277</v>
      </c>
      <c r="H270" s="38">
        <v>46093</v>
      </c>
      <c r="I270" s="39">
        <v>0.36666666666666664</v>
      </c>
      <c r="J270" s="41" t="s">
        <v>1278</v>
      </c>
      <c r="K270" s="37" t="s">
        <v>1279</v>
      </c>
      <c r="L270" s="40" t="s">
        <v>221</v>
      </c>
      <c r="M270" s="37">
        <v>110</v>
      </c>
      <c r="N270" s="37">
        <v>110</v>
      </c>
      <c r="O270" s="147">
        <v>30800000</v>
      </c>
      <c r="P270" s="38">
        <v>45701</v>
      </c>
      <c r="Q270" s="41"/>
      <c r="R270" s="41"/>
    </row>
    <row r="271" spans="1:18" ht="23.5" thickBot="1">
      <c r="A271" s="146"/>
      <c r="B271" s="37" t="s">
        <v>1280</v>
      </c>
      <c r="C271" s="38">
        <v>46092</v>
      </c>
      <c r="D271" s="39">
        <v>0.72986111111111107</v>
      </c>
      <c r="E271" s="41"/>
      <c r="F271" s="37" t="s">
        <v>1281</v>
      </c>
      <c r="G271" s="37" t="s">
        <v>1282</v>
      </c>
      <c r="H271" s="38">
        <v>46093</v>
      </c>
      <c r="I271" s="39">
        <v>0.39791666666666664</v>
      </c>
      <c r="J271" s="41" t="s">
        <v>787</v>
      </c>
      <c r="K271" s="37" t="s">
        <v>814</v>
      </c>
      <c r="L271" s="40" t="s">
        <v>120</v>
      </c>
      <c r="M271" s="37">
        <v>50</v>
      </c>
      <c r="N271" s="37">
        <v>2</v>
      </c>
      <c r="O271" s="147">
        <v>8250000</v>
      </c>
      <c r="P271" s="38">
        <v>45701</v>
      </c>
      <c r="Q271" s="41"/>
      <c r="R271" s="41"/>
    </row>
    <row r="272" spans="1:18" ht="23.5" thickBot="1">
      <c r="A272" s="146"/>
      <c r="B272" s="37" t="s">
        <v>1283</v>
      </c>
      <c r="C272" s="38">
        <v>46093</v>
      </c>
      <c r="D272" s="39">
        <v>0.45</v>
      </c>
      <c r="E272" s="41"/>
      <c r="F272" s="37" t="s">
        <v>1284</v>
      </c>
      <c r="G272" s="37" t="s">
        <v>1285</v>
      </c>
      <c r="H272" s="38">
        <v>46093</v>
      </c>
      <c r="I272" s="39">
        <v>0.45902777777777776</v>
      </c>
      <c r="J272" s="41" t="s">
        <v>1286</v>
      </c>
      <c r="K272" s="37" t="s">
        <v>333</v>
      </c>
      <c r="L272" s="40" t="s">
        <v>773</v>
      </c>
      <c r="M272" s="37">
        <v>25</v>
      </c>
      <c r="N272" s="37">
        <v>1</v>
      </c>
      <c r="O272" s="147">
        <v>472200</v>
      </c>
      <c r="P272" s="38">
        <v>45701</v>
      </c>
      <c r="Q272" s="41"/>
      <c r="R272" s="41"/>
    </row>
    <row r="273" spans="1:18" ht="23.5" thickBot="1">
      <c r="A273" s="146"/>
      <c r="B273" s="41"/>
      <c r="C273" s="38">
        <v>46093</v>
      </c>
      <c r="D273" s="39">
        <v>0.45624999999999999</v>
      </c>
      <c r="E273" s="41"/>
      <c r="F273" s="37" t="s">
        <v>1287</v>
      </c>
      <c r="G273" s="37" t="s">
        <v>1288</v>
      </c>
      <c r="H273" s="38">
        <v>46093</v>
      </c>
      <c r="I273" s="39">
        <v>0.46319444444444446</v>
      </c>
      <c r="J273" s="41" t="s">
        <v>771</v>
      </c>
      <c r="K273" s="37" t="s">
        <v>810</v>
      </c>
      <c r="L273" s="40" t="s">
        <v>786</v>
      </c>
      <c r="M273" s="37">
        <v>20</v>
      </c>
      <c r="N273" s="37">
        <v>1</v>
      </c>
      <c r="O273" s="147">
        <v>4000000</v>
      </c>
      <c r="P273" s="38">
        <v>46093</v>
      </c>
      <c r="Q273" s="41"/>
      <c r="R273" s="41"/>
    </row>
    <row r="274" spans="1:18" ht="23.5" thickBot="1">
      <c r="A274" s="146"/>
      <c r="B274" s="37" t="s">
        <v>1289</v>
      </c>
      <c r="C274" s="38">
        <v>46093</v>
      </c>
      <c r="D274" s="39">
        <v>0.47083333333333333</v>
      </c>
      <c r="E274" s="41"/>
      <c r="F274" s="37" t="s">
        <v>1290</v>
      </c>
      <c r="G274" s="37" t="s">
        <v>1291</v>
      </c>
      <c r="H274" s="38">
        <v>46093</v>
      </c>
      <c r="I274" s="39">
        <v>0.47430555555555554</v>
      </c>
      <c r="J274" s="41" t="s">
        <v>376</v>
      </c>
      <c r="K274" s="37" t="s">
        <v>366</v>
      </c>
      <c r="L274" s="40" t="s">
        <v>112</v>
      </c>
      <c r="M274" s="37">
        <v>500</v>
      </c>
      <c r="N274" s="37">
        <v>20</v>
      </c>
      <c r="O274" s="147">
        <v>28000000</v>
      </c>
      <c r="P274" s="38">
        <v>46099</v>
      </c>
      <c r="Q274" s="41"/>
      <c r="R274" s="41"/>
    </row>
    <row r="275" spans="1:18" ht="23.5" thickBot="1">
      <c r="A275" s="146"/>
      <c r="B275" s="37" t="s">
        <v>1289</v>
      </c>
      <c r="C275" s="38">
        <v>46093</v>
      </c>
      <c r="D275" s="39">
        <v>0.47083333333333333</v>
      </c>
      <c r="E275" s="41"/>
      <c r="F275" s="37" t="s">
        <v>1292</v>
      </c>
      <c r="G275" s="37" t="s">
        <v>1293</v>
      </c>
      <c r="H275" s="38">
        <v>46093</v>
      </c>
      <c r="I275" s="39">
        <v>0.47430555555555554</v>
      </c>
      <c r="J275" s="41" t="s">
        <v>376</v>
      </c>
      <c r="K275" s="37" t="s">
        <v>366</v>
      </c>
      <c r="L275" s="40" t="s">
        <v>912</v>
      </c>
      <c r="M275" s="37">
        <v>37.5</v>
      </c>
      <c r="N275" s="37">
        <v>2</v>
      </c>
      <c r="O275" s="37">
        <v>0</v>
      </c>
      <c r="P275" s="38">
        <v>46099</v>
      </c>
      <c r="Q275" s="41"/>
      <c r="R275" s="41"/>
    </row>
    <row r="276" spans="1:18" ht="25.5" thickBot="1">
      <c r="A276" s="201" t="s">
        <v>1684</v>
      </c>
      <c r="B276" s="54" t="s">
        <v>1289</v>
      </c>
      <c r="C276" s="52">
        <v>46093</v>
      </c>
      <c r="D276" s="53">
        <v>0.47083333333333333</v>
      </c>
      <c r="E276" s="148"/>
      <c r="F276" s="54" t="s">
        <v>1294</v>
      </c>
      <c r="G276" s="54" t="s">
        <v>486</v>
      </c>
      <c r="H276" s="52">
        <v>46093</v>
      </c>
      <c r="I276" s="53">
        <v>0.47430555555555554</v>
      </c>
      <c r="J276" s="148" t="s">
        <v>376</v>
      </c>
      <c r="K276" s="54" t="s">
        <v>366</v>
      </c>
      <c r="L276" s="56" t="s">
        <v>912</v>
      </c>
      <c r="M276" s="54">
        <v>37.5</v>
      </c>
      <c r="N276" s="54">
        <v>2</v>
      </c>
      <c r="O276" s="54">
        <v>0</v>
      </c>
      <c r="P276" s="52">
        <v>46099</v>
      </c>
      <c r="Q276" s="148" t="s">
        <v>1685</v>
      </c>
      <c r="R276" s="148"/>
    </row>
    <row r="277" spans="1:18" ht="13.5" thickBot="1">
      <c r="A277" s="146"/>
      <c r="B277" s="41"/>
      <c r="C277" s="38">
        <v>46093</v>
      </c>
      <c r="D277" s="39">
        <v>0.47986111111111113</v>
      </c>
      <c r="E277" s="41"/>
      <c r="F277" s="37" t="s">
        <v>1295</v>
      </c>
      <c r="G277" s="37" t="s">
        <v>1296</v>
      </c>
      <c r="H277" s="38">
        <v>46093</v>
      </c>
      <c r="I277" s="39">
        <v>0.48680555555555555</v>
      </c>
      <c r="J277" s="41" t="s">
        <v>1297</v>
      </c>
      <c r="K277" s="37" t="s">
        <v>872</v>
      </c>
      <c r="L277" s="40" t="s">
        <v>166</v>
      </c>
      <c r="M277" s="37">
        <v>50</v>
      </c>
      <c r="N277" s="37">
        <v>2</v>
      </c>
      <c r="O277" s="147">
        <v>3600000</v>
      </c>
      <c r="P277" s="38">
        <v>46093</v>
      </c>
      <c r="Q277" s="41"/>
      <c r="R277" s="41"/>
    </row>
    <row r="278" spans="1:18" ht="13.5" thickBot="1">
      <c r="A278" s="146"/>
      <c r="B278" s="41"/>
      <c r="C278" s="38">
        <v>46093</v>
      </c>
      <c r="D278" s="39">
        <v>0.47986111111111113</v>
      </c>
      <c r="E278" s="41"/>
      <c r="F278" s="37" t="s">
        <v>1295</v>
      </c>
      <c r="G278" s="37" t="s">
        <v>1296</v>
      </c>
      <c r="H278" s="38">
        <v>46093</v>
      </c>
      <c r="I278" s="39">
        <v>0.48680555555555555</v>
      </c>
      <c r="J278" s="41" t="s">
        <v>1297</v>
      </c>
      <c r="K278" s="37" t="s">
        <v>872</v>
      </c>
      <c r="L278" s="40" t="s">
        <v>764</v>
      </c>
      <c r="M278" s="37">
        <v>20</v>
      </c>
      <c r="N278" s="37">
        <v>1</v>
      </c>
      <c r="O278" s="147">
        <v>1300000</v>
      </c>
      <c r="P278" s="38">
        <v>46093</v>
      </c>
      <c r="Q278" s="41"/>
      <c r="R278" s="41"/>
    </row>
    <row r="279" spans="1:18" ht="13.5" thickBot="1">
      <c r="A279" s="146"/>
      <c r="B279" s="41"/>
      <c r="C279" s="38">
        <v>46093</v>
      </c>
      <c r="D279" s="39">
        <v>0.41319444444444442</v>
      </c>
      <c r="E279" s="41"/>
      <c r="F279" s="37" t="s">
        <v>1298</v>
      </c>
      <c r="G279" s="37" t="s">
        <v>1299</v>
      </c>
      <c r="H279" s="38">
        <v>46093</v>
      </c>
      <c r="I279" s="39">
        <v>0.54861111111111116</v>
      </c>
      <c r="J279" s="41" t="s">
        <v>1300</v>
      </c>
      <c r="K279" s="37" t="s">
        <v>178</v>
      </c>
      <c r="L279" s="40" t="s">
        <v>768</v>
      </c>
      <c r="M279" s="37">
        <v>75</v>
      </c>
      <c r="N279" s="37">
        <v>3</v>
      </c>
      <c r="O279" s="147">
        <v>16125000</v>
      </c>
      <c r="P279" s="38">
        <v>46094</v>
      </c>
      <c r="Q279" s="41"/>
      <c r="R279" s="41"/>
    </row>
    <row r="280" spans="1:18" ht="23.5" thickBot="1">
      <c r="A280" s="146"/>
      <c r="B280" s="41"/>
      <c r="C280" s="38">
        <v>46091</v>
      </c>
      <c r="D280" s="39">
        <v>0.4375</v>
      </c>
      <c r="E280" s="41"/>
      <c r="F280" s="37" t="s">
        <v>1301</v>
      </c>
      <c r="G280" s="37" t="s">
        <v>1302</v>
      </c>
      <c r="H280" s="38">
        <v>46093</v>
      </c>
      <c r="I280" s="39">
        <v>0.66319444444444442</v>
      </c>
      <c r="J280" s="41" t="s">
        <v>769</v>
      </c>
      <c r="K280" s="37" t="s">
        <v>1221</v>
      </c>
      <c r="L280" s="40" t="s">
        <v>115</v>
      </c>
      <c r="M280" s="37">
        <v>50</v>
      </c>
      <c r="N280" s="37">
        <v>2</v>
      </c>
      <c r="O280" s="147">
        <v>5125000</v>
      </c>
      <c r="P280" s="38">
        <v>46094</v>
      </c>
      <c r="Q280" s="41"/>
      <c r="R280" s="41"/>
    </row>
    <row r="281" spans="1:18" ht="13.5" thickBot="1">
      <c r="A281" s="146"/>
      <c r="B281" s="37" t="s">
        <v>1303</v>
      </c>
      <c r="C281" s="38">
        <v>46093</v>
      </c>
      <c r="D281" s="39">
        <v>0.50555555555555554</v>
      </c>
      <c r="E281" s="41"/>
      <c r="F281" s="37" t="s">
        <v>1304</v>
      </c>
      <c r="G281" s="37" t="s">
        <v>1305</v>
      </c>
      <c r="H281" s="38">
        <v>46093</v>
      </c>
      <c r="I281" s="39">
        <v>0.62291666666666667</v>
      </c>
      <c r="J281" s="41" t="s">
        <v>205</v>
      </c>
      <c r="K281" s="37" t="s">
        <v>82</v>
      </c>
      <c r="L281" s="40" t="s">
        <v>976</v>
      </c>
      <c r="M281" s="37">
        <v>24</v>
      </c>
      <c r="N281" s="37">
        <v>1</v>
      </c>
      <c r="O281" s="41"/>
      <c r="P281" s="38">
        <v>46097</v>
      </c>
      <c r="Q281" s="41"/>
      <c r="R281" s="41"/>
    </row>
    <row r="282" spans="1:18" ht="13.5" thickBot="1">
      <c r="A282" s="146"/>
      <c r="B282" s="37" t="s">
        <v>1303</v>
      </c>
      <c r="C282" s="38">
        <v>46093</v>
      </c>
      <c r="D282" s="39">
        <v>0.50555555555555554</v>
      </c>
      <c r="E282" s="41"/>
      <c r="F282" s="37" t="s">
        <v>1304</v>
      </c>
      <c r="G282" s="37" t="s">
        <v>1305</v>
      </c>
      <c r="H282" s="38">
        <v>46093</v>
      </c>
      <c r="I282" s="39">
        <v>0.62291666666666667</v>
      </c>
      <c r="J282" s="41" t="s">
        <v>205</v>
      </c>
      <c r="K282" s="37" t="s">
        <v>82</v>
      </c>
      <c r="L282" s="40" t="s">
        <v>815</v>
      </c>
      <c r="M282" s="37">
        <v>24</v>
      </c>
      <c r="N282" s="37">
        <v>1</v>
      </c>
      <c r="O282" s="41"/>
      <c r="P282" s="38">
        <v>46097</v>
      </c>
      <c r="Q282" s="41"/>
      <c r="R282" s="41"/>
    </row>
    <row r="283" spans="1:18" ht="13.5" thickBot="1">
      <c r="A283" s="146"/>
      <c r="B283" s="37" t="s">
        <v>1303</v>
      </c>
      <c r="C283" s="38">
        <v>46093</v>
      </c>
      <c r="D283" s="39">
        <v>0.50555555555555554</v>
      </c>
      <c r="E283" s="41"/>
      <c r="F283" s="37" t="s">
        <v>1306</v>
      </c>
      <c r="G283" s="37" t="s">
        <v>1307</v>
      </c>
      <c r="H283" s="38">
        <v>46093</v>
      </c>
      <c r="I283" s="39">
        <v>0.62291666666666667</v>
      </c>
      <c r="J283" s="41" t="s">
        <v>205</v>
      </c>
      <c r="K283" s="37" t="s">
        <v>82</v>
      </c>
      <c r="L283" s="40" t="s">
        <v>912</v>
      </c>
      <c r="M283" s="37">
        <v>1.8</v>
      </c>
      <c r="N283" s="37">
        <v>0</v>
      </c>
      <c r="O283" s="37">
        <v>0</v>
      </c>
      <c r="P283" s="38">
        <v>46097</v>
      </c>
      <c r="Q283" s="41"/>
      <c r="R283" s="41"/>
    </row>
    <row r="284" spans="1:18" ht="13.5" thickBot="1">
      <c r="A284" s="146"/>
      <c r="B284" s="41"/>
      <c r="C284" s="38">
        <v>46093</v>
      </c>
      <c r="D284" s="39">
        <v>0.58333333333333337</v>
      </c>
      <c r="E284" s="41"/>
      <c r="F284" s="37" t="s">
        <v>1308</v>
      </c>
      <c r="G284" s="37" t="s">
        <v>1309</v>
      </c>
      <c r="H284" s="38">
        <v>46093</v>
      </c>
      <c r="I284" s="39">
        <v>0.63888888888888884</v>
      </c>
      <c r="J284" s="41" t="s">
        <v>45</v>
      </c>
      <c r="K284" s="37" t="s">
        <v>78</v>
      </c>
      <c r="L284" s="40" t="s">
        <v>763</v>
      </c>
      <c r="M284" s="37">
        <v>1</v>
      </c>
      <c r="N284" s="37">
        <v>0</v>
      </c>
      <c r="O284" s="147">
        <v>170000</v>
      </c>
      <c r="P284" s="38">
        <v>46093</v>
      </c>
      <c r="Q284" s="41"/>
      <c r="R284" s="41"/>
    </row>
    <row r="285" spans="1:18" ht="13.5" thickBot="1">
      <c r="A285" s="146"/>
      <c r="B285" s="41"/>
      <c r="C285" s="38">
        <v>46093</v>
      </c>
      <c r="D285" s="39">
        <v>0.58333333333333337</v>
      </c>
      <c r="E285" s="41"/>
      <c r="F285" s="37" t="s">
        <v>1310</v>
      </c>
      <c r="G285" s="37" t="s">
        <v>1311</v>
      </c>
      <c r="H285" s="38">
        <v>46093</v>
      </c>
      <c r="I285" s="39">
        <v>0.63888888888888884</v>
      </c>
      <c r="J285" s="41" t="s">
        <v>45</v>
      </c>
      <c r="K285" s="37" t="s">
        <v>78</v>
      </c>
      <c r="L285" s="40" t="s">
        <v>912</v>
      </c>
      <c r="M285" s="37">
        <v>0.75</v>
      </c>
      <c r="N285" s="37">
        <v>0</v>
      </c>
      <c r="O285" s="37">
        <v>0</v>
      </c>
      <c r="P285" s="38">
        <v>46093</v>
      </c>
      <c r="Q285" s="41"/>
      <c r="R285" s="41"/>
    </row>
    <row r="286" spans="1:18" ht="13.5" thickBot="1">
      <c r="A286" s="146"/>
      <c r="B286" s="37">
        <v>13205</v>
      </c>
      <c r="C286" s="38">
        <v>46093</v>
      </c>
      <c r="D286" s="39">
        <v>0.58333333333333337</v>
      </c>
      <c r="E286" s="41"/>
      <c r="F286" s="37" t="s">
        <v>1312</v>
      </c>
      <c r="G286" s="37" t="s">
        <v>1313</v>
      </c>
      <c r="H286" s="38">
        <v>46093</v>
      </c>
      <c r="I286" s="39">
        <v>0.64027777777777772</v>
      </c>
      <c r="J286" s="41" t="s">
        <v>219</v>
      </c>
      <c r="K286" s="37" t="s">
        <v>78</v>
      </c>
      <c r="L286" s="40" t="s">
        <v>768</v>
      </c>
      <c r="M286" s="37">
        <v>25</v>
      </c>
      <c r="N286" s="37">
        <v>1</v>
      </c>
      <c r="O286" s="147">
        <v>5375000</v>
      </c>
      <c r="P286" s="38">
        <v>46097</v>
      </c>
      <c r="Q286" s="41"/>
      <c r="R286" s="41"/>
    </row>
    <row r="287" spans="1:18" ht="23.5" thickBot="1">
      <c r="A287" s="146"/>
      <c r="B287" s="37" t="s">
        <v>766</v>
      </c>
      <c r="C287" s="38">
        <v>46093</v>
      </c>
      <c r="D287" s="39">
        <v>0.64097222222222228</v>
      </c>
      <c r="E287" s="41"/>
      <c r="F287" s="37" t="s">
        <v>1314</v>
      </c>
      <c r="G287" s="37" t="s">
        <v>1315</v>
      </c>
      <c r="H287" s="38">
        <v>46093</v>
      </c>
      <c r="I287" s="39">
        <v>0.64513888888888893</v>
      </c>
      <c r="J287" s="41" t="s">
        <v>769</v>
      </c>
      <c r="K287" s="37" t="s">
        <v>1221</v>
      </c>
      <c r="L287" s="40" t="s">
        <v>111</v>
      </c>
      <c r="M287" s="37">
        <v>1500</v>
      </c>
      <c r="N287" s="37">
        <v>60</v>
      </c>
      <c r="O287" s="147">
        <v>39450000</v>
      </c>
      <c r="P287" s="38">
        <v>46095</v>
      </c>
      <c r="Q287" s="41"/>
      <c r="R287" s="41"/>
    </row>
    <row r="288" spans="1:18" ht="13.5" thickBot="1">
      <c r="A288" s="146"/>
      <c r="B288" s="41"/>
      <c r="C288" s="38">
        <v>46094</v>
      </c>
      <c r="D288" s="39">
        <v>0.2986111111111111</v>
      </c>
      <c r="E288" s="41"/>
      <c r="F288" s="37" t="s">
        <v>1316</v>
      </c>
      <c r="G288" s="37" t="s">
        <v>1317</v>
      </c>
      <c r="H288" s="38">
        <v>46094</v>
      </c>
      <c r="I288" s="39">
        <v>0.34791666666666665</v>
      </c>
      <c r="J288" s="41" t="s">
        <v>45</v>
      </c>
      <c r="K288" s="37" t="s">
        <v>78</v>
      </c>
      <c r="L288" s="40" t="s">
        <v>188</v>
      </c>
      <c r="M288" s="37">
        <v>10</v>
      </c>
      <c r="N288" s="37">
        <v>0</v>
      </c>
      <c r="O288" s="147">
        <v>620000</v>
      </c>
      <c r="P288" s="38">
        <v>46094</v>
      </c>
      <c r="Q288" s="41"/>
      <c r="R288" s="41"/>
    </row>
    <row r="289" spans="1:18" ht="13.5" thickBot="1">
      <c r="A289" s="146"/>
      <c r="B289" s="37">
        <v>4500087543</v>
      </c>
      <c r="C289" s="38">
        <v>46094</v>
      </c>
      <c r="D289" s="39">
        <v>0.32708333333333334</v>
      </c>
      <c r="E289" s="41"/>
      <c r="F289" s="37" t="s">
        <v>1318</v>
      </c>
      <c r="G289" s="37" t="s">
        <v>1319</v>
      </c>
      <c r="H289" s="38">
        <v>46094</v>
      </c>
      <c r="I289" s="39">
        <v>0.39513888888888887</v>
      </c>
      <c r="J289" s="41" t="s">
        <v>759</v>
      </c>
      <c r="K289" s="37" t="s">
        <v>83</v>
      </c>
      <c r="L289" s="40" t="s">
        <v>116</v>
      </c>
      <c r="M289" s="37">
        <v>2000</v>
      </c>
      <c r="N289" s="37">
        <v>80</v>
      </c>
      <c r="O289" s="147">
        <v>38500000</v>
      </c>
      <c r="P289" s="38">
        <v>46098</v>
      </c>
      <c r="Q289" s="41"/>
      <c r="R289" s="41"/>
    </row>
    <row r="290" spans="1:18" ht="13.5" thickBot="1">
      <c r="A290" s="146"/>
      <c r="B290" s="37">
        <v>4500087543</v>
      </c>
      <c r="C290" s="38">
        <v>46094</v>
      </c>
      <c r="D290" s="39">
        <v>0.32708333333333334</v>
      </c>
      <c r="E290" s="41"/>
      <c r="F290" s="37" t="s">
        <v>1318</v>
      </c>
      <c r="G290" s="37" t="s">
        <v>1319</v>
      </c>
      <c r="H290" s="38">
        <v>46094</v>
      </c>
      <c r="I290" s="39">
        <v>0.39513888888888887</v>
      </c>
      <c r="J290" s="41" t="s">
        <v>759</v>
      </c>
      <c r="K290" s="37" t="s">
        <v>83</v>
      </c>
      <c r="L290" s="40" t="s">
        <v>158</v>
      </c>
      <c r="M290" s="37">
        <v>400</v>
      </c>
      <c r="N290" s="37">
        <v>16</v>
      </c>
      <c r="O290" s="147">
        <v>15560000</v>
      </c>
      <c r="P290" s="38">
        <v>46098</v>
      </c>
      <c r="Q290" s="41"/>
      <c r="R290" s="41"/>
    </row>
    <row r="291" spans="1:18" ht="13.5" thickBot="1">
      <c r="A291" s="146"/>
      <c r="B291" s="37">
        <v>4500087543</v>
      </c>
      <c r="C291" s="38">
        <v>46094</v>
      </c>
      <c r="D291" s="39">
        <v>0.32708333333333334</v>
      </c>
      <c r="E291" s="41"/>
      <c r="F291" s="37" t="s">
        <v>1318</v>
      </c>
      <c r="G291" s="37" t="s">
        <v>1319</v>
      </c>
      <c r="H291" s="38">
        <v>46094</v>
      </c>
      <c r="I291" s="39">
        <v>0.39513888888888887</v>
      </c>
      <c r="J291" s="41" t="s">
        <v>759</v>
      </c>
      <c r="K291" s="37" t="s">
        <v>83</v>
      </c>
      <c r="L291" s="40" t="s">
        <v>112</v>
      </c>
      <c r="M291" s="37">
        <v>800</v>
      </c>
      <c r="N291" s="37">
        <v>32</v>
      </c>
      <c r="O291" s="147">
        <v>42000000</v>
      </c>
      <c r="P291" s="38">
        <v>46098</v>
      </c>
      <c r="Q291" s="41"/>
      <c r="R291" s="41"/>
    </row>
    <row r="292" spans="1:18" ht="13.5" thickBot="1">
      <c r="A292" s="146"/>
      <c r="B292" s="37">
        <v>4500087543</v>
      </c>
      <c r="C292" s="38">
        <v>46094</v>
      </c>
      <c r="D292" s="39">
        <v>0.32708333333333334</v>
      </c>
      <c r="E292" s="41"/>
      <c r="F292" s="37" t="s">
        <v>1318</v>
      </c>
      <c r="G292" s="37" t="s">
        <v>1319</v>
      </c>
      <c r="H292" s="38">
        <v>46094</v>
      </c>
      <c r="I292" s="39">
        <v>0.39513888888888887</v>
      </c>
      <c r="J292" s="41" t="s">
        <v>759</v>
      </c>
      <c r="K292" s="37" t="s">
        <v>83</v>
      </c>
      <c r="L292" s="40" t="s">
        <v>221</v>
      </c>
      <c r="M292" s="37">
        <v>40</v>
      </c>
      <c r="N292" s="37">
        <v>2</v>
      </c>
      <c r="O292" s="147">
        <v>7000000</v>
      </c>
      <c r="P292" s="38">
        <v>46098</v>
      </c>
      <c r="Q292" s="41"/>
      <c r="R292" s="41"/>
    </row>
    <row r="293" spans="1:18" ht="13.5" thickBot="1">
      <c r="A293" s="146"/>
      <c r="B293" s="37">
        <v>4500087543</v>
      </c>
      <c r="C293" s="38">
        <v>46094</v>
      </c>
      <c r="D293" s="39">
        <v>0.32708333333333334</v>
      </c>
      <c r="E293" s="41"/>
      <c r="F293" s="37" t="s">
        <v>1320</v>
      </c>
      <c r="G293" s="37" t="s">
        <v>1321</v>
      </c>
      <c r="H293" s="38">
        <v>46094</v>
      </c>
      <c r="I293" s="39">
        <v>0.39513888888888887</v>
      </c>
      <c r="J293" s="41" t="s">
        <v>759</v>
      </c>
      <c r="K293" s="37" t="s">
        <v>83</v>
      </c>
      <c r="L293" s="40" t="s">
        <v>111</v>
      </c>
      <c r="M293" s="37">
        <v>2000</v>
      </c>
      <c r="N293" s="37">
        <v>80</v>
      </c>
      <c r="O293" s="147">
        <v>49500000</v>
      </c>
      <c r="P293" s="38">
        <v>46098</v>
      </c>
      <c r="Q293" s="41"/>
      <c r="R293" s="41"/>
    </row>
    <row r="294" spans="1:18" ht="13.5" thickBot="1">
      <c r="A294" s="146"/>
      <c r="B294" s="37">
        <v>4500087543</v>
      </c>
      <c r="C294" s="38">
        <v>46094</v>
      </c>
      <c r="D294" s="39">
        <v>0.32708333333333334</v>
      </c>
      <c r="E294" s="41"/>
      <c r="F294" s="37" t="s">
        <v>1322</v>
      </c>
      <c r="G294" s="37" t="s">
        <v>1323</v>
      </c>
      <c r="H294" s="38">
        <v>46094</v>
      </c>
      <c r="I294" s="39">
        <v>0.39513888888888887</v>
      </c>
      <c r="J294" s="41" t="s">
        <v>759</v>
      </c>
      <c r="K294" s="37" t="s">
        <v>83</v>
      </c>
      <c r="L294" s="40" t="s">
        <v>676</v>
      </c>
      <c r="M294" s="37">
        <v>3500</v>
      </c>
      <c r="N294" s="37">
        <v>140</v>
      </c>
      <c r="O294" s="147">
        <v>120750000</v>
      </c>
      <c r="P294" s="38">
        <v>46098</v>
      </c>
      <c r="Q294" s="41"/>
      <c r="R294" s="41"/>
    </row>
    <row r="295" spans="1:18" ht="13.5" thickBot="1">
      <c r="A295" s="207" t="s">
        <v>725</v>
      </c>
      <c r="B295" s="213">
        <v>101156</v>
      </c>
      <c r="C295" s="209">
        <v>46093</v>
      </c>
      <c r="D295" s="210">
        <v>0.64652777777777781</v>
      </c>
      <c r="E295" s="211"/>
      <c r="F295" s="208" t="s">
        <v>1324</v>
      </c>
      <c r="G295" s="208" t="s">
        <v>1325</v>
      </c>
      <c r="H295" s="209">
        <v>46094</v>
      </c>
      <c r="I295" s="210">
        <v>0.40486111111111112</v>
      </c>
      <c r="J295" s="211" t="s">
        <v>231</v>
      </c>
      <c r="K295" s="208" t="s">
        <v>142</v>
      </c>
      <c r="L295" s="212" t="s">
        <v>773</v>
      </c>
      <c r="M295" s="208">
        <v>525</v>
      </c>
      <c r="N295" s="208">
        <v>21</v>
      </c>
      <c r="O295" s="213">
        <v>8295000</v>
      </c>
      <c r="P295" s="209">
        <v>46099</v>
      </c>
      <c r="Q295" s="211"/>
      <c r="R295" s="211"/>
    </row>
    <row r="296" spans="1:18" ht="13.5" thickBot="1">
      <c r="A296" s="146"/>
      <c r="B296" s="37">
        <v>1382775</v>
      </c>
      <c r="C296" s="38">
        <v>46093</v>
      </c>
      <c r="D296" s="39">
        <v>0.65694444444444444</v>
      </c>
      <c r="E296" s="41"/>
      <c r="F296" s="37" t="s">
        <v>1326</v>
      </c>
      <c r="G296" s="37" t="s">
        <v>1327</v>
      </c>
      <c r="H296" s="38">
        <v>46094</v>
      </c>
      <c r="I296" s="39">
        <v>0.41041666666666665</v>
      </c>
      <c r="J296" s="41" t="s">
        <v>30</v>
      </c>
      <c r="K296" s="37" t="s">
        <v>84</v>
      </c>
      <c r="L296" s="40" t="s">
        <v>676</v>
      </c>
      <c r="M296" s="37">
        <v>75</v>
      </c>
      <c r="N296" s="37">
        <v>3</v>
      </c>
      <c r="O296" s="147">
        <v>2587000</v>
      </c>
      <c r="P296" s="38">
        <v>46097</v>
      </c>
      <c r="Q296" s="41"/>
      <c r="R296" s="41"/>
    </row>
    <row r="297" spans="1:18" ht="23.5" thickBot="1">
      <c r="A297" s="146"/>
      <c r="B297" s="41"/>
      <c r="C297" s="38">
        <v>46093</v>
      </c>
      <c r="D297" s="39">
        <v>0.35416666666666669</v>
      </c>
      <c r="E297" s="41"/>
      <c r="F297" s="37" t="s">
        <v>1328</v>
      </c>
      <c r="G297" s="37" t="s">
        <v>1329</v>
      </c>
      <c r="H297" s="38">
        <v>46094</v>
      </c>
      <c r="I297" s="39">
        <v>0.41319444444444442</v>
      </c>
      <c r="J297" s="41" t="s">
        <v>769</v>
      </c>
      <c r="K297" s="37" t="s">
        <v>1221</v>
      </c>
      <c r="L297" s="40" t="s">
        <v>111</v>
      </c>
      <c r="M297" s="37">
        <v>200</v>
      </c>
      <c r="N297" s="37">
        <v>8</v>
      </c>
      <c r="O297" s="147">
        <v>5260000</v>
      </c>
      <c r="P297" s="38">
        <v>46094</v>
      </c>
      <c r="Q297" s="41"/>
      <c r="R297" s="41"/>
    </row>
    <row r="298" spans="1:18" ht="23.5" thickBot="1">
      <c r="A298" s="146"/>
      <c r="B298" s="37" t="s">
        <v>1330</v>
      </c>
      <c r="C298" s="38">
        <v>46094</v>
      </c>
      <c r="D298" s="39">
        <v>0.40972222222222221</v>
      </c>
      <c r="E298" s="41"/>
      <c r="F298" s="37" t="s">
        <v>1331</v>
      </c>
      <c r="G298" s="79" t="s">
        <v>1332</v>
      </c>
      <c r="H298" s="38">
        <v>46094</v>
      </c>
      <c r="I298" s="39">
        <v>0.4152777777777778</v>
      </c>
      <c r="J298" s="41" t="s">
        <v>355</v>
      </c>
      <c r="K298" s="37" t="s">
        <v>86</v>
      </c>
      <c r="L298" s="40" t="s">
        <v>230</v>
      </c>
      <c r="M298" s="37">
        <v>50</v>
      </c>
      <c r="N298" s="37">
        <v>2</v>
      </c>
      <c r="O298" s="147">
        <v>5250000</v>
      </c>
      <c r="P298" s="38">
        <v>46097</v>
      </c>
      <c r="Q298" s="41"/>
      <c r="R298" s="41"/>
    </row>
    <row r="299" spans="1:18" ht="13.5" thickBot="1">
      <c r="A299" s="146"/>
      <c r="B299" s="37">
        <v>4500148720</v>
      </c>
      <c r="C299" s="38">
        <v>46093</v>
      </c>
      <c r="D299" s="39">
        <v>0.67152777777777772</v>
      </c>
      <c r="E299" s="41"/>
      <c r="F299" s="37" t="s">
        <v>1333</v>
      </c>
      <c r="G299" s="79" t="s">
        <v>1334</v>
      </c>
      <c r="H299" s="38">
        <v>46094</v>
      </c>
      <c r="I299" s="39">
        <v>0.41875000000000001</v>
      </c>
      <c r="J299" s="41" t="s">
        <v>6</v>
      </c>
      <c r="K299" s="37" t="s">
        <v>1335</v>
      </c>
      <c r="L299" s="40" t="s">
        <v>111</v>
      </c>
      <c r="M299" s="37">
        <v>200</v>
      </c>
      <c r="N299" s="37">
        <v>8</v>
      </c>
      <c r="O299" s="147">
        <v>5260000</v>
      </c>
      <c r="P299" s="38">
        <v>46097</v>
      </c>
      <c r="Q299" s="41"/>
      <c r="R299" s="41"/>
    </row>
    <row r="300" spans="1:18" ht="13.5" thickBot="1">
      <c r="A300" s="146"/>
      <c r="B300" s="37">
        <v>4500148720</v>
      </c>
      <c r="C300" s="38">
        <v>46093</v>
      </c>
      <c r="D300" s="39">
        <v>0.67152777777777772</v>
      </c>
      <c r="E300" s="41"/>
      <c r="F300" s="37" t="s">
        <v>1333</v>
      </c>
      <c r="G300" s="79" t="s">
        <v>1334</v>
      </c>
      <c r="H300" s="38">
        <v>46094</v>
      </c>
      <c r="I300" s="39">
        <v>0.41875000000000001</v>
      </c>
      <c r="J300" s="41" t="s">
        <v>6</v>
      </c>
      <c r="K300" s="37" t="s">
        <v>1335</v>
      </c>
      <c r="L300" s="40" t="s">
        <v>976</v>
      </c>
      <c r="M300" s="37">
        <v>150</v>
      </c>
      <c r="N300" s="37">
        <v>6</v>
      </c>
      <c r="O300" s="147">
        <v>23400000</v>
      </c>
      <c r="P300" s="38">
        <v>46097</v>
      </c>
      <c r="Q300" s="41"/>
      <c r="R300" s="41"/>
    </row>
    <row r="301" spans="1:18" ht="25.5" thickBot="1">
      <c r="A301" s="146"/>
      <c r="B301" s="37" t="s">
        <v>1336</v>
      </c>
      <c r="C301" s="38">
        <v>46093</v>
      </c>
      <c r="D301" s="39">
        <v>0.67986111111111114</v>
      </c>
      <c r="E301" s="41"/>
      <c r="F301" s="37" t="s">
        <v>1337</v>
      </c>
      <c r="G301" s="37" t="s">
        <v>1338</v>
      </c>
      <c r="H301" s="38">
        <v>46094</v>
      </c>
      <c r="I301" s="39">
        <v>0.42708333333333331</v>
      </c>
      <c r="J301" s="41" t="s">
        <v>469</v>
      </c>
      <c r="K301" s="37" t="s">
        <v>142</v>
      </c>
      <c r="L301" s="40" t="s">
        <v>976</v>
      </c>
      <c r="M301" s="37">
        <v>20</v>
      </c>
      <c r="N301" s="37">
        <v>1</v>
      </c>
      <c r="O301" s="147">
        <v>3296000</v>
      </c>
      <c r="P301" s="38">
        <v>46097</v>
      </c>
      <c r="Q301" s="41"/>
      <c r="R301" s="41"/>
    </row>
    <row r="302" spans="1:18" ht="25.5" thickBot="1">
      <c r="A302" s="201" t="s">
        <v>117</v>
      </c>
      <c r="B302" s="54" t="s">
        <v>824</v>
      </c>
      <c r="C302" s="52">
        <v>46071</v>
      </c>
      <c r="D302" s="53">
        <v>0.48402777777777778</v>
      </c>
      <c r="E302" s="148"/>
      <c r="F302" s="54" t="s">
        <v>825</v>
      </c>
      <c r="G302" s="79" t="s">
        <v>1339</v>
      </c>
      <c r="H302" s="52">
        <v>46073</v>
      </c>
      <c r="I302" s="53">
        <v>0.57291666666666663</v>
      </c>
      <c r="J302" s="148" t="s">
        <v>469</v>
      </c>
      <c r="K302" s="54" t="s">
        <v>79</v>
      </c>
      <c r="L302" s="56" t="s">
        <v>976</v>
      </c>
      <c r="M302" s="54">
        <v>15</v>
      </c>
      <c r="N302" s="54">
        <v>1</v>
      </c>
      <c r="O302" s="149">
        <v>2472000</v>
      </c>
      <c r="P302" s="52">
        <v>46076</v>
      </c>
      <c r="Q302" s="148"/>
      <c r="R302" s="148"/>
    </row>
    <row r="303" spans="1:18" ht="23.5" thickBot="1">
      <c r="A303" s="146"/>
      <c r="B303" s="37" t="s">
        <v>1340</v>
      </c>
      <c r="C303" s="38">
        <v>46093</v>
      </c>
      <c r="D303" s="39">
        <v>0.71458333333333335</v>
      </c>
      <c r="E303" s="41"/>
      <c r="F303" s="37" t="s">
        <v>1341</v>
      </c>
      <c r="G303" s="37" t="s">
        <v>1342</v>
      </c>
      <c r="H303" s="38">
        <v>46094</v>
      </c>
      <c r="I303" s="39">
        <v>0.44236111111111109</v>
      </c>
      <c r="J303" s="41" t="s">
        <v>31</v>
      </c>
      <c r="K303" s="37" t="s">
        <v>82</v>
      </c>
      <c r="L303" s="40" t="s">
        <v>194</v>
      </c>
      <c r="M303" s="37">
        <v>50</v>
      </c>
      <c r="N303" s="37">
        <v>2</v>
      </c>
      <c r="O303" s="147">
        <v>960000</v>
      </c>
      <c r="P303" s="38">
        <v>46099</v>
      </c>
      <c r="Q303" s="41"/>
      <c r="R303" s="41"/>
    </row>
    <row r="304" spans="1:18" ht="23.5" thickBot="1">
      <c r="A304" s="146"/>
      <c r="B304" s="37" t="s">
        <v>1340</v>
      </c>
      <c r="C304" s="38">
        <v>46093</v>
      </c>
      <c r="D304" s="39">
        <v>0.71458333333333335</v>
      </c>
      <c r="E304" s="41"/>
      <c r="F304" s="37" t="s">
        <v>1341</v>
      </c>
      <c r="G304" s="37" t="s">
        <v>1342</v>
      </c>
      <c r="H304" s="38">
        <v>46094</v>
      </c>
      <c r="I304" s="39">
        <v>0.44236111111111109</v>
      </c>
      <c r="J304" s="41" t="s">
        <v>31</v>
      </c>
      <c r="K304" s="37" t="s">
        <v>82</v>
      </c>
      <c r="L304" s="40" t="s">
        <v>116</v>
      </c>
      <c r="M304" s="37">
        <v>5000</v>
      </c>
      <c r="N304" s="37">
        <v>200</v>
      </c>
      <c r="O304" s="147">
        <v>102500000</v>
      </c>
      <c r="P304" s="38">
        <v>46099</v>
      </c>
      <c r="Q304" s="41"/>
      <c r="R304" s="41"/>
    </row>
    <row r="305" spans="1:18" ht="13.5" thickBot="1">
      <c r="A305" s="146"/>
      <c r="B305" s="37">
        <v>32286</v>
      </c>
      <c r="C305" s="38">
        <v>46093</v>
      </c>
      <c r="D305" s="39">
        <v>0.87708333333333333</v>
      </c>
      <c r="E305" s="41"/>
      <c r="F305" s="37" t="s">
        <v>1343</v>
      </c>
      <c r="G305" s="37" t="s">
        <v>1344</v>
      </c>
      <c r="H305" s="38">
        <v>46094</v>
      </c>
      <c r="I305" s="39">
        <v>0.44444444444444442</v>
      </c>
      <c r="J305" s="41" t="s">
        <v>148</v>
      </c>
      <c r="K305" s="37" t="s">
        <v>812</v>
      </c>
      <c r="L305" s="40" t="s">
        <v>221</v>
      </c>
      <c r="M305" s="37">
        <v>10</v>
      </c>
      <c r="N305" s="37">
        <v>0</v>
      </c>
      <c r="O305" s="147">
        <v>2700000</v>
      </c>
      <c r="P305" s="38">
        <v>46097</v>
      </c>
      <c r="Q305" s="41"/>
      <c r="R305" s="41"/>
    </row>
    <row r="306" spans="1:18" ht="23.5" thickBot="1">
      <c r="A306" s="146"/>
      <c r="B306" s="37" t="s">
        <v>1345</v>
      </c>
      <c r="C306" s="38">
        <v>46094</v>
      </c>
      <c r="D306" s="39">
        <v>0.33333333333333331</v>
      </c>
      <c r="E306" s="41"/>
      <c r="F306" s="37" t="s">
        <v>1346</v>
      </c>
      <c r="G306" s="37" t="s">
        <v>1347</v>
      </c>
      <c r="H306" s="38">
        <v>46094</v>
      </c>
      <c r="I306" s="39">
        <v>0.4465277777777778</v>
      </c>
      <c r="J306" s="41" t="s">
        <v>146</v>
      </c>
      <c r="K306" s="37" t="s">
        <v>147</v>
      </c>
      <c r="L306" s="40" t="s">
        <v>111</v>
      </c>
      <c r="M306" s="37">
        <v>100</v>
      </c>
      <c r="N306" s="37">
        <v>4</v>
      </c>
      <c r="O306" s="147">
        <v>2630000</v>
      </c>
      <c r="P306" s="38">
        <v>46100</v>
      </c>
      <c r="Q306" s="41"/>
      <c r="R306" s="41"/>
    </row>
    <row r="307" spans="1:18" ht="23.5" thickBot="1">
      <c r="A307" s="146"/>
      <c r="B307" s="37" t="s">
        <v>1345</v>
      </c>
      <c r="C307" s="38">
        <v>46094</v>
      </c>
      <c r="D307" s="39">
        <v>0.33333333333333331</v>
      </c>
      <c r="E307" s="41"/>
      <c r="F307" s="37" t="s">
        <v>1346</v>
      </c>
      <c r="G307" s="37" t="s">
        <v>1347</v>
      </c>
      <c r="H307" s="38">
        <v>46094</v>
      </c>
      <c r="I307" s="39">
        <v>0.4465277777777778</v>
      </c>
      <c r="J307" s="41" t="s">
        <v>146</v>
      </c>
      <c r="K307" s="37" t="s">
        <v>147</v>
      </c>
      <c r="L307" s="40" t="s">
        <v>676</v>
      </c>
      <c r="M307" s="37">
        <v>200</v>
      </c>
      <c r="N307" s="37">
        <v>8</v>
      </c>
      <c r="O307" s="147">
        <v>8100000</v>
      </c>
      <c r="P307" s="38">
        <v>46100</v>
      </c>
      <c r="Q307" s="41"/>
      <c r="R307" s="41"/>
    </row>
    <row r="308" spans="1:18" ht="13.5" thickBot="1">
      <c r="A308" s="146"/>
      <c r="B308" s="37">
        <v>4504014988</v>
      </c>
      <c r="C308" s="38">
        <v>46094</v>
      </c>
      <c r="D308" s="39">
        <v>0.46736111111111112</v>
      </c>
      <c r="E308" s="41"/>
      <c r="F308" s="37" t="s">
        <v>1348</v>
      </c>
      <c r="G308" s="37" t="s">
        <v>1349</v>
      </c>
      <c r="H308" s="38">
        <v>46094</v>
      </c>
      <c r="I308" s="39">
        <v>0.51875000000000004</v>
      </c>
      <c r="J308" s="41" t="s">
        <v>174</v>
      </c>
      <c r="K308" s="37" t="s">
        <v>142</v>
      </c>
      <c r="L308" s="40" t="s">
        <v>116</v>
      </c>
      <c r="M308" s="37">
        <v>15000</v>
      </c>
      <c r="N308" s="37">
        <v>600</v>
      </c>
      <c r="O308" s="147">
        <v>292500000</v>
      </c>
      <c r="P308" s="38">
        <v>46098</v>
      </c>
      <c r="Q308" s="41"/>
      <c r="R308" s="41"/>
    </row>
    <row r="309" spans="1:18" ht="13.5" thickBot="1">
      <c r="A309" s="268"/>
      <c r="B309" s="272">
        <v>4504014988</v>
      </c>
      <c r="C309" s="270">
        <v>46094</v>
      </c>
      <c r="D309" s="271">
        <v>0.46736111111111112</v>
      </c>
      <c r="E309" s="269"/>
      <c r="F309" s="272" t="s">
        <v>1350</v>
      </c>
      <c r="G309" s="272" t="s">
        <v>1351</v>
      </c>
      <c r="H309" s="270">
        <v>46094</v>
      </c>
      <c r="I309" s="271">
        <v>0.51875000000000004</v>
      </c>
      <c r="J309" s="269" t="s">
        <v>174</v>
      </c>
      <c r="K309" s="272" t="s">
        <v>142</v>
      </c>
      <c r="L309" s="273" t="s">
        <v>116</v>
      </c>
      <c r="M309" s="272">
        <v>375</v>
      </c>
      <c r="N309" s="272">
        <v>0</v>
      </c>
      <c r="O309" s="272">
        <v>0</v>
      </c>
      <c r="P309" s="270">
        <v>46098</v>
      </c>
      <c r="Q309" s="269"/>
      <c r="R309" s="269"/>
    </row>
    <row r="310" spans="1:18" ht="35" thickBot="1">
      <c r="A310" s="146"/>
      <c r="B310" s="37" t="s">
        <v>818</v>
      </c>
      <c r="C310" s="38">
        <v>46094</v>
      </c>
      <c r="D310" s="39">
        <v>0.40138888888888891</v>
      </c>
      <c r="E310" s="41"/>
      <c r="F310" s="37" t="s">
        <v>1352</v>
      </c>
      <c r="G310" s="37" t="s">
        <v>1353</v>
      </c>
      <c r="H310" s="38">
        <v>46094</v>
      </c>
      <c r="I310" s="39">
        <v>0.53680555555555554</v>
      </c>
      <c r="J310" s="41" t="s">
        <v>385</v>
      </c>
      <c r="K310" s="37" t="s">
        <v>83</v>
      </c>
      <c r="L310" s="40" t="s">
        <v>115</v>
      </c>
      <c r="M310" s="37">
        <v>2000</v>
      </c>
      <c r="N310" s="37">
        <v>80</v>
      </c>
      <c r="O310" s="147">
        <v>145734000</v>
      </c>
      <c r="P310" s="38">
        <v>46094</v>
      </c>
      <c r="Q310" s="41"/>
      <c r="R310" s="41"/>
    </row>
    <row r="311" spans="1:18" ht="35" thickBot="1">
      <c r="A311" s="146"/>
      <c r="B311" s="37" t="s">
        <v>818</v>
      </c>
      <c r="C311" s="38">
        <v>46094</v>
      </c>
      <c r="D311" s="39">
        <v>0.40138888888888891</v>
      </c>
      <c r="E311" s="41"/>
      <c r="F311" s="37" t="s">
        <v>1352</v>
      </c>
      <c r="G311" s="37" t="s">
        <v>1353</v>
      </c>
      <c r="H311" s="38">
        <v>46094</v>
      </c>
      <c r="I311" s="39">
        <v>0.53680555555555554</v>
      </c>
      <c r="J311" s="41" t="s">
        <v>385</v>
      </c>
      <c r="K311" s="37" t="s">
        <v>83</v>
      </c>
      <c r="L311" s="40" t="s">
        <v>209</v>
      </c>
      <c r="M311" s="37">
        <v>1000</v>
      </c>
      <c r="N311" s="37">
        <v>40</v>
      </c>
      <c r="O311" s="147">
        <v>122901000</v>
      </c>
      <c r="P311" s="38">
        <v>46094</v>
      </c>
      <c r="Q311" s="41"/>
      <c r="R311" s="41"/>
    </row>
    <row r="312" spans="1:18" ht="35" thickBot="1">
      <c r="A312" s="146"/>
      <c r="B312" s="37" t="s">
        <v>818</v>
      </c>
      <c r="C312" s="38">
        <v>46094</v>
      </c>
      <c r="D312" s="39">
        <v>0.40138888888888891</v>
      </c>
      <c r="E312" s="41"/>
      <c r="F312" s="37" t="s">
        <v>1354</v>
      </c>
      <c r="G312" s="37" t="s">
        <v>1355</v>
      </c>
      <c r="H312" s="38">
        <v>46094</v>
      </c>
      <c r="I312" s="39">
        <v>0.53680555555555554</v>
      </c>
      <c r="J312" s="41" t="s">
        <v>759</v>
      </c>
      <c r="K312" s="37" t="s">
        <v>83</v>
      </c>
      <c r="L312" s="40" t="s">
        <v>220</v>
      </c>
      <c r="M312" s="37">
        <v>700</v>
      </c>
      <c r="N312" s="37">
        <v>28</v>
      </c>
      <c r="O312" s="41"/>
      <c r="P312" s="38">
        <v>46094</v>
      </c>
      <c r="Q312" s="41"/>
      <c r="R312" s="41"/>
    </row>
    <row r="313" spans="1:18" ht="25.5" thickBot="1">
      <c r="A313" s="146"/>
      <c r="B313" s="37" t="s">
        <v>1356</v>
      </c>
      <c r="C313" s="38">
        <v>46094</v>
      </c>
      <c r="D313" s="39">
        <v>0.44097222222222221</v>
      </c>
      <c r="E313" s="41"/>
      <c r="F313" s="37" t="s">
        <v>1357</v>
      </c>
      <c r="G313" s="37" t="s">
        <v>1358</v>
      </c>
      <c r="H313" s="38">
        <v>46094</v>
      </c>
      <c r="I313" s="39">
        <v>0.53888888888888886</v>
      </c>
      <c r="J313" s="41" t="s">
        <v>351</v>
      </c>
      <c r="K313" s="37" t="s">
        <v>235</v>
      </c>
      <c r="L313" s="40" t="s">
        <v>221</v>
      </c>
      <c r="M313" s="37">
        <v>16</v>
      </c>
      <c r="N313" s="37">
        <v>1</v>
      </c>
      <c r="O313" s="147">
        <v>4480000</v>
      </c>
      <c r="P313" s="38">
        <v>46097</v>
      </c>
      <c r="Q313" s="41"/>
      <c r="R313" s="41"/>
    </row>
    <row r="314" spans="1:18" ht="38" thickBot="1">
      <c r="A314" s="146"/>
      <c r="B314" s="37" t="s">
        <v>1359</v>
      </c>
      <c r="C314" s="38">
        <v>46094</v>
      </c>
      <c r="D314" s="39">
        <v>0.48888888888888887</v>
      </c>
      <c r="E314" s="41"/>
      <c r="F314" s="37" t="s">
        <v>1360</v>
      </c>
      <c r="G314" s="37" t="s">
        <v>1361</v>
      </c>
      <c r="H314" s="38">
        <v>46094</v>
      </c>
      <c r="I314" s="39">
        <v>0.54027777777777775</v>
      </c>
      <c r="J314" s="41" t="s">
        <v>386</v>
      </c>
      <c r="K314" s="37" t="s">
        <v>76</v>
      </c>
      <c r="L314" s="40" t="s">
        <v>194</v>
      </c>
      <c r="M314" s="37">
        <v>2000</v>
      </c>
      <c r="N314" s="37">
        <v>80</v>
      </c>
      <c r="O314" s="147">
        <v>39000000</v>
      </c>
      <c r="P314" s="38">
        <v>46099</v>
      </c>
      <c r="Q314" s="41"/>
      <c r="R314" s="41"/>
    </row>
    <row r="315" spans="1:18" ht="13.5" thickBot="1">
      <c r="A315" s="146"/>
      <c r="B315" s="41"/>
      <c r="C315" s="38">
        <v>46087</v>
      </c>
      <c r="D315" s="39">
        <v>0.52083333333333337</v>
      </c>
      <c r="E315" s="41"/>
      <c r="F315" s="37" t="s">
        <v>1362</v>
      </c>
      <c r="G315" s="79" t="s">
        <v>1363</v>
      </c>
      <c r="H315" s="38">
        <v>46087</v>
      </c>
      <c r="I315" s="39">
        <v>0.52847222222222223</v>
      </c>
      <c r="J315" s="41" t="s">
        <v>163</v>
      </c>
      <c r="K315" s="37" t="s">
        <v>83</v>
      </c>
      <c r="L315" s="40" t="s">
        <v>815</v>
      </c>
      <c r="M315" s="37">
        <v>12</v>
      </c>
      <c r="N315" s="37">
        <v>0</v>
      </c>
      <c r="O315" s="147">
        <v>2772000</v>
      </c>
      <c r="P315" s="38">
        <v>46087</v>
      </c>
      <c r="Q315" s="41"/>
      <c r="R315" s="41"/>
    </row>
    <row r="316" spans="1:18" ht="13.5" thickBot="1">
      <c r="A316" s="146"/>
      <c r="B316" s="41"/>
      <c r="C316" s="38">
        <v>46087</v>
      </c>
      <c r="D316" s="39">
        <v>0.52083333333333337</v>
      </c>
      <c r="E316" s="41"/>
      <c r="F316" s="37" t="s">
        <v>1364</v>
      </c>
      <c r="G316" s="79" t="s">
        <v>1365</v>
      </c>
      <c r="H316" s="38">
        <v>46087</v>
      </c>
      <c r="I316" s="39">
        <v>0.52847222222222223</v>
      </c>
      <c r="J316" s="41" t="s">
        <v>163</v>
      </c>
      <c r="K316" s="37" t="s">
        <v>83</v>
      </c>
      <c r="L316" s="40" t="s">
        <v>912</v>
      </c>
      <c r="M316" s="37" t="s">
        <v>1366</v>
      </c>
      <c r="N316" s="37">
        <v>0</v>
      </c>
      <c r="O316" s="37">
        <v>0</v>
      </c>
      <c r="P316" s="38">
        <v>46087</v>
      </c>
      <c r="Q316" s="41"/>
      <c r="R316" s="41"/>
    </row>
    <row r="317" spans="1:18" ht="13.5" thickBot="1">
      <c r="A317" s="146"/>
      <c r="B317" s="37" t="s">
        <v>1367</v>
      </c>
      <c r="C317" s="38">
        <v>46090</v>
      </c>
      <c r="D317" s="39">
        <v>0.75</v>
      </c>
      <c r="E317" s="41"/>
      <c r="F317" s="37" t="s">
        <v>1368</v>
      </c>
      <c r="G317" s="224" t="s">
        <v>1369</v>
      </c>
      <c r="H317" s="38">
        <v>46091</v>
      </c>
      <c r="I317" s="39">
        <v>0.31041666666666667</v>
      </c>
      <c r="J317" s="41" t="s">
        <v>355</v>
      </c>
      <c r="K317" s="37" t="s">
        <v>114</v>
      </c>
      <c r="L317" s="40" t="s">
        <v>194</v>
      </c>
      <c r="M317" s="37">
        <v>350</v>
      </c>
      <c r="N317" s="37">
        <v>14</v>
      </c>
      <c r="O317" s="147">
        <v>6961000</v>
      </c>
      <c r="P317" s="38">
        <v>46092</v>
      </c>
      <c r="Q317" s="41"/>
      <c r="R317" s="41"/>
    </row>
    <row r="318" spans="1:18" ht="13.5" thickBot="1">
      <c r="A318" s="146"/>
      <c r="B318" s="37" t="s">
        <v>1367</v>
      </c>
      <c r="C318" s="38">
        <v>46090</v>
      </c>
      <c r="D318" s="39">
        <v>0.75</v>
      </c>
      <c r="E318" s="41"/>
      <c r="F318" s="37" t="s">
        <v>1368</v>
      </c>
      <c r="G318" s="224" t="s">
        <v>1369</v>
      </c>
      <c r="H318" s="38">
        <v>46091</v>
      </c>
      <c r="I318" s="39">
        <v>0.31041666666666667</v>
      </c>
      <c r="J318" s="41" t="s">
        <v>355</v>
      </c>
      <c r="K318" s="37" t="s">
        <v>114</v>
      </c>
      <c r="L318" s="40" t="s">
        <v>111</v>
      </c>
      <c r="M318" s="37">
        <v>200</v>
      </c>
      <c r="N318" s="37">
        <v>8</v>
      </c>
      <c r="O318" s="147">
        <v>5100000</v>
      </c>
      <c r="P318" s="38">
        <v>46092</v>
      </c>
      <c r="Q318" s="41"/>
      <c r="R318" s="41"/>
    </row>
    <row r="319" spans="1:18" ht="13.5" thickBot="1">
      <c r="A319" s="146"/>
      <c r="B319" s="37" t="s">
        <v>1367</v>
      </c>
      <c r="C319" s="38">
        <v>46090</v>
      </c>
      <c r="D319" s="39">
        <v>0.75</v>
      </c>
      <c r="E319" s="41"/>
      <c r="F319" s="37" t="s">
        <v>1368</v>
      </c>
      <c r="G319" s="224" t="s">
        <v>1369</v>
      </c>
      <c r="H319" s="38">
        <v>46091</v>
      </c>
      <c r="I319" s="39">
        <v>0.31041666666666667</v>
      </c>
      <c r="J319" s="41" t="s">
        <v>355</v>
      </c>
      <c r="K319" s="37" t="s">
        <v>114</v>
      </c>
      <c r="L319" s="40" t="s">
        <v>773</v>
      </c>
      <c r="M319" s="37">
        <v>1000</v>
      </c>
      <c r="N319" s="37">
        <v>40</v>
      </c>
      <c r="O319" s="147">
        <v>16200000</v>
      </c>
      <c r="P319" s="38">
        <v>46092</v>
      </c>
      <c r="Q319" s="41"/>
      <c r="R319" s="41"/>
    </row>
    <row r="320" spans="1:18" ht="13.5" thickBot="1">
      <c r="A320" s="146"/>
      <c r="B320" s="37" t="s">
        <v>1367</v>
      </c>
      <c r="C320" s="38">
        <v>46090</v>
      </c>
      <c r="D320" s="39">
        <v>0.75</v>
      </c>
      <c r="E320" s="41"/>
      <c r="F320" s="37" t="s">
        <v>1368</v>
      </c>
      <c r="G320" s="79" t="s">
        <v>1369</v>
      </c>
      <c r="H320" s="38">
        <v>46091</v>
      </c>
      <c r="I320" s="39">
        <v>0.31041666666666667</v>
      </c>
      <c r="J320" s="41" t="s">
        <v>355</v>
      </c>
      <c r="K320" s="37" t="s">
        <v>114</v>
      </c>
      <c r="L320" s="40" t="s">
        <v>209</v>
      </c>
      <c r="M320" s="37">
        <v>50</v>
      </c>
      <c r="N320" s="37">
        <v>2</v>
      </c>
      <c r="O320" s="147">
        <v>8210000</v>
      </c>
      <c r="P320" s="38">
        <v>46092</v>
      </c>
      <c r="Q320" s="41"/>
      <c r="R320" s="41"/>
    </row>
    <row r="321" spans="1:18" ht="13.5" thickBot="1">
      <c r="A321" s="146"/>
      <c r="B321" s="37">
        <v>1654</v>
      </c>
      <c r="C321" s="38">
        <v>46091</v>
      </c>
      <c r="D321" s="39">
        <v>0.62013888888888891</v>
      </c>
      <c r="E321" s="41"/>
      <c r="F321" s="37" t="s">
        <v>1370</v>
      </c>
      <c r="G321" s="37" t="s">
        <v>1371</v>
      </c>
      <c r="H321" s="38">
        <v>46092</v>
      </c>
      <c r="I321" s="39">
        <v>0.34305555555555556</v>
      </c>
      <c r="J321" s="41" t="s">
        <v>778</v>
      </c>
      <c r="K321" s="37" t="s">
        <v>142</v>
      </c>
      <c r="L321" s="40" t="s">
        <v>226</v>
      </c>
      <c r="M321" s="37">
        <v>300</v>
      </c>
      <c r="N321" s="37">
        <v>12</v>
      </c>
      <c r="O321" s="147">
        <v>15600000</v>
      </c>
      <c r="P321" s="38">
        <v>46092</v>
      </c>
      <c r="Q321" s="41"/>
      <c r="R321" s="41"/>
    </row>
    <row r="322" spans="1:18" ht="13.5" thickBot="1">
      <c r="A322" s="146"/>
      <c r="B322" s="37">
        <v>1654</v>
      </c>
      <c r="C322" s="38">
        <v>46091</v>
      </c>
      <c r="D322" s="39">
        <v>0.62013888888888891</v>
      </c>
      <c r="E322" s="41"/>
      <c r="F322" s="37" t="s">
        <v>1370</v>
      </c>
      <c r="G322" s="37" t="s">
        <v>1371</v>
      </c>
      <c r="H322" s="38">
        <v>46092</v>
      </c>
      <c r="I322" s="39">
        <v>0.34305555555555556</v>
      </c>
      <c r="J322" s="41" t="s">
        <v>778</v>
      </c>
      <c r="K322" s="37" t="s">
        <v>142</v>
      </c>
      <c r="L322" s="40" t="s">
        <v>773</v>
      </c>
      <c r="M322" s="37">
        <v>150</v>
      </c>
      <c r="N322" s="37">
        <v>6</v>
      </c>
      <c r="O322" s="147">
        <v>2400000</v>
      </c>
      <c r="P322" s="38">
        <v>46092</v>
      </c>
      <c r="Q322" s="41"/>
      <c r="R322" s="41"/>
    </row>
    <row r="323" spans="1:18" ht="13.5" thickBot="1">
      <c r="A323" s="146"/>
      <c r="B323" s="37">
        <v>4500087575</v>
      </c>
      <c r="C323" s="38">
        <v>46094</v>
      </c>
      <c r="D323" s="39">
        <v>0.59097222222222223</v>
      </c>
      <c r="E323" s="41"/>
      <c r="F323" s="37" t="s">
        <v>1372</v>
      </c>
      <c r="G323" s="37" t="s">
        <v>1373</v>
      </c>
      <c r="H323" s="38">
        <v>46094</v>
      </c>
      <c r="I323" s="39">
        <v>0.66805555555555551</v>
      </c>
      <c r="J323" s="163" t="s">
        <v>759</v>
      </c>
      <c r="K323" s="37" t="s">
        <v>375</v>
      </c>
      <c r="L323" s="40" t="s">
        <v>220</v>
      </c>
      <c r="M323" s="37">
        <v>200</v>
      </c>
      <c r="N323" s="37">
        <v>8</v>
      </c>
      <c r="O323" s="147">
        <v>6040000</v>
      </c>
      <c r="P323" s="38">
        <v>46097</v>
      </c>
      <c r="Q323" s="41"/>
      <c r="R323" s="41"/>
    </row>
    <row r="324" spans="1:18" ht="13.5" thickBot="1">
      <c r="A324" s="146"/>
      <c r="B324" s="37">
        <v>4500087575</v>
      </c>
      <c r="C324" s="38">
        <v>46094</v>
      </c>
      <c r="D324" s="39">
        <v>0.59097222222222223</v>
      </c>
      <c r="E324" s="41"/>
      <c r="F324" s="37" t="s">
        <v>1372</v>
      </c>
      <c r="G324" s="37" t="s">
        <v>1373</v>
      </c>
      <c r="H324" s="38">
        <v>46094</v>
      </c>
      <c r="I324" s="39">
        <v>0.66805555555555551</v>
      </c>
      <c r="J324" s="163" t="s">
        <v>759</v>
      </c>
      <c r="K324" s="37" t="s">
        <v>375</v>
      </c>
      <c r="L324" s="40" t="s">
        <v>111</v>
      </c>
      <c r="M324" s="37">
        <v>100</v>
      </c>
      <c r="N324" s="37">
        <v>4</v>
      </c>
      <c r="O324" s="147">
        <v>2475000</v>
      </c>
      <c r="P324" s="38">
        <v>46097</v>
      </c>
      <c r="Q324" s="41"/>
      <c r="R324" s="41"/>
    </row>
    <row r="325" spans="1:18" ht="13.5" thickBot="1">
      <c r="A325" s="146"/>
      <c r="B325" s="37">
        <v>4500087575</v>
      </c>
      <c r="C325" s="38">
        <v>46094</v>
      </c>
      <c r="D325" s="39">
        <v>0.59097222222222223</v>
      </c>
      <c r="E325" s="41"/>
      <c r="F325" s="37" t="s">
        <v>1372</v>
      </c>
      <c r="G325" s="37" t="s">
        <v>1373</v>
      </c>
      <c r="H325" s="38">
        <v>46094</v>
      </c>
      <c r="I325" s="39">
        <v>0.66805555555555551</v>
      </c>
      <c r="J325" s="163" t="s">
        <v>759</v>
      </c>
      <c r="K325" s="37" t="s">
        <v>375</v>
      </c>
      <c r="L325" s="40" t="s">
        <v>151</v>
      </c>
      <c r="M325" s="37">
        <v>250</v>
      </c>
      <c r="N325" s="37">
        <v>10</v>
      </c>
      <c r="O325" s="147">
        <v>15425000</v>
      </c>
      <c r="P325" s="38">
        <v>46097</v>
      </c>
      <c r="Q325" s="41"/>
      <c r="R325" s="41"/>
    </row>
    <row r="326" spans="1:18" ht="13.5" thickBot="1">
      <c r="A326" s="146"/>
      <c r="B326" s="37">
        <v>4500087575</v>
      </c>
      <c r="C326" s="38">
        <v>46094</v>
      </c>
      <c r="D326" s="39">
        <v>0.59097222222222223</v>
      </c>
      <c r="E326" s="41"/>
      <c r="F326" s="37" t="s">
        <v>1374</v>
      </c>
      <c r="G326" s="37" t="s">
        <v>1375</v>
      </c>
      <c r="H326" s="38">
        <v>46094</v>
      </c>
      <c r="I326" s="39">
        <v>0.66805555555555551</v>
      </c>
      <c r="J326" s="163" t="s">
        <v>759</v>
      </c>
      <c r="K326" s="37" t="s">
        <v>375</v>
      </c>
      <c r="L326" s="40" t="s">
        <v>676</v>
      </c>
      <c r="M326" s="37">
        <v>100</v>
      </c>
      <c r="N326" s="37">
        <v>4</v>
      </c>
      <c r="O326" s="147">
        <v>3450000</v>
      </c>
      <c r="P326" s="38">
        <v>46097</v>
      </c>
      <c r="Q326" s="41"/>
      <c r="R326" s="41"/>
    </row>
    <row r="327" spans="1:18" ht="23.5" thickBot="1">
      <c r="A327" s="146"/>
      <c r="B327" s="37" t="s">
        <v>1376</v>
      </c>
      <c r="C327" s="38">
        <v>46094</v>
      </c>
      <c r="D327" s="39">
        <v>0.61111111111111116</v>
      </c>
      <c r="E327" s="41"/>
      <c r="F327" s="37" t="s">
        <v>1377</v>
      </c>
      <c r="G327" s="37" t="s">
        <v>1378</v>
      </c>
      <c r="H327" s="38">
        <v>46094</v>
      </c>
      <c r="I327" s="39">
        <v>0.67638888888888893</v>
      </c>
      <c r="J327" s="41" t="s">
        <v>183</v>
      </c>
      <c r="K327" s="37" t="s">
        <v>1379</v>
      </c>
      <c r="L327" s="40" t="s">
        <v>773</v>
      </c>
      <c r="M327" s="37">
        <v>1300</v>
      </c>
      <c r="N327" s="37">
        <v>52</v>
      </c>
      <c r="O327" s="147">
        <v>21450000</v>
      </c>
      <c r="P327" s="38">
        <v>46100</v>
      </c>
      <c r="Q327" s="41"/>
      <c r="R327" s="41"/>
    </row>
    <row r="328" spans="1:18" ht="38" thickBot="1">
      <c r="A328" s="146"/>
      <c r="B328" s="37" t="s">
        <v>1380</v>
      </c>
      <c r="C328" s="38">
        <v>46094</v>
      </c>
      <c r="D328" s="39">
        <v>0.67291666666666672</v>
      </c>
      <c r="E328" s="41"/>
      <c r="F328" s="37" t="s">
        <v>1381</v>
      </c>
      <c r="G328" s="37" t="s">
        <v>1382</v>
      </c>
      <c r="H328" s="38">
        <v>46094</v>
      </c>
      <c r="I328" s="39">
        <v>0.6875</v>
      </c>
      <c r="J328" s="41" t="s">
        <v>386</v>
      </c>
      <c r="K328" s="37" t="s">
        <v>79</v>
      </c>
      <c r="L328" s="40" t="s">
        <v>676</v>
      </c>
      <c r="M328" s="37">
        <v>225</v>
      </c>
      <c r="N328" s="37">
        <v>9</v>
      </c>
      <c r="O328" s="147">
        <v>9112500</v>
      </c>
      <c r="P328" s="38">
        <v>46098</v>
      </c>
      <c r="Q328" s="41"/>
      <c r="R328" s="41"/>
    </row>
    <row r="329" spans="1:18" ht="38" thickBot="1">
      <c r="A329" s="146"/>
      <c r="B329" s="37" t="s">
        <v>1380</v>
      </c>
      <c r="C329" s="38">
        <v>46094</v>
      </c>
      <c r="D329" s="39">
        <v>0.67291666666666672</v>
      </c>
      <c r="E329" s="41"/>
      <c r="F329" s="37" t="s">
        <v>1381</v>
      </c>
      <c r="G329" s="37" t="s">
        <v>1382</v>
      </c>
      <c r="H329" s="38">
        <v>46094</v>
      </c>
      <c r="I329" s="39">
        <v>0.6875</v>
      </c>
      <c r="J329" s="41" t="s">
        <v>386</v>
      </c>
      <c r="K329" s="37" t="s">
        <v>79</v>
      </c>
      <c r="L329" s="40" t="s">
        <v>111</v>
      </c>
      <c r="M329" s="37">
        <v>975</v>
      </c>
      <c r="N329" s="37">
        <v>39</v>
      </c>
      <c r="O329" s="147">
        <v>25642500</v>
      </c>
      <c r="P329" s="38">
        <v>46098</v>
      </c>
      <c r="Q329" s="41"/>
      <c r="R329" s="41"/>
    </row>
    <row r="330" spans="1:18" ht="38" thickBot="1">
      <c r="A330" s="146"/>
      <c r="B330" s="37" t="s">
        <v>1380</v>
      </c>
      <c r="C330" s="38">
        <v>46094</v>
      </c>
      <c r="D330" s="39">
        <v>0.67291666666666672</v>
      </c>
      <c r="E330" s="41"/>
      <c r="F330" s="37" t="s">
        <v>1383</v>
      </c>
      <c r="G330" s="37" t="s">
        <v>1384</v>
      </c>
      <c r="H330" s="38">
        <v>46094</v>
      </c>
      <c r="I330" s="39">
        <v>0.6875</v>
      </c>
      <c r="J330" s="41" t="s">
        <v>386</v>
      </c>
      <c r="K330" s="37" t="s">
        <v>79</v>
      </c>
      <c r="L330" s="40" t="s">
        <v>676</v>
      </c>
      <c r="M330" s="37">
        <v>75</v>
      </c>
      <c r="N330" s="37">
        <v>3</v>
      </c>
      <c r="O330" s="147">
        <v>3037500</v>
      </c>
      <c r="P330" s="38">
        <v>46098</v>
      </c>
      <c r="Q330" s="41"/>
      <c r="R330" s="41"/>
    </row>
    <row r="331" spans="1:18" ht="38" thickBot="1">
      <c r="A331" s="146"/>
      <c r="B331" s="37" t="s">
        <v>1380</v>
      </c>
      <c r="C331" s="38">
        <v>46094</v>
      </c>
      <c r="D331" s="39">
        <v>0.67291666666666672</v>
      </c>
      <c r="E331" s="41"/>
      <c r="F331" s="37" t="s">
        <v>1383</v>
      </c>
      <c r="G331" s="37" t="s">
        <v>1384</v>
      </c>
      <c r="H331" s="38">
        <v>46094</v>
      </c>
      <c r="I331" s="39">
        <v>0.6875</v>
      </c>
      <c r="J331" s="41" t="s">
        <v>386</v>
      </c>
      <c r="K331" s="37" t="s">
        <v>79</v>
      </c>
      <c r="L331" s="40" t="s">
        <v>111</v>
      </c>
      <c r="M331" s="37">
        <v>525</v>
      </c>
      <c r="N331" s="37">
        <v>21</v>
      </c>
      <c r="O331" s="147">
        <v>13807500</v>
      </c>
      <c r="P331" s="38">
        <v>46098</v>
      </c>
      <c r="Q331" s="41"/>
      <c r="R331" s="41"/>
    </row>
    <row r="332" spans="1:18" ht="13.5" thickBot="1">
      <c r="A332" s="146"/>
      <c r="B332" s="37">
        <v>5504457827</v>
      </c>
      <c r="C332" s="38">
        <v>46094</v>
      </c>
      <c r="D332" s="39">
        <v>0.72152777777777777</v>
      </c>
      <c r="E332" s="41"/>
      <c r="F332" s="37" t="s">
        <v>1385</v>
      </c>
      <c r="G332" s="37" t="s">
        <v>1386</v>
      </c>
      <c r="H332" s="38">
        <v>46097</v>
      </c>
      <c r="I332" s="39">
        <v>0.44305555555555554</v>
      </c>
      <c r="J332" s="41" t="s">
        <v>52</v>
      </c>
      <c r="K332" s="37" t="s">
        <v>135</v>
      </c>
      <c r="L332" s="40" t="s">
        <v>194</v>
      </c>
      <c r="M332" s="37">
        <v>6000</v>
      </c>
      <c r="N332" s="37">
        <v>240</v>
      </c>
      <c r="O332" s="147">
        <v>110100000</v>
      </c>
      <c r="P332" s="38">
        <v>46099</v>
      </c>
      <c r="Q332" s="41"/>
      <c r="R332" s="41"/>
    </row>
    <row r="333" spans="1:18" ht="13.5" thickBot="1">
      <c r="A333" s="146"/>
      <c r="B333" s="37">
        <v>4500374062</v>
      </c>
      <c r="C333" s="38">
        <v>46097</v>
      </c>
      <c r="D333" s="39">
        <v>0.32500000000000001</v>
      </c>
      <c r="E333" s="41"/>
      <c r="F333" s="37" t="s">
        <v>1387</v>
      </c>
      <c r="G333" s="37" t="s">
        <v>1388</v>
      </c>
      <c r="H333" s="38">
        <v>46097</v>
      </c>
      <c r="I333" s="39">
        <v>0.50694444444444442</v>
      </c>
      <c r="J333" s="41" t="s">
        <v>64</v>
      </c>
      <c r="K333" s="37" t="s">
        <v>142</v>
      </c>
      <c r="L333" s="40" t="s">
        <v>111</v>
      </c>
      <c r="M333" s="37">
        <v>1000</v>
      </c>
      <c r="N333" s="37">
        <v>40</v>
      </c>
      <c r="O333" s="147">
        <v>26300000</v>
      </c>
      <c r="P333" s="38">
        <v>46108</v>
      </c>
      <c r="Q333" s="41"/>
      <c r="R333" s="41"/>
    </row>
    <row r="334" spans="1:18" ht="23.5" thickBot="1">
      <c r="A334" s="146"/>
      <c r="B334" s="37" t="s">
        <v>1389</v>
      </c>
      <c r="C334" s="38">
        <v>46097</v>
      </c>
      <c r="D334" s="37" t="s">
        <v>1390</v>
      </c>
      <c r="E334" s="41"/>
      <c r="F334" s="37" t="s">
        <v>1391</v>
      </c>
      <c r="G334" s="37" t="s">
        <v>1392</v>
      </c>
      <c r="H334" s="38">
        <v>46097</v>
      </c>
      <c r="I334" s="39">
        <v>0.54652777777777772</v>
      </c>
      <c r="J334" s="41" t="s">
        <v>323</v>
      </c>
      <c r="K334" s="37" t="s">
        <v>811</v>
      </c>
      <c r="L334" s="40" t="s">
        <v>676</v>
      </c>
      <c r="M334" s="37">
        <v>425</v>
      </c>
      <c r="N334" s="37">
        <v>17</v>
      </c>
      <c r="O334" s="147">
        <v>17212500</v>
      </c>
      <c r="P334" s="38">
        <v>46099</v>
      </c>
      <c r="Q334" s="41"/>
      <c r="R334" s="41"/>
    </row>
    <row r="335" spans="1:18" ht="13.5" thickBot="1">
      <c r="A335" s="146"/>
      <c r="B335" s="37">
        <v>1384554</v>
      </c>
      <c r="C335" s="38">
        <v>46097</v>
      </c>
      <c r="D335" s="39">
        <v>0.61111111111111116</v>
      </c>
      <c r="E335" s="41"/>
      <c r="F335" s="37" t="s">
        <v>1393</v>
      </c>
      <c r="G335" s="37" t="s">
        <v>1394</v>
      </c>
      <c r="H335" s="38">
        <v>46097</v>
      </c>
      <c r="I335" s="39">
        <v>0.6118055555555556</v>
      </c>
      <c r="J335" s="41" t="s">
        <v>30</v>
      </c>
      <c r="K335" s="37" t="s">
        <v>84</v>
      </c>
      <c r="L335" s="40" t="s">
        <v>768</v>
      </c>
      <c r="M335" s="37">
        <v>150</v>
      </c>
      <c r="N335" s="37">
        <v>6</v>
      </c>
      <c r="O335" s="147">
        <v>27030000</v>
      </c>
      <c r="P335" s="38">
        <v>46099</v>
      </c>
      <c r="Q335" s="41"/>
      <c r="R335" s="41"/>
    </row>
    <row r="336" spans="1:18" ht="13.5" thickBot="1">
      <c r="A336" s="146"/>
      <c r="B336" s="41"/>
      <c r="C336" s="38">
        <v>46097</v>
      </c>
      <c r="D336" s="37">
        <v>15</v>
      </c>
      <c r="E336" s="41"/>
      <c r="F336" s="37" t="s">
        <v>822</v>
      </c>
      <c r="G336" s="37" t="s">
        <v>1395</v>
      </c>
      <c r="H336" s="38">
        <v>46097</v>
      </c>
      <c r="I336" s="39">
        <v>0.65347222222222223</v>
      </c>
      <c r="J336" s="41" t="s">
        <v>1396</v>
      </c>
      <c r="K336" s="37" t="s">
        <v>78</v>
      </c>
      <c r="L336" s="40" t="s">
        <v>207</v>
      </c>
      <c r="M336" s="37">
        <v>26</v>
      </c>
      <c r="N336" s="37">
        <v>1</v>
      </c>
      <c r="O336" s="147">
        <v>14300000</v>
      </c>
      <c r="P336" s="38">
        <v>46097</v>
      </c>
      <c r="Q336" s="41"/>
      <c r="R336" s="41"/>
    </row>
    <row r="337" spans="1:18" ht="38" thickBot="1">
      <c r="A337" s="146"/>
      <c r="B337" s="37" t="s">
        <v>1397</v>
      </c>
      <c r="C337" s="38">
        <v>46097</v>
      </c>
      <c r="D337" s="39">
        <v>0.62222222222222223</v>
      </c>
      <c r="E337" s="41"/>
      <c r="F337" s="37" t="s">
        <v>1398</v>
      </c>
      <c r="G337" s="37" t="s">
        <v>1399</v>
      </c>
      <c r="H337" s="38">
        <v>46097</v>
      </c>
      <c r="I337" s="39">
        <v>0.67013888888888884</v>
      </c>
      <c r="J337" s="41" t="s">
        <v>386</v>
      </c>
      <c r="K337" s="37" t="s">
        <v>76</v>
      </c>
      <c r="L337" s="40" t="s">
        <v>676</v>
      </c>
      <c r="M337" s="37">
        <v>100</v>
      </c>
      <c r="N337" s="37">
        <v>4</v>
      </c>
      <c r="O337" s="147">
        <v>4050000</v>
      </c>
      <c r="P337" s="38">
        <v>46099</v>
      </c>
      <c r="Q337" s="41"/>
      <c r="R337" s="41"/>
    </row>
    <row r="338" spans="1:18" ht="38" thickBot="1">
      <c r="A338" s="146"/>
      <c r="B338" s="37" t="s">
        <v>1397</v>
      </c>
      <c r="C338" s="38">
        <v>46097</v>
      </c>
      <c r="D338" s="39">
        <v>0.62222222222222223</v>
      </c>
      <c r="E338" s="41"/>
      <c r="F338" s="37" t="s">
        <v>1398</v>
      </c>
      <c r="G338" s="37" t="s">
        <v>1399</v>
      </c>
      <c r="H338" s="38">
        <v>46097</v>
      </c>
      <c r="I338" s="39">
        <v>0.67013888888888884</v>
      </c>
      <c r="J338" s="41" t="s">
        <v>386</v>
      </c>
      <c r="K338" s="37" t="s">
        <v>76</v>
      </c>
      <c r="L338" s="40" t="s">
        <v>194</v>
      </c>
      <c r="M338" s="37">
        <v>1000</v>
      </c>
      <c r="N338" s="37">
        <v>40</v>
      </c>
      <c r="O338" s="147">
        <v>19500000</v>
      </c>
      <c r="P338" s="38">
        <v>46099</v>
      </c>
      <c r="Q338" s="41"/>
      <c r="R338" s="41"/>
    </row>
    <row r="339" spans="1:18" ht="38" thickBot="1">
      <c r="A339" s="146"/>
      <c r="B339" s="37" t="s">
        <v>1400</v>
      </c>
      <c r="C339" s="38">
        <v>46097</v>
      </c>
      <c r="D339" s="39">
        <v>0.67291666666666672</v>
      </c>
      <c r="E339" s="41"/>
      <c r="F339" s="37" t="s">
        <v>1401</v>
      </c>
      <c r="G339" s="37" t="s">
        <v>1402</v>
      </c>
      <c r="H339" s="38">
        <v>46098</v>
      </c>
      <c r="I339" s="39">
        <v>0.33402777777777776</v>
      </c>
      <c r="J339" s="41" t="s">
        <v>32</v>
      </c>
      <c r="K339" s="37" t="s">
        <v>150</v>
      </c>
      <c r="L339" s="40" t="s">
        <v>768</v>
      </c>
      <c r="M339" s="37">
        <v>500</v>
      </c>
      <c r="N339" s="37">
        <v>20</v>
      </c>
      <c r="O339" s="147">
        <v>95000000</v>
      </c>
      <c r="P339" s="38">
        <v>46100</v>
      </c>
      <c r="Q339" s="41"/>
      <c r="R339" s="41"/>
    </row>
    <row r="340" spans="1:18" ht="13.5" thickBot="1">
      <c r="A340" s="146"/>
      <c r="B340" s="41"/>
      <c r="C340" s="38">
        <v>46097</v>
      </c>
      <c r="D340" s="39">
        <v>0.69097222222222221</v>
      </c>
      <c r="E340" s="41"/>
      <c r="F340" s="37" t="s">
        <v>1403</v>
      </c>
      <c r="G340" s="37" t="s">
        <v>1404</v>
      </c>
      <c r="H340" s="38">
        <v>46098</v>
      </c>
      <c r="I340" s="39">
        <v>0.39583333333333331</v>
      </c>
      <c r="J340" s="41" t="s">
        <v>152</v>
      </c>
      <c r="K340" s="37" t="s">
        <v>397</v>
      </c>
      <c r="L340" s="40" t="s">
        <v>111</v>
      </c>
      <c r="M340" s="37">
        <v>400</v>
      </c>
      <c r="N340" s="37">
        <v>16</v>
      </c>
      <c r="O340" s="147">
        <v>10520000</v>
      </c>
      <c r="P340" s="38">
        <v>46106</v>
      </c>
      <c r="Q340" s="41"/>
      <c r="R340" s="41"/>
    </row>
    <row r="341" spans="1:18" ht="23.5" thickBot="1">
      <c r="A341" s="146"/>
      <c r="B341" s="41"/>
      <c r="C341" s="38">
        <v>46097</v>
      </c>
      <c r="D341" s="39">
        <v>0.78819444444444442</v>
      </c>
      <c r="E341" s="41"/>
      <c r="F341" s="37" t="s">
        <v>1405</v>
      </c>
      <c r="G341" s="37" t="s">
        <v>1406</v>
      </c>
      <c r="H341" s="38">
        <v>46098</v>
      </c>
      <c r="I341" s="39">
        <v>0.44930555555555557</v>
      </c>
      <c r="J341" s="41" t="s">
        <v>920</v>
      </c>
      <c r="K341" s="37" t="s">
        <v>377</v>
      </c>
      <c r="L341" s="40" t="s">
        <v>773</v>
      </c>
      <c r="M341" s="37">
        <v>400</v>
      </c>
      <c r="N341" s="37">
        <v>16</v>
      </c>
      <c r="O341" s="147">
        <v>6320000</v>
      </c>
      <c r="P341" s="38">
        <v>46098</v>
      </c>
      <c r="Q341" s="41"/>
      <c r="R341" s="41"/>
    </row>
    <row r="342" spans="1:18" ht="13.5" thickBot="1">
      <c r="A342" s="146"/>
      <c r="B342" s="41"/>
      <c r="C342" s="38">
        <v>46097</v>
      </c>
      <c r="D342" s="39">
        <v>0.68263888888888891</v>
      </c>
      <c r="E342" s="41"/>
      <c r="F342" s="37" t="s">
        <v>1407</v>
      </c>
      <c r="G342" s="37" t="s">
        <v>1408</v>
      </c>
      <c r="H342" s="38">
        <v>46098</v>
      </c>
      <c r="I342" s="39">
        <v>0.46805555555555556</v>
      </c>
      <c r="J342" s="41" t="s">
        <v>390</v>
      </c>
      <c r="K342" s="37" t="s">
        <v>1409</v>
      </c>
      <c r="L342" s="40" t="s">
        <v>161</v>
      </c>
      <c r="M342" s="37">
        <v>25</v>
      </c>
      <c r="N342" s="37">
        <v>1</v>
      </c>
      <c r="O342" s="147">
        <v>4250000</v>
      </c>
      <c r="P342" s="38">
        <v>46099</v>
      </c>
      <c r="Q342" s="41"/>
      <c r="R342" s="41"/>
    </row>
    <row r="343" spans="1:18" ht="23.5" thickBot="1">
      <c r="A343" s="146"/>
      <c r="B343" s="37" t="s">
        <v>1410</v>
      </c>
      <c r="C343" s="38">
        <v>46098</v>
      </c>
      <c r="D343" s="39">
        <v>0.30625000000000002</v>
      </c>
      <c r="E343" s="41"/>
      <c r="F343" s="37" t="s">
        <v>1411</v>
      </c>
      <c r="G343" s="37" t="s">
        <v>1412</v>
      </c>
      <c r="H343" s="38">
        <v>46098</v>
      </c>
      <c r="I343" s="39">
        <v>0.52777777777777779</v>
      </c>
      <c r="J343" s="41" t="s">
        <v>169</v>
      </c>
      <c r="K343" s="37" t="s">
        <v>147</v>
      </c>
      <c r="L343" s="40" t="s">
        <v>212</v>
      </c>
      <c r="M343" s="37">
        <v>200</v>
      </c>
      <c r="N343" s="37">
        <v>8</v>
      </c>
      <c r="O343" s="147">
        <v>5100000</v>
      </c>
      <c r="P343" s="38">
        <v>46072</v>
      </c>
      <c r="Q343" s="41"/>
      <c r="R343" s="41"/>
    </row>
    <row r="344" spans="1:18" ht="13.5" thickBot="1">
      <c r="A344" s="146"/>
      <c r="B344" s="37">
        <v>1384931</v>
      </c>
      <c r="C344" s="38">
        <v>46098</v>
      </c>
      <c r="D344" s="39">
        <v>0.31458333333333333</v>
      </c>
      <c r="E344" s="41"/>
      <c r="F344" s="37" t="s">
        <v>1413</v>
      </c>
      <c r="G344" s="37" t="s">
        <v>1414</v>
      </c>
      <c r="H344" s="38">
        <v>46098</v>
      </c>
      <c r="I344" s="39">
        <v>0.53333333333333333</v>
      </c>
      <c r="J344" s="41" t="s">
        <v>38</v>
      </c>
      <c r="K344" s="37" t="s">
        <v>142</v>
      </c>
      <c r="L344" s="40" t="s">
        <v>768</v>
      </c>
      <c r="M344" s="37">
        <v>75</v>
      </c>
      <c r="N344" s="37">
        <v>3</v>
      </c>
      <c r="O344" s="147">
        <v>13515000</v>
      </c>
      <c r="P344" s="38">
        <v>46072</v>
      </c>
      <c r="Q344" s="41"/>
      <c r="R344" s="41"/>
    </row>
    <row r="345" spans="1:18" ht="13.5" thickBot="1">
      <c r="A345" s="146"/>
      <c r="B345" s="37">
        <v>4500087599</v>
      </c>
      <c r="C345" s="38">
        <v>46098</v>
      </c>
      <c r="D345" s="39">
        <v>0.37569444444444444</v>
      </c>
      <c r="E345" s="41"/>
      <c r="F345" s="37" t="s">
        <v>1415</v>
      </c>
      <c r="G345" s="37" t="s">
        <v>1416</v>
      </c>
      <c r="H345" s="38">
        <v>46098</v>
      </c>
      <c r="I345" s="39">
        <v>0.53541666666666665</v>
      </c>
      <c r="J345" s="41" t="s">
        <v>759</v>
      </c>
      <c r="K345" s="37" t="s">
        <v>375</v>
      </c>
      <c r="L345" s="40" t="s">
        <v>1172</v>
      </c>
      <c r="M345" s="37">
        <v>1500</v>
      </c>
      <c r="N345" s="37">
        <v>60</v>
      </c>
      <c r="O345" s="147">
        <v>28875000</v>
      </c>
      <c r="P345" s="38">
        <v>46072</v>
      </c>
      <c r="Q345" s="41"/>
      <c r="R345" s="41"/>
    </row>
    <row r="346" spans="1:18" ht="13.5" thickBot="1">
      <c r="A346" s="146"/>
      <c r="B346" s="37">
        <v>4500087599</v>
      </c>
      <c r="C346" s="38">
        <v>46098</v>
      </c>
      <c r="D346" s="39">
        <v>0.37569444444444444</v>
      </c>
      <c r="E346" s="41"/>
      <c r="F346" s="37" t="s">
        <v>1415</v>
      </c>
      <c r="G346" s="37" t="s">
        <v>1416</v>
      </c>
      <c r="H346" s="38">
        <v>46098</v>
      </c>
      <c r="I346" s="39">
        <v>0.53541666666666665</v>
      </c>
      <c r="J346" s="41" t="s">
        <v>759</v>
      </c>
      <c r="K346" s="37" t="s">
        <v>375</v>
      </c>
      <c r="L346" s="40" t="s">
        <v>884</v>
      </c>
      <c r="M346" s="37">
        <v>250</v>
      </c>
      <c r="N346" s="37">
        <v>10</v>
      </c>
      <c r="O346" s="147">
        <v>4918750</v>
      </c>
      <c r="P346" s="38">
        <v>46072</v>
      </c>
      <c r="Q346" s="41"/>
      <c r="R346" s="41"/>
    </row>
    <row r="347" spans="1:18" ht="13.5" thickBot="1">
      <c r="A347" s="146"/>
      <c r="B347" s="37">
        <v>4500087599</v>
      </c>
      <c r="C347" s="38">
        <v>46098</v>
      </c>
      <c r="D347" s="39">
        <v>0.37569444444444444</v>
      </c>
      <c r="E347" s="41"/>
      <c r="F347" s="37" t="s">
        <v>1415</v>
      </c>
      <c r="G347" s="37" t="s">
        <v>1416</v>
      </c>
      <c r="H347" s="38">
        <v>46098</v>
      </c>
      <c r="I347" s="39">
        <v>0.53541666666666665</v>
      </c>
      <c r="J347" s="41" t="s">
        <v>759</v>
      </c>
      <c r="K347" s="37" t="s">
        <v>375</v>
      </c>
      <c r="L347" s="40" t="s">
        <v>111</v>
      </c>
      <c r="M347" s="37">
        <v>200</v>
      </c>
      <c r="N347" s="37">
        <v>8</v>
      </c>
      <c r="O347" s="147">
        <v>4950000</v>
      </c>
      <c r="P347" s="38">
        <v>46072</v>
      </c>
      <c r="Q347" s="41"/>
      <c r="R347" s="41"/>
    </row>
    <row r="348" spans="1:18" ht="23.5" thickBot="1">
      <c r="A348" s="146"/>
      <c r="B348" s="37" t="s">
        <v>1417</v>
      </c>
      <c r="C348" s="38">
        <v>46098</v>
      </c>
      <c r="D348" s="39">
        <v>0.39166666666666666</v>
      </c>
      <c r="E348" s="41"/>
      <c r="F348" s="37" t="s">
        <v>1418</v>
      </c>
      <c r="G348" s="37" t="s">
        <v>1419</v>
      </c>
      <c r="H348" s="38">
        <v>46098</v>
      </c>
      <c r="I348" s="39">
        <v>0.54305555555555551</v>
      </c>
      <c r="J348" s="41" t="s">
        <v>54</v>
      </c>
      <c r="K348" s="37" t="s">
        <v>75</v>
      </c>
      <c r="L348" s="40" t="s">
        <v>215</v>
      </c>
      <c r="M348" s="37">
        <v>250</v>
      </c>
      <c r="N348" s="37">
        <v>10</v>
      </c>
      <c r="O348" s="147">
        <v>4250000</v>
      </c>
      <c r="P348" s="38">
        <v>46072</v>
      </c>
      <c r="Q348" s="41"/>
      <c r="R348" s="41"/>
    </row>
    <row r="349" spans="1:18" ht="23.5" thickBot="1">
      <c r="A349" s="146"/>
      <c r="B349" s="37" t="s">
        <v>1417</v>
      </c>
      <c r="C349" s="38">
        <v>46098</v>
      </c>
      <c r="D349" s="39">
        <v>0.39166666666666666</v>
      </c>
      <c r="E349" s="41"/>
      <c r="F349" s="37" t="s">
        <v>1418</v>
      </c>
      <c r="G349" s="37" t="s">
        <v>1419</v>
      </c>
      <c r="H349" s="38">
        <v>46098</v>
      </c>
      <c r="I349" s="39">
        <v>0.54305555555555551</v>
      </c>
      <c r="J349" s="41" t="s">
        <v>54</v>
      </c>
      <c r="K349" s="37" t="s">
        <v>75</v>
      </c>
      <c r="L349" s="40" t="s">
        <v>120</v>
      </c>
      <c r="M349" s="37">
        <v>25</v>
      </c>
      <c r="N349" s="37">
        <v>1</v>
      </c>
      <c r="O349" s="147">
        <v>3875000</v>
      </c>
      <c r="P349" s="38">
        <v>46072</v>
      </c>
      <c r="Q349" s="41"/>
      <c r="R349" s="41"/>
    </row>
    <row r="350" spans="1:18" ht="23.5" thickBot="1">
      <c r="A350" s="146"/>
      <c r="B350" s="37" t="s">
        <v>1417</v>
      </c>
      <c r="C350" s="38">
        <v>46098</v>
      </c>
      <c r="D350" s="39">
        <v>0.39166666666666666</v>
      </c>
      <c r="E350" s="41"/>
      <c r="F350" s="37" t="s">
        <v>1418</v>
      </c>
      <c r="G350" s="37" t="s">
        <v>1419</v>
      </c>
      <c r="H350" s="38">
        <v>46098</v>
      </c>
      <c r="I350" s="39">
        <v>0.54305555555555551</v>
      </c>
      <c r="J350" s="41" t="s">
        <v>54</v>
      </c>
      <c r="K350" s="37" t="s">
        <v>75</v>
      </c>
      <c r="L350" s="40" t="s">
        <v>762</v>
      </c>
      <c r="M350" s="37">
        <v>50</v>
      </c>
      <c r="N350" s="37">
        <v>2</v>
      </c>
      <c r="O350" s="147">
        <v>3450000</v>
      </c>
      <c r="P350" s="38">
        <v>46072</v>
      </c>
      <c r="Q350" s="41"/>
      <c r="R350" s="41"/>
    </row>
    <row r="351" spans="1:18" ht="23.5" thickBot="1">
      <c r="A351" s="146"/>
      <c r="B351" s="37" t="s">
        <v>1417</v>
      </c>
      <c r="C351" s="38">
        <v>46098</v>
      </c>
      <c r="D351" s="39">
        <v>0.39166666666666666</v>
      </c>
      <c r="E351" s="41"/>
      <c r="F351" s="37" t="s">
        <v>1418</v>
      </c>
      <c r="G351" s="37" t="s">
        <v>1419</v>
      </c>
      <c r="H351" s="38">
        <v>46098</v>
      </c>
      <c r="I351" s="39">
        <v>0.54305555555555551</v>
      </c>
      <c r="J351" s="41" t="s">
        <v>54</v>
      </c>
      <c r="K351" s="37" t="s">
        <v>75</v>
      </c>
      <c r="L351" s="40" t="s">
        <v>153</v>
      </c>
      <c r="M351" s="37">
        <v>50</v>
      </c>
      <c r="N351" s="37">
        <v>2</v>
      </c>
      <c r="O351" s="147">
        <v>3290000</v>
      </c>
      <c r="P351" s="38">
        <v>46072</v>
      </c>
      <c r="Q351" s="41"/>
      <c r="R351" s="41"/>
    </row>
    <row r="352" spans="1:18" ht="13.5" thickBot="1">
      <c r="A352" s="146"/>
      <c r="B352" s="37" t="s">
        <v>1420</v>
      </c>
      <c r="C352" s="38">
        <v>46098</v>
      </c>
      <c r="D352" s="39">
        <v>0.46319444444444446</v>
      </c>
      <c r="E352" s="41"/>
      <c r="F352" s="37" t="s">
        <v>1421</v>
      </c>
      <c r="G352" s="37" t="s">
        <v>1422</v>
      </c>
      <c r="H352" s="38">
        <v>46098</v>
      </c>
      <c r="I352" s="39">
        <v>0.54513888888888884</v>
      </c>
      <c r="J352" s="41" t="s">
        <v>1423</v>
      </c>
      <c r="K352" s="37" t="s">
        <v>80</v>
      </c>
      <c r="L352" s="40" t="s">
        <v>112</v>
      </c>
      <c r="M352" s="37">
        <v>50</v>
      </c>
      <c r="N352" s="37">
        <v>2</v>
      </c>
      <c r="O352" s="147">
        <v>3050000</v>
      </c>
      <c r="P352" s="38">
        <v>46099</v>
      </c>
      <c r="Q352" s="41"/>
      <c r="R352" s="41"/>
    </row>
    <row r="353" spans="1:18" ht="13.5" thickBot="1">
      <c r="A353" s="146"/>
      <c r="B353" s="37" t="s">
        <v>1420</v>
      </c>
      <c r="C353" s="38">
        <v>46098</v>
      </c>
      <c r="D353" s="39">
        <v>0.46319444444444446</v>
      </c>
      <c r="E353" s="41"/>
      <c r="F353" s="37" t="s">
        <v>1424</v>
      </c>
      <c r="G353" s="37" t="s">
        <v>1425</v>
      </c>
      <c r="H353" s="38">
        <v>46098</v>
      </c>
      <c r="I353" s="39">
        <v>0.54513888888888884</v>
      </c>
      <c r="J353" s="41" t="s">
        <v>1423</v>
      </c>
      <c r="K353" s="37" t="s">
        <v>80</v>
      </c>
      <c r="L353" s="40" t="s">
        <v>912</v>
      </c>
      <c r="M353" s="37">
        <v>3.75</v>
      </c>
      <c r="N353" s="37">
        <v>0</v>
      </c>
      <c r="O353" s="37">
        <v>0</v>
      </c>
      <c r="P353" s="38">
        <v>46099</v>
      </c>
      <c r="Q353" s="41"/>
      <c r="R353" s="41"/>
    </row>
    <row r="354" spans="1:18" ht="13.5" thickBot="1">
      <c r="A354" s="146"/>
      <c r="B354" s="37" t="s">
        <v>1426</v>
      </c>
      <c r="C354" s="38">
        <v>46098</v>
      </c>
      <c r="D354" s="39">
        <v>0.46319444444444446</v>
      </c>
      <c r="E354" s="41"/>
      <c r="F354" s="37" t="s">
        <v>1427</v>
      </c>
      <c r="G354" s="37" t="s">
        <v>1428</v>
      </c>
      <c r="H354" s="38">
        <v>46098</v>
      </c>
      <c r="I354" s="39">
        <v>0.57916666666666672</v>
      </c>
      <c r="J354" s="41" t="s">
        <v>1423</v>
      </c>
      <c r="K354" s="37" t="s">
        <v>80</v>
      </c>
      <c r="L354" s="40" t="s">
        <v>209</v>
      </c>
      <c r="M354" s="37">
        <v>25</v>
      </c>
      <c r="N354" s="37">
        <v>1</v>
      </c>
      <c r="O354" s="147">
        <v>4250000</v>
      </c>
      <c r="P354" s="38">
        <v>46099</v>
      </c>
      <c r="Q354" s="41"/>
      <c r="R354" s="41"/>
    </row>
    <row r="355" spans="1:18" ht="13.5" thickBot="1">
      <c r="A355" s="146"/>
      <c r="B355" s="37">
        <v>4504018677</v>
      </c>
      <c r="C355" s="38">
        <v>46098</v>
      </c>
      <c r="D355" s="39">
        <v>0.53472222222222221</v>
      </c>
      <c r="E355" s="41"/>
      <c r="F355" s="37" t="s">
        <v>1429</v>
      </c>
      <c r="G355" s="37" t="s">
        <v>1430</v>
      </c>
      <c r="H355" s="38">
        <v>46098</v>
      </c>
      <c r="I355" s="39">
        <v>0.58263888888888893</v>
      </c>
      <c r="J355" s="41" t="s">
        <v>380</v>
      </c>
      <c r="K355" s="37" t="s">
        <v>1431</v>
      </c>
      <c r="L355" s="40" t="s">
        <v>764</v>
      </c>
      <c r="M355" s="37">
        <v>120</v>
      </c>
      <c r="N355" s="37">
        <v>5</v>
      </c>
      <c r="O355" s="147">
        <v>7200000</v>
      </c>
      <c r="P355" s="38">
        <v>46099</v>
      </c>
      <c r="Q355" s="41"/>
      <c r="R355" s="41"/>
    </row>
    <row r="356" spans="1:18" ht="13.5" thickBot="1">
      <c r="A356" s="146"/>
      <c r="B356" s="37">
        <v>1385250</v>
      </c>
      <c r="C356" s="38">
        <v>46098</v>
      </c>
      <c r="D356" s="39">
        <v>0.54513888888888884</v>
      </c>
      <c r="E356" s="41"/>
      <c r="F356" s="37" t="s">
        <v>1432</v>
      </c>
      <c r="G356" s="37" t="s">
        <v>1433</v>
      </c>
      <c r="H356" s="38">
        <v>46098</v>
      </c>
      <c r="I356" s="39">
        <v>0.58888888888888891</v>
      </c>
      <c r="J356" s="41" t="s">
        <v>38</v>
      </c>
      <c r="K356" s="37" t="s">
        <v>141</v>
      </c>
      <c r="L356" s="40" t="s">
        <v>111</v>
      </c>
      <c r="M356" s="37">
        <v>150</v>
      </c>
      <c r="N356" s="37">
        <v>6</v>
      </c>
      <c r="O356" s="147">
        <v>3712000</v>
      </c>
      <c r="P356" s="38">
        <v>46100</v>
      </c>
      <c r="Q356" s="41"/>
      <c r="R356" s="41"/>
    </row>
    <row r="357" spans="1:18" ht="13.5" thickBot="1">
      <c r="A357" s="146"/>
      <c r="B357" s="37">
        <v>1385250</v>
      </c>
      <c r="C357" s="38">
        <v>46098</v>
      </c>
      <c r="D357" s="39">
        <v>0.54513888888888884</v>
      </c>
      <c r="E357" s="41"/>
      <c r="F357" s="37" t="s">
        <v>1432</v>
      </c>
      <c r="G357" s="37" t="s">
        <v>1433</v>
      </c>
      <c r="H357" s="38">
        <v>46098</v>
      </c>
      <c r="I357" s="39">
        <v>0.58888888888888891</v>
      </c>
      <c r="J357" s="41" t="s">
        <v>38</v>
      </c>
      <c r="K357" s="37" t="s">
        <v>141</v>
      </c>
      <c r="L357" s="40" t="s">
        <v>770</v>
      </c>
      <c r="M357" s="37">
        <v>100</v>
      </c>
      <c r="N357" s="37">
        <v>4</v>
      </c>
      <c r="O357" s="147">
        <v>3000000</v>
      </c>
      <c r="P357" s="38">
        <v>46100</v>
      </c>
      <c r="Q357" s="41"/>
      <c r="R357" s="41"/>
    </row>
    <row r="358" spans="1:18" ht="23.5" thickBot="1">
      <c r="A358" s="146"/>
      <c r="B358" s="37" t="s">
        <v>1434</v>
      </c>
      <c r="C358" s="38">
        <v>46098</v>
      </c>
      <c r="D358" s="39">
        <v>0.5854166666666667</v>
      </c>
      <c r="E358" s="41"/>
      <c r="F358" s="37" t="s">
        <v>1435</v>
      </c>
      <c r="G358" s="37" t="s">
        <v>1436</v>
      </c>
      <c r="H358" s="38">
        <v>46098</v>
      </c>
      <c r="I358" s="39">
        <v>0.64166666666666672</v>
      </c>
      <c r="J358" s="41" t="s">
        <v>144</v>
      </c>
      <c r="K358" s="37" t="s">
        <v>88</v>
      </c>
      <c r="L358" s="40" t="s">
        <v>770</v>
      </c>
      <c r="M358" s="37">
        <v>100</v>
      </c>
      <c r="N358" s="37">
        <v>4</v>
      </c>
      <c r="O358" s="147">
        <v>3500000</v>
      </c>
      <c r="P358" s="38">
        <v>46100</v>
      </c>
      <c r="Q358" s="41"/>
      <c r="R358" s="41"/>
    </row>
    <row r="359" spans="1:18" ht="23.5" thickBot="1">
      <c r="A359" s="146"/>
      <c r="B359" s="37" t="s">
        <v>1434</v>
      </c>
      <c r="C359" s="38">
        <v>46098</v>
      </c>
      <c r="D359" s="39">
        <v>0.5854166666666667</v>
      </c>
      <c r="E359" s="41"/>
      <c r="F359" s="37" t="s">
        <v>1435</v>
      </c>
      <c r="G359" s="37" t="s">
        <v>1436</v>
      </c>
      <c r="H359" s="38">
        <v>46098</v>
      </c>
      <c r="I359" s="39">
        <v>0.64166666666666672</v>
      </c>
      <c r="J359" s="41" t="s">
        <v>144</v>
      </c>
      <c r="K359" s="37" t="s">
        <v>88</v>
      </c>
      <c r="L359" s="40" t="s">
        <v>773</v>
      </c>
      <c r="M359" s="37">
        <v>25</v>
      </c>
      <c r="N359" s="37">
        <v>1</v>
      </c>
      <c r="O359" s="147">
        <v>481250</v>
      </c>
      <c r="P359" s="38">
        <v>46100</v>
      </c>
      <c r="Q359" s="41"/>
      <c r="R359" s="41"/>
    </row>
    <row r="360" spans="1:18" ht="13.5" thickBot="1">
      <c r="A360" s="146"/>
      <c r="B360" s="37">
        <v>4500087606</v>
      </c>
      <c r="C360" s="38">
        <v>46098</v>
      </c>
      <c r="D360" s="39">
        <v>0.72916666666666663</v>
      </c>
      <c r="E360" s="41"/>
      <c r="F360" s="37" t="s">
        <v>1437</v>
      </c>
      <c r="G360" s="37" t="s">
        <v>1438</v>
      </c>
      <c r="H360" s="38">
        <v>46099</v>
      </c>
      <c r="I360" s="39">
        <v>0.3298611111111111</v>
      </c>
      <c r="J360" s="41" t="s">
        <v>385</v>
      </c>
      <c r="K360" s="37" t="s">
        <v>788</v>
      </c>
      <c r="L360" s="40" t="s">
        <v>115</v>
      </c>
      <c r="M360" s="37">
        <v>1000</v>
      </c>
      <c r="N360" s="37">
        <v>40</v>
      </c>
      <c r="O360" s="147">
        <v>72867000</v>
      </c>
      <c r="P360" s="38">
        <v>46099</v>
      </c>
      <c r="Q360" s="41"/>
      <c r="R360" s="41"/>
    </row>
    <row r="361" spans="1:18" ht="13.5" thickBot="1">
      <c r="A361" s="146"/>
      <c r="B361" s="37">
        <v>4500087606</v>
      </c>
      <c r="C361" s="38">
        <v>46098</v>
      </c>
      <c r="D361" s="39">
        <v>0.72916666666666663</v>
      </c>
      <c r="E361" s="41"/>
      <c r="F361" s="37" t="s">
        <v>1437</v>
      </c>
      <c r="G361" s="37" t="s">
        <v>1438</v>
      </c>
      <c r="H361" s="38">
        <v>46099</v>
      </c>
      <c r="I361" s="39">
        <v>0.3298611111111111</v>
      </c>
      <c r="J361" s="41" t="s">
        <v>385</v>
      </c>
      <c r="K361" s="37" t="s">
        <v>788</v>
      </c>
      <c r="L361" s="40" t="s">
        <v>209</v>
      </c>
      <c r="M361" s="37">
        <v>150</v>
      </c>
      <c r="N361" s="37">
        <v>6</v>
      </c>
      <c r="O361" s="147">
        <v>18435150</v>
      </c>
      <c r="P361" s="38">
        <v>46099</v>
      </c>
      <c r="Q361" s="41"/>
      <c r="R361" s="41"/>
    </row>
    <row r="362" spans="1:18" ht="13.5" thickBot="1">
      <c r="A362" s="146"/>
      <c r="B362" s="41"/>
      <c r="C362" s="38">
        <v>46098</v>
      </c>
      <c r="D362" s="39">
        <v>0.80069444444444449</v>
      </c>
      <c r="E362" s="41"/>
      <c r="F362" s="37" t="s">
        <v>1439</v>
      </c>
      <c r="G362" s="37" t="s">
        <v>1440</v>
      </c>
      <c r="H362" s="38">
        <v>46099</v>
      </c>
      <c r="I362" s="39">
        <v>0.35138888888888886</v>
      </c>
      <c r="J362" s="41" t="s">
        <v>772</v>
      </c>
      <c r="K362" s="37" t="s">
        <v>82</v>
      </c>
      <c r="L362" s="40" t="s">
        <v>207</v>
      </c>
      <c r="M362" s="37">
        <v>3</v>
      </c>
      <c r="N362" s="37">
        <v>0</v>
      </c>
      <c r="O362" s="147">
        <v>1557000</v>
      </c>
      <c r="P362" s="38">
        <v>46101</v>
      </c>
      <c r="Q362" s="41"/>
      <c r="R362" s="41"/>
    </row>
    <row r="363" spans="1:18" ht="13.5" thickBot="1">
      <c r="A363" s="146"/>
      <c r="B363" s="41"/>
      <c r="C363" s="38">
        <v>46094</v>
      </c>
      <c r="D363" s="39">
        <v>0.73888888888888893</v>
      </c>
      <c r="E363" s="41"/>
      <c r="F363" s="37" t="s">
        <v>1441</v>
      </c>
      <c r="G363" s="37" t="s">
        <v>1442</v>
      </c>
      <c r="H363" s="38">
        <v>46099</v>
      </c>
      <c r="I363" s="39">
        <v>0.41249999999999998</v>
      </c>
      <c r="J363" s="41" t="s">
        <v>1443</v>
      </c>
      <c r="K363" s="37" t="s">
        <v>137</v>
      </c>
      <c r="L363" s="40" t="s">
        <v>773</v>
      </c>
      <c r="M363" s="37">
        <v>600</v>
      </c>
      <c r="N363" s="37">
        <v>24</v>
      </c>
      <c r="O363" s="147">
        <v>9600000</v>
      </c>
      <c r="P363" s="38">
        <v>46100</v>
      </c>
      <c r="Q363" s="41"/>
      <c r="R363" s="41"/>
    </row>
    <row r="364" spans="1:18" ht="23.5" thickBot="1">
      <c r="A364" s="146"/>
      <c r="B364" s="37" t="s">
        <v>1444</v>
      </c>
      <c r="C364" s="38">
        <v>46099</v>
      </c>
      <c r="D364" s="39">
        <v>0.3527777777777778</v>
      </c>
      <c r="E364" s="41"/>
      <c r="F364" s="37" t="s">
        <v>1445</v>
      </c>
      <c r="G364" s="37" t="s">
        <v>1446</v>
      </c>
      <c r="H364" s="38">
        <v>46099</v>
      </c>
      <c r="I364" s="39">
        <v>0.4236111111111111</v>
      </c>
      <c r="J364" s="41" t="s">
        <v>144</v>
      </c>
      <c r="K364" s="37" t="s">
        <v>88</v>
      </c>
      <c r="L364" s="40" t="s">
        <v>976</v>
      </c>
      <c r="M364" s="37">
        <v>23</v>
      </c>
      <c r="N364" s="37">
        <v>1</v>
      </c>
      <c r="O364" s="147">
        <v>3565000</v>
      </c>
      <c r="P364" s="38">
        <v>46101</v>
      </c>
      <c r="Q364" s="41"/>
      <c r="R364" s="41"/>
    </row>
    <row r="365" spans="1:18" ht="23.5" thickBot="1">
      <c r="A365" s="146"/>
      <c r="B365" s="37" t="s">
        <v>1444</v>
      </c>
      <c r="C365" s="38">
        <v>46099</v>
      </c>
      <c r="D365" s="39">
        <v>0.3527777777777778</v>
      </c>
      <c r="E365" s="41"/>
      <c r="F365" s="37" t="s">
        <v>1445</v>
      </c>
      <c r="G365" s="37" t="s">
        <v>1446</v>
      </c>
      <c r="H365" s="38">
        <v>46099</v>
      </c>
      <c r="I365" s="39">
        <v>0.4236111111111111</v>
      </c>
      <c r="J365" s="41" t="s">
        <v>144</v>
      </c>
      <c r="K365" s="37" t="s">
        <v>88</v>
      </c>
      <c r="L365" s="40" t="s">
        <v>762</v>
      </c>
      <c r="M365" s="37">
        <v>25</v>
      </c>
      <c r="N365" s="37">
        <v>1</v>
      </c>
      <c r="O365" s="147">
        <v>2675000</v>
      </c>
      <c r="P365" s="38">
        <v>46101</v>
      </c>
      <c r="Q365" s="41"/>
      <c r="R365" s="41"/>
    </row>
    <row r="366" spans="1:18" ht="13.5" thickBot="1">
      <c r="A366" s="146"/>
      <c r="B366" s="37">
        <v>4500374324</v>
      </c>
      <c r="C366" s="38">
        <v>46099</v>
      </c>
      <c r="D366" s="39">
        <v>0.41944444444444445</v>
      </c>
      <c r="E366" s="41"/>
      <c r="F366" s="37" t="s">
        <v>1447</v>
      </c>
      <c r="G366" s="37" t="s">
        <v>1448</v>
      </c>
      <c r="H366" s="38">
        <v>46099</v>
      </c>
      <c r="I366" s="39">
        <v>0.43055555555555558</v>
      </c>
      <c r="J366" s="41" t="s">
        <v>372</v>
      </c>
      <c r="K366" s="37" t="s">
        <v>78</v>
      </c>
      <c r="L366" s="40" t="s">
        <v>188</v>
      </c>
      <c r="M366" s="37">
        <v>200</v>
      </c>
      <c r="N366" s="37">
        <v>8</v>
      </c>
      <c r="O366" s="147">
        <v>11200000</v>
      </c>
      <c r="P366" s="38">
        <v>46100</v>
      </c>
      <c r="Q366" s="41"/>
      <c r="R366" s="41"/>
    </row>
    <row r="367" spans="1:18" ht="13.5" thickBot="1">
      <c r="A367" s="146"/>
      <c r="B367" s="41"/>
      <c r="C367" s="38">
        <v>46099</v>
      </c>
      <c r="D367" s="39">
        <v>0.49305555555555558</v>
      </c>
      <c r="E367" s="41"/>
      <c r="F367" s="37" t="s">
        <v>1449</v>
      </c>
      <c r="G367" s="37" t="s">
        <v>1450</v>
      </c>
      <c r="H367" s="38">
        <v>46099</v>
      </c>
      <c r="I367" s="39">
        <v>0.5</v>
      </c>
      <c r="J367" s="41" t="s">
        <v>392</v>
      </c>
      <c r="K367" s="37" t="s">
        <v>1451</v>
      </c>
      <c r="L367" s="40" t="s">
        <v>226</v>
      </c>
      <c r="M367" s="37">
        <v>50</v>
      </c>
      <c r="N367" s="37">
        <v>2</v>
      </c>
      <c r="O367" s="147">
        <v>2797000</v>
      </c>
      <c r="P367" s="38">
        <v>46101</v>
      </c>
      <c r="Q367" s="41"/>
      <c r="R367" s="41"/>
    </row>
    <row r="368" spans="1:18" ht="13.5" thickBot="1">
      <c r="A368" s="146"/>
      <c r="B368" s="41"/>
      <c r="C368" s="38">
        <v>46099</v>
      </c>
      <c r="D368" s="39">
        <v>0.49305555555555558</v>
      </c>
      <c r="E368" s="41"/>
      <c r="F368" s="37" t="s">
        <v>1449</v>
      </c>
      <c r="G368" s="37" t="s">
        <v>1450</v>
      </c>
      <c r="H368" s="38">
        <v>46099</v>
      </c>
      <c r="I368" s="39">
        <v>0.5</v>
      </c>
      <c r="J368" s="41" t="s">
        <v>392</v>
      </c>
      <c r="K368" s="37" t="s">
        <v>1451</v>
      </c>
      <c r="L368" s="40" t="s">
        <v>773</v>
      </c>
      <c r="M368" s="37">
        <v>100</v>
      </c>
      <c r="N368" s="37">
        <v>4</v>
      </c>
      <c r="O368" s="147">
        <v>1750000</v>
      </c>
      <c r="P368" s="38">
        <v>46101</v>
      </c>
      <c r="Q368" s="41"/>
      <c r="R368" s="41"/>
    </row>
    <row r="369" spans="1:18" ht="13.5" thickBot="1">
      <c r="A369" s="146"/>
      <c r="B369" s="37">
        <v>4504018616</v>
      </c>
      <c r="C369" s="38">
        <v>46099</v>
      </c>
      <c r="D369" s="39">
        <v>0.57152777777777775</v>
      </c>
      <c r="E369" s="41"/>
      <c r="F369" s="37" t="s">
        <v>1452</v>
      </c>
      <c r="G369" s="37" t="s">
        <v>1453</v>
      </c>
      <c r="H369" s="38">
        <v>46099</v>
      </c>
      <c r="I369" s="39">
        <v>0.59652777777777777</v>
      </c>
      <c r="J369" s="41" t="s">
        <v>380</v>
      </c>
      <c r="K369" s="37" t="s">
        <v>137</v>
      </c>
      <c r="L369" s="40" t="s">
        <v>194</v>
      </c>
      <c r="M369" s="37">
        <v>25</v>
      </c>
      <c r="N369" s="37">
        <v>1</v>
      </c>
      <c r="O369" s="147">
        <v>443750</v>
      </c>
      <c r="P369" s="38">
        <v>46101</v>
      </c>
      <c r="Q369" s="41"/>
      <c r="R369" s="41"/>
    </row>
    <row r="370" spans="1:18" ht="13.5" thickBot="1">
      <c r="A370" s="312" t="s">
        <v>725</v>
      </c>
      <c r="B370" s="63"/>
      <c r="C370" s="64">
        <v>46099</v>
      </c>
      <c r="D370" s="65">
        <v>0.41736111111111113</v>
      </c>
      <c r="E370" s="63"/>
      <c r="F370" s="66" t="s">
        <v>1454</v>
      </c>
      <c r="G370" s="66" t="s">
        <v>1455</v>
      </c>
      <c r="H370" s="64">
        <v>46099</v>
      </c>
      <c r="I370" s="65">
        <v>0.60486111111111107</v>
      </c>
      <c r="J370" s="63" t="s">
        <v>1456</v>
      </c>
      <c r="K370" s="66" t="s">
        <v>366</v>
      </c>
      <c r="L370" s="70" t="s">
        <v>976</v>
      </c>
      <c r="M370" s="66">
        <v>100</v>
      </c>
      <c r="N370" s="66">
        <v>4</v>
      </c>
      <c r="O370" s="215">
        <v>15500000</v>
      </c>
      <c r="P370" s="64">
        <v>46101</v>
      </c>
      <c r="Q370" s="63"/>
      <c r="R370" s="63"/>
    </row>
    <row r="371" spans="1:18" ht="13.5" thickBot="1">
      <c r="A371" s="312" t="s">
        <v>725</v>
      </c>
      <c r="B371" s="63"/>
      <c r="C371" s="64">
        <v>46099</v>
      </c>
      <c r="D371" s="65">
        <v>0.41736111111111113</v>
      </c>
      <c r="E371" s="63"/>
      <c r="F371" s="66" t="s">
        <v>1454</v>
      </c>
      <c r="G371" s="66" t="s">
        <v>1455</v>
      </c>
      <c r="H371" s="64">
        <v>46099</v>
      </c>
      <c r="I371" s="65">
        <v>0.60486111111111107</v>
      </c>
      <c r="J371" s="63" t="s">
        <v>1456</v>
      </c>
      <c r="K371" s="66" t="s">
        <v>366</v>
      </c>
      <c r="L371" s="70" t="s">
        <v>207</v>
      </c>
      <c r="M371" s="66">
        <v>7.5</v>
      </c>
      <c r="N371" s="66">
        <v>0</v>
      </c>
      <c r="O371" s="215">
        <v>3892000</v>
      </c>
      <c r="P371" s="64">
        <v>46101</v>
      </c>
      <c r="Q371" s="63"/>
      <c r="R371" s="63"/>
    </row>
    <row r="372" spans="1:18" ht="13.5" thickBot="1">
      <c r="A372" s="146"/>
      <c r="B372" s="41"/>
      <c r="C372" s="38">
        <v>46099</v>
      </c>
      <c r="D372" s="39">
        <v>0.59513888888888888</v>
      </c>
      <c r="E372" s="41"/>
      <c r="F372" s="37" t="s">
        <v>1457</v>
      </c>
      <c r="G372" s="37" t="s">
        <v>1458</v>
      </c>
      <c r="H372" s="38">
        <v>46099</v>
      </c>
      <c r="I372" s="39">
        <v>0.62430555555555556</v>
      </c>
      <c r="J372" s="41" t="s">
        <v>183</v>
      </c>
      <c r="K372" s="37" t="s">
        <v>82</v>
      </c>
      <c r="L372" s="40" t="s">
        <v>207</v>
      </c>
      <c r="M372" s="37">
        <v>4.5</v>
      </c>
      <c r="N372" s="37">
        <v>0</v>
      </c>
      <c r="O372" s="147">
        <v>2340000</v>
      </c>
      <c r="P372" s="38">
        <v>46091</v>
      </c>
      <c r="Q372" s="41"/>
      <c r="R372" s="41"/>
    </row>
    <row r="373" spans="1:18" ht="13.5" thickBot="1">
      <c r="A373" s="146"/>
      <c r="B373" s="37">
        <v>4500087661</v>
      </c>
      <c r="C373" s="38">
        <v>46099</v>
      </c>
      <c r="D373" s="39">
        <v>0.74722222222222223</v>
      </c>
      <c r="E373" s="41"/>
      <c r="F373" s="37" t="s">
        <v>1459</v>
      </c>
      <c r="G373" s="37" t="s">
        <v>1460</v>
      </c>
      <c r="H373" s="38">
        <v>46100</v>
      </c>
      <c r="I373" s="39">
        <v>0.35486111111111113</v>
      </c>
      <c r="J373" s="41" t="s">
        <v>759</v>
      </c>
      <c r="K373" s="37" t="s">
        <v>83</v>
      </c>
      <c r="L373" s="40" t="s">
        <v>111</v>
      </c>
      <c r="M373" s="37">
        <v>2000</v>
      </c>
      <c r="N373" s="37">
        <v>80</v>
      </c>
      <c r="O373" s="147">
        <v>49500000</v>
      </c>
      <c r="P373" s="38">
        <v>46101</v>
      </c>
      <c r="Q373" s="41"/>
      <c r="R373" s="41"/>
    </row>
    <row r="374" spans="1:18" ht="13.5" thickBot="1">
      <c r="A374" s="146"/>
      <c r="B374" s="37">
        <v>4500087661</v>
      </c>
      <c r="C374" s="38">
        <v>46099</v>
      </c>
      <c r="D374" s="39">
        <v>0.74722222222222223</v>
      </c>
      <c r="E374" s="41"/>
      <c r="F374" s="37" t="s">
        <v>1461</v>
      </c>
      <c r="G374" s="37" t="s">
        <v>1462</v>
      </c>
      <c r="H374" s="38">
        <v>46100</v>
      </c>
      <c r="I374" s="39">
        <v>0.35486111111111113</v>
      </c>
      <c r="J374" s="41" t="s">
        <v>759</v>
      </c>
      <c r="K374" s="37" t="s">
        <v>83</v>
      </c>
      <c r="L374" s="40" t="s">
        <v>676</v>
      </c>
      <c r="M374" s="37">
        <v>3000</v>
      </c>
      <c r="N374" s="37">
        <v>120</v>
      </c>
      <c r="O374" s="147">
        <v>103500000</v>
      </c>
      <c r="P374" s="38">
        <v>46101</v>
      </c>
      <c r="Q374" s="41"/>
      <c r="R374" s="41"/>
    </row>
    <row r="375" spans="1:18" ht="13.5" thickBot="1">
      <c r="A375" s="313"/>
      <c r="B375" s="314">
        <v>4500087661</v>
      </c>
      <c r="C375" s="315">
        <v>46099</v>
      </c>
      <c r="D375" s="316">
        <v>0.74722222222222223</v>
      </c>
      <c r="E375" s="317"/>
      <c r="F375" s="314" t="s">
        <v>1463</v>
      </c>
      <c r="G375" s="314" t="s">
        <v>1464</v>
      </c>
      <c r="H375" s="38">
        <v>46100</v>
      </c>
      <c r="I375" s="316">
        <v>0.48125000000000001</v>
      </c>
      <c r="J375" s="317" t="s">
        <v>759</v>
      </c>
      <c r="K375" s="314" t="s">
        <v>83</v>
      </c>
      <c r="L375" s="318" t="s">
        <v>151</v>
      </c>
      <c r="M375" s="314">
        <v>600</v>
      </c>
      <c r="N375" s="314">
        <v>24</v>
      </c>
      <c r="O375" s="319">
        <v>37020000</v>
      </c>
      <c r="P375" s="315">
        <v>46101</v>
      </c>
      <c r="Q375" s="317"/>
      <c r="R375" s="317"/>
    </row>
    <row r="376" spans="1:18" ht="13.5" thickBot="1">
      <c r="A376" s="320"/>
      <c r="B376" s="314">
        <v>4500087661</v>
      </c>
      <c r="C376" s="315">
        <v>46099</v>
      </c>
      <c r="D376" s="316">
        <v>0.74722222222222223</v>
      </c>
      <c r="E376" s="317"/>
      <c r="F376" s="314" t="s">
        <v>1463</v>
      </c>
      <c r="G376" s="314" t="s">
        <v>1464</v>
      </c>
      <c r="H376" s="38">
        <v>46100</v>
      </c>
      <c r="I376" s="316">
        <v>0.48125000000000001</v>
      </c>
      <c r="J376" s="317" t="s">
        <v>759</v>
      </c>
      <c r="K376" s="314" t="s">
        <v>83</v>
      </c>
      <c r="L376" s="318" t="s">
        <v>779</v>
      </c>
      <c r="M376" s="314">
        <v>400</v>
      </c>
      <c r="N376" s="314">
        <v>16</v>
      </c>
      <c r="O376" s="319">
        <v>179200000</v>
      </c>
      <c r="P376" s="315">
        <v>46101</v>
      </c>
      <c r="Q376" s="317"/>
      <c r="R376" s="317"/>
    </row>
    <row r="377" spans="1:18" ht="13.5" thickBot="1">
      <c r="A377" s="320"/>
      <c r="B377" s="314">
        <v>4500087661</v>
      </c>
      <c r="C377" s="315">
        <v>46099</v>
      </c>
      <c r="D377" s="316">
        <v>0.74722222222222223</v>
      </c>
      <c r="E377" s="317"/>
      <c r="F377" s="314" t="s">
        <v>1463</v>
      </c>
      <c r="G377" s="314" t="s">
        <v>1464</v>
      </c>
      <c r="H377" s="38">
        <v>46100</v>
      </c>
      <c r="I377" s="316">
        <v>0.48125000000000001</v>
      </c>
      <c r="J377" s="317" t="s">
        <v>759</v>
      </c>
      <c r="K377" s="314" t="s">
        <v>83</v>
      </c>
      <c r="L377" s="318" t="s">
        <v>884</v>
      </c>
      <c r="M377" s="314">
        <v>500</v>
      </c>
      <c r="N377" s="314">
        <v>20</v>
      </c>
      <c r="O377" s="319">
        <v>9837000</v>
      </c>
      <c r="P377" s="315">
        <v>46101</v>
      </c>
      <c r="Q377" s="317"/>
      <c r="R377" s="317"/>
    </row>
    <row r="378" spans="1:18" ht="13.5" thickBot="1">
      <c r="A378" s="320"/>
      <c r="B378" s="314">
        <v>4500087661</v>
      </c>
      <c r="C378" s="315">
        <v>46099</v>
      </c>
      <c r="D378" s="316">
        <v>0.74722222222222223</v>
      </c>
      <c r="E378" s="317"/>
      <c r="F378" s="314" t="s">
        <v>1463</v>
      </c>
      <c r="G378" s="314" t="s">
        <v>1464</v>
      </c>
      <c r="H378" s="38">
        <v>46100</v>
      </c>
      <c r="I378" s="316">
        <v>0.48125000000000001</v>
      </c>
      <c r="J378" s="317" t="s">
        <v>759</v>
      </c>
      <c r="K378" s="314" t="s">
        <v>83</v>
      </c>
      <c r="L378" s="318" t="s">
        <v>120</v>
      </c>
      <c r="M378" s="314">
        <v>1200</v>
      </c>
      <c r="N378" s="314">
        <v>48</v>
      </c>
      <c r="O378" s="319">
        <v>157500000</v>
      </c>
      <c r="P378" s="315">
        <v>46101</v>
      </c>
      <c r="Q378" s="317"/>
      <c r="R378" s="317"/>
    </row>
    <row r="379" spans="1:18" ht="13.5" thickBot="1">
      <c r="A379" s="320"/>
      <c r="B379" s="314">
        <v>4500087661</v>
      </c>
      <c r="C379" s="315">
        <v>46099</v>
      </c>
      <c r="D379" s="316">
        <v>0.74722222222222223</v>
      </c>
      <c r="E379" s="317"/>
      <c r="F379" s="314" t="s">
        <v>1463</v>
      </c>
      <c r="G379" s="314" t="s">
        <v>1464</v>
      </c>
      <c r="H379" s="38">
        <v>46100</v>
      </c>
      <c r="I379" s="316">
        <v>0.48125000000000001</v>
      </c>
      <c r="J379" s="317" t="s">
        <v>759</v>
      </c>
      <c r="K379" s="314" t="s">
        <v>83</v>
      </c>
      <c r="L379" s="318" t="s">
        <v>220</v>
      </c>
      <c r="M379" s="314">
        <v>700</v>
      </c>
      <c r="N379" s="314">
        <v>28</v>
      </c>
      <c r="O379" s="319">
        <v>21140000</v>
      </c>
      <c r="P379" s="315">
        <v>46101</v>
      </c>
      <c r="Q379" s="317"/>
      <c r="R379" s="317"/>
    </row>
    <row r="380" spans="1:18" ht="13.5" thickBot="1">
      <c r="A380" s="146"/>
      <c r="B380" s="41"/>
      <c r="C380" s="38">
        <v>46100</v>
      </c>
      <c r="D380" s="39">
        <v>0.36805555555555558</v>
      </c>
      <c r="E380" s="41"/>
      <c r="F380" s="37" t="s">
        <v>1465</v>
      </c>
      <c r="G380" s="37" t="s">
        <v>1466</v>
      </c>
      <c r="H380" s="38">
        <v>46100</v>
      </c>
      <c r="I380" s="39">
        <v>0.37291666666666667</v>
      </c>
      <c r="J380" s="41" t="s">
        <v>1030</v>
      </c>
      <c r="K380" s="37" t="s">
        <v>366</v>
      </c>
      <c r="L380" s="40" t="s">
        <v>221</v>
      </c>
      <c r="M380" s="37">
        <v>10</v>
      </c>
      <c r="N380" s="37">
        <v>0</v>
      </c>
      <c r="O380" s="147">
        <v>2500000</v>
      </c>
      <c r="P380" s="38">
        <v>46100</v>
      </c>
      <c r="Q380" s="41"/>
      <c r="R380" s="41"/>
    </row>
    <row r="381" spans="1:18" ht="23.5" thickBot="1">
      <c r="A381" s="297"/>
      <c r="B381" s="37" t="s">
        <v>1467</v>
      </c>
      <c r="C381" s="38">
        <v>46099</v>
      </c>
      <c r="D381" s="39">
        <v>0.60347222222222219</v>
      </c>
      <c r="E381" s="41"/>
      <c r="F381" s="37" t="s">
        <v>1468</v>
      </c>
      <c r="G381" s="37" t="s">
        <v>1469</v>
      </c>
      <c r="H381" s="38">
        <v>46100</v>
      </c>
      <c r="I381" s="39">
        <v>0.40833333333333333</v>
      </c>
      <c r="J381" s="41" t="s">
        <v>323</v>
      </c>
      <c r="K381" s="37" t="s">
        <v>880</v>
      </c>
      <c r="L381" s="40" t="s">
        <v>676</v>
      </c>
      <c r="M381" s="37">
        <v>450</v>
      </c>
      <c r="N381" s="37">
        <v>18</v>
      </c>
      <c r="O381" s="147">
        <v>18225000</v>
      </c>
      <c r="P381" s="38">
        <v>46100</v>
      </c>
      <c r="Q381" s="41"/>
      <c r="R381" s="41"/>
    </row>
    <row r="382" spans="1:18" ht="23.5" thickBot="1">
      <c r="A382" s="146"/>
      <c r="B382" s="37" t="s">
        <v>1470</v>
      </c>
      <c r="C382" s="38">
        <v>46100</v>
      </c>
      <c r="D382" s="39">
        <v>0.35625000000000001</v>
      </c>
      <c r="E382" s="41"/>
      <c r="F382" s="37" t="s">
        <v>1471</v>
      </c>
      <c r="G382" s="37" t="s">
        <v>1472</v>
      </c>
      <c r="H382" s="38">
        <v>46100</v>
      </c>
      <c r="I382" s="39">
        <v>0.39861111111111114</v>
      </c>
      <c r="J382" s="41" t="s">
        <v>376</v>
      </c>
      <c r="K382" s="37" t="s">
        <v>366</v>
      </c>
      <c r="L382" s="40" t="s">
        <v>111</v>
      </c>
      <c r="M382" s="37">
        <v>1000</v>
      </c>
      <c r="N382" s="37">
        <v>40</v>
      </c>
      <c r="O382" s="147">
        <v>27615000</v>
      </c>
      <c r="P382" s="38">
        <v>46107</v>
      </c>
      <c r="Q382" s="41"/>
      <c r="R382" s="41"/>
    </row>
    <row r="383" spans="1:18" ht="13.5" thickBot="1">
      <c r="A383" s="214" t="s">
        <v>725</v>
      </c>
      <c r="B383" s="66" t="s">
        <v>1473</v>
      </c>
      <c r="C383" s="64">
        <v>46099</v>
      </c>
      <c r="D383" s="65">
        <v>0.70763888888888893</v>
      </c>
      <c r="E383" s="63"/>
      <c r="F383" s="66" t="s">
        <v>1474</v>
      </c>
      <c r="G383" s="66" t="s">
        <v>1475</v>
      </c>
      <c r="H383" s="64">
        <v>46100</v>
      </c>
      <c r="I383" s="65">
        <v>0.40347222222222223</v>
      </c>
      <c r="J383" s="63" t="s">
        <v>783</v>
      </c>
      <c r="K383" s="66" t="s">
        <v>78</v>
      </c>
      <c r="L383" s="70" t="s">
        <v>111</v>
      </c>
      <c r="M383" s="66">
        <v>50</v>
      </c>
      <c r="N383" s="66">
        <v>2</v>
      </c>
      <c r="O383" s="215">
        <v>1275000</v>
      </c>
      <c r="P383" s="64">
        <v>46106</v>
      </c>
      <c r="Q383" s="63"/>
      <c r="R383" s="63"/>
    </row>
    <row r="384" spans="1:18" ht="13.5" thickBot="1">
      <c r="A384" s="146"/>
      <c r="B384" s="37">
        <v>1386605</v>
      </c>
      <c r="C384" s="38">
        <v>46100</v>
      </c>
      <c r="D384" s="39">
        <v>0.34444444444444444</v>
      </c>
      <c r="E384" s="41"/>
      <c r="F384" s="37" t="s">
        <v>1476</v>
      </c>
      <c r="G384" s="37" t="s">
        <v>1477</v>
      </c>
      <c r="H384" s="38">
        <v>46100</v>
      </c>
      <c r="I384" s="39">
        <v>0.50763888888888886</v>
      </c>
      <c r="J384" s="41" t="s">
        <v>51</v>
      </c>
      <c r="K384" s="37" t="s">
        <v>78</v>
      </c>
      <c r="L384" s="40" t="s">
        <v>112</v>
      </c>
      <c r="M384" s="37">
        <v>50</v>
      </c>
      <c r="N384" s="37">
        <v>2</v>
      </c>
      <c r="O384" s="147">
        <v>2625000</v>
      </c>
      <c r="P384" s="38">
        <v>46100</v>
      </c>
      <c r="Q384" s="41"/>
      <c r="R384" s="41"/>
    </row>
    <row r="385" spans="1:18" ht="13.5" thickBot="1">
      <c r="A385" s="146"/>
      <c r="B385" s="37">
        <v>1386605</v>
      </c>
      <c r="C385" s="38">
        <v>46100</v>
      </c>
      <c r="D385" s="39">
        <v>0.34444444444444444</v>
      </c>
      <c r="E385" s="41"/>
      <c r="F385" s="37" t="s">
        <v>1478</v>
      </c>
      <c r="G385" s="37" t="s">
        <v>1479</v>
      </c>
      <c r="H385" s="38">
        <v>46100</v>
      </c>
      <c r="I385" s="39">
        <v>0.50763888888888886</v>
      </c>
      <c r="J385" s="41" t="s">
        <v>51</v>
      </c>
      <c r="K385" s="37" t="s">
        <v>78</v>
      </c>
      <c r="L385" s="40" t="s">
        <v>912</v>
      </c>
      <c r="M385" s="37">
        <v>3.75</v>
      </c>
      <c r="N385" s="37">
        <v>0</v>
      </c>
      <c r="O385" s="37">
        <v>0</v>
      </c>
      <c r="P385" s="38">
        <v>46100</v>
      </c>
      <c r="Q385" s="41"/>
      <c r="R385" s="41"/>
    </row>
    <row r="386" spans="1:18" ht="13.5" thickBot="1">
      <c r="A386" s="146"/>
      <c r="B386" s="37">
        <v>1386822</v>
      </c>
      <c r="C386" s="38">
        <v>46100</v>
      </c>
      <c r="D386" s="39">
        <v>0.48125000000000001</v>
      </c>
      <c r="E386" s="41"/>
      <c r="F386" s="37" t="s">
        <v>1480</v>
      </c>
      <c r="G386" s="37" t="s">
        <v>1481</v>
      </c>
      <c r="H386" s="38">
        <v>46100</v>
      </c>
      <c r="I386" s="39">
        <v>0.50972222222222219</v>
      </c>
      <c r="J386" s="41" t="s">
        <v>51</v>
      </c>
      <c r="K386" s="37" t="s">
        <v>235</v>
      </c>
      <c r="L386" s="40" t="s">
        <v>112</v>
      </c>
      <c r="M386" s="37">
        <v>30</v>
      </c>
      <c r="N386" s="37">
        <v>1</v>
      </c>
      <c r="O386" s="147">
        <v>1575000</v>
      </c>
      <c r="P386" s="38">
        <v>46101</v>
      </c>
      <c r="Q386" s="41"/>
      <c r="R386" s="41"/>
    </row>
    <row r="387" spans="1:18" ht="13.5" thickBot="1">
      <c r="A387" s="146"/>
      <c r="B387" s="37">
        <v>1386822</v>
      </c>
      <c r="C387" s="38">
        <v>46100</v>
      </c>
      <c r="D387" s="39">
        <v>0.48125000000000001</v>
      </c>
      <c r="E387" s="41"/>
      <c r="F387" s="37" t="s">
        <v>1482</v>
      </c>
      <c r="G387" s="37" t="s">
        <v>1483</v>
      </c>
      <c r="H387" s="38">
        <v>46100</v>
      </c>
      <c r="I387" s="39">
        <v>0.50972222222222219</v>
      </c>
      <c r="J387" s="41" t="s">
        <v>51</v>
      </c>
      <c r="K387" s="37" t="s">
        <v>235</v>
      </c>
      <c r="L387" s="40" t="s">
        <v>912</v>
      </c>
      <c r="M387" s="37">
        <v>2.25</v>
      </c>
      <c r="N387" s="37">
        <v>0</v>
      </c>
      <c r="O387" s="37">
        <v>0</v>
      </c>
      <c r="P387" s="38">
        <v>46101</v>
      </c>
      <c r="Q387" s="41"/>
      <c r="R387" s="41"/>
    </row>
    <row r="388" spans="1:18" ht="25.5" thickBot="1">
      <c r="A388" s="146"/>
      <c r="B388" s="37" t="s">
        <v>1484</v>
      </c>
      <c r="C388" s="38">
        <v>46100</v>
      </c>
      <c r="D388" s="39">
        <v>0.50972222222222219</v>
      </c>
      <c r="E388" s="41"/>
      <c r="F388" s="37" t="s">
        <v>1485</v>
      </c>
      <c r="G388" s="37" t="s">
        <v>1486</v>
      </c>
      <c r="H388" s="38">
        <v>46100</v>
      </c>
      <c r="I388" s="39">
        <v>0.51388888888888884</v>
      </c>
      <c r="J388" s="41" t="s">
        <v>12</v>
      </c>
      <c r="K388" s="37" t="s">
        <v>176</v>
      </c>
      <c r="L388" s="40" t="s">
        <v>976</v>
      </c>
      <c r="M388" s="37">
        <v>4</v>
      </c>
      <c r="N388" s="37">
        <v>0</v>
      </c>
      <c r="O388" s="147">
        <v>775000</v>
      </c>
      <c r="P388" s="38">
        <v>46101</v>
      </c>
      <c r="Q388" s="41"/>
      <c r="R388" s="41"/>
    </row>
    <row r="389" spans="1:18" ht="25.5" thickBot="1">
      <c r="A389" s="146"/>
      <c r="B389" s="37" t="s">
        <v>1484</v>
      </c>
      <c r="C389" s="38">
        <v>46100</v>
      </c>
      <c r="D389" s="39">
        <v>0.50972222222222219</v>
      </c>
      <c r="E389" s="41"/>
      <c r="F389" s="37" t="s">
        <v>1485</v>
      </c>
      <c r="G389" s="37" t="s">
        <v>1486</v>
      </c>
      <c r="H389" s="38">
        <v>46100</v>
      </c>
      <c r="I389" s="39">
        <v>0.51388888888888884</v>
      </c>
      <c r="J389" s="41" t="s">
        <v>12</v>
      </c>
      <c r="K389" s="37" t="s">
        <v>176</v>
      </c>
      <c r="L389" s="40" t="s">
        <v>207</v>
      </c>
      <c r="M389" s="37">
        <v>3</v>
      </c>
      <c r="N389" s="37">
        <v>0</v>
      </c>
      <c r="O389" s="147">
        <v>1560000</v>
      </c>
      <c r="P389" s="38">
        <v>46101</v>
      </c>
      <c r="Q389" s="41"/>
      <c r="R389" s="41"/>
    </row>
    <row r="390" spans="1:18" ht="13.5" thickBot="1">
      <c r="A390" s="146"/>
      <c r="B390" s="41"/>
      <c r="C390" s="38">
        <v>46100</v>
      </c>
      <c r="D390" s="39">
        <v>0.52430555555555558</v>
      </c>
      <c r="E390" s="41"/>
      <c r="F390" s="37" t="s">
        <v>1487</v>
      </c>
      <c r="G390" s="37" t="s">
        <v>1488</v>
      </c>
      <c r="H390" s="38">
        <v>46100</v>
      </c>
      <c r="I390" s="39">
        <v>0.62222222222222223</v>
      </c>
      <c r="J390" s="41" t="s">
        <v>1489</v>
      </c>
      <c r="K390" s="37" t="s">
        <v>366</v>
      </c>
      <c r="L390" s="40" t="s">
        <v>815</v>
      </c>
      <c r="M390" s="37">
        <v>4</v>
      </c>
      <c r="N390" s="37">
        <v>0</v>
      </c>
      <c r="O390" s="147">
        <v>900000</v>
      </c>
      <c r="P390" s="38">
        <v>46100</v>
      </c>
      <c r="Q390" s="41"/>
      <c r="R390" s="41"/>
    </row>
    <row r="391" spans="1:18" ht="13.5" thickBot="1">
      <c r="A391" s="146"/>
      <c r="B391" s="41"/>
      <c r="C391" s="38">
        <v>46100</v>
      </c>
      <c r="D391" s="39">
        <v>0.52430555555555558</v>
      </c>
      <c r="E391" s="41"/>
      <c r="F391" s="37" t="s">
        <v>1490</v>
      </c>
      <c r="G391" s="37" t="s">
        <v>1491</v>
      </c>
      <c r="H391" s="38">
        <v>46100</v>
      </c>
      <c r="I391" s="39">
        <v>0.62222222222222223</v>
      </c>
      <c r="J391" s="41" t="s">
        <v>1489</v>
      </c>
      <c r="K391" s="37" t="s">
        <v>366</v>
      </c>
      <c r="L391" s="40" t="s">
        <v>912</v>
      </c>
      <c r="M391" s="37">
        <v>0</v>
      </c>
      <c r="N391" s="37">
        <v>0</v>
      </c>
      <c r="O391" s="37">
        <v>0</v>
      </c>
      <c r="P391" s="38">
        <v>46100</v>
      </c>
      <c r="Q391" s="41"/>
      <c r="R391" s="41"/>
    </row>
    <row r="392" spans="1:18" ht="13.5" thickBot="1">
      <c r="A392" s="146"/>
      <c r="B392" s="41"/>
      <c r="C392" s="38">
        <v>46100</v>
      </c>
      <c r="D392" s="39">
        <v>0.62222222222222223</v>
      </c>
      <c r="E392" s="41"/>
      <c r="F392" s="37" t="s">
        <v>1492</v>
      </c>
      <c r="G392" s="37" t="s">
        <v>1493</v>
      </c>
      <c r="H392" s="38">
        <v>46100</v>
      </c>
      <c r="I392" s="39">
        <v>0.63055555555555554</v>
      </c>
      <c r="J392" s="41" t="s">
        <v>1494</v>
      </c>
      <c r="K392" s="37" t="s">
        <v>1495</v>
      </c>
      <c r="L392" s="40" t="s">
        <v>230</v>
      </c>
      <c r="M392" s="37">
        <v>27</v>
      </c>
      <c r="N392" s="37">
        <v>1</v>
      </c>
      <c r="O392" s="147">
        <v>2835000</v>
      </c>
      <c r="P392" s="38">
        <v>46101</v>
      </c>
      <c r="Q392" s="41"/>
      <c r="R392" s="41"/>
    </row>
    <row r="393" spans="1:18" ht="13.5" thickBot="1">
      <c r="A393" s="146"/>
      <c r="B393" s="41"/>
      <c r="C393" s="38">
        <v>46108</v>
      </c>
      <c r="D393" s="39">
        <v>0.62222222222222223</v>
      </c>
      <c r="E393" s="41"/>
      <c r="F393" s="37" t="s">
        <v>1496</v>
      </c>
      <c r="G393" s="37" t="s">
        <v>1497</v>
      </c>
      <c r="H393" s="38">
        <v>46108</v>
      </c>
      <c r="I393" s="39">
        <v>0.64444444444444449</v>
      </c>
      <c r="J393" s="41" t="s">
        <v>1494</v>
      </c>
      <c r="K393" s="37" t="s">
        <v>1495</v>
      </c>
      <c r="L393" s="40" t="s">
        <v>230</v>
      </c>
      <c r="M393" s="37">
        <v>15</v>
      </c>
      <c r="N393" s="37">
        <v>1</v>
      </c>
      <c r="O393" s="147">
        <v>1575000</v>
      </c>
      <c r="P393" s="38">
        <v>46101</v>
      </c>
      <c r="Q393" s="41"/>
      <c r="R393" s="41"/>
    </row>
    <row r="394" spans="1:18" ht="23.5" thickBot="1">
      <c r="A394" s="146"/>
      <c r="B394" s="37">
        <v>1387576</v>
      </c>
      <c r="C394" s="38">
        <v>46101</v>
      </c>
      <c r="D394" s="39">
        <v>0.33541666666666664</v>
      </c>
      <c r="E394" s="41"/>
      <c r="F394" s="303" t="s">
        <v>1498</v>
      </c>
      <c r="G394" s="37" t="s">
        <v>1499</v>
      </c>
      <c r="H394" s="38">
        <v>46101</v>
      </c>
      <c r="I394" s="39">
        <v>0.35138888888888886</v>
      </c>
      <c r="J394" s="41" t="s">
        <v>51</v>
      </c>
      <c r="K394" s="37" t="s">
        <v>784</v>
      </c>
      <c r="L394" s="40" t="s">
        <v>1500</v>
      </c>
      <c r="M394" s="37">
        <v>48</v>
      </c>
      <c r="N394" s="37">
        <v>48</v>
      </c>
      <c r="O394" s="147">
        <v>2332800</v>
      </c>
      <c r="P394" s="38">
        <v>46111</v>
      </c>
      <c r="Q394" s="41"/>
      <c r="R394" s="41"/>
    </row>
    <row r="395" spans="1:18" ht="38" thickBot="1">
      <c r="A395" s="146"/>
      <c r="B395" s="37" t="s">
        <v>1501</v>
      </c>
      <c r="C395" s="38">
        <v>46101</v>
      </c>
      <c r="D395" s="39">
        <v>0.32777777777777778</v>
      </c>
      <c r="E395" s="41"/>
      <c r="F395" s="37" t="s">
        <v>1502</v>
      </c>
      <c r="G395" s="37" t="s">
        <v>1503</v>
      </c>
      <c r="H395" s="38">
        <v>46101</v>
      </c>
      <c r="I395" s="39">
        <v>0.36527777777777776</v>
      </c>
      <c r="J395" s="41" t="s">
        <v>386</v>
      </c>
      <c r="K395" s="37" t="s">
        <v>76</v>
      </c>
      <c r="L395" s="40" t="s">
        <v>676</v>
      </c>
      <c r="M395" s="37">
        <v>400</v>
      </c>
      <c r="N395" s="37">
        <v>16</v>
      </c>
      <c r="O395" s="147">
        <v>16200000</v>
      </c>
      <c r="P395" s="38">
        <v>46107</v>
      </c>
      <c r="Q395" s="41"/>
      <c r="R395" s="41"/>
    </row>
    <row r="396" spans="1:18" ht="13.5" thickBot="1">
      <c r="A396" s="146"/>
      <c r="B396" s="37">
        <v>1387324</v>
      </c>
      <c r="C396" s="38">
        <v>46100</v>
      </c>
      <c r="D396" s="39">
        <v>0.72291666666666665</v>
      </c>
      <c r="E396" s="41"/>
      <c r="F396" s="37" t="s">
        <v>1504</v>
      </c>
      <c r="G396" s="37" t="s">
        <v>1505</v>
      </c>
      <c r="H396" s="38">
        <v>45736</v>
      </c>
      <c r="I396" s="39">
        <v>0.37013888888888891</v>
      </c>
      <c r="J396" s="41" t="s">
        <v>38</v>
      </c>
      <c r="K396" s="37" t="s">
        <v>85</v>
      </c>
      <c r="L396" s="40" t="s">
        <v>976</v>
      </c>
      <c r="M396" s="37">
        <v>12</v>
      </c>
      <c r="N396" s="37">
        <v>12</v>
      </c>
      <c r="O396" s="147">
        <v>1626000</v>
      </c>
      <c r="P396" s="38">
        <v>46108</v>
      </c>
      <c r="Q396" s="41"/>
      <c r="R396" s="41"/>
    </row>
    <row r="397" spans="1:18" ht="13.5" thickBot="1">
      <c r="A397" s="146"/>
      <c r="B397" s="37">
        <v>1387271</v>
      </c>
      <c r="C397" s="38">
        <v>46100</v>
      </c>
      <c r="D397" s="37" t="s">
        <v>1506</v>
      </c>
      <c r="E397" s="41"/>
      <c r="F397" s="37" t="s">
        <v>1507</v>
      </c>
      <c r="G397" s="37" t="s">
        <v>1508</v>
      </c>
      <c r="H397" s="38">
        <v>45736</v>
      </c>
      <c r="I397" s="39">
        <v>0.37708333333333333</v>
      </c>
      <c r="J397" s="41" t="s">
        <v>30</v>
      </c>
      <c r="K397" s="37" t="s">
        <v>79</v>
      </c>
      <c r="L397" s="40" t="s">
        <v>158</v>
      </c>
      <c r="M397" s="37">
        <v>150</v>
      </c>
      <c r="N397" s="37">
        <v>6</v>
      </c>
      <c r="O397" s="147">
        <v>5835000</v>
      </c>
      <c r="P397" s="38">
        <v>46107</v>
      </c>
      <c r="Q397" s="41"/>
      <c r="R397" s="41"/>
    </row>
    <row r="398" spans="1:18" ht="13.5" thickBot="1">
      <c r="A398" s="146"/>
      <c r="B398" s="37">
        <v>1387164</v>
      </c>
      <c r="C398" s="38">
        <v>46100</v>
      </c>
      <c r="D398" s="39">
        <v>0.65833333333333333</v>
      </c>
      <c r="E398" s="41"/>
      <c r="F398" s="37" t="s">
        <v>1509</v>
      </c>
      <c r="G398" s="37" t="s">
        <v>1510</v>
      </c>
      <c r="H398" s="38">
        <v>45736</v>
      </c>
      <c r="I398" s="37">
        <v>913</v>
      </c>
      <c r="J398" s="41" t="s">
        <v>30</v>
      </c>
      <c r="K398" s="37" t="s">
        <v>80</v>
      </c>
      <c r="L398" s="40" t="s">
        <v>762</v>
      </c>
      <c r="M398" s="37">
        <v>75</v>
      </c>
      <c r="N398" s="37">
        <v>3</v>
      </c>
      <c r="O398" s="147">
        <v>3889500</v>
      </c>
      <c r="P398" s="38">
        <v>46107</v>
      </c>
      <c r="Q398" s="41"/>
      <c r="R398" s="41"/>
    </row>
    <row r="399" spans="1:18" ht="13.5" thickBot="1">
      <c r="A399" s="146"/>
      <c r="B399" s="37" t="s">
        <v>1511</v>
      </c>
      <c r="C399" s="38">
        <v>46101</v>
      </c>
      <c r="D399" s="39">
        <v>0.44027777777777777</v>
      </c>
      <c r="E399" s="41"/>
      <c r="F399" s="37" t="s">
        <v>1512</v>
      </c>
      <c r="G399" s="37" t="s">
        <v>1513</v>
      </c>
      <c r="H399" s="38">
        <v>45736</v>
      </c>
      <c r="I399" s="39">
        <v>0.51180555555555551</v>
      </c>
      <c r="J399" s="41" t="s">
        <v>355</v>
      </c>
      <c r="K399" s="37" t="s">
        <v>114</v>
      </c>
      <c r="L399" s="40" t="s">
        <v>209</v>
      </c>
      <c r="M399" s="37">
        <v>150</v>
      </c>
      <c r="N399" s="37">
        <v>6</v>
      </c>
      <c r="O399" s="147">
        <v>24630000</v>
      </c>
      <c r="P399" s="38">
        <v>46106</v>
      </c>
      <c r="Q399" s="41"/>
      <c r="R399" s="41"/>
    </row>
    <row r="400" spans="1:18" ht="13.5" thickBot="1">
      <c r="A400" s="146"/>
      <c r="B400" s="37" t="s">
        <v>1511</v>
      </c>
      <c r="C400" s="38">
        <v>46101</v>
      </c>
      <c r="D400" s="39">
        <v>0.44027777777777777</v>
      </c>
      <c r="E400" s="41"/>
      <c r="F400" s="37" t="s">
        <v>1512</v>
      </c>
      <c r="G400" s="37" t="s">
        <v>1513</v>
      </c>
      <c r="H400" s="38">
        <v>45736</v>
      </c>
      <c r="I400" s="39">
        <v>0.51180555555555551</v>
      </c>
      <c r="J400" s="41" t="s">
        <v>355</v>
      </c>
      <c r="K400" s="37" t="s">
        <v>114</v>
      </c>
      <c r="L400" s="40" t="s">
        <v>194</v>
      </c>
      <c r="M400" s="37">
        <v>500</v>
      </c>
      <c r="N400" s="37">
        <v>20</v>
      </c>
      <c r="O400" s="147">
        <v>9945000</v>
      </c>
      <c r="P400" s="38">
        <v>46106</v>
      </c>
      <c r="Q400" s="41"/>
      <c r="R400" s="41"/>
    </row>
    <row r="401" spans="1:18" ht="13.5" thickBot="1">
      <c r="A401" s="146"/>
      <c r="B401" s="37" t="s">
        <v>1511</v>
      </c>
      <c r="C401" s="38">
        <v>46101</v>
      </c>
      <c r="D401" s="39">
        <v>0.44027777777777777</v>
      </c>
      <c r="E401" s="41"/>
      <c r="F401" s="37" t="s">
        <v>1512</v>
      </c>
      <c r="G401" s="37" t="s">
        <v>1513</v>
      </c>
      <c r="H401" s="38">
        <v>45736</v>
      </c>
      <c r="I401" s="39">
        <v>0.51180555555555551</v>
      </c>
      <c r="J401" s="41" t="s">
        <v>355</v>
      </c>
      <c r="K401" s="37" t="s">
        <v>114</v>
      </c>
      <c r="L401" s="40" t="s">
        <v>111</v>
      </c>
      <c r="M401" s="37">
        <v>500</v>
      </c>
      <c r="N401" s="37">
        <v>20</v>
      </c>
      <c r="O401" s="147">
        <v>12750000</v>
      </c>
      <c r="P401" s="38">
        <v>46106</v>
      </c>
      <c r="Q401" s="41"/>
      <c r="R401" s="41"/>
    </row>
    <row r="402" spans="1:18" ht="13.5" thickBot="1">
      <c r="A402" s="146"/>
      <c r="B402" s="37" t="s">
        <v>1511</v>
      </c>
      <c r="C402" s="38">
        <v>46101</v>
      </c>
      <c r="D402" s="39">
        <v>0.44027777777777777</v>
      </c>
      <c r="E402" s="41"/>
      <c r="F402" s="37" t="s">
        <v>1512</v>
      </c>
      <c r="G402" s="37" t="s">
        <v>1513</v>
      </c>
      <c r="H402" s="38">
        <v>45736</v>
      </c>
      <c r="I402" s="39">
        <v>0.51180555555555551</v>
      </c>
      <c r="J402" s="41" t="s">
        <v>355</v>
      </c>
      <c r="K402" s="37" t="s">
        <v>114</v>
      </c>
      <c r="L402" s="40" t="s">
        <v>773</v>
      </c>
      <c r="M402" s="37">
        <v>1500</v>
      </c>
      <c r="N402" s="37">
        <v>60</v>
      </c>
      <c r="O402" s="147">
        <v>24300000</v>
      </c>
      <c r="P402" s="38">
        <v>46106</v>
      </c>
      <c r="Q402" s="41"/>
      <c r="R402" s="41"/>
    </row>
    <row r="403" spans="1:18" ht="13.5" thickBot="1">
      <c r="A403" s="146"/>
      <c r="B403" s="37" t="s">
        <v>1511</v>
      </c>
      <c r="C403" s="38">
        <v>46101</v>
      </c>
      <c r="D403" s="39">
        <v>0.44027777777777777</v>
      </c>
      <c r="E403" s="41"/>
      <c r="F403" s="37" t="s">
        <v>1512</v>
      </c>
      <c r="G403" s="37" t="s">
        <v>1513</v>
      </c>
      <c r="H403" s="38">
        <v>45736</v>
      </c>
      <c r="I403" s="39">
        <v>0.51180555555555551</v>
      </c>
      <c r="J403" s="41" t="s">
        <v>355</v>
      </c>
      <c r="K403" s="37" t="s">
        <v>114</v>
      </c>
      <c r="L403" s="40" t="s">
        <v>115</v>
      </c>
      <c r="M403" s="37">
        <v>50</v>
      </c>
      <c r="N403" s="37">
        <v>2</v>
      </c>
      <c r="O403" s="147">
        <v>5125000</v>
      </c>
      <c r="P403" s="38">
        <v>46106</v>
      </c>
      <c r="Q403" s="41"/>
      <c r="R403" s="41"/>
    </row>
    <row r="404" spans="1:18" ht="38" thickBot="1">
      <c r="A404" s="146"/>
      <c r="B404" s="37" t="s">
        <v>1514</v>
      </c>
      <c r="C404" s="38">
        <v>46100</v>
      </c>
      <c r="D404" s="39">
        <v>0.63263888888888886</v>
      </c>
      <c r="E404" s="41"/>
      <c r="F404" s="37" t="s">
        <v>1515</v>
      </c>
      <c r="G404" s="37" t="s">
        <v>1516</v>
      </c>
      <c r="H404" s="38">
        <v>45736</v>
      </c>
      <c r="I404" s="39">
        <v>0.51388888888888884</v>
      </c>
      <c r="J404" s="41" t="s">
        <v>386</v>
      </c>
      <c r="K404" s="37" t="s">
        <v>141</v>
      </c>
      <c r="L404" s="40" t="s">
        <v>194</v>
      </c>
      <c r="M404" s="37">
        <v>400</v>
      </c>
      <c r="N404" s="37">
        <v>16</v>
      </c>
      <c r="O404" s="147">
        <v>7800000</v>
      </c>
      <c r="P404" s="38">
        <v>46107</v>
      </c>
      <c r="Q404" s="41"/>
      <c r="R404" s="41"/>
    </row>
    <row r="405" spans="1:18" ht="13.5" thickBot="1">
      <c r="A405" s="146"/>
      <c r="B405" s="37">
        <v>1387113</v>
      </c>
      <c r="C405" s="38">
        <v>46100</v>
      </c>
      <c r="D405" s="39">
        <v>0.64861111111111114</v>
      </c>
      <c r="E405" s="41"/>
      <c r="F405" s="37" t="s">
        <v>1517</v>
      </c>
      <c r="G405" s="37" t="s">
        <v>1518</v>
      </c>
      <c r="H405" s="38">
        <v>45736</v>
      </c>
      <c r="I405" s="39">
        <v>0.51527777777777772</v>
      </c>
      <c r="J405" s="41" t="s">
        <v>38</v>
      </c>
      <c r="K405" s="37" t="s">
        <v>142</v>
      </c>
      <c r="L405" s="40" t="s">
        <v>768</v>
      </c>
      <c r="M405" s="37">
        <v>50</v>
      </c>
      <c r="N405" s="37">
        <v>2</v>
      </c>
      <c r="O405" s="147">
        <v>9010000</v>
      </c>
      <c r="P405" s="38">
        <v>46105</v>
      </c>
      <c r="Q405" s="41"/>
      <c r="R405" s="41"/>
    </row>
    <row r="406" spans="1:18" ht="13.5" thickBot="1">
      <c r="A406" s="146"/>
      <c r="B406" s="41"/>
      <c r="C406" s="38">
        <v>46100</v>
      </c>
      <c r="D406" s="39">
        <v>0.65208333333333335</v>
      </c>
      <c r="E406" s="41"/>
      <c r="F406" s="37" t="s">
        <v>1519</v>
      </c>
      <c r="G406" s="37" t="s">
        <v>1520</v>
      </c>
      <c r="H406" s="38">
        <v>45736</v>
      </c>
      <c r="I406" s="39">
        <v>0.51666666666666672</v>
      </c>
      <c r="J406" s="41" t="s">
        <v>383</v>
      </c>
      <c r="K406" s="37" t="s">
        <v>816</v>
      </c>
      <c r="L406" s="40" t="s">
        <v>762</v>
      </c>
      <c r="M406" s="37">
        <v>100</v>
      </c>
      <c r="N406" s="37">
        <v>4</v>
      </c>
      <c r="O406" s="147">
        <v>8500000</v>
      </c>
      <c r="P406" s="38">
        <v>46105</v>
      </c>
      <c r="Q406" s="41"/>
      <c r="R406" s="41"/>
    </row>
    <row r="407" spans="1:18" ht="13.5" thickBot="1">
      <c r="A407" s="146"/>
      <c r="B407" s="41"/>
      <c r="C407" s="38">
        <v>46100</v>
      </c>
      <c r="D407" s="39">
        <v>0.65208333333333335</v>
      </c>
      <c r="E407" s="41"/>
      <c r="F407" s="37" t="s">
        <v>1519</v>
      </c>
      <c r="G407" s="37" t="s">
        <v>1520</v>
      </c>
      <c r="H407" s="38">
        <v>45736</v>
      </c>
      <c r="I407" s="39">
        <v>0.51666666666666672</v>
      </c>
      <c r="J407" s="41" t="s">
        <v>383</v>
      </c>
      <c r="K407" s="37" t="s">
        <v>816</v>
      </c>
      <c r="L407" s="40" t="s">
        <v>773</v>
      </c>
      <c r="M407" s="37">
        <v>200</v>
      </c>
      <c r="N407" s="37">
        <v>8</v>
      </c>
      <c r="O407" s="147">
        <v>3200000</v>
      </c>
      <c r="P407" s="38">
        <v>46105</v>
      </c>
      <c r="Q407" s="41"/>
      <c r="R407" s="41"/>
    </row>
    <row r="408" spans="1:18" ht="13.5" thickBot="1">
      <c r="A408" s="214" t="s">
        <v>725</v>
      </c>
      <c r="B408" s="63"/>
      <c r="C408" s="64">
        <v>46101</v>
      </c>
      <c r="D408" s="65">
        <v>0.44236111111111109</v>
      </c>
      <c r="E408" s="63"/>
      <c r="F408" s="66" t="s">
        <v>1521</v>
      </c>
      <c r="G408" s="66" t="s">
        <v>1522</v>
      </c>
      <c r="H408" s="64">
        <v>45736</v>
      </c>
      <c r="I408" s="65">
        <v>0.51944444444444449</v>
      </c>
      <c r="J408" s="63" t="s">
        <v>783</v>
      </c>
      <c r="K408" s="66" t="s">
        <v>78</v>
      </c>
      <c r="L408" s="70" t="s">
        <v>762</v>
      </c>
      <c r="M408" s="66">
        <v>50</v>
      </c>
      <c r="N408" s="66">
        <v>2</v>
      </c>
      <c r="O408" s="215">
        <v>3450000</v>
      </c>
      <c r="P408" s="64">
        <v>46105</v>
      </c>
      <c r="Q408" s="63"/>
      <c r="R408" s="63"/>
    </row>
    <row r="409" spans="1:18" ht="13.5" thickBot="1">
      <c r="A409" s="214" t="s">
        <v>725</v>
      </c>
      <c r="B409" s="63"/>
      <c r="C409" s="64">
        <v>46101</v>
      </c>
      <c r="D409" s="65">
        <v>0.44236111111111109</v>
      </c>
      <c r="E409" s="63"/>
      <c r="F409" s="66" t="s">
        <v>1521</v>
      </c>
      <c r="G409" s="66" t="s">
        <v>1522</v>
      </c>
      <c r="H409" s="64">
        <v>45736</v>
      </c>
      <c r="I409" s="65">
        <v>0.51944444444444449</v>
      </c>
      <c r="J409" s="63" t="s">
        <v>783</v>
      </c>
      <c r="K409" s="66" t="s">
        <v>78</v>
      </c>
      <c r="L409" s="70" t="s">
        <v>1523</v>
      </c>
      <c r="M409" s="66">
        <v>10</v>
      </c>
      <c r="N409" s="66">
        <v>0</v>
      </c>
      <c r="O409" s="215">
        <v>700000</v>
      </c>
      <c r="P409" s="64">
        <v>46105</v>
      </c>
      <c r="Q409" s="63"/>
      <c r="R409" s="63"/>
    </row>
    <row r="410" spans="1:18" ht="13.5" thickBot="1">
      <c r="A410" s="207" t="s">
        <v>725</v>
      </c>
      <c r="B410" s="208">
        <v>101405</v>
      </c>
      <c r="C410" s="209">
        <v>46101</v>
      </c>
      <c r="D410" s="210">
        <v>0.48125000000000001</v>
      </c>
      <c r="E410" s="211"/>
      <c r="F410" s="208" t="s">
        <v>1524</v>
      </c>
      <c r="G410" s="208" t="s">
        <v>1525</v>
      </c>
      <c r="H410" s="209">
        <v>45736</v>
      </c>
      <c r="I410" s="210">
        <v>0.52916666666666667</v>
      </c>
      <c r="J410" s="211" t="s">
        <v>231</v>
      </c>
      <c r="K410" s="208" t="s">
        <v>142</v>
      </c>
      <c r="L410" s="212" t="s">
        <v>764</v>
      </c>
      <c r="M410" s="208">
        <v>15</v>
      </c>
      <c r="N410" s="208">
        <v>1</v>
      </c>
      <c r="O410" s="213">
        <v>1065000</v>
      </c>
      <c r="P410" s="209">
        <v>46105</v>
      </c>
      <c r="Q410" s="211"/>
      <c r="R410" s="211"/>
    </row>
    <row r="411" spans="1:18" ht="13.5" thickBot="1">
      <c r="A411" s="146"/>
      <c r="B411" s="41"/>
      <c r="C411" s="38">
        <v>46101</v>
      </c>
      <c r="D411" s="39">
        <v>0.51388888888888884</v>
      </c>
      <c r="E411" s="41"/>
      <c r="F411" s="37" t="s">
        <v>1526</v>
      </c>
      <c r="G411" s="37" t="s">
        <v>1527</v>
      </c>
      <c r="H411" s="38">
        <v>45736</v>
      </c>
      <c r="I411" s="39">
        <v>0.60416666666666663</v>
      </c>
      <c r="J411" s="41" t="s">
        <v>53</v>
      </c>
      <c r="K411" s="37" t="s">
        <v>456</v>
      </c>
      <c r="L411" s="40" t="s">
        <v>762</v>
      </c>
      <c r="M411" s="37">
        <v>25</v>
      </c>
      <c r="N411" s="37">
        <v>1</v>
      </c>
      <c r="O411" s="147">
        <v>1687000</v>
      </c>
      <c r="P411" s="38">
        <v>46105</v>
      </c>
      <c r="Q411" s="41"/>
      <c r="R411" s="41"/>
    </row>
    <row r="412" spans="1:18" ht="13.5" thickBot="1">
      <c r="A412" s="146"/>
      <c r="B412" s="41"/>
      <c r="C412" s="38">
        <v>46101</v>
      </c>
      <c r="D412" s="39">
        <v>0.51388888888888884</v>
      </c>
      <c r="E412" s="41"/>
      <c r="F412" s="37" t="s">
        <v>1526</v>
      </c>
      <c r="G412" s="37" t="s">
        <v>1527</v>
      </c>
      <c r="H412" s="38">
        <v>45736</v>
      </c>
      <c r="I412" s="39">
        <v>0.60416666666666663</v>
      </c>
      <c r="J412" s="41" t="s">
        <v>53</v>
      </c>
      <c r="K412" s="37" t="s">
        <v>456</v>
      </c>
      <c r="L412" s="40" t="s">
        <v>976</v>
      </c>
      <c r="M412" s="37">
        <v>50</v>
      </c>
      <c r="N412" s="37">
        <v>2</v>
      </c>
      <c r="O412" s="147">
        <v>7250000</v>
      </c>
      <c r="P412" s="38">
        <v>46105</v>
      </c>
      <c r="Q412" s="41"/>
      <c r="R412" s="41"/>
    </row>
    <row r="413" spans="1:18" ht="13.5" thickBot="1">
      <c r="A413" s="146"/>
      <c r="B413" s="41"/>
      <c r="C413" s="38">
        <v>46101</v>
      </c>
      <c r="D413" s="39">
        <v>0.51388888888888884</v>
      </c>
      <c r="E413" s="41"/>
      <c r="F413" s="37" t="s">
        <v>1526</v>
      </c>
      <c r="G413" s="37" t="s">
        <v>1527</v>
      </c>
      <c r="H413" s="38">
        <v>45736</v>
      </c>
      <c r="I413" s="39">
        <v>0.60416666666666663</v>
      </c>
      <c r="J413" s="41" t="s">
        <v>53</v>
      </c>
      <c r="K413" s="37" t="s">
        <v>456</v>
      </c>
      <c r="L413" s="40" t="s">
        <v>111</v>
      </c>
      <c r="M413" s="37">
        <v>400</v>
      </c>
      <c r="N413" s="37">
        <v>16</v>
      </c>
      <c r="O413" s="147">
        <v>10520000</v>
      </c>
      <c r="P413" s="38">
        <v>46105</v>
      </c>
      <c r="Q413" s="41"/>
      <c r="R413" s="41"/>
    </row>
    <row r="414" spans="1:18" ht="25.5" thickBot="1">
      <c r="A414" s="146"/>
      <c r="B414" s="37" t="s">
        <v>1528</v>
      </c>
      <c r="C414" s="38">
        <v>46101</v>
      </c>
      <c r="D414" s="39">
        <v>0.58750000000000002</v>
      </c>
      <c r="E414" s="41"/>
      <c r="F414" s="37" t="s">
        <v>1529</v>
      </c>
      <c r="G414" s="37" t="s">
        <v>1530</v>
      </c>
      <c r="H414" s="38">
        <v>45736</v>
      </c>
      <c r="I414" s="39">
        <v>0.61250000000000004</v>
      </c>
      <c r="J414" s="41" t="s">
        <v>1531</v>
      </c>
      <c r="K414" s="37" t="s">
        <v>142</v>
      </c>
      <c r="L414" s="40" t="s">
        <v>773</v>
      </c>
      <c r="M414" s="37">
        <v>325</v>
      </c>
      <c r="N414" s="37">
        <v>13</v>
      </c>
      <c r="O414" s="147">
        <v>5200000</v>
      </c>
      <c r="P414" s="38">
        <v>46105</v>
      </c>
      <c r="Q414" s="41"/>
      <c r="R414" s="41"/>
    </row>
    <row r="415" spans="1:18" ht="13.5" thickBot="1">
      <c r="A415" s="146"/>
      <c r="B415" s="41"/>
      <c r="C415" s="38">
        <v>46104</v>
      </c>
      <c r="D415" s="39">
        <v>0.4375</v>
      </c>
      <c r="E415" s="41"/>
      <c r="F415" s="37" t="s">
        <v>1532</v>
      </c>
      <c r="G415" s="37" t="s">
        <v>1533</v>
      </c>
      <c r="H415" s="38">
        <v>46105</v>
      </c>
      <c r="I415" s="39">
        <v>0.31458333333333333</v>
      </c>
      <c r="J415" s="41" t="s">
        <v>769</v>
      </c>
      <c r="K415" s="37" t="s">
        <v>366</v>
      </c>
      <c r="L415" s="40" t="s">
        <v>112</v>
      </c>
      <c r="M415" s="37">
        <v>10</v>
      </c>
      <c r="N415" s="37">
        <v>0</v>
      </c>
      <c r="O415" s="147">
        <v>562000</v>
      </c>
      <c r="P415" s="38">
        <v>46105</v>
      </c>
      <c r="Q415" s="41"/>
      <c r="R415" s="41"/>
    </row>
    <row r="416" spans="1:18" ht="13.5" thickBot="1">
      <c r="A416" s="201" t="s">
        <v>117</v>
      </c>
      <c r="B416" s="54">
        <v>5504485810</v>
      </c>
      <c r="C416" s="52">
        <v>46101</v>
      </c>
      <c r="D416" s="53">
        <v>0.62847222222222221</v>
      </c>
      <c r="E416" s="148"/>
      <c r="F416" s="54" t="s">
        <v>1534</v>
      </c>
      <c r="G416" s="148"/>
      <c r="H416" s="52">
        <v>46105</v>
      </c>
      <c r="I416" s="53">
        <v>0.38680555555555557</v>
      </c>
      <c r="J416" s="148" t="s">
        <v>52</v>
      </c>
      <c r="K416" s="54" t="s">
        <v>823</v>
      </c>
      <c r="L416" s="56" t="s">
        <v>590</v>
      </c>
      <c r="M416" s="54">
        <v>150</v>
      </c>
      <c r="N416" s="54">
        <v>6</v>
      </c>
      <c r="O416" s="149">
        <v>6975000</v>
      </c>
      <c r="P416" s="52">
        <v>46107</v>
      </c>
      <c r="Q416" s="148"/>
      <c r="R416" s="148"/>
    </row>
    <row r="417" spans="1:18" ht="38" thickBot="1">
      <c r="A417" s="146"/>
      <c r="B417" s="37" t="s">
        <v>1535</v>
      </c>
      <c r="C417" s="38">
        <v>46101</v>
      </c>
      <c r="D417" s="39">
        <v>0.70972222222222225</v>
      </c>
      <c r="E417" s="41"/>
      <c r="F417" s="37" t="s">
        <v>1536</v>
      </c>
      <c r="G417" s="37" t="s">
        <v>1537</v>
      </c>
      <c r="H417" s="38">
        <v>46105</v>
      </c>
      <c r="I417" s="39">
        <v>0.39652777777777776</v>
      </c>
      <c r="J417" s="41" t="s">
        <v>386</v>
      </c>
      <c r="K417" s="37" t="s">
        <v>76</v>
      </c>
      <c r="L417" s="40" t="s">
        <v>194</v>
      </c>
      <c r="M417" s="37">
        <v>2000</v>
      </c>
      <c r="N417" s="37">
        <v>80</v>
      </c>
      <c r="O417" s="147">
        <v>39000000</v>
      </c>
      <c r="P417" s="38">
        <v>46106</v>
      </c>
      <c r="Q417" s="41"/>
      <c r="R417" s="41"/>
    </row>
    <row r="418" spans="1:18" ht="13.5" thickBot="1">
      <c r="A418" s="146"/>
      <c r="B418" s="37" t="s">
        <v>1538</v>
      </c>
      <c r="C418" s="38">
        <v>46105</v>
      </c>
      <c r="D418" s="39">
        <v>0.41666666666666669</v>
      </c>
      <c r="E418" s="41"/>
      <c r="F418" s="37" t="s">
        <v>1539</v>
      </c>
      <c r="G418" s="37" t="s">
        <v>1540</v>
      </c>
      <c r="H418" s="38">
        <v>46105</v>
      </c>
      <c r="I418" s="39">
        <v>0.47847222222222224</v>
      </c>
      <c r="J418" s="41" t="s">
        <v>355</v>
      </c>
      <c r="K418" s="37" t="s">
        <v>86</v>
      </c>
      <c r="L418" s="40" t="s">
        <v>226</v>
      </c>
      <c r="M418" s="37">
        <v>25</v>
      </c>
      <c r="N418" s="37">
        <v>1</v>
      </c>
      <c r="O418" s="147">
        <v>1209600</v>
      </c>
      <c r="P418" s="38">
        <v>46107</v>
      </c>
      <c r="Q418" s="41"/>
      <c r="R418" s="41"/>
    </row>
    <row r="419" spans="1:18" ht="13.5" thickBot="1">
      <c r="A419" s="146"/>
      <c r="B419" s="37" t="s">
        <v>1538</v>
      </c>
      <c r="C419" s="38">
        <v>46105</v>
      </c>
      <c r="D419" s="39">
        <v>0.41666666666666669</v>
      </c>
      <c r="E419" s="41"/>
      <c r="F419" s="37" t="s">
        <v>1539</v>
      </c>
      <c r="G419" s="37" t="s">
        <v>1540</v>
      </c>
      <c r="H419" s="38">
        <v>46105</v>
      </c>
      <c r="I419" s="39">
        <v>0.47847222222222224</v>
      </c>
      <c r="J419" s="41" t="s">
        <v>355</v>
      </c>
      <c r="K419" s="37" t="s">
        <v>86</v>
      </c>
      <c r="L419" s="40" t="s">
        <v>112</v>
      </c>
      <c r="M419" s="37">
        <v>25</v>
      </c>
      <c r="N419" s="37">
        <v>1</v>
      </c>
      <c r="O419" s="147">
        <v>1362000</v>
      </c>
      <c r="P419" s="38">
        <v>46107</v>
      </c>
      <c r="Q419" s="41"/>
      <c r="R419" s="41"/>
    </row>
    <row r="420" spans="1:18" ht="13.5" thickBot="1">
      <c r="A420" s="146"/>
      <c r="B420" s="37" t="s">
        <v>1538</v>
      </c>
      <c r="C420" s="38">
        <v>46105</v>
      </c>
      <c r="D420" s="39">
        <v>0.41666666666666669</v>
      </c>
      <c r="E420" s="41"/>
      <c r="F420" s="37" t="s">
        <v>1539</v>
      </c>
      <c r="G420" s="37" t="s">
        <v>1540</v>
      </c>
      <c r="H420" s="38">
        <v>46105</v>
      </c>
      <c r="I420" s="39">
        <v>0.47847222222222224</v>
      </c>
      <c r="J420" s="41" t="s">
        <v>355</v>
      </c>
      <c r="K420" s="37" t="s">
        <v>86</v>
      </c>
      <c r="L420" s="40" t="s">
        <v>1523</v>
      </c>
      <c r="M420" s="37">
        <v>15</v>
      </c>
      <c r="N420" s="37">
        <v>1</v>
      </c>
      <c r="O420" s="147">
        <v>1050000</v>
      </c>
      <c r="P420" s="38">
        <v>46107</v>
      </c>
      <c r="Q420" s="41"/>
      <c r="R420" s="41"/>
    </row>
    <row r="421" spans="1:18" ht="13.5" thickBot="1">
      <c r="A421" s="146"/>
      <c r="B421" s="41"/>
      <c r="C421" s="38">
        <v>46105</v>
      </c>
      <c r="D421" s="39">
        <v>0.36666666666666664</v>
      </c>
      <c r="E421" s="41"/>
      <c r="F421" s="37" t="s">
        <v>1541</v>
      </c>
      <c r="G421" s="37" t="s">
        <v>1542</v>
      </c>
      <c r="H421" s="38">
        <v>46105</v>
      </c>
      <c r="I421" s="39">
        <v>0.48749999999999999</v>
      </c>
      <c r="J421" s="41" t="s">
        <v>759</v>
      </c>
      <c r="K421" s="37" t="s">
        <v>83</v>
      </c>
      <c r="L421" s="40" t="s">
        <v>1172</v>
      </c>
      <c r="M421" s="37">
        <v>2000</v>
      </c>
      <c r="N421" s="37">
        <v>80</v>
      </c>
      <c r="O421" s="147">
        <v>38500000</v>
      </c>
      <c r="P421" s="38">
        <v>46105</v>
      </c>
      <c r="Q421" s="41"/>
      <c r="R421" s="41"/>
    </row>
    <row r="422" spans="1:18" ht="13.5" thickBot="1">
      <c r="A422" s="146"/>
      <c r="B422" s="41"/>
      <c r="C422" s="38">
        <v>46105</v>
      </c>
      <c r="D422" s="39">
        <v>0.36666666666666664</v>
      </c>
      <c r="E422" s="41"/>
      <c r="F422" s="37" t="s">
        <v>1541</v>
      </c>
      <c r="G422" s="37" t="s">
        <v>1542</v>
      </c>
      <c r="H422" s="38">
        <v>46105</v>
      </c>
      <c r="I422" s="39">
        <v>0.48749999999999999</v>
      </c>
      <c r="J422" s="41" t="s">
        <v>759</v>
      </c>
      <c r="K422" s="37" t="s">
        <v>83</v>
      </c>
      <c r="L422" s="40" t="s">
        <v>136</v>
      </c>
      <c r="M422" s="37">
        <v>1000</v>
      </c>
      <c r="N422" s="37">
        <v>40</v>
      </c>
      <c r="O422" s="147">
        <v>51900000</v>
      </c>
      <c r="P422" s="38">
        <v>46105</v>
      </c>
      <c r="Q422" s="41"/>
      <c r="R422" s="41"/>
    </row>
    <row r="423" spans="1:18" ht="13.5" thickBot="1">
      <c r="A423" s="146"/>
      <c r="B423" s="41"/>
      <c r="C423" s="38">
        <v>46105</v>
      </c>
      <c r="D423" s="39">
        <v>0.36666666666666664</v>
      </c>
      <c r="E423" s="41"/>
      <c r="F423" s="37" t="s">
        <v>1541</v>
      </c>
      <c r="G423" s="37" t="s">
        <v>1542</v>
      </c>
      <c r="H423" s="38">
        <v>46105</v>
      </c>
      <c r="I423" s="39">
        <v>0.48749999999999999</v>
      </c>
      <c r="J423" s="41" t="s">
        <v>759</v>
      </c>
      <c r="K423" s="37" t="s">
        <v>83</v>
      </c>
      <c r="L423" s="40" t="s">
        <v>220</v>
      </c>
      <c r="M423" s="37">
        <v>1400</v>
      </c>
      <c r="N423" s="37">
        <v>56</v>
      </c>
      <c r="O423" s="147">
        <v>42280000</v>
      </c>
      <c r="P423" s="38">
        <v>46105</v>
      </c>
      <c r="Q423" s="41"/>
      <c r="R423" s="41"/>
    </row>
    <row r="424" spans="1:18" ht="13.5" thickBot="1">
      <c r="A424" s="146"/>
      <c r="B424" s="41"/>
      <c r="C424" s="38">
        <v>46105</v>
      </c>
      <c r="D424" s="39">
        <v>0.36666666666666664</v>
      </c>
      <c r="E424" s="41"/>
      <c r="F424" s="37" t="s">
        <v>1541</v>
      </c>
      <c r="G424" s="37" t="s">
        <v>1542</v>
      </c>
      <c r="H424" s="38">
        <v>46105</v>
      </c>
      <c r="I424" s="39">
        <v>0.48749999999999999</v>
      </c>
      <c r="J424" s="41" t="s">
        <v>759</v>
      </c>
      <c r="K424" s="37" t="s">
        <v>83</v>
      </c>
      <c r="L424" s="40" t="s">
        <v>194</v>
      </c>
      <c r="M424" s="37">
        <v>1000</v>
      </c>
      <c r="N424" s="37">
        <v>40</v>
      </c>
      <c r="O424" s="147">
        <v>17600000</v>
      </c>
      <c r="P424" s="38">
        <v>46105</v>
      </c>
      <c r="Q424" s="41"/>
      <c r="R424" s="41"/>
    </row>
    <row r="425" spans="1:18" ht="23.5" thickBot="1">
      <c r="A425" s="146"/>
      <c r="B425" s="41"/>
      <c r="C425" s="38">
        <v>46105</v>
      </c>
      <c r="D425" s="39">
        <v>0.36666666666666664</v>
      </c>
      <c r="E425" s="41"/>
      <c r="F425" s="37" t="s">
        <v>1543</v>
      </c>
      <c r="G425" s="37" t="s">
        <v>1544</v>
      </c>
      <c r="H425" s="38">
        <v>46105</v>
      </c>
      <c r="I425" s="39">
        <v>0.48749999999999999</v>
      </c>
      <c r="J425" s="41" t="s">
        <v>385</v>
      </c>
      <c r="K425" s="37" t="s">
        <v>379</v>
      </c>
      <c r="L425" s="40" t="s">
        <v>115</v>
      </c>
      <c r="M425" s="37">
        <v>2000</v>
      </c>
      <c r="N425" s="37">
        <v>80</v>
      </c>
      <c r="O425" s="147">
        <v>145734000</v>
      </c>
      <c r="P425" s="38">
        <v>46105</v>
      </c>
      <c r="Q425" s="41"/>
      <c r="R425" s="41"/>
    </row>
    <row r="426" spans="1:18" ht="23.5" thickBot="1">
      <c r="A426" s="146"/>
      <c r="B426" s="41"/>
      <c r="C426" s="38">
        <v>46105</v>
      </c>
      <c r="D426" s="39">
        <v>0.36666666666666664</v>
      </c>
      <c r="E426" s="41"/>
      <c r="F426" s="37" t="s">
        <v>1543</v>
      </c>
      <c r="G426" s="37" t="s">
        <v>1544</v>
      </c>
      <c r="H426" s="38">
        <v>46105</v>
      </c>
      <c r="I426" s="39">
        <v>0.48749999999999999</v>
      </c>
      <c r="J426" s="41" t="s">
        <v>385</v>
      </c>
      <c r="K426" s="37" t="s">
        <v>379</v>
      </c>
      <c r="L426" s="40" t="s">
        <v>209</v>
      </c>
      <c r="M426" s="37">
        <v>500</v>
      </c>
      <c r="N426" s="37">
        <v>20</v>
      </c>
      <c r="O426" s="147">
        <v>61450000</v>
      </c>
      <c r="P426" s="38">
        <v>46105</v>
      </c>
      <c r="Q426" s="41"/>
      <c r="R426" s="41"/>
    </row>
    <row r="427" spans="1:18" s="333" customFormat="1" ht="25.5" thickBot="1">
      <c r="A427" s="331" t="s">
        <v>117</v>
      </c>
      <c r="B427" s="324" t="s">
        <v>1546</v>
      </c>
      <c r="C427" s="325">
        <v>46105</v>
      </c>
      <c r="D427" s="326">
        <v>0.39583333333333331</v>
      </c>
      <c r="E427" s="332"/>
      <c r="F427" s="324" t="s">
        <v>1547</v>
      </c>
      <c r="G427" s="324" t="s">
        <v>1548</v>
      </c>
      <c r="H427" s="325">
        <v>46105</v>
      </c>
      <c r="I427" s="326">
        <v>0.49375000000000002</v>
      </c>
      <c r="J427" s="332" t="s">
        <v>12</v>
      </c>
      <c r="K427" s="321" t="s">
        <v>176</v>
      </c>
      <c r="L427" s="324" t="s">
        <v>976</v>
      </c>
      <c r="M427" s="324">
        <v>15</v>
      </c>
      <c r="N427" s="324">
        <v>1</v>
      </c>
      <c r="O427" s="332"/>
      <c r="P427" s="325">
        <v>46107</v>
      </c>
      <c r="Q427" s="329" t="s">
        <v>1545</v>
      </c>
      <c r="R427" s="332"/>
    </row>
    <row r="428" spans="1:18" ht="23.5" thickBot="1">
      <c r="A428" s="146"/>
      <c r="B428" s="37" t="s">
        <v>1549</v>
      </c>
      <c r="C428" s="38">
        <v>46105</v>
      </c>
      <c r="D428" s="39">
        <v>0.47916666666666669</v>
      </c>
      <c r="E428" s="41"/>
      <c r="F428" s="37" t="s">
        <v>1550</v>
      </c>
      <c r="G428" s="37" t="s">
        <v>1551</v>
      </c>
      <c r="H428" s="38">
        <v>46105</v>
      </c>
      <c r="I428" s="39">
        <v>0.50972222222222219</v>
      </c>
      <c r="J428" s="41" t="s">
        <v>54</v>
      </c>
      <c r="K428" s="37" t="s">
        <v>75</v>
      </c>
      <c r="L428" s="40" t="s">
        <v>215</v>
      </c>
      <c r="M428" s="37">
        <v>500</v>
      </c>
      <c r="N428" s="37">
        <v>20</v>
      </c>
      <c r="O428" s="147">
        <v>8500000</v>
      </c>
      <c r="P428" s="38">
        <v>46106</v>
      </c>
      <c r="Q428" s="41"/>
      <c r="R428" s="41"/>
    </row>
    <row r="429" spans="1:18" ht="23.5" thickBot="1">
      <c r="A429" s="146"/>
      <c r="B429" s="37" t="s">
        <v>1549</v>
      </c>
      <c r="C429" s="38">
        <v>46105</v>
      </c>
      <c r="D429" s="39">
        <v>0.47916666666666669</v>
      </c>
      <c r="E429" s="41"/>
      <c r="F429" s="37" t="s">
        <v>1550</v>
      </c>
      <c r="G429" s="37" t="s">
        <v>1551</v>
      </c>
      <c r="H429" s="38">
        <v>46105</v>
      </c>
      <c r="I429" s="39">
        <v>0.50972222222222219</v>
      </c>
      <c r="J429" s="41" t="s">
        <v>54</v>
      </c>
      <c r="K429" s="37" t="s">
        <v>75</v>
      </c>
      <c r="L429" s="40" t="s">
        <v>762</v>
      </c>
      <c r="M429" s="37">
        <v>50</v>
      </c>
      <c r="N429" s="37">
        <v>2</v>
      </c>
      <c r="O429" s="147">
        <v>3450000</v>
      </c>
      <c r="P429" s="38">
        <v>46106</v>
      </c>
      <c r="Q429" s="41"/>
      <c r="R429" s="41"/>
    </row>
    <row r="430" spans="1:18" ht="23.5" thickBot="1">
      <c r="A430" s="146"/>
      <c r="B430" s="37" t="s">
        <v>1549</v>
      </c>
      <c r="C430" s="38">
        <v>46105</v>
      </c>
      <c r="D430" s="39">
        <v>0.47916666666666669</v>
      </c>
      <c r="E430" s="41"/>
      <c r="F430" s="37" t="s">
        <v>1550</v>
      </c>
      <c r="G430" s="37" t="s">
        <v>1551</v>
      </c>
      <c r="H430" s="38">
        <v>46105</v>
      </c>
      <c r="I430" s="39">
        <v>0.50972222222222219</v>
      </c>
      <c r="J430" s="41" t="s">
        <v>54</v>
      </c>
      <c r="K430" s="37" t="s">
        <v>75</v>
      </c>
      <c r="L430" s="40" t="s">
        <v>120</v>
      </c>
      <c r="M430" s="37">
        <v>50</v>
      </c>
      <c r="N430" s="37">
        <v>2</v>
      </c>
      <c r="O430" s="147">
        <v>7750000</v>
      </c>
      <c r="P430" s="38">
        <v>46106</v>
      </c>
      <c r="Q430" s="41"/>
      <c r="R430" s="41"/>
    </row>
    <row r="431" spans="1:18" ht="23.5" thickBot="1">
      <c r="A431" s="146"/>
      <c r="B431" s="37" t="s">
        <v>1549</v>
      </c>
      <c r="C431" s="38">
        <v>46105</v>
      </c>
      <c r="D431" s="39">
        <v>0.47916666666666669</v>
      </c>
      <c r="E431" s="41"/>
      <c r="F431" s="37" t="s">
        <v>1550</v>
      </c>
      <c r="G431" s="37" t="s">
        <v>1551</v>
      </c>
      <c r="H431" s="38">
        <v>46105</v>
      </c>
      <c r="I431" s="39">
        <v>0.50972222222222219</v>
      </c>
      <c r="J431" s="41" t="s">
        <v>54</v>
      </c>
      <c r="K431" s="37" t="s">
        <v>75</v>
      </c>
      <c r="L431" s="40" t="s">
        <v>112</v>
      </c>
      <c r="M431" s="37">
        <v>150</v>
      </c>
      <c r="N431" s="37">
        <v>6</v>
      </c>
      <c r="O431" s="147">
        <v>8250000</v>
      </c>
      <c r="P431" s="38">
        <v>46106</v>
      </c>
      <c r="Q431" s="41"/>
      <c r="R431" s="41"/>
    </row>
    <row r="432" spans="1:18" ht="23.5" thickBot="1">
      <c r="A432" s="146"/>
      <c r="B432" s="37" t="s">
        <v>1549</v>
      </c>
      <c r="C432" s="38">
        <v>46105</v>
      </c>
      <c r="D432" s="39">
        <v>0.47916666666666669</v>
      </c>
      <c r="E432" s="41"/>
      <c r="F432" s="37" t="s">
        <v>1550</v>
      </c>
      <c r="G432" s="37" t="s">
        <v>1551</v>
      </c>
      <c r="H432" s="38">
        <v>46105</v>
      </c>
      <c r="I432" s="39">
        <v>0.50972222222222219</v>
      </c>
      <c r="J432" s="41" t="s">
        <v>54</v>
      </c>
      <c r="K432" s="37" t="s">
        <v>75</v>
      </c>
      <c r="L432" s="40" t="s">
        <v>111</v>
      </c>
      <c r="M432" s="37">
        <v>125</v>
      </c>
      <c r="N432" s="37">
        <v>5</v>
      </c>
      <c r="O432" s="147">
        <v>3187000</v>
      </c>
      <c r="P432" s="38">
        <v>46106</v>
      </c>
      <c r="Q432" s="41"/>
      <c r="R432" s="41"/>
    </row>
    <row r="433" spans="1:18" ht="23.5" thickBot="1">
      <c r="A433" s="146"/>
      <c r="B433" s="37" t="s">
        <v>1549</v>
      </c>
      <c r="C433" s="38">
        <v>46105</v>
      </c>
      <c r="D433" s="39">
        <v>0.47916666666666669</v>
      </c>
      <c r="E433" s="41"/>
      <c r="F433" s="37" t="s">
        <v>1550</v>
      </c>
      <c r="G433" s="37" t="s">
        <v>1551</v>
      </c>
      <c r="H433" s="38">
        <v>46105</v>
      </c>
      <c r="I433" s="39">
        <v>0.50972222222222219</v>
      </c>
      <c r="J433" s="41" t="s">
        <v>54</v>
      </c>
      <c r="K433" s="37" t="s">
        <v>75</v>
      </c>
      <c r="L433" s="40" t="s">
        <v>153</v>
      </c>
      <c r="M433" s="37">
        <v>100</v>
      </c>
      <c r="N433" s="37">
        <v>4</v>
      </c>
      <c r="O433" s="147">
        <v>6580000</v>
      </c>
      <c r="P433" s="38">
        <v>46106</v>
      </c>
      <c r="Q433" s="41"/>
      <c r="R433" s="41"/>
    </row>
    <row r="434" spans="1:18" ht="23.5" thickBot="1">
      <c r="A434" s="146"/>
      <c r="B434" s="37" t="s">
        <v>1549</v>
      </c>
      <c r="C434" s="38">
        <v>46105</v>
      </c>
      <c r="D434" s="39">
        <v>0.47916666666666669</v>
      </c>
      <c r="E434" s="41"/>
      <c r="F434" s="37" t="s">
        <v>1550</v>
      </c>
      <c r="G434" s="37" t="s">
        <v>1551</v>
      </c>
      <c r="H434" s="38">
        <v>46105</v>
      </c>
      <c r="I434" s="39">
        <v>0.50972222222222219</v>
      </c>
      <c r="J434" s="41" t="s">
        <v>54</v>
      </c>
      <c r="K434" s="37" t="s">
        <v>75</v>
      </c>
      <c r="L434" s="40" t="s">
        <v>194</v>
      </c>
      <c r="M434" s="37">
        <v>150</v>
      </c>
      <c r="N434" s="37">
        <v>6</v>
      </c>
      <c r="O434" s="147">
        <v>3075000</v>
      </c>
      <c r="P434" s="38">
        <v>46106</v>
      </c>
      <c r="Q434" s="41"/>
      <c r="R434" s="41"/>
    </row>
    <row r="435" spans="1:18" ht="23.5" thickBot="1">
      <c r="A435" s="146"/>
      <c r="B435" s="37" t="s">
        <v>1549</v>
      </c>
      <c r="C435" s="38">
        <v>46105</v>
      </c>
      <c r="D435" s="39">
        <v>0.47916666666666669</v>
      </c>
      <c r="E435" s="41"/>
      <c r="F435" s="37" t="s">
        <v>1552</v>
      </c>
      <c r="G435" s="37" t="s">
        <v>1553</v>
      </c>
      <c r="H435" s="38">
        <v>46105</v>
      </c>
      <c r="I435" s="39">
        <v>0.50972222222222219</v>
      </c>
      <c r="J435" s="41" t="s">
        <v>54</v>
      </c>
      <c r="K435" s="37" t="s">
        <v>75</v>
      </c>
      <c r="L435" s="40" t="s">
        <v>912</v>
      </c>
      <c r="M435" s="37">
        <v>11.25</v>
      </c>
      <c r="N435" s="37">
        <v>0</v>
      </c>
      <c r="O435" s="37">
        <v>0</v>
      </c>
      <c r="P435" s="38">
        <v>46106</v>
      </c>
      <c r="Q435" s="41"/>
      <c r="R435" s="41"/>
    </row>
    <row r="436" spans="1:18" ht="13.5" thickBot="1">
      <c r="A436" s="146"/>
      <c r="B436" s="41"/>
      <c r="C436" s="38">
        <v>46105</v>
      </c>
      <c r="D436" s="39">
        <v>0.45277777777777778</v>
      </c>
      <c r="E436" s="41"/>
      <c r="F436" s="37" t="s">
        <v>1554</v>
      </c>
      <c r="G436" s="37" t="s">
        <v>1555</v>
      </c>
      <c r="H436" s="38">
        <v>46105</v>
      </c>
      <c r="I436" s="39">
        <v>0.51944444444444449</v>
      </c>
      <c r="J436" s="41" t="s">
        <v>1556</v>
      </c>
      <c r="K436" s="37" t="s">
        <v>813</v>
      </c>
      <c r="L436" s="40" t="s">
        <v>116</v>
      </c>
      <c r="M436" s="37">
        <v>100</v>
      </c>
      <c r="N436" s="37">
        <v>4</v>
      </c>
      <c r="O436" s="147">
        <v>2100000</v>
      </c>
      <c r="P436" s="38">
        <v>46106</v>
      </c>
      <c r="Q436" s="41"/>
      <c r="R436" s="41"/>
    </row>
    <row r="437" spans="1:18" ht="13.5" thickBot="1">
      <c r="A437" s="146"/>
      <c r="B437" s="37">
        <v>4500149455</v>
      </c>
      <c r="C437" s="38">
        <v>46105</v>
      </c>
      <c r="D437" s="39">
        <v>0.46805555555555556</v>
      </c>
      <c r="E437" s="41"/>
      <c r="F437" s="37" t="s">
        <v>1557</v>
      </c>
      <c r="G437" s="37" t="s">
        <v>1558</v>
      </c>
      <c r="H437" s="38">
        <v>46105</v>
      </c>
      <c r="I437" s="39">
        <v>0.52152777777777781</v>
      </c>
      <c r="J437" s="41" t="s">
        <v>6</v>
      </c>
      <c r="K437" s="37" t="s">
        <v>85</v>
      </c>
      <c r="L437" s="40" t="s">
        <v>976</v>
      </c>
      <c r="M437" s="37">
        <v>3</v>
      </c>
      <c r="N437" s="37">
        <v>0</v>
      </c>
      <c r="O437" s="147">
        <v>7800000</v>
      </c>
      <c r="P437" s="38">
        <v>46107</v>
      </c>
      <c r="Q437" s="41"/>
      <c r="R437" s="41"/>
    </row>
    <row r="438" spans="1:18" ht="13.5" thickBot="1">
      <c r="A438" s="146"/>
      <c r="B438" s="37">
        <v>4500149455</v>
      </c>
      <c r="C438" s="38">
        <v>46105</v>
      </c>
      <c r="D438" s="39">
        <v>0.46805555555555556</v>
      </c>
      <c r="E438" s="41"/>
      <c r="F438" s="37" t="s">
        <v>1557</v>
      </c>
      <c r="G438" s="37" t="s">
        <v>1559</v>
      </c>
      <c r="H438" s="38">
        <v>46105</v>
      </c>
      <c r="I438" s="39">
        <v>0.52152777777777781</v>
      </c>
      <c r="J438" s="41" t="s">
        <v>6</v>
      </c>
      <c r="K438" s="37" t="s">
        <v>85</v>
      </c>
      <c r="L438" s="40" t="s">
        <v>976</v>
      </c>
      <c r="M438" s="37">
        <v>50</v>
      </c>
      <c r="N438" s="37">
        <v>2</v>
      </c>
      <c r="O438" s="147">
        <v>7800000</v>
      </c>
      <c r="P438" s="38">
        <v>46107</v>
      </c>
      <c r="Q438" s="41"/>
      <c r="R438" s="41"/>
    </row>
    <row r="439" spans="1:18" ht="13.5" thickBot="1">
      <c r="A439" s="146"/>
      <c r="B439" s="37">
        <v>4500149455</v>
      </c>
      <c r="C439" s="38">
        <v>46105</v>
      </c>
      <c r="D439" s="39">
        <v>0.46805555555555556</v>
      </c>
      <c r="E439" s="41"/>
      <c r="F439" s="37" t="s">
        <v>1560</v>
      </c>
      <c r="G439" s="37" t="s">
        <v>1559</v>
      </c>
      <c r="H439" s="38">
        <v>46105</v>
      </c>
      <c r="I439" s="39">
        <v>0.52152777777777781</v>
      </c>
      <c r="J439" s="41" t="s">
        <v>6</v>
      </c>
      <c r="K439" s="37" t="s">
        <v>85</v>
      </c>
      <c r="L439" s="40" t="s">
        <v>112</v>
      </c>
      <c r="M439" s="37">
        <v>75</v>
      </c>
      <c r="N439" s="37">
        <v>3</v>
      </c>
      <c r="O439" s="147">
        <v>4290000</v>
      </c>
      <c r="P439" s="38">
        <v>46107</v>
      </c>
      <c r="Q439" s="41"/>
      <c r="R439" s="41"/>
    </row>
    <row r="440" spans="1:18" ht="23.5" thickBot="1">
      <c r="A440" s="146"/>
      <c r="B440" s="37" t="s">
        <v>1561</v>
      </c>
      <c r="C440" s="38">
        <v>46105</v>
      </c>
      <c r="D440" s="39">
        <v>0.47152777777777777</v>
      </c>
      <c r="E440" s="41"/>
      <c r="F440" s="37" t="s">
        <v>1562</v>
      </c>
      <c r="G440" s="37" t="s">
        <v>1563</v>
      </c>
      <c r="H440" s="38">
        <v>46105</v>
      </c>
      <c r="I440" s="39">
        <v>0.53888888888888886</v>
      </c>
      <c r="J440" s="41" t="s">
        <v>323</v>
      </c>
      <c r="K440" s="37" t="s">
        <v>377</v>
      </c>
      <c r="L440" s="40" t="s">
        <v>188</v>
      </c>
      <c r="M440" s="37">
        <v>20</v>
      </c>
      <c r="N440" s="37">
        <v>1</v>
      </c>
      <c r="O440" s="147">
        <v>1160000</v>
      </c>
      <c r="P440" s="38">
        <v>46105</v>
      </c>
      <c r="Q440" s="41"/>
      <c r="R440" s="41"/>
    </row>
    <row r="441" spans="1:18" ht="23.5" thickBot="1">
      <c r="A441" s="146"/>
      <c r="B441" s="37" t="s">
        <v>1561</v>
      </c>
      <c r="C441" s="38">
        <v>46105</v>
      </c>
      <c r="D441" s="39">
        <v>0.47152777777777777</v>
      </c>
      <c r="E441" s="41"/>
      <c r="F441" s="37" t="s">
        <v>1564</v>
      </c>
      <c r="G441" s="37" t="s">
        <v>1565</v>
      </c>
      <c r="H441" s="38">
        <v>46105</v>
      </c>
      <c r="I441" s="39">
        <v>0.53888888888888886</v>
      </c>
      <c r="J441" s="41" t="s">
        <v>323</v>
      </c>
      <c r="K441" s="37" t="s">
        <v>377</v>
      </c>
      <c r="L441" s="40" t="s">
        <v>912</v>
      </c>
      <c r="M441" s="37">
        <v>1.5</v>
      </c>
      <c r="N441" s="37">
        <v>0</v>
      </c>
      <c r="O441" s="37">
        <v>0</v>
      </c>
      <c r="P441" s="38">
        <v>46105</v>
      </c>
      <c r="Q441" s="41"/>
      <c r="R441" s="41"/>
    </row>
    <row r="442" spans="1:18" ht="23.5" thickBot="1">
      <c r="A442" s="146"/>
      <c r="B442" s="37">
        <v>4200010707</v>
      </c>
      <c r="C442" s="38">
        <v>46105</v>
      </c>
      <c r="D442" s="39">
        <v>0.47916666666666669</v>
      </c>
      <c r="E442" s="41"/>
      <c r="F442" s="37" t="s">
        <v>1566</v>
      </c>
      <c r="G442" s="37" t="s">
        <v>1567</v>
      </c>
      <c r="H442" s="38">
        <v>46105</v>
      </c>
      <c r="I442" s="39">
        <v>0.54583333333333328</v>
      </c>
      <c r="J442" s="41" t="s">
        <v>785</v>
      </c>
      <c r="K442" s="37" t="s">
        <v>905</v>
      </c>
      <c r="L442" s="40" t="s">
        <v>764</v>
      </c>
      <c r="M442" s="37">
        <v>90</v>
      </c>
      <c r="N442" s="37">
        <v>4</v>
      </c>
      <c r="O442" s="147">
        <v>5850000</v>
      </c>
      <c r="P442" s="38">
        <v>46105</v>
      </c>
      <c r="Q442" s="41"/>
      <c r="R442" s="41"/>
    </row>
    <row r="443" spans="1:18" ht="23.5" thickBot="1">
      <c r="A443" s="214" t="s">
        <v>725</v>
      </c>
      <c r="B443" s="66">
        <v>4200010707</v>
      </c>
      <c r="C443" s="64">
        <v>46105</v>
      </c>
      <c r="D443" s="65">
        <v>0.47916666666666669</v>
      </c>
      <c r="E443" s="63"/>
      <c r="F443" s="66" t="s">
        <v>1568</v>
      </c>
      <c r="G443" s="66" t="s">
        <v>1569</v>
      </c>
      <c r="H443" s="64">
        <v>46105</v>
      </c>
      <c r="I443" s="65">
        <v>0.54583333333333328</v>
      </c>
      <c r="J443" s="63" t="s">
        <v>785</v>
      </c>
      <c r="K443" s="66" t="s">
        <v>905</v>
      </c>
      <c r="L443" s="70" t="s">
        <v>764</v>
      </c>
      <c r="M443" s="66">
        <v>43</v>
      </c>
      <c r="N443" s="66">
        <v>2</v>
      </c>
      <c r="O443" s="215">
        <v>2795000</v>
      </c>
      <c r="P443" s="64">
        <v>46107</v>
      </c>
      <c r="Q443" s="63"/>
      <c r="R443" s="63"/>
    </row>
    <row r="444" spans="1:18" ht="13.5" thickBot="1">
      <c r="A444" s="146"/>
      <c r="B444" s="41"/>
      <c r="C444" s="38">
        <v>46105</v>
      </c>
      <c r="D444" s="39">
        <v>0.51041666666666663</v>
      </c>
      <c r="E444" s="41"/>
      <c r="F444" s="37" t="s">
        <v>1570</v>
      </c>
      <c r="G444" s="37" t="s">
        <v>1571</v>
      </c>
      <c r="H444" s="38">
        <v>46105</v>
      </c>
      <c r="I444" s="39">
        <v>0.55000000000000004</v>
      </c>
      <c r="J444" s="41" t="s">
        <v>589</v>
      </c>
      <c r="K444" s="37" t="s">
        <v>366</v>
      </c>
      <c r="L444" s="40" t="s">
        <v>763</v>
      </c>
      <c r="M444" s="37">
        <v>10</v>
      </c>
      <c r="N444" s="37">
        <v>0</v>
      </c>
      <c r="O444" s="147">
        <v>1500000</v>
      </c>
      <c r="P444" s="38">
        <v>46107</v>
      </c>
      <c r="Q444" s="41"/>
      <c r="R444" s="41"/>
    </row>
    <row r="445" spans="1:18" ht="13.5" thickBot="1">
      <c r="A445" s="146"/>
      <c r="B445" s="41"/>
      <c r="C445" s="38">
        <v>46105</v>
      </c>
      <c r="D445" s="39">
        <v>0.51041666666666663</v>
      </c>
      <c r="E445" s="41"/>
      <c r="F445" s="37" t="s">
        <v>1572</v>
      </c>
      <c r="G445" s="37" t="s">
        <v>1573</v>
      </c>
      <c r="H445" s="38">
        <v>46105</v>
      </c>
      <c r="I445" s="39">
        <v>0.55000000000000004</v>
      </c>
      <c r="J445" s="41" t="s">
        <v>589</v>
      </c>
      <c r="K445" s="37" t="s">
        <v>366</v>
      </c>
      <c r="L445" s="40" t="s">
        <v>912</v>
      </c>
      <c r="M445" s="37">
        <v>0.75</v>
      </c>
      <c r="N445" s="37">
        <v>0</v>
      </c>
      <c r="O445" s="37">
        <v>0</v>
      </c>
      <c r="P445" s="38">
        <v>46107</v>
      </c>
      <c r="Q445" s="41"/>
      <c r="R445" s="41"/>
    </row>
    <row r="446" spans="1:18" ht="23.5" thickBot="1">
      <c r="A446" s="146"/>
      <c r="B446" s="37" t="s">
        <v>1574</v>
      </c>
      <c r="C446" s="38">
        <v>46105</v>
      </c>
      <c r="D446" s="39">
        <v>0.52430555555555558</v>
      </c>
      <c r="E446" s="41"/>
      <c r="F446" s="37" t="s">
        <v>1575</v>
      </c>
      <c r="G446" s="37" t="s">
        <v>1576</v>
      </c>
      <c r="H446" s="38">
        <v>46105</v>
      </c>
      <c r="I446" s="39">
        <v>0.55208333333333337</v>
      </c>
      <c r="J446" s="41" t="s">
        <v>323</v>
      </c>
      <c r="K446" s="37" t="s">
        <v>880</v>
      </c>
      <c r="L446" s="40" t="s">
        <v>676</v>
      </c>
      <c r="M446" s="37">
        <v>100</v>
      </c>
      <c r="N446" s="37">
        <v>4</v>
      </c>
      <c r="O446" s="147">
        <v>4050000</v>
      </c>
      <c r="P446" s="38">
        <v>46107</v>
      </c>
      <c r="Q446" s="41"/>
      <c r="R446" s="41"/>
    </row>
    <row r="447" spans="1:18" ht="13.5" thickBot="1">
      <c r="A447" s="146"/>
      <c r="B447" s="37">
        <v>13780</v>
      </c>
      <c r="C447" s="38">
        <v>46105</v>
      </c>
      <c r="D447" s="39">
        <v>0.55486111111111114</v>
      </c>
      <c r="E447" s="41"/>
      <c r="F447" s="37" t="s">
        <v>1577</v>
      </c>
      <c r="G447" s="322" t="s">
        <v>1578</v>
      </c>
      <c r="H447" s="38">
        <v>46105</v>
      </c>
      <c r="I447" s="39">
        <v>0.57013888888888886</v>
      </c>
      <c r="J447" s="41" t="s">
        <v>777</v>
      </c>
      <c r="K447" s="37" t="s">
        <v>821</v>
      </c>
      <c r="L447" s="40" t="s">
        <v>773</v>
      </c>
      <c r="M447" s="37">
        <v>600</v>
      </c>
      <c r="N447" s="37">
        <v>24</v>
      </c>
      <c r="O447" s="147">
        <v>9600000</v>
      </c>
      <c r="P447" s="38">
        <v>46107</v>
      </c>
      <c r="Q447" s="41"/>
      <c r="R447" s="41"/>
    </row>
    <row r="448" spans="1:18" ht="23.5" thickBot="1">
      <c r="A448" s="146"/>
      <c r="B448" s="37" t="s">
        <v>1579</v>
      </c>
      <c r="C448" s="38">
        <v>46105</v>
      </c>
      <c r="D448" s="39">
        <v>0.52430555555555558</v>
      </c>
      <c r="E448" s="41"/>
      <c r="F448" s="37" t="s">
        <v>1580</v>
      </c>
      <c r="G448" s="37" t="s">
        <v>1581</v>
      </c>
      <c r="H448" s="38">
        <v>46105</v>
      </c>
      <c r="I448" s="39">
        <v>0.64097222222222228</v>
      </c>
      <c r="J448" s="41" t="s">
        <v>323</v>
      </c>
      <c r="K448" s="37" t="s">
        <v>225</v>
      </c>
      <c r="L448" s="40" t="s">
        <v>221</v>
      </c>
      <c r="M448" s="37">
        <v>9</v>
      </c>
      <c r="N448" s="37">
        <v>0</v>
      </c>
      <c r="O448" s="147">
        <v>2430000</v>
      </c>
      <c r="P448" s="38">
        <v>46107</v>
      </c>
      <c r="Q448" s="41"/>
      <c r="R448" s="41"/>
    </row>
    <row r="449" spans="1:18" ht="13.5" thickBot="1">
      <c r="A449" s="146"/>
      <c r="B449" s="37">
        <v>4500087756</v>
      </c>
      <c r="C449" s="38">
        <v>46105</v>
      </c>
      <c r="D449" s="39">
        <v>0.71597222222222223</v>
      </c>
      <c r="E449" s="41"/>
      <c r="F449" s="37" t="s">
        <v>1582</v>
      </c>
      <c r="G449" s="37" t="s">
        <v>1583</v>
      </c>
      <c r="H449" s="38">
        <v>415001</v>
      </c>
      <c r="I449" s="39">
        <v>0.30208333333333331</v>
      </c>
      <c r="J449" s="41" t="s">
        <v>759</v>
      </c>
      <c r="K449" s="37" t="s">
        <v>83</v>
      </c>
      <c r="L449" s="40" t="s">
        <v>976</v>
      </c>
      <c r="M449" s="37">
        <v>353</v>
      </c>
      <c r="N449" s="37">
        <v>14</v>
      </c>
      <c r="O449" s="147">
        <v>47831500</v>
      </c>
      <c r="P449" s="38">
        <v>46107</v>
      </c>
      <c r="Q449" s="41"/>
      <c r="R449" s="41"/>
    </row>
    <row r="450" spans="1:18" ht="13.5" thickBot="1">
      <c r="A450" s="146"/>
      <c r="B450" s="37">
        <v>4500087756</v>
      </c>
      <c r="C450" s="38">
        <v>46105</v>
      </c>
      <c r="D450" s="39">
        <v>0.71597222222222223</v>
      </c>
      <c r="E450" s="41"/>
      <c r="F450" s="37" t="s">
        <v>1584</v>
      </c>
      <c r="G450" s="37" t="s">
        <v>1585</v>
      </c>
      <c r="H450" s="38">
        <v>415001</v>
      </c>
      <c r="I450" s="39">
        <v>0.30208333333333331</v>
      </c>
      <c r="J450" s="41" t="s">
        <v>759</v>
      </c>
      <c r="K450" s="37" t="s">
        <v>83</v>
      </c>
      <c r="L450" s="40" t="s">
        <v>976</v>
      </c>
      <c r="M450" s="37">
        <v>47</v>
      </c>
      <c r="N450" s="37">
        <v>2</v>
      </c>
      <c r="O450" s="147">
        <v>6368500</v>
      </c>
      <c r="P450" s="38">
        <v>46107</v>
      </c>
      <c r="Q450" s="41"/>
      <c r="R450" s="41"/>
    </row>
    <row r="451" spans="1:18" ht="13.5" thickBot="1">
      <c r="A451" s="146"/>
      <c r="B451" s="37">
        <v>4500087756</v>
      </c>
      <c r="C451" s="38">
        <v>46105</v>
      </c>
      <c r="D451" s="39">
        <v>0.71597222222222223</v>
      </c>
      <c r="E451" s="41"/>
      <c r="F451" s="37" t="s">
        <v>1584</v>
      </c>
      <c r="G451" s="37" t="s">
        <v>1585</v>
      </c>
      <c r="H451" s="38">
        <v>415001</v>
      </c>
      <c r="I451" s="39">
        <v>0.30208333333333331</v>
      </c>
      <c r="J451" s="41" t="s">
        <v>759</v>
      </c>
      <c r="K451" s="37" t="s">
        <v>83</v>
      </c>
      <c r="L451" s="40" t="s">
        <v>112</v>
      </c>
      <c r="M451" s="37">
        <v>1600</v>
      </c>
      <c r="N451" s="37">
        <v>64</v>
      </c>
      <c r="O451" s="147">
        <v>84000000</v>
      </c>
      <c r="P451" s="38">
        <v>46107</v>
      </c>
      <c r="Q451" s="41"/>
      <c r="R451" s="41"/>
    </row>
    <row r="452" spans="1:18" ht="13.5" thickBot="1">
      <c r="A452" s="146"/>
      <c r="B452" s="37">
        <v>4500087756</v>
      </c>
      <c r="C452" s="38">
        <v>46105</v>
      </c>
      <c r="D452" s="39">
        <v>0.71597222222222223</v>
      </c>
      <c r="E452" s="41"/>
      <c r="F452" s="37" t="s">
        <v>1584</v>
      </c>
      <c r="G452" s="37" t="s">
        <v>1585</v>
      </c>
      <c r="H452" s="38">
        <v>415001</v>
      </c>
      <c r="I452" s="39">
        <v>0.30208333333333331</v>
      </c>
      <c r="J452" s="41" t="s">
        <v>759</v>
      </c>
      <c r="K452" s="37" t="s">
        <v>83</v>
      </c>
      <c r="L452" s="40" t="s">
        <v>151</v>
      </c>
      <c r="M452" s="37">
        <v>1000</v>
      </c>
      <c r="N452" s="37">
        <v>40</v>
      </c>
      <c r="O452" s="147">
        <v>61700000</v>
      </c>
      <c r="P452" s="38">
        <v>46107</v>
      </c>
      <c r="Q452" s="41"/>
      <c r="R452" s="41"/>
    </row>
    <row r="453" spans="1:18" ht="13.5" thickBot="1">
      <c r="A453" s="146"/>
      <c r="B453" s="37">
        <v>4500087756</v>
      </c>
      <c r="C453" s="38">
        <v>46105</v>
      </c>
      <c r="D453" s="39">
        <v>0.71597222222222223</v>
      </c>
      <c r="E453" s="41"/>
      <c r="F453" s="37" t="s">
        <v>1584</v>
      </c>
      <c r="G453" s="37" t="s">
        <v>1585</v>
      </c>
      <c r="H453" s="38">
        <v>415001</v>
      </c>
      <c r="I453" s="39">
        <v>0.30208333333333331</v>
      </c>
      <c r="J453" s="41" t="s">
        <v>759</v>
      </c>
      <c r="K453" s="37" t="s">
        <v>83</v>
      </c>
      <c r="L453" s="40" t="s">
        <v>221</v>
      </c>
      <c r="M453" s="37">
        <v>60</v>
      </c>
      <c r="N453" s="37">
        <v>2</v>
      </c>
      <c r="O453" s="147">
        <v>10500000</v>
      </c>
      <c r="P453" s="38">
        <v>46107</v>
      </c>
      <c r="Q453" s="41"/>
      <c r="R453" s="41"/>
    </row>
    <row r="454" spans="1:18" ht="13.5" thickBot="1">
      <c r="A454" s="146"/>
      <c r="B454" s="37">
        <v>4500087756</v>
      </c>
      <c r="C454" s="38">
        <v>46105</v>
      </c>
      <c r="D454" s="39">
        <v>0.71597222222222223</v>
      </c>
      <c r="E454" s="41"/>
      <c r="F454" s="37" t="s">
        <v>1584</v>
      </c>
      <c r="G454" s="37" t="s">
        <v>1585</v>
      </c>
      <c r="H454" s="38">
        <v>415001</v>
      </c>
      <c r="I454" s="39">
        <v>0.30208333333333331</v>
      </c>
      <c r="J454" s="41" t="s">
        <v>759</v>
      </c>
      <c r="K454" s="37" t="s">
        <v>83</v>
      </c>
      <c r="L454" s="40" t="s">
        <v>884</v>
      </c>
      <c r="M454" s="37">
        <v>500</v>
      </c>
      <c r="N454" s="37">
        <v>20</v>
      </c>
      <c r="O454" s="147">
        <v>9837500</v>
      </c>
      <c r="P454" s="38">
        <v>46107</v>
      </c>
      <c r="Q454" s="41"/>
      <c r="R454" s="41"/>
    </row>
    <row r="455" spans="1:18" ht="13.5" thickBot="1">
      <c r="A455" s="146"/>
      <c r="B455" s="37">
        <v>4500087756</v>
      </c>
      <c r="C455" s="38">
        <v>46105</v>
      </c>
      <c r="D455" s="39">
        <v>0.71597222222222223</v>
      </c>
      <c r="E455" s="41"/>
      <c r="F455" s="37" t="s">
        <v>1584</v>
      </c>
      <c r="G455" s="37" t="s">
        <v>1585</v>
      </c>
      <c r="H455" s="38">
        <v>415001</v>
      </c>
      <c r="I455" s="39">
        <v>0.30208333333333331</v>
      </c>
      <c r="J455" s="41" t="s">
        <v>759</v>
      </c>
      <c r="K455" s="37" t="s">
        <v>83</v>
      </c>
      <c r="L455" s="40" t="s">
        <v>779</v>
      </c>
      <c r="M455" s="37">
        <v>200</v>
      </c>
      <c r="N455" s="37">
        <v>8</v>
      </c>
      <c r="O455" s="147">
        <v>89760000</v>
      </c>
      <c r="P455" s="38">
        <v>46107</v>
      </c>
      <c r="Q455" s="41"/>
      <c r="R455" s="41"/>
    </row>
    <row r="456" spans="1:18" ht="13.5" thickBot="1">
      <c r="A456" s="146"/>
      <c r="B456" s="37">
        <v>4500087756</v>
      </c>
      <c r="C456" s="38">
        <v>46105</v>
      </c>
      <c r="D456" s="39">
        <v>0.71597222222222223</v>
      </c>
      <c r="E456" s="41"/>
      <c r="F456" s="37" t="s">
        <v>1586</v>
      </c>
      <c r="G456" s="37" t="s">
        <v>1587</v>
      </c>
      <c r="H456" s="38">
        <v>415001</v>
      </c>
      <c r="I456" s="39">
        <v>0.30555555555555558</v>
      </c>
      <c r="J456" s="41" t="s">
        <v>759</v>
      </c>
      <c r="K456" s="37" t="s">
        <v>83</v>
      </c>
      <c r="L456" s="40" t="s">
        <v>990</v>
      </c>
      <c r="M456" s="37">
        <v>30</v>
      </c>
      <c r="N456" s="37">
        <v>1</v>
      </c>
      <c r="O456" s="37">
        <v>0</v>
      </c>
      <c r="P456" s="38">
        <v>46107</v>
      </c>
      <c r="Q456" s="41"/>
      <c r="R456" s="41"/>
    </row>
    <row r="457" spans="1:18" ht="13.5" thickBot="1">
      <c r="A457" s="201" t="s">
        <v>117</v>
      </c>
      <c r="B457" s="54">
        <v>4500087756</v>
      </c>
      <c r="C457" s="52">
        <v>46105</v>
      </c>
      <c r="D457" s="53">
        <v>0.71597222222222223</v>
      </c>
      <c r="E457" s="148"/>
      <c r="F457" s="54" t="s">
        <v>1586</v>
      </c>
      <c r="G457" s="148"/>
      <c r="H457" s="52">
        <v>415001</v>
      </c>
      <c r="I457" s="53">
        <v>0.30555555555555558</v>
      </c>
      <c r="J457" s="148" t="s">
        <v>759</v>
      </c>
      <c r="K457" s="54" t="s">
        <v>83</v>
      </c>
      <c r="L457" s="56" t="s">
        <v>990</v>
      </c>
      <c r="M457" s="54">
        <v>90</v>
      </c>
      <c r="N457" s="54">
        <v>4</v>
      </c>
      <c r="O457" s="54">
        <v>0</v>
      </c>
      <c r="P457" s="52">
        <v>46107</v>
      </c>
      <c r="Q457" s="148"/>
      <c r="R457" s="148"/>
    </row>
    <row r="458" spans="1:18" ht="13.5" thickBot="1">
      <c r="A458" s="146"/>
      <c r="B458" s="37">
        <v>4500087756</v>
      </c>
      <c r="C458" s="38">
        <v>46105</v>
      </c>
      <c r="D458" s="39">
        <v>0.71597222222222223</v>
      </c>
      <c r="E458" s="41"/>
      <c r="F458" s="37" t="s">
        <v>1588</v>
      </c>
      <c r="G458" s="37" t="s">
        <v>1589</v>
      </c>
      <c r="H458" s="38">
        <v>415001</v>
      </c>
      <c r="I458" s="39">
        <v>0.30902777777777779</v>
      </c>
      <c r="J458" s="41" t="s">
        <v>759</v>
      </c>
      <c r="K458" s="37" t="s">
        <v>83</v>
      </c>
      <c r="L458" s="40" t="s">
        <v>111</v>
      </c>
      <c r="M458" s="37">
        <v>5000</v>
      </c>
      <c r="N458" s="37">
        <v>200</v>
      </c>
      <c r="O458" s="147">
        <v>123750000</v>
      </c>
      <c r="P458" s="38">
        <v>46107</v>
      </c>
      <c r="Q458" s="41"/>
      <c r="R458" s="41"/>
    </row>
    <row r="459" spans="1:18" ht="13.5" thickBot="1">
      <c r="A459" s="146"/>
      <c r="B459" s="37">
        <v>4500087756</v>
      </c>
      <c r="C459" s="38">
        <v>46105</v>
      </c>
      <c r="D459" s="39">
        <v>0.71597222222222223</v>
      </c>
      <c r="E459" s="41"/>
      <c r="F459" s="37" t="s">
        <v>1590</v>
      </c>
      <c r="G459" s="37" t="s">
        <v>1591</v>
      </c>
      <c r="H459" s="38">
        <v>415001</v>
      </c>
      <c r="I459" s="39">
        <v>0.31041666666666667</v>
      </c>
      <c r="J459" s="41" t="s">
        <v>759</v>
      </c>
      <c r="K459" s="37" t="s">
        <v>83</v>
      </c>
      <c r="L459" s="40" t="s">
        <v>676</v>
      </c>
      <c r="M459" s="37">
        <v>3000</v>
      </c>
      <c r="N459" s="37">
        <v>120</v>
      </c>
      <c r="O459" s="147">
        <v>103500000</v>
      </c>
      <c r="P459" s="38">
        <v>46107</v>
      </c>
      <c r="Q459" s="41"/>
      <c r="R459" s="41"/>
    </row>
    <row r="460" spans="1:18" ht="13.5" thickBot="1">
      <c r="A460" s="146"/>
      <c r="B460" s="37">
        <v>1388865</v>
      </c>
      <c r="C460" s="38">
        <v>46105</v>
      </c>
      <c r="D460" s="39">
        <v>0.61527777777777781</v>
      </c>
      <c r="E460" s="41"/>
      <c r="F460" s="37" t="s">
        <v>1592</v>
      </c>
      <c r="G460" s="37" t="s">
        <v>1593</v>
      </c>
      <c r="H460" s="38">
        <v>415001</v>
      </c>
      <c r="I460" s="39">
        <v>0.31736111111111109</v>
      </c>
      <c r="J460" s="41" t="s">
        <v>38</v>
      </c>
      <c r="K460" s="37" t="s">
        <v>141</v>
      </c>
      <c r="L460" s="40" t="s">
        <v>762</v>
      </c>
      <c r="M460" s="37">
        <v>125</v>
      </c>
      <c r="N460" s="37">
        <v>5</v>
      </c>
      <c r="O460" s="147">
        <v>6482500</v>
      </c>
      <c r="P460" s="38">
        <v>46108</v>
      </c>
      <c r="Q460" s="41"/>
      <c r="R460" s="41"/>
    </row>
    <row r="461" spans="1:18" ht="13.5" thickBot="1">
      <c r="A461" s="146"/>
      <c r="B461" s="41"/>
      <c r="C461" s="38">
        <v>46105</v>
      </c>
      <c r="D461" s="39">
        <v>0.6743055555555556</v>
      </c>
      <c r="E461" s="41"/>
      <c r="F461" s="37" t="s">
        <v>1594</v>
      </c>
      <c r="G461" s="37" t="s">
        <v>1595</v>
      </c>
      <c r="H461" s="38">
        <v>415001</v>
      </c>
      <c r="I461" s="39">
        <v>0.32847222222222222</v>
      </c>
      <c r="J461" s="41" t="s">
        <v>390</v>
      </c>
      <c r="K461" s="37" t="s">
        <v>141</v>
      </c>
      <c r="L461" s="40" t="s">
        <v>780</v>
      </c>
      <c r="M461" s="37">
        <v>20</v>
      </c>
      <c r="N461" s="37">
        <v>1</v>
      </c>
      <c r="O461" s="147">
        <v>800000</v>
      </c>
      <c r="P461" s="38">
        <v>46107</v>
      </c>
      <c r="Q461" s="41"/>
      <c r="R461" s="41"/>
    </row>
    <row r="462" spans="1:18" ht="13.5" thickBot="1">
      <c r="A462" s="146"/>
      <c r="B462" s="41"/>
      <c r="C462" s="38">
        <v>46105</v>
      </c>
      <c r="D462" s="39">
        <v>0.72222222222222221</v>
      </c>
      <c r="E462" s="41"/>
      <c r="F462" s="37" t="s">
        <v>1596</v>
      </c>
      <c r="G462" s="37" t="s">
        <v>1597</v>
      </c>
      <c r="H462" s="38">
        <v>415001</v>
      </c>
      <c r="I462" s="39">
        <v>0.33888888888888891</v>
      </c>
      <c r="J462" s="41" t="s">
        <v>769</v>
      </c>
      <c r="K462" s="37" t="s">
        <v>366</v>
      </c>
      <c r="L462" s="40" t="s">
        <v>112</v>
      </c>
      <c r="M462" s="37">
        <v>30</v>
      </c>
      <c r="N462" s="37">
        <v>1</v>
      </c>
      <c r="O462" s="147">
        <v>1686000</v>
      </c>
      <c r="P462" s="38">
        <v>46106</v>
      </c>
      <c r="Q462" s="41"/>
      <c r="R462" s="41"/>
    </row>
    <row r="463" spans="1:18" ht="13.5" thickBot="1">
      <c r="A463" s="216" t="s">
        <v>789</v>
      </c>
      <c r="B463" s="217">
        <v>1389071</v>
      </c>
      <c r="C463" s="218">
        <v>46105</v>
      </c>
      <c r="D463" s="219">
        <v>0.72291666666666665</v>
      </c>
      <c r="E463" s="220"/>
      <c r="F463" s="217" t="s">
        <v>1598</v>
      </c>
      <c r="G463" s="217" t="s">
        <v>1599</v>
      </c>
      <c r="H463" s="218">
        <v>415001</v>
      </c>
      <c r="I463" s="219">
        <v>0.35416666666666669</v>
      </c>
      <c r="J463" s="220" t="s">
        <v>30</v>
      </c>
      <c r="K463" s="217" t="s">
        <v>79</v>
      </c>
      <c r="L463" s="221" t="s">
        <v>768</v>
      </c>
      <c r="M463" s="217">
        <v>75</v>
      </c>
      <c r="N463" s="217">
        <v>3</v>
      </c>
      <c r="O463" s="222">
        <v>13515000</v>
      </c>
      <c r="P463" s="218">
        <v>46107</v>
      </c>
      <c r="Q463" s="220"/>
      <c r="R463" s="220"/>
    </row>
    <row r="464" spans="1:18" ht="38" thickBot="1">
      <c r="A464" s="146"/>
      <c r="B464" s="37" t="s">
        <v>1600</v>
      </c>
      <c r="C464" s="38">
        <v>46105</v>
      </c>
      <c r="D464" s="39">
        <v>0.32291666666666669</v>
      </c>
      <c r="E464" s="41"/>
      <c r="F464" s="37" t="s">
        <v>1601</v>
      </c>
      <c r="G464" s="37" t="s">
        <v>1602</v>
      </c>
      <c r="H464" s="38">
        <v>415001</v>
      </c>
      <c r="I464" s="39">
        <v>0.35625000000000001</v>
      </c>
      <c r="J464" s="41" t="s">
        <v>386</v>
      </c>
      <c r="K464" s="37" t="s">
        <v>76</v>
      </c>
      <c r="L464" s="40" t="s">
        <v>194</v>
      </c>
      <c r="M464" s="37">
        <v>1500</v>
      </c>
      <c r="N464" s="37">
        <v>60</v>
      </c>
      <c r="O464" s="147">
        <v>29250000</v>
      </c>
      <c r="P464" s="38">
        <v>46108</v>
      </c>
      <c r="Q464" s="41"/>
      <c r="R464" s="41"/>
    </row>
    <row r="465" spans="1:18" ht="46.5" thickBot="1">
      <c r="A465" s="146"/>
      <c r="B465" s="37" t="s">
        <v>1603</v>
      </c>
      <c r="C465" s="38">
        <v>415001</v>
      </c>
      <c r="D465" s="39">
        <v>0.39097222222222222</v>
      </c>
      <c r="E465" s="41"/>
      <c r="F465" s="37" t="s">
        <v>1604</v>
      </c>
      <c r="G465" s="37" t="s">
        <v>1605</v>
      </c>
      <c r="H465" s="38">
        <v>415001</v>
      </c>
      <c r="I465" s="39">
        <v>0.40625</v>
      </c>
      <c r="J465" s="41" t="s">
        <v>759</v>
      </c>
      <c r="K465" s="37" t="s">
        <v>83</v>
      </c>
      <c r="L465" s="40" t="s">
        <v>116</v>
      </c>
      <c r="M465" s="37">
        <v>2000</v>
      </c>
      <c r="N465" s="37">
        <v>80</v>
      </c>
      <c r="O465" s="147">
        <v>38500000</v>
      </c>
      <c r="P465" s="38">
        <v>46106</v>
      </c>
      <c r="Q465" s="41"/>
      <c r="R465" s="41"/>
    </row>
    <row r="466" spans="1:18" ht="46.5" thickBot="1">
      <c r="A466" s="146"/>
      <c r="B466" s="37" t="s">
        <v>1603</v>
      </c>
      <c r="C466" s="38">
        <v>415001</v>
      </c>
      <c r="D466" s="39">
        <v>0.39097222222222222</v>
      </c>
      <c r="E466" s="41"/>
      <c r="F466" s="37" t="s">
        <v>1604</v>
      </c>
      <c r="G466" s="37" t="s">
        <v>1605</v>
      </c>
      <c r="H466" s="38">
        <v>415001</v>
      </c>
      <c r="I466" s="39">
        <v>0.40625</v>
      </c>
      <c r="J466" s="41" t="s">
        <v>759</v>
      </c>
      <c r="K466" s="37" t="s">
        <v>83</v>
      </c>
      <c r="L466" s="40" t="s">
        <v>220</v>
      </c>
      <c r="M466" s="37">
        <v>700</v>
      </c>
      <c r="N466" s="37">
        <v>28</v>
      </c>
      <c r="O466" s="147">
        <v>21140000</v>
      </c>
      <c r="P466" s="38">
        <v>46106</v>
      </c>
      <c r="Q466" s="41"/>
      <c r="R466" s="41"/>
    </row>
    <row r="467" spans="1:18" ht="46.5" thickBot="1">
      <c r="A467" s="146"/>
      <c r="B467" s="37" t="s">
        <v>1603</v>
      </c>
      <c r="C467" s="38">
        <v>415001</v>
      </c>
      <c r="D467" s="39">
        <v>0.39097222222222222</v>
      </c>
      <c r="E467" s="41"/>
      <c r="F467" s="37" t="s">
        <v>1604</v>
      </c>
      <c r="G467" s="37" t="s">
        <v>1605</v>
      </c>
      <c r="H467" s="38">
        <v>415001</v>
      </c>
      <c r="I467" s="39">
        <v>0.40625</v>
      </c>
      <c r="J467" s="41" t="s">
        <v>759</v>
      </c>
      <c r="K467" s="37" t="s">
        <v>83</v>
      </c>
      <c r="L467" s="40" t="s">
        <v>194</v>
      </c>
      <c r="M467" s="37">
        <v>1000</v>
      </c>
      <c r="N467" s="37">
        <v>40</v>
      </c>
      <c r="O467" s="147">
        <v>17600000</v>
      </c>
      <c r="P467" s="38">
        <v>46106</v>
      </c>
      <c r="Q467" s="41"/>
      <c r="R467" s="41"/>
    </row>
    <row r="468" spans="1:18" ht="46.5" thickBot="1">
      <c r="A468" s="146"/>
      <c r="B468" s="37" t="s">
        <v>1603</v>
      </c>
      <c r="C468" s="38">
        <v>415001</v>
      </c>
      <c r="D468" s="39">
        <v>0.39097222222222222</v>
      </c>
      <c r="E468" s="41"/>
      <c r="F468" s="37" t="s">
        <v>1606</v>
      </c>
      <c r="G468" s="37" t="s">
        <v>1607</v>
      </c>
      <c r="H468" s="38">
        <v>415001</v>
      </c>
      <c r="I468" s="39">
        <v>0.40625</v>
      </c>
      <c r="J468" s="41" t="s">
        <v>385</v>
      </c>
      <c r="K468" s="37" t="s">
        <v>83</v>
      </c>
      <c r="L468" s="40" t="s">
        <v>115</v>
      </c>
      <c r="M468" s="37">
        <v>2000</v>
      </c>
      <c r="N468" s="37">
        <v>80</v>
      </c>
      <c r="O468" s="41"/>
      <c r="P468" s="38">
        <v>46107</v>
      </c>
      <c r="Q468" s="41"/>
      <c r="R468" s="41"/>
    </row>
    <row r="469" spans="1:18" ht="13.5" thickBot="1">
      <c r="A469" s="146"/>
      <c r="B469" s="37">
        <v>4500087769</v>
      </c>
      <c r="C469" s="38">
        <v>415001</v>
      </c>
      <c r="D469" s="39">
        <v>0.38263888888888886</v>
      </c>
      <c r="E469" s="41"/>
      <c r="F469" s="37" t="s">
        <v>1608</v>
      </c>
      <c r="G469" s="37" t="s">
        <v>1609</v>
      </c>
      <c r="H469" s="38">
        <v>415001</v>
      </c>
      <c r="I469" s="39">
        <v>0.41319444444444442</v>
      </c>
      <c r="J469" s="41" t="s">
        <v>759</v>
      </c>
      <c r="K469" s="37" t="s">
        <v>375</v>
      </c>
      <c r="L469" s="40" t="s">
        <v>762</v>
      </c>
      <c r="M469" s="37">
        <v>50</v>
      </c>
      <c r="N469" s="37">
        <v>2</v>
      </c>
      <c r="O469" s="41"/>
      <c r="P469" s="38">
        <v>46107</v>
      </c>
      <c r="Q469" s="41"/>
      <c r="R469" s="41"/>
    </row>
    <row r="470" spans="1:18" ht="13.5" thickBot="1">
      <c r="A470" s="146"/>
      <c r="B470" s="37">
        <v>4500087769</v>
      </c>
      <c r="C470" s="38">
        <v>415001</v>
      </c>
      <c r="D470" s="39">
        <v>0.38263888888888886</v>
      </c>
      <c r="E470" s="41"/>
      <c r="F470" s="37" t="s">
        <v>1608</v>
      </c>
      <c r="G470" s="37" t="s">
        <v>1609</v>
      </c>
      <c r="H470" s="38">
        <v>415001</v>
      </c>
      <c r="I470" s="39">
        <v>0.41319444444444442</v>
      </c>
      <c r="J470" s="41" t="s">
        <v>759</v>
      </c>
      <c r="K470" s="37" t="s">
        <v>375</v>
      </c>
      <c r="L470" s="40" t="s">
        <v>151</v>
      </c>
      <c r="M470" s="37">
        <v>200</v>
      </c>
      <c r="N470" s="37">
        <v>8</v>
      </c>
      <c r="O470" s="41"/>
      <c r="P470" s="38">
        <v>46107</v>
      </c>
      <c r="Q470" s="41"/>
      <c r="R470" s="41"/>
    </row>
    <row r="471" spans="1:18" ht="13.5" thickBot="1">
      <c r="A471" s="146"/>
      <c r="B471" s="37">
        <v>4500087769</v>
      </c>
      <c r="C471" s="38">
        <v>415001</v>
      </c>
      <c r="D471" s="39">
        <v>0.38263888888888886</v>
      </c>
      <c r="E471" s="41"/>
      <c r="F471" s="37" t="s">
        <v>1608</v>
      </c>
      <c r="G471" s="37" t="s">
        <v>1609</v>
      </c>
      <c r="H471" s="38">
        <v>415001</v>
      </c>
      <c r="I471" s="39">
        <v>0.41319444444444442</v>
      </c>
      <c r="J471" s="41" t="s">
        <v>759</v>
      </c>
      <c r="K471" s="37" t="s">
        <v>375</v>
      </c>
      <c r="L471" s="40" t="s">
        <v>158</v>
      </c>
      <c r="M471" s="37">
        <v>200</v>
      </c>
      <c r="N471" s="37">
        <v>8</v>
      </c>
      <c r="O471" s="41"/>
      <c r="P471" s="38">
        <v>46107</v>
      </c>
      <c r="Q471" s="41"/>
      <c r="R471" s="41"/>
    </row>
    <row r="472" spans="1:18" ht="13.5" thickBot="1">
      <c r="A472" s="146"/>
      <c r="B472" s="37">
        <v>4500087769</v>
      </c>
      <c r="C472" s="38">
        <v>415001</v>
      </c>
      <c r="D472" s="39">
        <v>0.38263888888888886</v>
      </c>
      <c r="E472" s="41"/>
      <c r="F472" s="37" t="s">
        <v>1608</v>
      </c>
      <c r="G472" s="37" t="s">
        <v>1609</v>
      </c>
      <c r="H472" s="38">
        <v>415001</v>
      </c>
      <c r="I472" s="39">
        <v>0.41319444444444442</v>
      </c>
      <c r="J472" s="41" t="s">
        <v>759</v>
      </c>
      <c r="K472" s="37" t="s">
        <v>375</v>
      </c>
      <c r="L472" s="40" t="s">
        <v>111</v>
      </c>
      <c r="M472" s="37">
        <v>150</v>
      </c>
      <c r="N472" s="37">
        <v>6</v>
      </c>
      <c r="O472" s="41"/>
      <c r="P472" s="38">
        <v>46107</v>
      </c>
      <c r="Q472" s="41"/>
      <c r="R472" s="41"/>
    </row>
    <row r="473" spans="1:18" ht="13.5" thickBot="1">
      <c r="A473" s="146"/>
      <c r="B473" s="37">
        <v>4500087769</v>
      </c>
      <c r="C473" s="38">
        <v>415001</v>
      </c>
      <c r="D473" s="39">
        <v>0.38263888888888886</v>
      </c>
      <c r="E473" s="41"/>
      <c r="F473" s="37" t="s">
        <v>1608</v>
      </c>
      <c r="G473" s="37" t="s">
        <v>1609</v>
      </c>
      <c r="H473" s="38">
        <v>415001</v>
      </c>
      <c r="I473" s="39">
        <v>0.41319444444444442</v>
      </c>
      <c r="J473" s="41" t="s">
        <v>759</v>
      </c>
      <c r="K473" s="37" t="s">
        <v>375</v>
      </c>
      <c r="L473" s="40" t="s">
        <v>116</v>
      </c>
      <c r="M473" s="37">
        <v>400</v>
      </c>
      <c r="N473" s="37">
        <v>16</v>
      </c>
      <c r="O473" s="41"/>
      <c r="P473" s="38">
        <v>46107</v>
      </c>
      <c r="Q473" s="41"/>
      <c r="R473" s="41"/>
    </row>
    <row r="474" spans="1:18" ht="13.5" thickBot="1">
      <c r="A474" s="146"/>
      <c r="B474" s="37">
        <v>4500087769</v>
      </c>
      <c r="C474" s="38">
        <v>415001</v>
      </c>
      <c r="D474" s="39">
        <v>0.38263888888888886</v>
      </c>
      <c r="E474" s="41"/>
      <c r="F474" s="37" t="s">
        <v>1608</v>
      </c>
      <c r="G474" s="37" t="s">
        <v>1609</v>
      </c>
      <c r="H474" s="38">
        <v>415001</v>
      </c>
      <c r="I474" s="39">
        <v>0.41319444444444442</v>
      </c>
      <c r="J474" s="41" t="s">
        <v>759</v>
      </c>
      <c r="K474" s="37" t="s">
        <v>375</v>
      </c>
      <c r="L474" s="40" t="s">
        <v>194</v>
      </c>
      <c r="M474" s="37">
        <v>50</v>
      </c>
      <c r="N474" s="37">
        <v>2</v>
      </c>
      <c r="O474" s="41"/>
      <c r="P474" s="38">
        <v>46107</v>
      </c>
      <c r="Q474" s="41"/>
      <c r="R474" s="41"/>
    </row>
    <row r="475" spans="1:18" ht="13.5" thickBot="1">
      <c r="A475" s="146"/>
      <c r="B475" s="37">
        <v>4500087769</v>
      </c>
      <c r="C475" s="38">
        <v>415001</v>
      </c>
      <c r="D475" s="39">
        <v>0.38263888888888886</v>
      </c>
      <c r="E475" s="41"/>
      <c r="F475" s="37" t="s">
        <v>1608</v>
      </c>
      <c r="G475" s="37" t="s">
        <v>1609</v>
      </c>
      <c r="H475" s="38">
        <v>415001</v>
      </c>
      <c r="I475" s="39">
        <v>0.41319444444444442</v>
      </c>
      <c r="J475" s="41" t="s">
        <v>759</v>
      </c>
      <c r="K475" s="37" t="s">
        <v>375</v>
      </c>
      <c r="L475" s="40" t="s">
        <v>884</v>
      </c>
      <c r="M475" s="37">
        <v>50</v>
      </c>
      <c r="N475" s="37">
        <v>2</v>
      </c>
      <c r="O475" s="41"/>
      <c r="P475" s="38">
        <v>46107</v>
      </c>
      <c r="Q475" s="41"/>
      <c r="R475" s="41"/>
    </row>
    <row r="476" spans="1:18" ht="13.5" thickBot="1">
      <c r="A476" s="146"/>
      <c r="B476" s="37">
        <v>4500087769</v>
      </c>
      <c r="C476" s="38">
        <v>415001</v>
      </c>
      <c r="D476" s="39">
        <v>0.38263888888888886</v>
      </c>
      <c r="E476" s="41"/>
      <c r="F476" s="37" t="s">
        <v>1610</v>
      </c>
      <c r="G476" s="37" t="s">
        <v>1611</v>
      </c>
      <c r="H476" s="38">
        <v>415001</v>
      </c>
      <c r="I476" s="39">
        <v>0.41319444444444442</v>
      </c>
      <c r="J476" s="41" t="s">
        <v>759</v>
      </c>
      <c r="K476" s="37" t="s">
        <v>375</v>
      </c>
      <c r="L476" s="40" t="s">
        <v>676</v>
      </c>
      <c r="M476" s="37">
        <v>300</v>
      </c>
      <c r="N476" s="37">
        <v>12</v>
      </c>
      <c r="O476" s="41"/>
      <c r="P476" s="38">
        <v>46107</v>
      </c>
      <c r="Q476" s="41"/>
      <c r="R476" s="41"/>
    </row>
    <row r="477" spans="1:18" ht="25.5" thickBot="1">
      <c r="A477" s="146"/>
      <c r="B477" s="41"/>
      <c r="C477" s="38">
        <v>46106</v>
      </c>
      <c r="D477" s="39">
        <v>0.36736111111111114</v>
      </c>
      <c r="E477" s="41"/>
      <c r="F477" s="37" t="s">
        <v>1612</v>
      </c>
      <c r="G477" s="37" t="s">
        <v>1613</v>
      </c>
      <c r="H477" s="38">
        <v>46106</v>
      </c>
      <c r="I477" s="39">
        <v>0.41805555555555557</v>
      </c>
      <c r="J477" s="41" t="s">
        <v>1614</v>
      </c>
      <c r="K477" s="37" t="s">
        <v>366</v>
      </c>
      <c r="L477" s="40" t="s">
        <v>207</v>
      </c>
      <c r="M477" s="37">
        <v>20</v>
      </c>
      <c r="N477" s="37">
        <v>1</v>
      </c>
      <c r="O477" s="147">
        <v>10380000</v>
      </c>
      <c r="P477" s="38">
        <v>46106</v>
      </c>
      <c r="Q477" s="41"/>
      <c r="R477" s="41"/>
    </row>
    <row r="478" spans="1:18" ht="25.5" thickBot="1">
      <c r="A478" s="146"/>
      <c r="B478" s="41"/>
      <c r="C478" s="38">
        <v>46106</v>
      </c>
      <c r="D478" s="39">
        <v>0.36736111111111114</v>
      </c>
      <c r="E478" s="41"/>
      <c r="F478" s="37" t="s">
        <v>1612</v>
      </c>
      <c r="G478" s="37" t="s">
        <v>1613</v>
      </c>
      <c r="H478" s="38">
        <v>46106</v>
      </c>
      <c r="I478" s="39">
        <v>0.41805555555555557</v>
      </c>
      <c r="J478" s="41" t="s">
        <v>1614</v>
      </c>
      <c r="K478" s="37" t="s">
        <v>366</v>
      </c>
      <c r="L478" s="40" t="s">
        <v>815</v>
      </c>
      <c r="M478" s="37">
        <v>30</v>
      </c>
      <c r="N478" s="37">
        <v>1</v>
      </c>
      <c r="O478" s="147">
        <v>6750000</v>
      </c>
      <c r="P478" s="38">
        <v>46106</v>
      </c>
      <c r="Q478" s="41"/>
      <c r="R478" s="41"/>
    </row>
    <row r="479" spans="1:18" ht="25.5" thickBot="1">
      <c r="A479" s="146"/>
      <c r="B479" s="41"/>
      <c r="C479" s="38">
        <v>46106</v>
      </c>
      <c r="D479" s="39">
        <v>0.36736111111111114</v>
      </c>
      <c r="E479" s="41"/>
      <c r="F479" s="37" t="s">
        <v>1615</v>
      </c>
      <c r="G479" s="37" t="s">
        <v>1616</v>
      </c>
      <c r="H479" s="38">
        <v>46106</v>
      </c>
      <c r="I479" s="39">
        <v>0.41805555555555557</v>
      </c>
      <c r="J479" s="41" t="s">
        <v>1614</v>
      </c>
      <c r="K479" s="37" t="s">
        <v>366</v>
      </c>
      <c r="L479" s="40" t="s">
        <v>912</v>
      </c>
      <c r="M479" s="37">
        <v>2.25</v>
      </c>
      <c r="N479" s="37">
        <v>0</v>
      </c>
      <c r="O479" s="37">
        <v>0</v>
      </c>
      <c r="P479" s="38">
        <v>46106</v>
      </c>
      <c r="Q479" s="41"/>
      <c r="R479" s="41"/>
    </row>
    <row r="480" spans="1:18" ht="13.5" thickBot="1">
      <c r="A480" s="146"/>
      <c r="B480" s="41"/>
      <c r="C480" s="38">
        <v>46106</v>
      </c>
      <c r="D480" s="39">
        <v>0.42499999999999999</v>
      </c>
      <c r="E480" s="41"/>
      <c r="F480" s="37" t="s">
        <v>1617</v>
      </c>
      <c r="G480" s="37" t="s">
        <v>1618</v>
      </c>
      <c r="H480" s="38">
        <v>46106</v>
      </c>
      <c r="I480" s="39">
        <v>0.43541666666666667</v>
      </c>
      <c r="J480" s="41" t="s">
        <v>589</v>
      </c>
      <c r="K480" s="37" t="s">
        <v>366</v>
      </c>
      <c r="L480" s="40" t="s">
        <v>815</v>
      </c>
      <c r="M480" s="37">
        <v>7</v>
      </c>
      <c r="N480" s="37">
        <v>0</v>
      </c>
      <c r="O480" s="147">
        <v>1589000</v>
      </c>
      <c r="P480" s="38">
        <v>46106</v>
      </c>
      <c r="Q480" s="41"/>
      <c r="R480" s="41"/>
    </row>
    <row r="481" spans="1:18" ht="13.5" thickBot="1">
      <c r="A481" s="146"/>
      <c r="B481" s="41"/>
      <c r="C481" s="38">
        <v>46106</v>
      </c>
      <c r="D481" s="39">
        <v>0.42499999999999999</v>
      </c>
      <c r="E481" s="41"/>
      <c r="F481" s="37" t="s">
        <v>1617</v>
      </c>
      <c r="G481" s="37" t="s">
        <v>1618</v>
      </c>
      <c r="H481" s="38">
        <v>46106</v>
      </c>
      <c r="I481" s="39">
        <v>0.43541666666666667</v>
      </c>
      <c r="J481" s="41" t="s">
        <v>589</v>
      </c>
      <c r="K481" s="37" t="s">
        <v>366</v>
      </c>
      <c r="L481" s="40" t="s">
        <v>112</v>
      </c>
      <c r="M481" s="37">
        <v>10</v>
      </c>
      <c r="N481" s="37">
        <v>0</v>
      </c>
      <c r="O481" s="147">
        <v>610000</v>
      </c>
      <c r="P481" s="38">
        <v>46106</v>
      </c>
      <c r="Q481" s="41"/>
      <c r="R481" s="41"/>
    </row>
    <row r="482" spans="1:18" ht="13.5" thickBot="1">
      <c r="A482" s="146"/>
      <c r="B482" s="41"/>
      <c r="C482" s="38">
        <v>46106</v>
      </c>
      <c r="D482" s="39">
        <v>0.42499999999999999</v>
      </c>
      <c r="E482" s="41"/>
      <c r="F482" s="37" t="s">
        <v>1619</v>
      </c>
      <c r="G482" s="37" t="s">
        <v>1620</v>
      </c>
      <c r="H482" s="38">
        <v>46106</v>
      </c>
      <c r="I482" s="39">
        <v>0.43541666666666667</v>
      </c>
      <c r="J482" s="41" t="s">
        <v>589</v>
      </c>
      <c r="K482" s="37" t="s">
        <v>366</v>
      </c>
      <c r="L482" s="40" t="s">
        <v>912</v>
      </c>
      <c r="M482" s="37">
        <v>1.2749999999999999</v>
      </c>
      <c r="N482" s="37">
        <v>0</v>
      </c>
      <c r="O482" s="37">
        <v>0</v>
      </c>
      <c r="P482" s="38">
        <v>46106</v>
      </c>
      <c r="Q482" s="41"/>
      <c r="R482" s="41"/>
    </row>
    <row r="483" spans="1:18" ht="23.5" thickBot="1">
      <c r="A483" s="146"/>
      <c r="B483" s="37" t="s">
        <v>1621</v>
      </c>
      <c r="C483" s="38">
        <v>46106</v>
      </c>
      <c r="D483" s="39">
        <v>0.3527777777777778</v>
      </c>
      <c r="E483" s="41"/>
      <c r="F483" s="37" t="s">
        <v>1622</v>
      </c>
      <c r="G483" s="37" t="s">
        <v>1623</v>
      </c>
      <c r="H483" s="38">
        <v>46106</v>
      </c>
      <c r="I483" s="39">
        <v>0.36041666666666666</v>
      </c>
      <c r="J483" s="41" t="s">
        <v>169</v>
      </c>
      <c r="K483" s="37" t="s">
        <v>147</v>
      </c>
      <c r="L483" s="40" t="s">
        <v>212</v>
      </c>
      <c r="M483" s="37">
        <v>500</v>
      </c>
      <c r="N483" s="37">
        <v>20</v>
      </c>
      <c r="O483" s="147">
        <v>12750000</v>
      </c>
      <c r="P483" s="38">
        <v>46108</v>
      </c>
      <c r="Q483" s="41"/>
      <c r="R483" s="41"/>
    </row>
    <row r="484" spans="1:18" ht="23.5" thickBot="1">
      <c r="A484" s="146"/>
      <c r="B484" s="37" t="s">
        <v>1621</v>
      </c>
      <c r="C484" s="38">
        <v>46106</v>
      </c>
      <c r="D484" s="39">
        <v>0.3527777777777778</v>
      </c>
      <c r="E484" s="41"/>
      <c r="F484" s="37" t="s">
        <v>1622</v>
      </c>
      <c r="G484" s="37" t="s">
        <v>1623</v>
      </c>
      <c r="H484" s="38">
        <v>46106</v>
      </c>
      <c r="I484" s="39">
        <v>0.36041666666666666</v>
      </c>
      <c r="J484" s="41" t="s">
        <v>169</v>
      </c>
      <c r="K484" s="37" t="s">
        <v>147</v>
      </c>
      <c r="L484" s="40" t="s">
        <v>194</v>
      </c>
      <c r="M484" s="37">
        <v>100</v>
      </c>
      <c r="N484" s="37">
        <v>4</v>
      </c>
      <c r="O484" s="147">
        <v>1950000</v>
      </c>
      <c r="P484" s="38">
        <v>46108</v>
      </c>
      <c r="Q484" s="41"/>
      <c r="R484" s="41"/>
    </row>
    <row r="485" spans="1:18" ht="23.5" thickBot="1">
      <c r="A485" s="146"/>
      <c r="B485" s="37" t="s">
        <v>1621</v>
      </c>
      <c r="C485" s="38">
        <v>46106</v>
      </c>
      <c r="D485" s="39">
        <v>0.3527777777777778</v>
      </c>
      <c r="E485" s="41"/>
      <c r="F485" s="37" t="s">
        <v>1622</v>
      </c>
      <c r="G485" s="37" t="s">
        <v>1623</v>
      </c>
      <c r="H485" s="38">
        <v>46106</v>
      </c>
      <c r="I485" s="39">
        <v>0.36041666666666666</v>
      </c>
      <c r="J485" s="41" t="s">
        <v>169</v>
      </c>
      <c r="K485" s="37" t="s">
        <v>147</v>
      </c>
      <c r="L485" s="40" t="s">
        <v>111</v>
      </c>
      <c r="M485" s="37">
        <v>600</v>
      </c>
      <c r="N485" s="37">
        <v>24</v>
      </c>
      <c r="O485" s="147">
        <v>15780000</v>
      </c>
      <c r="P485" s="38">
        <v>46108</v>
      </c>
      <c r="Q485" s="41"/>
      <c r="R485" s="41"/>
    </row>
    <row r="486" spans="1:18" ht="13.5" thickBot="1">
      <c r="A486" s="207" t="s">
        <v>725</v>
      </c>
      <c r="B486" s="208">
        <v>101441</v>
      </c>
      <c r="C486" s="209">
        <v>46102</v>
      </c>
      <c r="D486" s="210">
        <v>0.46666666666666667</v>
      </c>
      <c r="E486" s="211"/>
      <c r="F486" s="208" t="s">
        <v>1624</v>
      </c>
      <c r="G486" s="208" t="s">
        <v>1625</v>
      </c>
      <c r="H486" s="209">
        <v>46106</v>
      </c>
      <c r="I486" s="210">
        <v>0.46180555555555558</v>
      </c>
      <c r="J486" s="211" t="s">
        <v>231</v>
      </c>
      <c r="K486" s="208" t="s">
        <v>142</v>
      </c>
      <c r="L486" s="212" t="s">
        <v>773</v>
      </c>
      <c r="M486" s="208">
        <v>350</v>
      </c>
      <c r="N486" s="208">
        <v>14</v>
      </c>
      <c r="O486" s="213">
        <v>5530000</v>
      </c>
      <c r="P486" s="209">
        <v>46107</v>
      </c>
      <c r="Q486" s="211"/>
      <c r="R486" s="211"/>
    </row>
    <row r="487" spans="1:18" ht="13.5" thickBot="1">
      <c r="A487" s="146"/>
      <c r="B487" s="41"/>
      <c r="C487" s="38">
        <v>46106</v>
      </c>
      <c r="D487" s="39">
        <v>0.49930555555555556</v>
      </c>
      <c r="E487" s="41"/>
      <c r="F487" s="37" t="s">
        <v>1626</v>
      </c>
      <c r="G487" s="37" t="s">
        <v>1627</v>
      </c>
      <c r="H487" s="38">
        <v>46106</v>
      </c>
      <c r="I487" s="39">
        <v>0.52430555555555558</v>
      </c>
      <c r="J487" s="41" t="s">
        <v>163</v>
      </c>
      <c r="K487" s="37" t="s">
        <v>80</v>
      </c>
      <c r="L487" s="40" t="s">
        <v>221</v>
      </c>
      <c r="M487" s="37">
        <v>10</v>
      </c>
      <c r="N487" s="37">
        <v>0</v>
      </c>
      <c r="O487" s="147">
        <v>2500000</v>
      </c>
      <c r="P487" s="38">
        <v>46106</v>
      </c>
      <c r="Q487" s="41"/>
      <c r="R487" s="41"/>
    </row>
    <row r="488" spans="1:18" ht="13.5" thickBot="1">
      <c r="A488" s="146"/>
      <c r="B488" s="41"/>
      <c r="C488" s="38">
        <v>46106</v>
      </c>
      <c r="D488" s="39">
        <v>0.49930555555555556</v>
      </c>
      <c r="E488" s="41"/>
      <c r="F488" s="37" t="s">
        <v>1626</v>
      </c>
      <c r="G488" s="37" t="s">
        <v>1627</v>
      </c>
      <c r="H488" s="38">
        <v>46106</v>
      </c>
      <c r="I488" s="39">
        <v>0.52430555555555558</v>
      </c>
      <c r="J488" s="41" t="s">
        <v>163</v>
      </c>
      <c r="K488" s="37" t="s">
        <v>80</v>
      </c>
      <c r="L488" s="40" t="s">
        <v>151</v>
      </c>
      <c r="M488" s="37">
        <v>75</v>
      </c>
      <c r="N488" s="37">
        <v>3</v>
      </c>
      <c r="O488" s="147">
        <v>5325000</v>
      </c>
      <c r="P488" s="38">
        <v>46106</v>
      </c>
      <c r="Q488" s="41"/>
      <c r="R488" s="41"/>
    </row>
    <row r="489" spans="1:18" ht="13.5" thickBot="1">
      <c r="A489" s="146"/>
      <c r="B489" s="41"/>
      <c r="C489" s="38">
        <v>46106</v>
      </c>
      <c r="D489" s="39">
        <v>0.49930555555555556</v>
      </c>
      <c r="E489" s="41"/>
      <c r="F489" s="37" t="s">
        <v>1626</v>
      </c>
      <c r="G489" s="37" t="s">
        <v>1627</v>
      </c>
      <c r="H489" s="38">
        <v>46106</v>
      </c>
      <c r="I489" s="39">
        <v>0.52430555555555558</v>
      </c>
      <c r="J489" s="41" t="s">
        <v>163</v>
      </c>
      <c r="K489" s="37" t="s">
        <v>80</v>
      </c>
      <c r="L489" s="40" t="s">
        <v>976</v>
      </c>
      <c r="M489" s="37">
        <v>10</v>
      </c>
      <c r="N489" s="37">
        <v>0</v>
      </c>
      <c r="O489" s="147">
        <v>1550000</v>
      </c>
      <c r="P489" s="38">
        <v>46106</v>
      </c>
      <c r="Q489" s="41"/>
      <c r="R489" s="41"/>
    </row>
    <row r="490" spans="1:18" ht="13.5" thickBot="1">
      <c r="A490" s="146"/>
      <c r="B490" s="41"/>
      <c r="C490" s="38">
        <v>46106</v>
      </c>
      <c r="D490" s="39">
        <v>0.49930555555555556</v>
      </c>
      <c r="E490" s="41"/>
      <c r="F490" s="37" t="s">
        <v>1626</v>
      </c>
      <c r="G490" s="37" t="s">
        <v>1627</v>
      </c>
      <c r="H490" s="38">
        <v>46106</v>
      </c>
      <c r="I490" s="39">
        <v>0.52430555555555558</v>
      </c>
      <c r="J490" s="41" t="s">
        <v>163</v>
      </c>
      <c r="K490" s="37" t="s">
        <v>80</v>
      </c>
      <c r="L490" s="40" t="s">
        <v>207</v>
      </c>
      <c r="M490" s="37">
        <v>134</v>
      </c>
      <c r="N490" s="37">
        <v>5</v>
      </c>
      <c r="O490" s="147">
        <v>69546000</v>
      </c>
      <c r="P490" s="38">
        <v>46106</v>
      </c>
      <c r="Q490" s="41"/>
      <c r="R490" s="41"/>
    </row>
    <row r="491" spans="1:18" ht="13.5" thickBot="1">
      <c r="A491" s="146"/>
      <c r="B491" s="41"/>
      <c r="C491" s="38">
        <v>46106</v>
      </c>
      <c r="D491" s="39">
        <v>0.49930555555555556</v>
      </c>
      <c r="E491" s="41"/>
      <c r="F491" s="37" t="s">
        <v>1626</v>
      </c>
      <c r="G491" s="37" t="s">
        <v>1627</v>
      </c>
      <c r="H491" s="38">
        <v>46106</v>
      </c>
      <c r="I491" s="39">
        <v>0.52430555555555558</v>
      </c>
      <c r="J491" s="41" t="s">
        <v>163</v>
      </c>
      <c r="K491" s="37" t="s">
        <v>80</v>
      </c>
      <c r="L491" s="40" t="s">
        <v>112</v>
      </c>
      <c r="M491" s="37">
        <v>100</v>
      </c>
      <c r="N491" s="37">
        <v>4</v>
      </c>
      <c r="O491" s="147">
        <v>6100000</v>
      </c>
      <c r="P491" s="38">
        <v>46106</v>
      </c>
      <c r="Q491" s="41"/>
      <c r="R491" s="41"/>
    </row>
    <row r="492" spans="1:18" ht="13.5" thickBot="1">
      <c r="A492" s="146"/>
      <c r="B492" s="41"/>
      <c r="C492" s="38">
        <v>46106</v>
      </c>
      <c r="D492" s="39">
        <v>0.49930555555555556</v>
      </c>
      <c r="E492" s="41"/>
      <c r="F492" s="37" t="s">
        <v>1626</v>
      </c>
      <c r="G492" s="37" t="s">
        <v>1627</v>
      </c>
      <c r="H492" s="38">
        <v>46106</v>
      </c>
      <c r="I492" s="39">
        <v>0.52430555555555558</v>
      </c>
      <c r="J492" s="41" t="s">
        <v>163</v>
      </c>
      <c r="K492" s="37" t="s">
        <v>80</v>
      </c>
      <c r="L492" s="40" t="s">
        <v>230</v>
      </c>
      <c r="M492" s="37">
        <v>217.5</v>
      </c>
      <c r="N492" s="37">
        <v>9</v>
      </c>
      <c r="O492" s="147">
        <v>22185000</v>
      </c>
      <c r="P492" s="38">
        <v>46106</v>
      </c>
      <c r="Q492" s="41"/>
      <c r="R492" s="41"/>
    </row>
    <row r="493" spans="1:18" ht="13.5" thickBot="1">
      <c r="A493" s="146"/>
      <c r="B493" s="41"/>
      <c r="C493" s="38">
        <v>46106</v>
      </c>
      <c r="D493" s="39">
        <v>0.49930555555555556</v>
      </c>
      <c r="E493" s="41"/>
      <c r="F493" s="37" t="s">
        <v>1626</v>
      </c>
      <c r="G493" s="37" t="s">
        <v>1627</v>
      </c>
      <c r="H493" s="38">
        <v>46106</v>
      </c>
      <c r="I493" s="39">
        <v>0.52430555555555558</v>
      </c>
      <c r="J493" s="41" t="s">
        <v>163</v>
      </c>
      <c r="K493" s="37" t="s">
        <v>80</v>
      </c>
      <c r="L493" s="40" t="s">
        <v>158</v>
      </c>
      <c r="M493" s="37">
        <v>25</v>
      </c>
      <c r="N493" s="37">
        <v>1</v>
      </c>
      <c r="O493" s="147">
        <v>1400000</v>
      </c>
      <c r="P493" s="38">
        <v>46106</v>
      </c>
      <c r="Q493" s="41"/>
      <c r="R493" s="41"/>
    </row>
    <row r="494" spans="1:18" ht="13.5" thickBot="1">
      <c r="A494" s="146"/>
      <c r="B494" s="41"/>
      <c r="C494" s="38">
        <v>46106</v>
      </c>
      <c r="D494" s="39">
        <v>0.49930555555555556</v>
      </c>
      <c r="E494" s="41"/>
      <c r="F494" s="37" t="s">
        <v>1626</v>
      </c>
      <c r="G494" s="37" t="s">
        <v>1627</v>
      </c>
      <c r="H494" s="38">
        <v>46106</v>
      </c>
      <c r="I494" s="39">
        <v>0.52430555555555558</v>
      </c>
      <c r="J494" s="41" t="s">
        <v>163</v>
      </c>
      <c r="K494" s="37" t="s">
        <v>80</v>
      </c>
      <c r="L494" s="40" t="s">
        <v>768</v>
      </c>
      <c r="M494" s="37">
        <v>25</v>
      </c>
      <c r="N494" s="37">
        <v>1</v>
      </c>
      <c r="O494" s="147">
        <v>5250000</v>
      </c>
      <c r="P494" s="38">
        <v>46106</v>
      </c>
      <c r="Q494" s="41"/>
      <c r="R494" s="41"/>
    </row>
    <row r="495" spans="1:18" ht="13.5" thickBot="1">
      <c r="A495" s="146"/>
      <c r="B495" s="41"/>
      <c r="C495" s="38">
        <v>46106</v>
      </c>
      <c r="D495" s="39">
        <v>0.49930555555555556</v>
      </c>
      <c r="E495" s="41"/>
      <c r="F495" s="37" t="s">
        <v>1626</v>
      </c>
      <c r="G495" s="37" t="s">
        <v>1627</v>
      </c>
      <c r="H495" s="38">
        <v>46106</v>
      </c>
      <c r="I495" s="39">
        <v>0.52430555555555558</v>
      </c>
      <c r="J495" s="41" t="s">
        <v>163</v>
      </c>
      <c r="K495" s="37" t="s">
        <v>80</v>
      </c>
      <c r="L495" s="40" t="s">
        <v>773</v>
      </c>
      <c r="M495" s="37">
        <v>50</v>
      </c>
      <c r="N495" s="37">
        <v>2</v>
      </c>
      <c r="O495" s="147">
        <v>800000</v>
      </c>
      <c r="P495" s="38">
        <v>46106</v>
      </c>
      <c r="Q495" s="41"/>
      <c r="R495" s="41"/>
    </row>
    <row r="496" spans="1:18" ht="13.5" thickBot="1">
      <c r="A496" s="146"/>
      <c r="B496" s="37">
        <v>4500087770</v>
      </c>
      <c r="C496" s="38">
        <v>46106</v>
      </c>
      <c r="D496" s="39">
        <v>0.65486111111111112</v>
      </c>
      <c r="E496" s="41"/>
      <c r="F496" s="37" t="s">
        <v>1628</v>
      </c>
      <c r="G496" s="37" t="s">
        <v>1629</v>
      </c>
      <c r="H496" s="38">
        <v>46106</v>
      </c>
      <c r="I496" s="39">
        <v>0.67361111111111116</v>
      </c>
      <c r="J496" s="41" t="s">
        <v>385</v>
      </c>
      <c r="K496" s="37" t="s">
        <v>788</v>
      </c>
      <c r="L496" s="40" t="s">
        <v>115</v>
      </c>
      <c r="M496" s="37">
        <v>400</v>
      </c>
      <c r="N496" s="37">
        <v>16</v>
      </c>
      <c r="O496" s="147">
        <v>29146000</v>
      </c>
      <c r="P496" s="38">
        <v>46107</v>
      </c>
      <c r="Q496" s="41"/>
      <c r="R496" s="41"/>
    </row>
    <row r="497" spans="1:18" ht="13.5" thickBot="1">
      <c r="A497" s="146"/>
      <c r="B497" s="37">
        <v>4500087770</v>
      </c>
      <c r="C497" s="38">
        <v>46106</v>
      </c>
      <c r="D497" s="39">
        <v>0.65486111111111112</v>
      </c>
      <c r="E497" s="41"/>
      <c r="F497" s="37" t="s">
        <v>1628</v>
      </c>
      <c r="G497" s="37" t="s">
        <v>1629</v>
      </c>
      <c r="H497" s="38">
        <v>46106</v>
      </c>
      <c r="I497" s="39">
        <v>0.67361111111111116</v>
      </c>
      <c r="J497" s="41" t="s">
        <v>385</v>
      </c>
      <c r="K497" s="37" t="s">
        <v>788</v>
      </c>
      <c r="L497" s="40" t="s">
        <v>209</v>
      </c>
      <c r="M497" s="37">
        <v>150</v>
      </c>
      <c r="N497" s="37">
        <v>6</v>
      </c>
      <c r="O497" s="147">
        <v>18435150</v>
      </c>
      <c r="P497" s="38">
        <v>46107</v>
      </c>
      <c r="Q497" s="41"/>
      <c r="R497" s="41"/>
    </row>
    <row r="498" spans="1:18" ht="13.5" thickBot="1">
      <c r="A498" s="146"/>
      <c r="B498" s="37">
        <v>4500087803</v>
      </c>
      <c r="C498" s="38">
        <v>46106</v>
      </c>
      <c r="D498" s="39">
        <v>0.72291666666666665</v>
      </c>
      <c r="E498" s="41"/>
      <c r="F498" s="37" t="s">
        <v>845</v>
      </c>
      <c r="G498" s="37" t="s">
        <v>1630</v>
      </c>
      <c r="H498" s="38">
        <v>46107</v>
      </c>
      <c r="I498" s="39">
        <v>0.3263888888888889</v>
      </c>
      <c r="J498" s="41" t="s">
        <v>759</v>
      </c>
      <c r="K498" s="37" t="s">
        <v>83</v>
      </c>
      <c r="L498" s="40" t="s">
        <v>220</v>
      </c>
      <c r="M498" s="37">
        <v>2000</v>
      </c>
      <c r="N498" s="37">
        <v>80</v>
      </c>
      <c r="O498" s="147">
        <v>60400000</v>
      </c>
      <c r="P498" s="38">
        <v>46108</v>
      </c>
      <c r="Q498" s="41"/>
      <c r="R498" s="41"/>
    </row>
    <row r="499" spans="1:18" ht="23.5" thickBot="1">
      <c r="A499" s="146"/>
      <c r="B499" s="37" t="s">
        <v>1631</v>
      </c>
      <c r="C499" s="38">
        <v>46107</v>
      </c>
      <c r="D499" s="39">
        <v>0.40694444444444444</v>
      </c>
      <c r="E499" s="41"/>
      <c r="F499" s="37" t="s">
        <v>1632</v>
      </c>
      <c r="G499" s="37" t="s">
        <v>1633</v>
      </c>
      <c r="H499" s="38">
        <v>46107</v>
      </c>
      <c r="I499" s="39">
        <v>0.41597222222222224</v>
      </c>
      <c r="J499" s="41" t="s">
        <v>376</v>
      </c>
      <c r="K499" s="37" t="s">
        <v>366</v>
      </c>
      <c r="L499" s="40" t="s">
        <v>151</v>
      </c>
      <c r="M499" s="37">
        <v>100</v>
      </c>
      <c r="N499" s="37">
        <v>4</v>
      </c>
      <c r="O499" s="147">
        <v>6750000</v>
      </c>
      <c r="P499" s="38">
        <v>46111</v>
      </c>
      <c r="Q499" s="41"/>
      <c r="R499" s="41"/>
    </row>
    <row r="500" spans="1:18" ht="13.5" thickBot="1">
      <c r="A500" s="146"/>
      <c r="B500" s="37">
        <v>1389949</v>
      </c>
      <c r="C500" s="38">
        <v>46106</v>
      </c>
      <c r="D500" s="39">
        <v>0.60833333333333328</v>
      </c>
      <c r="E500" s="41"/>
      <c r="F500" s="37" t="s">
        <v>1634</v>
      </c>
      <c r="G500" s="37" t="s">
        <v>1635</v>
      </c>
      <c r="H500" s="38">
        <v>46107</v>
      </c>
      <c r="I500" s="39">
        <v>0.4284722222222222</v>
      </c>
      <c r="J500" s="41" t="s">
        <v>51</v>
      </c>
      <c r="K500" s="37" t="s">
        <v>78</v>
      </c>
      <c r="L500" s="40" t="s">
        <v>112</v>
      </c>
      <c r="M500" s="37">
        <v>80</v>
      </c>
      <c r="N500" s="37">
        <v>3</v>
      </c>
      <c r="O500" s="147">
        <v>4200000</v>
      </c>
      <c r="P500" s="38">
        <v>46107</v>
      </c>
      <c r="Q500" s="41"/>
      <c r="R500" s="41"/>
    </row>
    <row r="501" spans="1:18" ht="13.5" thickBot="1">
      <c r="A501" s="146"/>
      <c r="B501" s="37">
        <v>1389949</v>
      </c>
      <c r="C501" s="38">
        <v>46106</v>
      </c>
      <c r="D501" s="39">
        <v>0.60833333333333328</v>
      </c>
      <c r="E501" s="41"/>
      <c r="F501" s="37" t="s">
        <v>1636</v>
      </c>
      <c r="G501" s="37" t="s">
        <v>1637</v>
      </c>
      <c r="H501" s="38">
        <v>46107</v>
      </c>
      <c r="I501" s="39">
        <v>0.4284722222222222</v>
      </c>
      <c r="J501" s="41" t="s">
        <v>51</v>
      </c>
      <c r="K501" s="37" t="s">
        <v>78</v>
      </c>
      <c r="L501" s="40" t="s">
        <v>912</v>
      </c>
      <c r="M501" s="37">
        <v>6</v>
      </c>
      <c r="N501" s="37">
        <v>0</v>
      </c>
      <c r="O501" s="37">
        <v>0</v>
      </c>
      <c r="P501" s="38">
        <v>46107</v>
      </c>
      <c r="Q501" s="41"/>
      <c r="R501" s="41"/>
    </row>
    <row r="502" spans="1:18" ht="23.5" thickBot="1">
      <c r="A502" s="146"/>
      <c r="B502" s="37">
        <v>1390060</v>
      </c>
      <c r="C502" s="38">
        <v>46106</v>
      </c>
      <c r="D502" s="39">
        <v>0.65694444444444444</v>
      </c>
      <c r="E502" s="41"/>
      <c r="F502" s="37" t="s">
        <v>1638</v>
      </c>
      <c r="G502" s="37" t="s">
        <v>1639</v>
      </c>
      <c r="H502" s="38">
        <v>46107</v>
      </c>
      <c r="I502" s="39">
        <v>0.43819444444444444</v>
      </c>
      <c r="J502" s="41" t="s">
        <v>51</v>
      </c>
      <c r="K502" s="37" t="s">
        <v>784</v>
      </c>
      <c r="L502" s="40" t="s">
        <v>112</v>
      </c>
      <c r="M502" s="37">
        <v>50</v>
      </c>
      <c r="N502" s="37">
        <v>2</v>
      </c>
      <c r="O502" s="147">
        <v>2625000</v>
      </c>
      <c r="P502" s="38">
        <v>46107</v>
      </c>
      <c r="Q502" s="41"/>
      <c r="R502" s="41"/>
    </row>
    <row r="503" spans="1:18" ht="23.5" thickBot="1">
      <c r="A503" s="146"/>
      <c r="B503" s="37">
        <v>1390060</v>
      </c>
      <c r="C503" s="38">
        <v>46106</v>
      </c>
      <c r="D503" s="39">
        <v>0.65694444444444444</v>
      </c>
      <c r="E503" s="41"/>
      <c r="F503" s="37" t="s">
        <v>1638</v>
      </c>
      <c r="G503" s="37" t="s">
        <v>1639</v>
      </c>
      <c r="H503" s="38">
        <v>46107</v>
      </c>
      <c r="I503" s="39">
        <v>0.43819444444444444</v>
      </c>
      <c r="J503" s="41" t="s">
        <v>51</v>
      </c>
      <c r="K503" s="37" t="s">
        <v>784</v>
      </c>
      <c r="L503" s="40" t="s">
        <v>590</v>
      </c>
      <c r="M503" s="37">
        <v>48</v>
      </c>
      <c r="N503" s="37">
        <v>2</v>
      </c>
      <c r="O503" s="147">
        <v>2332800</v>
      </c>
      <c r="P503" s="38">
        <v>46107</v>
      </c>
      <c r="Q503" s="41"/>
      <c r="R503" s="41"/>
    </row>
    <row r="504" spans="1:18" ht="23.5" thickBot="1">
      <c r="A504" s="146"/>
      <c r="B504" s="37">
        <v>1390060</v>
      </c>
      <c r="C504" s="38">
        <v>46106</v>
      </c>
      <c r="D504" s="39">
        <v>0.65694444444444444</v>
      </c>
      <c r="E504" s="41"/>
      <c r="F504" s="37" t="s">
        <v>1640</v>
      </c>
      <c r="G504" s="37" t="s">
        <v>1641</v>
      </c>
      <c r="H504" s="38">
        <v>46107</v>
      </c>
      <c r="I504" s="39">
        <v>0.43819444444444444</v>
      </c>
      <c r="J504" s="41" t="s">
        <v>51</v>
      </c>
      <c r="K504" s="37" t="s">
        <v>784</v>
      </c>
      <c r="L504" s="40" t="s">
        <v>912</v>
      </c>
      <c r="M504" s="37">
        <v>3.75</v>
      </c>
      <c r="N504" s="37">
        <v>0</v>
      </c>
      <c r="O504" s="37">
        <v>0</v>
      </c>
      <c r="P504" s="38">
        <v>46107</v>
      </c>
      <c r="Q504" s="41"/>
      <c r="R504" s="41"/>
    </row>
    <row r="505" spans="1:18" ht="13.5" thickBot="1">
      <c r="A505" s="146"/>
      <c r="B505" s="41"/>
      <c r="C505" s="38">
        <v>46106</v>
      </c>
      <c r="D505" s="39">
        <v>0.69166666666666665</v>
      </c>
      <c r="E505" s="41"/>
      <c r="F505" s="37" t="s">
        <v>1642</v>
      </c>
      <c r="G505" s="37" t="s">
        <v>1643</v>
      </c>
      <c r="H505" s="38">
        <v>46107</v>
      </c>
      <c r="I505" s="37" t="s">
        <v>1644</v>
      </c>
      <c r="J505" s="41" t="s">
        <v>769</v>
      </c>
      <c r="K505" s="37" t="s">
        <v>366</v>
      </c>
      <c r="L505" s="40" t="s">
        <v>112</v>
      </c>
      <c r="M505" s="37">
        <v>5</v>
      </c>
      <c r="N505" s="37">
        <v>0</v>
      </c>
      <c r="O505" s="147">
        <v>281000</v>
      </c>
      <c r="P505" s="38">
        <v>46107</v>
      </c>
      <c r="Q505" s="41"/>
      <c r="R505" s="41"/>
    </row>
    <row r="506" spans="1:18" ht="13.5" thickBot="1">
      <c r="A506" s="146"/>
      <c r="B506" s="41"/>
      <c r="C506" s="38">
        <v>46106</v>
      </c>
      <c r="D506" s="39">
        <v>0.69166666666666665</v>
      </c>
      <c r="E506" s="41"/>
      <c r="F506" s="37" t="s">
        <v>1645</v>
      </c>
      <c r="G506" s="37" t="s">
        <v>1646</v>
      </c>
      <c r="H506" s="38">
        <v>46107</v>
      </c>
      <c r="I506" s="39">
        <v>0.43958333333333333</v>
      </c>
      <c r="J506" s="41" t="s">
        <v>769</v>
      </c>
      <c r="K506" s="37" t="s">
        <v>366</v>
      </c>
      <c r="L506" s="40" t="s">
        <v>112</v>
      </c>
      <c r="M506" s="37">
        <v>25</v>
      </c>
      <c r="N506" s="37">
        <v>1</v>
      </c>
      <c r="O506" s="147">
        <v>1405000</v>
      </c>
      <c r="P506" s="38">
        <v>46107</v>
      </c>
      <c r="Q506" s="41"/>
      <c r="R506" s="41"/>
    </row>
    <row r="507" spans="1:18" ht="38" thickBot="1">
      <c r="A507" s="146"/>
      <c r="B507" s="37" t="s">
        <v>1647</v>
      </c>
      <c r="C507" s="38">
        <v>46106</v>
      </c>
      <c r="D507" s="39">
        <v>0.74930555555555556</v>
      </c>
      <c r="E507" s="41"/>
      <c r="F507" s="37" t="s">
        <v>1648</v>
      </c>
      <c r="G507" s="37" t="s">
        <v>1649</v>
      </c>
      <c r="H507" s="38">
        <v>46107</v>
      </c>
      <c r="I507" s="39">
        <v>0.45</v>
      </c>
      <c r="J507" s="41" t="s">
        <v>386</v>
      </c>
      <c r="K507" s="37" t="s">
        <v>141</v>
      </c>
      <c r="L507" s="40" t="s">
        <v>194</v>
      </c>
      <c r="M507" s="37">
        <v>400</v>
      </c>
      <c r="N507" s="37">
        <v>16</v>
      </c>
      <c r="O507" s="147">
        <v>7800000</v>
      </c>
      <c r="P507" s="38">
        <v>46112</v>
      </c>
      <c r="Q507" s="41"/>
      <c r="R507" s="41"/>
    </row>
    <row r="508" spans="1:18" ht="13.5" thickBot="1">
      <c r="A508" s="146"/>
      <c r="B508" s="37">
        <v>4500149641</v>
      </c>
      <c r="C508" s="38">
        <v>46106</v>
      </c>
      <c r="D508" s="39">
        <v>0.42222222222222222</v>
      </c>
      <c r="E508" s="41"/>
      <c r="F508" s="37" t="s">
        <v>1650</v>
      </c>
      <c r="G508" s="37" t="s">
        <v>1651</v>
      </c>
      <c r="H508" s="38">
        <v>46107</v>
      </c>
      <c r="I508" s="39">
        <v>0.47152777777777777</v>
      </c>
      <c r="J508" s="41" t="s">
        <v>6</v>
      </c>
      <c r="K508" s="37" t="s">
        <v>85</v>
      </c>
      <c r="L508" s="40" t="s">
        <v>773</v>
      </c>
      <c r="M508" s="37">
        <v>1000</v>
      </c>
      <c r="N508" s="37">
        <v>40</v>
      </c>
      <c r="O508" s="147">
        <v>15800000</v>
      </c>
      <c r="P508" s="38">
        <v>46108</v>
      </c>
      <c r="Q508" s="41"/>
      <c r="R508" s="41"/>
    </row>
    <row r="509" spans="1:18" ht="13.5" thickBot="1">
      <c r="A509" s="146"/>
      <c r="B509" s="41"/>
      <c r="C509" s="38">
        <v>46107</v>
      </c>
      <c r="D509" s="39">
        <v>0.38541666666666669</v>
      </c>
      <c r="E509" s="41"/>
      <c r="F509" s="37" t="s">
        <v>1652</v>
      </c>
      <c r="G509" s="37" t="s">
        <v>1653</v>
      </c>
      <c r="H509" s="38">
        <v>46107</v>
      </c>
      <c r="I509" s="39">
        <v>0.50208333333333333</v>
      </c>
      <c r="J509" s="41" t="s">
        <v>45</v>
      </c>
      <c r="K509" s="37" t="s">
        <v>78</v>
      </c>
      <c r="L509" s="40" t="s">
        <v>781</v>
      </c>
      <c r="M509" s="37">
        <v>3</v>
      </c>
      <c r="N509" s="37">
        <v>0</v>
      </c>
      <c r="O509" s="147">
        <v>706500</v>
      </c>
      <c r="P509" s="38">
        <v>46107</v>
      </c>
      <c r="Q509" s="41"/>
      <c r="R509" s="41"/>
    </row>
    <row r="510" spans="1:18" ht="13.5" thickBot="1">
      <c r="A510" s="146"/>
      <c r="B510" s="41"/>
      <c r="C510" s="38">
        <v>46107</v>
      </c>
      <c r="D510" s="39">
        <v>0.38541666666666669</v>
      </c>
      <c r="E510" s="41"/>
      <c r="F510" s="37" t="s">
        <v>1652</v>
      </c>
      <c r="G510" s="37" t="s">
        <v>1653</v>
      </c>
      <c r="H510" s="38">
        <v>46107</v>
      </c>
      <c r="I510" s="39">
        <v>0.50208333333333333</v>
      </c>
      <c r="J510" s="41" t="s">
        <v>45</v>
      </c>
      <c r="K510" s="37" t="s">
        <v>78</v>
      </c>
      <c r="L510" s="40" t="s">
        <v>221</v>
      </c>
      <c r="M510" s="37">
        <v>1</v>
      </c>
      <c r="N510" s="37">
        <v>0</v>
      </c>
      <c r="O510" s="147">
        <v>250000</v>
      </c>
      <c r="P510" s="38">
        <v>46107</v>
      </c>
      <c r="Q510" s="41"/>
      <c r="R510" s="41"/>
    </row>
    <row r="511" spans="1:18" ht="13.5" thickBot="1">
      <c r="A511" s="146"/>
      <c r="B511" s="41"/>
      <c r="C511" s="38">
        <v>46107</v>
      </c>
      <c r="D511" s="39">
        <v>0.38541666666666669</v>
      </c>
      <c r="E511" s="41"/>
      <c r="F511" s="37" t="s">
        <v>1654</v>
      </c>
      <c r="G511" s="37" t="s">
        <v>1655</v>
      </c>
      <c r="H511" s="38">
        <v>46107</v>
      </c>
      <c r="I511" s="39">
        <v>0.50208333333333333</v>
      </c>
      <c r="J511" s="41" t="s">
        <v>45</v>
      </c>
      <c r="K511" s="37" t="s">
        <v>78</v>
      </c>
      <c r="L511" s="40" t="s">
        <v>912</v>
      </c>
      <c r="M511" s="37">
        <v>7.4999999999999997E-2</v>
      </c>
      <c r="N511" s="37">
        <v>0</v>
      </c>
      <c r="O511" s="37">
        <v>0</v>
      </c>
      <c r="P511" s="38">
        <v>46107</v>
      </c>
      <c r="Q511" s="41"/>
      <c r="R511" s="41"/>
    </row>
    <row r="512" spans="1:18" ht="13.5" thickBot="1">
      <c r="A512" s="214" t="s">
        <v>725</v>
      </c>
      <c r="B512" s="66">
        <v>50165</v>
      </c>
      <c r="C512" s="64">
        <v>46107</v>
      </c>
      <c r="D512" s="65">
        <v>0.39305555555555555</v>
      </c>
      <c r="E512" s="63"/>
      <c r="F512" s="66" t="s">
        <v>1656</v>
      </c>
      <c r="G512" s="63"/>
      <c r="H512" s="64">
        <v>46107</v>
      </c>
      <c r="I512" s="65">
        <v>0.52777777777777779</v>
      </c>
      <c r="J512" s="63" t="s">
        <v>776</v>
      </c>
      <c r="K512" s="66" t="s">
        <v>366</v>
      </c>
      <c r="L512" s="70" t="s">
        <v>230</v>
      </c>
      <c r="M512" s="66">
        <v>30</v>
      </c>
      <c r="N512" s="66">
        <v>1</v>
      </c>
      <c r="O512" s="215">
        <v>3300000</v>
      </c>
      <c r="P512" s="64">
        <v>46107</v>
      </c>
      <c r="Q512" s="63"/>
      <c r="R512" s="63"/>
    </row>
    <row r="513" spans="1:18" ht="13.5" thickBot="1">
      <c r="A513" s="146"/>
      <c r="B513" s="41"/>
      <c r="C513" s="38">
        <v>46107</v>
      </c>
      <c r="D513" s="39">
        <v>0.49375000000000002</v>
      </c>
      <c r="E513" s="41"/>
      <c r="F513" s="37" t="s">
        <v>1657</v>
      </c>
      <c r="G513" s="37" t="s">
        <v>1658</v>
      </c>
      <c r="H513" s="38">
        <v>46107</v>
      </c>
      <c r="I513" s="39">
        <v>0.53749999999999998</v>
      </c>
      <c r="J513" s="41" t="s">
        <v>183</v>
      </c>
      <c r="K513" s="37" t="s">
        <v>168</v>
      </c>
      <c r="L513" s="40" t="s">
        <v>207</v>
      </c>
      <c r="M513" s="37">
        <v>3</v>
      </c>
      <c r="N513" s="37">
        <v>0</v>
      </c>
      <c r="O513" s="147">
        <v>1560000</v>
      </c>
      <c r="P513" s="38">
        <v>46108</v>
      </c>
      <c r="Q513" s="41"/>
      <c r="R513" s="41"/>
    </row>
    <row r="514" spans="1:18" ht="13.5" thickBot="1">
      <c r="A514" s="214" t="s">
        <v>725</v>
      </c>
      <c r="B514" s="215">
        <v>100912</v>
      </c>
      <c r="C514" s="64">
        <v>46091</v>
      </c>
      <c r="D514" s="65">
        <v>0.62777777777777777</v>
      </c>
      <c r="E514" s="63"/>
      <c r="F514" s="66" t="s">
        <v>1659</v>
      </c>
      <c r="G514" s="66" t="s">
        <v>1660</v>
      </c>
      <c r="H514" s="64">
        <v>46091</v>
      </c>
      <c r="I514" s="65">
        <v>0.6333333333333333</v>
      </c>
      <c r="J514" s="63" t="s">
        <v>767</v>
      </c>
      <c r="K514" s="66" t="s">
        <v>142</v>
      </c>
      <c r="L514" s="70" t="s">
        <v>230</v>
      </c>
      <c r="M514" s="66">
        <v>500</v>
      </c>
      <c r="N514" s="66">
        <v>20</v>
      </c>
      <c r="O514" s="215">
        <v>48600000</v>
      </c>
      <c r="P514" s="64">
        <v>46093</v>
      </c>
      <c r="Q514" s="63"/>
      <c r="R514" s="63"/>
    </row>
    <row r="515" spans="1:18" ht="13.5" thickBot="1">
      <c r="A515" s="214" t="s">
        <v>725</v>
      </c>
      <c r="B515" s="215">
        <v>100912</v>
      </c>
      <c r="C515" s="64">
        <v>46091</v>
      </c>
      <c r="D515" s="65">
        <v>0.62777777777777777</v>
      </c>
      <c r="E515" s="63"/>
      <c r="F515" s="66" t="s">
        <v>1659</v>
      </c>
      <c r="G515" s="66" t="s">
        <v>1660</v>
      </c>
      <c r="H515" s="64">
        <v>46091</v>
      </c>
      <c r="I515" s="65">
        <v>0.6333333333333333</v>
      </c>
      <c r="J515" s="63" t="s">
        <v>767</v>
      </c>
      <c r="K515" s="66" t="s">
        <v>142</v>
      </c>
      <c r="L515" s="70" t="s">
        <v>976</v>
      </c>
      <c r="M515" s="66">
        <v>50</v>
      </c>
      <c r="N515" s="66">
        <v>2</v>
      </c>
      <c r="O515" s="215">
        <v>7250000</v>
      </c>
      <c r="P515" s="64">
        <v>46093</v>
      </c>
      <c r="Q515" s="63"/>
      <c r="R515" s="63"/>
    </row>
    <row r="516" spans="1:18" ht="13.5" thickBot="1">
      <c r="A516" s="146"/>
      <c r="B516" s="37">
        <v>1388988</v>
      </c>
      <c r="C516" s="38">
        <v>46105</v>
      </c>
      <c r="D516" s="39">
        <v>0.68125000000000002</v>
      </c>
      <c r="E516" s="41"/>
      <c r="F516" s="37" t="s">
        <v>1661</v>
      </c>
      <c r="G516" s="37" t="s">
        <v>1662</v>
      </c>
      <c r="H516" s="38">
        <v>46106</v>
      </c>
      <c r="I516" s="39">
        <v>0.34583333333333333</v>
      </c>
      <c r="J516" s="41" t="s">
        <v>30</v>
      </c>
      <c r="K516" s="37" t="s">
        <v>80</v>
      </c>
      <c r="L516" s="40" t="s">
        <v>212</v>
      </c>
      <c r="M516" s="37">
        <v>100</v>
      </c>
      <c r="N516" s="37">
        <v>4</v>
      </c>
      <c r="O516" s="147">
        <v>2173000</v>
      </c>
      <c r="P516" s="38">
        <v>46115</v>
      </c>
      <c r="Q516" s="41"/>
      <c r="R516" s="41"/>
    </row>
    <row r="517" spans="1:18" ht="13.5" thickBot="1">
      <c r="A517" s="146"/>
      <c r="B517" s="37">
        <v>1389465</v>
      </c>
      <c r="C517" s="38">
        <v>46106</v>
      </c>
      <c r="D517" s="39">
        <v>0.37916666666666665</v>
      </c>
      <c r="E517" s="41"/>
      <c r="F517" s="37" t="s">
        <v>1663</v>
      </c>
      <c r="G517" s="37" t="s">
        <v>1664</v>
      </c>
      <c r="H517" s="38">
        <v>46106</v>
      </c>
      <c r="I517" s="39">
        <v>0.4152777777777778</v>
      </c>
      <c r="J517" s="41" t="s">
        <v>30</v>
      </c>
      <c r="K517" s="37" t="s">
        <v>79</v>
      </c>
      <c r="L517" s="40" t="s">
        <v>158</v>
      </c>
      <c r="M517" s="37">
        <v>125</v>
      </c>
      <c r="N517" s="37">
        <v>5</v>
      </c>
      <c r="O517" s="147">
        <v>4862000</v>
      </c>
      <c r="P517" s="38">
        <v>46113</v>
      </c>
      <c r="Q517" s="41"/>
      <c r="R517" s="41"/>
    </row>
    <row r="518" spans="1:18" ht="38" thickBot="1">
      <c r="A518" s="146"/>
      <c r="B518" s="37" t="s">
        <v>1665</v>
      </c>
      <c r="C518" s="38">
        <v>46108</v>
      </c>
      <c r="D518" s="39">
        <v>0.64097222222222228</v>
      </c>
      <c r="E518" s="41"/>
      <c r="F518" s="37" t="s">
        <v>1666</v>
      </c>
      <c r="G518" s="37" t="s">
        <v>1667</v>
      </c>
      <c r="H518" s="38">
        <v>46106</v>
      </c>
      <c r="I518" s="39">
        <v>0.69444444444444442</v>
      </c>
      <c r="J518" s="41" t="s">
        <v>386</v>
      </c>
      <c r="K518" s="37" t="s">
        <v>79</v>
      </c>
      <c r="L518" s="40" t="s">
        <v>194</v>
      </c>
      <c r="M518" s="37">
        <v>1000</v>
      </c>
      <c r="N518" s="37">
        <v>40</v>
      </c>
      <c r="O518" s="147">
        <v>19500000</v>
      </c>
      <c r="P518" s="38">
        <v>46112</v>
      </c>
      <c r="Q518" s="41"/>
      <c r="R518" s="41"/>
    </row>
    <row r="519" spans="1:18" ht="38" thickBot="1">
      <c r="A519" s="146"/>
      <c r="B519" s="37" t="s">
        <v>1668</v>
      </c>
      <c r="C519" s="38">
        <v>46108</v>
      </c>
      <c r="D519" s="39">
        <v>0.75069444444444444</v>
      </c>
      <c r="E519" s="41"/>
      <c r="F519" s="37" t="s">
        <v>1669</v>
      </c>
      <c r="G519" s="37" t="s">
        <v>1670</v>
      </c>
      <c r="H519" s="38">
        <v>46111</v>
      </c>
      <c r="I519" s="39">
        <v>0.3125</v>
      </c>
      <c r="J519" s="41" t="s">
        <v>386</v>
      </c>
      <c r="K519" s="37" t="s">
        <v>76</v>
      </c>
      <c r="L519" s="40" t="s">
        <v>676</v>
      </c>
      <c r="M519" s="37">
        <v>200</v>
      </c>
      <c r="N519" s="37">
        <v>8</v>
      </c>
      <c r="O519" s="147">
        <v>8100000</v>
      </c>
      <c r="P519" s="38">
        <v>46112</v>
      </c>
      <c r="Q519" s="41"/>
      <c r="R519" s="41"/>
    </row>
    <row r="520" spans="1:18" ht="38" thickBot="1">
      <c r="A520" s="146"/>
      <c r="B520" s="37" t="s">
        <v>1668</v>
      </c>
      <c r="C520" s="38">
        <v>46108</v>
      </c>
      <c r="D520" s="39">
        <v>0.75069444444444444</v>
      </c>
      <c r="E520" s="41"/>
      <c r="F520" s="37" t="s">
        <v>1669</v>
      </c>
      <c r="G520" s="37" t="s">
        <v>1670</v>
      </c>
      <c r="H520" s="38">
        <v>46111</v>
      </c>
      <c r="I520" s="39">
        <v>0.3125</v>
      </c>
      <c r="J520" s="41" t="s">
        <v>386</v>
      </c>
      <c r="K520" s="37" t="s">
        <v>76</v>
      </c>
      <c r="L520" s="40" t="s">
        <v>111</v>
      </c>
      <c r="M520" s="37">
        <v>300</v>
      </c>
      <c r="N520" s="37">
        <v>12</v>
      </c>
      <c r="O520" s="147">
        <v>7890000</v>
      </c>
      <c r="P520" s="38">
        <v>46112</v>
      </c>
      <c r="Q520" s="41"/>
      <c r="R520" s="41"/>
    </row>
    <row r="521" spans="1:18" ht="38" thickBot="1">
      <c r="A521" s="146"/>
      <c r="B521" s="37" t="s">
        <v>1668</v>
      </c>
      <c r="C521" s="38">
        <v>46108</v>
      </c>
      <c r="D521" s="39">
        <v>0.75069444444444444</v>
      </c>
      <c r="E521" s="41"/>
      <c r="F521" s="37" t="s">
        <v>1669</v>
      </c>
      <c r="G521" s="37" t="s">
        <v>1670</v>
      </c>
      <c r="H521" s="38">
        <v>46111</v>
      </c>
      <c r="I521" s="39">
        <v>0.3125</v>
      </c>
      <c r="J521" s="41" t="s">
        <v>386</v>
      </c>
      <c r="K521" s="37" t="s">
        <v>76</v>
      </c>
      <c r="L521" s="40" t="s">
        <v>773</v>
      </c>
      <c r="M521" s="37">
        <v>1500</v>
      </c>
      <c r="N521" s="37">
        <v>60</v>
      </c>
      <c r="O521" s="147">
        <v>24000000</v>
      </c>
      <c r="P521" s="38">
        <v>46112</v>
      </c>
      <c r="Q521" s="41"/>
      <c r="R521" s="41"/>
    </row>
    <row r="522" spans="1:18" ht="13.5" thickBot="1">
      <c r="A522" s="146"/>
      <c r="B522" s="37">
        <v>359774</v>
      </c>
      <c r="C522" s="38">
        <v>46111</v>
      </c>
      <c r="D522" s="39">
        <v>0.43055555555555558</v>
      </c>
      <c r="E522" s="41"/>
      <c r="F522" s="37" t="s">
        <v>1671</v>
      </c>
      <c r="G522" s="37" t="s">
        <v>1672</v>
      </c>
      <c r="H522" s="38">
        <v>46111</v>
      </c>
      <c r="I522" s="39">
        <v>0.43333333333333335</v>
      </c>
      <c r="J522" s="41" t="s">
        <v>179</v>
      </c>
      <c r="K522" s="37" t="s">
        <v>78</v>
      </c>
      <c r="L522" s="40" t="s">
        <v>590</v>
      </c>
      <c r="M522" s="37">
        <v>63</v>
      </c>
      <c r="N522" s="37">
        <v>3</v>
      </c>
      <c r="O522" s="147">
        <v>2691000</v>
      </c>
      <c r="P522" s="38">
        <v>46111</v>
      </c>
      <c r="Q522" s="41"/>
      <c r="R522" s="41"/>
    </row>
    <row r="523" spans="1:18" ht="13.5" thickBot="1">
      <c r="A523" s="146"/>
      <c r="B523" s="37">
        <v>359774</v>
      </c>
      <c r="C523" s="38">
        <v>46111</v>
      </c>
      <c r="D523" s="39">
        <v>0.43055555555555558</v>
      </c>
      <c r="E523" s="41"/>
      <c r="F523" s="37" t="s">
        <v>1673</v>
      </c>
      <c r="G523" s="37" t="s">
        <v>1674</v>
      </c>
      <c r="H523" s="38">
        <v>46111</v>
      </c>
      <c r="I523" s="39">
        <v>0.47986111111111113</v>
      </c>
      <c r="J523" s="41" t="s">
        <v>179</v>
      </c>
      <c r="K523" s="37" t="s">
        <v>78</v>
      </c>
      <c r="L523" s="40" t="s">
        <v>912</v>
      </c>
      <c r="M523" s="37">
        <v>1</v>
      </c>
      <c r="N523" s="37">
        <v>0</v>
      </c>
      <c r="O523" s="37">
        <v>0</v>
      </c>
      <c r="P523" s="38">
        <v>46111</v>
      </c>
      <c r="Q523" s="41"/>
      <c r="R523" s="41"/>
    </row>
    <row r="524" spans="1:18" ht="13.5" thickBot="1">
      <c r="A524" s="146"/>
      <c r="B524" s="41"/>
      <c r="C524" s="38">
        <v>46111</v>
      </c>
      <c r="D524" s="39">
        <v>0.66527777777777775</v>
      </c>
      <c r="E524" s="41"/>
      <c r="F524" s="37" t="s">
        <v>1675</v>
      </c>
      <c r="G524" s="37" t="s">
        <v>1676</v>
      </c>
      <c r="H524" s="38">
        <v>46111</v>
      </c>
      <c r="I524" s="39">
        <v>0.68333333333333335</v>
      </c>
      <c r="J524" s="41" t="s">
        <v>1030</v>
      </c>
      <c r="K524" s="37" t="s">
        <v>366</v>
      </c>
      <c r="L524" s="40" t="s">
        <v>221</v>
      </c>
      <c r="M524" s="37">
        <v>10</v>
      </c>
      <c r="N524" s="37">
        <v>0</v>
      </c>
      <c r="O524" s="147">
        <v>2500000</v>
      </c>
      <c r="P524" s="38">
        <v>46112</v>
      </c>
      <c r="Q524" s="41"/>
      <c r="R524" s="41"/>
    </row>
    <row r="525" spans="1:18" ht="13.5" thickBot="1">
      <c r="A525" s="146"/>
      <c r="B525" s="41"/>
      <c r="C525" s="38">
        <v>46112</v>
      </c>
      <c r="D525" s="39">
        <v>0.4375</v>
      </c>
      <c r="E525" s="41"/>
      <c r="F525" s="37" t="s">
        <v>1677</v>
      </c>
      <c r="G525" s="37" t="s">
        <v>1678</v>
      </c>
      <c r="H525" s="38">
        <v>46112</v>
      </c>
      <c r="I525" s="39">
        <v>0.43888888888888888</v>
      </c>
      <c r="J525" s="41" t="s">
        <v>1679</v>
      </c>
      <c r="K525" s="37" t="s">
        <v>821</v>
      </c>
      <c r="L525" s="40" t="s">
        <v>590</v>
      </c>
      <c r="M525" s="37">
        <v>10</v>
      </c>
      <c r="N525" s="37">
        <v>0</v>
      </c>
      <c r="O525" s="147">
        <v>500000</v>
      </c>
      <c r="P525" s="38">
        <v>46112</v>
      </c>
      <c r="Q525" s="41"/>
      <c r="R525" s="41"/>
    </row>
    <row r="526" spans="1:18" ht="13.5" thickBot="1">
      <c r="A526" s="214" t="s">
        <v>725</v>
      </c>
      <c r="B526" s="63"/>
      <c r="C526" s="64">
        <v>46107</v>
      </c>
      <c r="D526" s="65">
        <v>0.54861111111111116</v>
      </c>
      <c r="E526" s="63"/>
      <c r="F526" s="66" t="s">
        <v>1680</v>
      </c>
      <c r="G526" s="63"/>
      <c r="H526" s="64">
        <v>46107</v>
      </c>
      <c r="I526" s="65">
        <v>0.5625</v>
      </c>
      <c r="J526" s="63" t="s">
        <v>783</v>
      </c>
      <c r="K526" s="66" t="s">
        <v>78</v>
      </c>
      <c r="L526" s="70" t="s">
        <v>1681</v>
      </c>
      <c r="M526" s="66">
        <v>10</v>
      </c>
      <c r="N526" s="66">
        <v>0</v>
      </c>
      <c r="O526" s="215">
        <v>700000</v>
      </c>
      <c r="P526" s="64">
        <v>46108</v>
      </c>
      <c r="Q526" s="63"/>
      <c r="R526" s="63"/>
    </row>
    <row r="527" spans="1:18" ht="13.5" thickBot="1">
      <c r="A527" s="214" t="s">
        <v>725</v>
      </c>
      <c r="B527" s="66" t="s">
        <v>1682</v>
      </c>
      <c r="C527" s="64">
        <v>46107</v>
      </c>
      <c r="D527" s="65">
        <v>0.73541666666666672</v>
      </c>
      <c r="E527" s="63"/>
      <c r="F527" s="66" t="s">
        <v>1683</v>
      </c>
      <c r="G527" s="63"/>
      <c r="H527" s="64">
        <v>46108</v>
      </c>
      <c r="I527" s="65">
        <v>0.41805555555555557</v>
      </c>
      <c r="J527" s="63" t="s">
        <v>783</v>
      </c>
      <c r="K527" s="66" t="s">
        <v>78</v>
      </c>
      <c r="L527" s="70" t="s">
        <v>111</v>
      </c>
      <c r="M527" s="66">
        <v>75</v>
      </c>
      <c r="N527" s="66">
        <v>3</v>
      </c>
      <c r="O527" s="215">
        <v>1912500</v>
      </c>
      <c r="P527" s="64">
        <v>46109</v>
      </c>
      <c r="Q527" s="63"/>
      <c r="R527" s="63"/>
    </row>
  </sheetData>
  <autoFilter ref="A1:P527" xr:uid="{CB720E87-E30D-4A30-BE9D-4D3E780EBDFF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356"/>
  <sheetViews>
    <sheetView topLeftCell="A336" workbookViewId="0">
      <selection activeCell="E342" sqref="E342"/>
    </sheetView>
  </sheetViews>
  <sheetFormatPr baseColWidth="10" defaultRowHeight="13"/>
  <cols>
    <col min="1" max="1" width="17" bestFit="1" customWidth="1"/>
    <col min="2" max="2" width="21.5" bestFit="1" customWidth="1"/>
    <col min="3" max="122" width="6" bestFit="1" customWidth="1"/>
    <col min="123" max="125" width="12.3984375" bestFit="1" customWidth="1"/>
    <col min="126" max="126" width="9.59765625" bestFit="1" customWidth="1"/>
    <col min="127" max="127" width="11.09765625" bestFit="1" customWidth="1"/>
    <col min="128" max="128" width="16.8984375" bestFit="1" customWidth="1"/>
    <col min="129" max="130" width="14.59765625" bestFit="1" customWidth="1"/>
    <col min="131" max="132" width="9" bestFit="1" customWidth="1"/>
    <col min="133" max="133" width="10.3984375" bestFit="1" customWidth="1"/>
    <col min="134" max="135" width="10.69921875" bestFit="1" customWidth="1"/>
    <col min="136" max="136" width="12.296875" bestFit="1" customWidth="1"/>
    <col min="137" max="137" width="7.296875" bestFit="1" customWidth="1"/>
    <col min="138" max="138" width="15.296875" bestFit="1" customWidth="1"/>
    <col min="139" max="140" width="10.09765625" bestFit="1" customWidth="1"/>
    <col min="141" max="142" width="11.8984375" bestFit="1" customWidth="1"/>
    <col min="143" max="143" width="9.59765625" bestFit="1" customWidth="1"/>
    <col min="144" max="144" width="9.69921875" bestFit="1" customWidth="1"/>
    <col min="145" max="145" width="9.59765625" bestFit="1" customWidth="1"/>
    <col min="146" max="146" width="11.09765625" bestFit="1" customWidth="1"/>
  </cols>
  <sheetData>
    <row r="3" spans="1:2">
      <c r="A3" s="73" t="s">
        <v>0</v>
      </c>
      <c r="B3" t="s">
        <v>373</v>
      </c>
    </row>
    <row r="4" spans="1:2">
      <c r="A4" s="36" t="s">
        <v>299</v>
      </c>
      <c r="B4">
        <v>1</v>
      </c>
    </row>
    <row r="5" spans="1:2">
      <c r="A5" s="36" t="s">
        <v>822</v>
      </c>
      <c r="B5">
        <v>1</v>
      </c>
    </row>
    <row r="6" spans="1:2">
      <c r="A6" s="36" t="s">
        <v>825</v>
      </c>
      <c r="B6">
        <v>1</v>
      </c>
    </row>
    <row r="7" spans="1:2">
      <c r="A7" s="36" t="s">
        <v>826</v>
      </c>
      <c r="B7">
        <v>1</v>
      </c>
    </row>
    <row r="8" spans="1:2">
      <c r="A8" s="36" t="s">
        <v>827</v>
      </c>
      <c r="B8">
        <v>1</v>
      </c>
    </row>
    <row r="9" spans="1:2">
      <c r="A9" s="36" t="s">
        <v>829</v>
      </c>
      <c r="B9">
        <v>1</v>
      </c>
    </row>
    <row r="10" spans="1:2">
      <c r="A10" s="36" t="s">
        <v>832</v>
      </c>
      <c r="B10">
        <v>1</v>
      </c>
    </row>
    <row r="11" spans="1:2">
      <c r="A11" s="36" t="s">
        <v>833</v>
      </c>
      <c r="B11">
        <v>1</v>
      </c>
    </row>
    <row r="12" spans="1:2">
      <c r="A12" s="36" t="s">
        <v>834</v>
      </c>
      <c r="B12">
        <v>1</v>
      </c>
    </row>
    <row r="13" spans="1:2">
      <c r="A13" s="36" t="s">
        <v>835</v>
      </c>
      <c r="B13">
        <v>1</v>
      </c>
    </row>
    <row r="14" spans="1:2">
      <c r="A14" s="36" t="s">
        <v>840</v>
      </c>
      <c r="B14">
        <v>1</v>
      </c>
    </row>
    <row r="15" spans="1:2">
      <c r="A15" s="36" t="s">
        <v>842</v>
      </c>
      <c r="B15">
        <v>1</v>
      </c>
    </row>
    <row r="16" spans="1:2">
      <c r="A16" s="36" t="s">
        <v>845</v>
      </c>
      <c r="B16">
        <v>2</v>
      </c>
    </row>
    <row r="17" spans="1:2">
      <c r="A17" s="36" t="s">
        <v>848</v>
      </c>
      <c r="B17">
        <v>1</v>
      </c>
    </row>
    <row r="18" spans="1:2">
      <c r="A18" s="36" t="s">
        <v>850</v>
      </c>
      <c r="B18">
        <v>1</v>
      </c>
    </row>
    <row r="19" spans="1:2">
      <c r="A19" s="36" t="s">
        <v>852</v>
      </c>
      <c r="B19">
        <v>3</v>
      </c>
    </row>
    <row r="20" spans="1:2">
      <c r="A20" s="36" t="s">
        <v>855</v>
      </c>
      <c r="B20">
        <v>2</v>
      </c>
    </row>
    <row r="21" spans="1:2">
      <c r="A21" s="36" t="s">
        <v>858</v>
      </c>
      <c r="B21">
        <v>1</v>
      </c>
    </row>
    <row r="22" spans="1:2">
      <c r="A22" s="36" t="s">
        <v>860</v>
      </c>
      <c r="B22">
        <v>1</v>
      </c>
    </row>
    <row r="23" spans="1:2">
      <c r="A23" s="36" t="s">
        <v>862</v>
      </c>
      <c r="B23">
        <v>1</v>
      </c>
    </row>
    <row r="24" spans="1:2">
      <c r="A24" s="36" t="s">
        <v>865</v>
      </c>
      <c r="B24">
        <v>3</v>
      </c>
    </row>
    <row r="25" spans="1:2">
      <c r="A25" s="36" t="s">
        <v>868</v>
      </c>
      <c r="B25">
        <v>2</v>
      </c>
    </row>
    <row r="26" spans="1:2">
      <c r="A26" s="36" t="s">
        <v>870</v>
      </c>
      <c r="B26">
        <v>1</v>
      </c>
    </row>
    <row r="27" spans="1:2">
      <c r="A27" s="36" t="s">
        <v>873</v>
      </c>
      <c r="B27">
        <v>2</v>
      </c>
    </row>
    <row r="28" spans="1:2">
      <c r="A28" s="36" t="s">
        <v>878</v>
      </c>
      <c r="B28">
        <v>1</v>
      </c>
    </row>
    <row r="29" spans="1:2">
      <c r="A29" s="36" t="s">
        <v>882</v>
      </c>
      <c r="B29">
        <v>1</v>
      </c>
    </row>
    <row r="30" spans="1:2">
      <c r="A30" s="36" t="s">
        <v>886</v>
      </c>
      <c r="B30">
        <v>1</v>
      </c>
    </row>
    <row r="31" spans="1:2">
      <c r="A31" s="36" t="s">
        <v>890</v>
      </c>
      <c r="B31">
        <v>1</v>
      </c>
    </row>
    <row r="32" spans="1:2">
      <c r="A32" s="36" t="s">
        <v>893</v>
      </c>
      <c r="B32">
        <v>1</v>
      </c>
    </row>
    <row r="33" spans="1:2">
      <c r="A33" s="36" t="s">
        <v>895</v>
      </c>
      <c r="B33">
        <v>1</v>
      </c>
    </row>
    <row r="34" spans="1:2">
      <c r="A34" s="36" t="s">
        <v>897</v>
      </c>
      <c r="B34">
        <v>3</v>
      </c>
    </row>
    <row r="35" spans="1:2">
      <c r="A35" s="36" t="s">
        <v>901</v>
      </c>
      <c r="B35">
        <v>1</v>
      </c>
    </row>
    <row r="36" spans="1:2">
      <c r="A36" s="36" t="s">
        <v>903</v>
      </c>
      <c r="B36">
        <v>2</v>
      </c>
    </row>
    <row r="37" spans="1:2">
      <c r="A37" s="36" t="s">
        <v>906</v>
      </c>
      <c r="B37">
        <v>5</v>
      </c>
    </row>
    <row r="38" spans="1:2">
      <c r="A38" s="36" t="s">
        <v>908</v>
      </c>
      <c r="B38">
        <v>2</v>
      </c>
    </row>
    <row r="39" spans="1:2">
      <c r="A39" s="36" t="s">
        <v>910</v>
      </c>
      <c r="B39">
        <v>1</v>
      </c>
    </row>
    <row r="40" spans="1:2">
      <c r="A40" s="36" t="s">
        <v>913</v>
      </c>
      <c r="B40">
        <v>1</v>
      </c>
    </row>
    <row r="41" spans="1:2">
      <c r="A41" s="36" t="s">
        <v>916</v>
      </c>
      <c r="B41">
        <v>2</v>
      </c>
    </row>
    <row r="42" spans="1:2">
      <c r="A42" s="36" t="s">
        <v>919</v>
      </c>
      <c r="B42">
        <v>1</v>
      </c>
    </row>
    <row r="43" spans="1:2">
      <c r="A43" s="36" t="s">
        <v>921</v>
      </c>
      <c r="B43">
        <v>1</v>
      </c>
    </row>
    <row r="44" spans="1:2">
      <c r="A44" s="36" t="s">
        <v>923</v>
      </c>
      <c r="B44">
        <v>1</v>
      </c>
    </row>
    <row r="45" spans="1:2">
      <c r="A45" s="36" t="s">
        <v>926</v>
      </c>
      <c r="B45">
        <v>1</v>
      </c>
    </row>
    <row r="46" spans="1:2">
      <c r="A46" s="36" t="s">
        <v>928</v>
      </c>
      <c r="B46">
        <v>1</v>
      </c>
    </row>
    <row r="47" spans="1:2">
      <c r="A47" s="36" t="s">
        <v>930</v>
      </c>
      <c r="B47">
        <v>1</v>
      </c>
    </row>
    <row r="48" spans="1:2">
      <c r="A48" s="36" t="s">
        <v>933</v>
      </c>
      <c r="B48">
        <v>2</v>
      </c>
    </row>
    <row r="49" spans="1:2">
      <c r="A49" s="36" t="s">
        <v>936</v>
      </c>
      <c r="B49">
        <v>1</v>
      </c>
    </row>
    <row r="50" spans="1:2">
      <c r="A50" s="36" t="s">
        <v>940</v>
      </c>
      <c r="B50">
        <v>1</v>
      </c>
    </row>
    <row r="51" spans="1:2">
      <c r="A51" s="36" t="s">
        <v>943</v>
      </c>
      <c r="B51">
        <v>1</v>
      </c>
    </row>
    <row r="52" spans="1:2">
      <c r="A52" s="36" t="s">
        <v>946</v>
      </c>
      <c r="B52">
        <v>1</v>
      </c>
    </row>
    <row r="53" spans="1:2">
      <c r="A53" s="36" t="s">
        <v>949</v>
      </c>
      <c r="B53">
        <v>3</v>
      </c>
    </row>
    <row r="54" spans="1:2">
      <c r="A54" s="36" t="s">
        <v>951</v>
      </c>
      <c r="B54">
        <v>1</v>
      </c>
    </row>
    <row r="55" spans="1:2">
      <c r="A55" s="36" t="s">
        <v>955</v>
      </c>
      <c r="B55">
        <v>6</v>
      </c>
    </row>
    <row r="56" spans="1:2">
      <c r="A56" s="36" t="s">
        <v>957</v>
      </c>
      <c r="B56">
        <v>1</v>
      </c>
    </row>
    <row r="57" spans="1:2">
      <c r="A57" s="36" t="s">
        <v>959</v>
      </c>
      <c r="B57">
        <v>1</v>
      </c>
    </row>
    <row r="58" spans="1:2">
      <c r="A58" s="36" t="s">
        <v>961</v>
      </c>
      <c r="B58">
        <v>2</v>
      </c>
    </row>
    <row r="59" spans="1:2">
      <c r="A59" s="36" t="s">
        <v>964</v>
      </c>
      <c r="B59">
        <v>1</v>
      </c>
    </row>
    <row r="60" spans="1:2">
      <c r="A60" s="36" t="s">
        <v>967</v>
      </c>
      <c r="B60">
        <v>1</v>
      </c>
    </row>
    <row r="61" spans="1:2">
      <c r="A61" s="36" t="s">
        <v>969</v>
      </c>
      <c r="B61">
        <v>1</v>
      </c>
    </row>
    <row r="62" spans="1:2">
      <c r="A62" s="36" t="s">
        <v>971</v>
      </c>
      <c r="B62">
        <v>1</v>
      </c>
    </row>
    <row r="63" spans="1:2">
      <c r="A63" s="36" t="s">
        <v>974</v>
      </c>
      <c r="B63">
        <v>1</v>
      </c>
    </row>
    <row r="64" spans="1:2">
      <c r="A64" s="36" t="s">
        <v>977</v>
      </c>
      <c r="B64">
        <v>1</v>
      </c>
    </row>
    <row r="65" spans="1:2">
      <c r="A65" s="36" t="s">
        <v>980</v>
      </c>
      <c r="B65">
        <v>1</v>
      </c>
    </row>
    <row r="66" spans="1:2">
      <c r="A66" s="36" t="s">
        <v>983</v>
      </c>
      <c r="B66">
        <v>1</v>
      </c>
    </row>
    <row r="67" spans="1:2">
      <c r="A67" s="36" t="s">
        <v>985</v>
      </c>
      <c r="B67">
        <v>4</v>
      </c>
    </row>
    <row r="68" spans="1:2">
      <c r="A68" s="36" t="s">
        <v>988</v>
      </c>
      <c r="B68">
        <v>1</v>
      </c>
    </row>
    <row r="69" spans="1:2">
      <c r="A69" s="36" t="s">
        <v>991</v>
      </c>
      <c r="B69">
        <v>1</v>
      </c>
    </row>
    <row r="70" spans="1:2">
      <c r="A70" s="36" t="s">
        <v>993</v>
      </c>
      <c r="B70">
        <v>1</v>
      </c>
    </row>
    <row r="71" spans="1:2">
      <c r="A71" s="36" t="s">
        <v>996</v>
      </c>
      <c r="B71">
        <v>1</v>
      </c>
    </row>
    <row r="72" spans="1:2">
      <c r="A72" s="36" t="s">
        <v>998</v>
      </c>
      <c r="B72">
        <v>2</v>
      </c>
    </row>
    <row r="73" spans="1:2">
      <c r="A73" s="36" t="s">
        <v>1000</v>
      </c>
      <c r="B73">
        <v>4</v>
      </c>
    </row>
    <row r="74" spans="1:2">
      <c r="A74" s="36" t="s">
        <v>1002</v>
      </c>
      <c r="B74">
        <v>2</v>
      </c>
    </row>
    <row r="75" spans="1:2">
      <c r="A75" s="36" t="s">
        <v>1005</v>
      </c>
      <c r="B75">
        <v>1</v>
      </c>
    </row>
    <row r="76" spans="1:2">
      <c r="A76" s="36" t="s">
        <v>1007</v>
      </c>
    </row>
    <row r="77" spans="1:2">
      <c r="A77" s="36" t="s">
        <v>1009</v>
      </c>
      <c r="B77">
        <v>2</v>
      </c>
    </row>
    <row r="78" spans="1:2">
      <c r="A78" s="36" t="s">
        <v>1014</v>
      </c>
      <c r="B78">
        <v>1</v>
      </c>
    </row>
    <row r="79" spans="1:2">
      <c r="A79" s="36" t="s">
        <v>1016</v>
      </c>
      <c r="B79">
        <v>3</v>
      </c>
    </row>
    <row r="80" spans="1:2">
      <c r="A80" s="36" t="s">
        <v>1019</v>
      </c>
      <c r="B80">
        <v>1</v>
      </c>
    </row>
    <row r="81" spans="1:2">
      <c r="A81" s="36" t="s">
        <v>1021</v>
      </c>
      <c r="B81">
        <v>1</v>
      </c>
    </row>
    <row r="82" spans="1:2">
      <c r="A82" s="36" t="s">
        <v>1024</v>
      </c>
      <c r="B82">
        <v>1</v>
      </c>
    </row>
    <row r="83" spans="1:2">
      <c r="A83" s="36" t="s">
        <v>1026</v>
      </c>
      <c r="B83">
        <v>1</v>
      </c>
    </row>
    <row r="84" spans="1:2">
      <c r="A84" s="36" t="s">
        <v>1028</v>
      </c>
      <c r="B84">
        <v>2</v>
      </c>
    </row>
    <row r="85" spans="1:2">
      <c r="A85" s="36" t="s">
        <v>1032</v>
      </c>
      <c r="B85">
        <v>1</v>
      </c>
    </row>
    <row r="86" spans="1:2">
      <c r="A86" s="36" t="s">
        <v>1035</v>
      </c>
      <c r="B86">
        <v>1</v>
      </c>
    </row>
    <row r="87" spans="1:2">
      <c r="A87" s="36" t="s">
        <v>1037</v>
      </c>
      <c r="B87">
        <v>1</v>
      </c>
    </row>
    <row r="88" spans="1:2">
      <c r="A88" s="36" t="s">
        <v>1039</v>
      </c>
      <c r="B88">
        <v>1</v>
      </c>
    </row>
    <row r="89" spans="1:2">
      <c r="A89" s="36" t="s">
        <v>1042</v>
      </c>
      <c r="B89">
        <v>2</v>
      </c>
    </row>
    <row r="90" spans="1:2">
      <c r="A90" s="36" t="s">
        <v>1044</v>
      </c>
      <c r="B90">
        <v>1</v>
      </c>
    </row>
    <row r="91" spans="1:2">
      <c r="A91" s="36" t="s">
        <v>1047</v>
      </c>
      <c r="B91">
        <v>1</v>
      </c>
    </row>
    <row r="92" spans="1:2">
      <c r="A92" s="36" t="s">
        <v>1050</v>
      </c>
      <c r="B92">
        <v>2</v>
      </c>
    </row>
    <row r="93" spans="1:2">
      <c r="A93" s="36" t="s">
        <v>1053</v>
      </c>
      <c r="B93">
        <v>2</v>
      </c>
    </row>
    <row r="94" spans="1:2">
      <c r="A94" s="36" t="s">
        <v>1056</v>
      </c>
      <c r="B94">
        <v>1</v>
      </c>
    </row>
    <row r="95" spans="1:2">
      <c r="A95" s="36" t="s">
        <v>1058</v>
      </c>
      <c r="B95">
        <v>1</v>
      </c>
    </row>
    <row r="96" spans="1:2">
      <c r="A96" s="36" t="s">
        <v>1060</v>
      </c>
      <c r="B96">
        <v>1</v>
      </c>
    </row>
    <row r="97" spans="1:2">
      <c r="A97" s="36" t="s">
        <v>1062</v>
      </c>
      <c r="B97">
        <v>2</v>
      </c>
    </row>
    <row r="98" spans="1:2">
      <c r="A98" s="36" t="s">
        <v>1064</v>
      </c>
      <c r="B98">
        <v>1</v>
      </c>
    </row>
    <row r="99" spans="1:2">
      <c r="A99" s="36" t="s">
        <v>1066</v>
      </c>
      <c r="B99">
        <v>1</v>
      </c>
    </row>
    <row r="100" spans="1:2">
      <c r="A100" s="36" t="s">
        <v>1068</v>
      </c>
      <c r="B100">
        <v>1</v>
      </c>
    </row>
    <row r="101" spans="1:2">
      <c r="A101" s="36" t="s">
        <v>1070</v>
      </c>
      <c r="B101">
        <v>3</v>
      </c>
    </row>
    <row r="102" spans="1:2">
      <c r="A102" s="36" t="s">
        <v>1072</v>
      </c>
      <c r="B102">
        <v>3</v>
      </c>
    </row>
    <row r="103" spans="1:2">
      <c r="A103" s="36" t="s">
        <v>1074</v>
      </c>
      <c r="B103">
        <v>1</v>
      </c>
    </row>
    <row r="104" spans="1:2">
      <c r="A104" s="36" t="s">
        <v>1076</v>
      </c>
      <c r="B104">
        <v>1</v>
      </c>
    </row>
    <row r="105" spans="1:2">
      <c r="A105" s="36" t="s">
        <v>1078</v>
      </c>
      <c r="B105">
        <v>1</v>
      </c>
    </row>
    <row r="106" spans="1:2">
      <c r="A106" s="36" t="s">
        <v>1080</v>
      </c>
      <c r="B106">
        <v>1</v>
      </c>
    </row>
    <row r="107" spans="1:2">
      <c r="A107" s="36" t="s">
        <v>1082</v>
      </c>
      <c r="B107">
        <v>1</v>
      </c>
    </row>
    <row r="108" spans="1:2">
      <c r="A108" s="36" t="s">
        <v>1085</v>
      </c>
      <c r="B108">
        <v>1</v>
      </c>
    </row>
    <row r="109" spans="1:2">
      <c r="A109" s="36" t="s">
        <v>1087</v>
      </c>
      <c r="B109">
        <v>1</v>
      </c>
    </row>
    <row r="110" spans="1:2">
      <c r="A110" s="36" t="s">
        <v>1089</v>
      </c>
      <c r="B110">
        <v>1</v>
      </c>
    </row>
    <row r="111" spans="1:2">
      <c r="A111" s="36" t="s">
        <v>1091</v>
      </c>
      <c r="B111">
        <v>1</v>
      </c>
    </row>
    <row r="112" spans="1:2">
      <c r="A112" s="36" t="s">
        <v>1093</v>
      </c>
      <c r="B112">
        <v>1</v>
      </c>
    </row>
    <row r="113" spans="1:2">
      <c r="A113" s="36" t="s">
        <v>1095</v>
      </c>
      <c r="B113">
        <v>1</v>
      </c>
    </row>
    <row r="114" spans="1:2">
      <c r="A114" s="36" t="s">
        <v>1097</v>
      </c>
      <c r="B114">
        <v>1</v>
      </c>
    </row>
    <row r="115" spans="1:2">
      <c r="A115" s="36" t="s">
        <v>1099</v>
      </c>
      <c r="B115">
        <v>1</v>
      </c>
    </row>
    <row r="116" spans="1:2">
      <c r="A116" s="36" t="s">
        <v>1102</v>
      </c>
      <c r="B116">
        <v>1</v>
      </c>
    </row>
    <row r="117" spans="1:2">
      <c r="A117" s="36" t="s">
        <v>1104</v>
      </c>
      <c r="B117">
        <v>1</v>
      </c>
    </row>
    <row r="118" spans="1:2">
      <c r="A118" s="36" t="s">
        <v>1111</v>
      </c>
      <c r="B118">
        <v>3</v>
      </c>
    </row>
    <row r="119" spans="1:2">
      <c r="A119" s="36" t="s">
        <v>1113</v>
      </c>
      <c r="B119">
        <v>1</v>
      </c>
    </row>
    <row r="120" spans="1:2">
      <c r="A120" s="36" t="s">
        <v>1115</v>
      </c>
      <c r="B120">
        <v>1</v>
      </c>
    </row>
    <row r="121" spans="1:2">
      <c r="A121" s="36" t="s">
        <v>1117</v>
      </c>
      <c r="B121">
        <v>2</v>
      </c>
    </row>
    <row r="122" spans="1:2">
      <c r="A122" s="36" t="s">
        <v>1119</v>
      </c>
      <c r="B122">
        <v>1</v>
      </c>
    </row>
    <row r="123" spans="1:2">
      <c r="A123" s="36" t="s">
        <v>1121</v>
      </c>
      <c r="B123">
        <v>1</v>
      </c>
    </row>
    <row r="124" spans="1:2">
      <c r="A124" s="36" t="s">
        <v>1123</v>
      </c>
      <c r="B124">
        <v>2</v>
      </c>
    </row>
    <row r="125" spans="1:2">
      <c r="A125" s="36" t="s">
        <v>1125</v>
      </c>
      <c r="B125">
        <v>1</v>
      </c>
    </row>
    <row r="126" spans="1:2">
      <c r="A126" s="36" t="s">
        <v>1128</v>
      </c>
      <c r="B126">
        <v>1</v>
      </c>
    </row>
    <row r="127" spans="1:2">
      <c r="A127" s="36" t="s">
        <v>1130</v>
      </c>
      <c r="B127">
        <v>5</v>
      </c>
    </row>
    <row r="128" spans="1:2">
      <c r="A128" s="36" t="s">
        <v>1134</v>
      </c>
      <c r="B128">
        <v>1</v>
      </c>
    </row>
    <row r="129" spans="1:2">
      <c r="A129" s="36" t="s">
        <v>1137</v>
      </c>
      <c r="B129">
        <v>1</v>
      </c>
    </row>
    <row r="130" spans="1:2">
      <c r="A130" s="36" t="s">
        <v>1140</v>
      </c>
      <c r="B130">
        <v>1</v>
      </c>
    </row>
    <row r="131" spans="1:2">
      <c r="A131" s="36" t="s">
        <v>1143</v>
      </c>
      <c r="B131">
        <v>1</v>
      </c>
    </row>
    <row r="132" spans="1:2">
      <c r="A132" s="36" t="s">
        <v>1145</v>
      </c>
      <c r="B132">
        <v>3</v>
      </c>
    </row>
    <row r="133" spans="1:2">
      <c r="A133" s="36" t="s">
        <v>1147</v>
      </c>
      <c r="B133">
        <v>1</v>
      </c>
    </row>
    <row r="134" spans="1:2">
      <c r="A134" s="36" t="s">
        <v>1149</v>
      </c>
      <c r="B134">
        <v>1</v>
      </c>
    </row>
    <row r="135" spans="1:2">
      <c r="A135" s="36" t="s">
        <v>1152</v>
      </c>
      <c r="B135">
        <v>1</v>
      </c>
    </row>
    <row r="136" spans="1:2">
      <c r="A136" s="36" t="s">
        <v>1154</v>
      </c>
      <c r="B136">
        <v>1</v>
      </c>
    </row>
    <row r="137" spans="1:2">
      <c r="A137" s="36" t="s">
        <v>1156</v>
      </c>
      <c r="B137">
        <v>1</v>
      </c>
    </row>
    <row r="138" spans="1:2">
      <c r="A138" s="36" t="s">
        <v>1158</v>
      </c>
      <c r="B138">
        <v>1</v>
      </c>
    </row>
    <row r="139" spans="1:2">
      <c r="A139" s="36" t="s">
        <v>1160</v>
      </c>
      <c r="B139">
        <v>1</v>
      </c>
    </row>
    <row r="140" spans="1:2">
      <c r="A140" s="36" t="s">
        <v>1162</v>
      </c>
      <c r="B140">
        <v>1</v>
      </c>
    </row>
    <row r="141" spans="1:2">
      <c r="A141" s="36" t="s">
        <v>1164</v>
      </c>
      <c r="B141">
        <v>2</v>
      </c>
    </row>
    <row r="142" spans="1:2">
      <c r="A142" s="36" t="s">
        <v>1166</v>
      </c>
      <c r="B142">
        <v>2</v>
      </c>
    </row>
    <row r="143" spans="1:2">
      <c r="A143" s="36" t="s">
        <v>1168</v>
      </c>
      <c r="B143">
        <v>1</v>
      </c>
    </row>
    <row r="144" spans="1:2">
      <c r="A144" s="36" t="s">
        <v>1170</v>
      </c>
      <c r="B144">
        <v>5</v>
      </c>
    </row>
    <row r="145" spans="1:2">
      <c r="A145" s="36" t="s">
        <v>1173</v>
      </c>
      <c r="B145">
        <v>1</v>
      </c>
    </row>
    <row r="146" spans="1:2">
      <c r="A146" s="36" t="s">
        <v>1175</v>
      </c>
      <c r="B146">
        <v>1</v>
      </c>
    </row>
    <row r="147" spans="1:2">
      <c r="A147" s="36" t="s">
        <v>1177</v>
      </c>
      <c r="B147">
        <v>1</v>
      </c>
    </row>
    <row r="148" spans="1:2">
      <c r="A148" s="36" t="s">
        <v>1180</v>
      </c>
      <c r="B148">
        <v>5</v>
      </c>
    </row>
    <row r="149" spans="1:2">
      <c r="A149" s="36" t="s">
        <v>1183</v>
      </c>
      <c r="B149">
        <v>1</v>
      </c>
    </row>
    <row r="150" spans="1:2">
      <c r="A150" s="36" t="s">
        <v>1185</v>
      </c>
      <c r="B150">
        <v>1</v>
      </c>
    </row>
    <row r="151" spans="1:2">
      <c r="A151" s="36" t="s">
        <v>1187</v>
      </c>
      <c r="B151">
        <v>1</v>
      </c>
    </row>
    <row r="152" spans="1:2">
      <c r="A152" s="36" t="s">
        <v>1189</v>
      </c>
      <c r="B152">
        <v>1</v>
      </c>
    </row>
    <row r="153" spans="1:2">
      <c r="A153" s="36" t="s">
        <v>1191</v>
      </c>
      <c r="B153">
        <v>1</v>
      </c>
    </row>
    <row r="154" spans="1:2">
      <c r="A154" s="36" t="s">
        <v>1196</v>
      </c>
      <c r="B154">
        <v>1</v>
      </c>
    </row>
    <row r="155" spans="1:2">
      <c r="A155" s="36" t="s">
        <v>1198</v>
      </c>
      <c r="B155">
        <v>1</v>
      </c>
    </row>
    <row r="156" spans="1:2">
      <c r="A156" s="36" t="s">
        <v>1200</v>
      </c>
      <c r="B156">
        <v>1</v>
      </c>
    </row>
    <row r="157" spans="1:2">
      <c r="A157" s="36" t="s">
        <v>1202</v>
      </c>
      <c r="B157">
        <v>1</v>
      </c>
    </row>
    <row r="158" spans="1:2">
      <c r="A158" s="36" t="s">
        <v>1204</v>
      </c>
      <c r="B158">
        <v>2</v>
      </c>
    </row>
    <row r="159" spans="1:2">
      <c r="A159" s="36" t="s">
        <v>1207</v>
      </c>
      <c r="B159">
        <v>3</v>
      </c>
    </row>
    <row r="160" spans="1:2">
      <c r="A160" s="36" t="s">
        <v>1209</v>
      </c>
      <c r="B160">
        <v>1</v>
      </c>
    </row>
    <row r="161" spans="1:2">
      <c r="A161" s="36" t="s">
        <v>1211</v>
      </c>
      <c r="B161">
        <v>1</v>
      </c>
    </row>
    <row r="162" spans="1:2">
      <c r="A162" s="36" t="s">
        <v>1213</v>
      </c>
      <c r="B162">
        <v>1</v>
      </c>
    </row>
    <row r="163" spans="1:2">
      <c r="A163" s="36" t="s">
        <v>1214</v>
      </c>
      <c r="B163">
        <v>1</v>
      </c>
    </row>
    <row r="164" spans="1:2">
      <c r="A164" s="36" t="s">
        <v>1216</v>
      </c>
      <c r="B164">
        <v>1</v>
      </c>
    </row>
    <row r="165" spans="1:2">
      <c r="A165" s="36" t="s">
        <v>1218</v>
      </c>
      <c r="B165">
        <v>1</v>
      </c>
    </row>
    <row r="166" spans="1:2">
      <c r="A166" s="36" t="s">
        <v>1220</v>
      </c>
      <c r="B166">
        <v>4</v>
      </c>
    </row>
    <row r="167" spans="1:2">
      <c r="A167" s="36" t="s">
        <v>1223</v>
      </c>
      <c r="B167">
        <v>2</v>
      </c>
    </row>
    <row r="168" spans="1:2">
      <c r="A168" s="36" t="s">
        <v>1225</v>
      </c>
      <c r="B168">
        <v>5</v>
      </c>
    </row>
    <row r="169" spans="1:2">
      <c r="A169" s="36" t="s">
        <v>1228</v>
      </c>
      <c r="B169">
        <v>1</v>
      </c>
    </row>
    <row r="170" spans="1:2">
      <c r="A170" s="36" t="s">
        <v>1230</v>
      </c>
      <c r="B170">
        <v>1</v>
      </c>
    </row>
    <row r="171" spans="1:2">
      <c r="A171" s="36" t="s">
        <v>1233</v>
      </c>
      <c r="B171">
        <v>1</v>
      </c>
    </row>
    <row r="172" spans="1:2">
      <c r="A172" s="36" t="s">
        <v>1236</v>
      </c>
      <c r="B172">
        <v>1</v>
      </c>
    </row>
    <row r="173" spans="1:2">
      <c r="A173" s="36" t="s">
        <v>1239</v>
      </c>
      <c r="B173">
        <v>1</v>
      </c>
    </row>
    <row r="174" spans="1:2">
      <c r="A174" s="36" t="s">
        <v>1241</v>
      </c>
      <c r="B174">
        <v>2</v>
      </c>
    </row>
    <row r="175" spans="1:2">
      <c r="A175" s="36" t="s">
        <v>1243</v>
      </c>
      <c r="B175">
        <v>1</v>
      </c>
    </row>
    <row r="176" spans="1:2">
      <c r="A176" s="36" t="s">
        <v>1246</v>
      </c>
      <c r="B176">
        <v>7</v>
      </c>
    </row>
    <row r="177" spans="1:2">
      <c r="A177" s="36" t="s">
        <v>1249</v>
      </c>
      <c r="B177">
        <v>1</v>
      </c>
    </row>
    <row r="178" spans="1:2">
      <c r="A178" s="36" t="s">
        <v>1251</v>
      </c>
      <c r="B178">
        <v>1</v>
      </c>
    </row>
    <row r="179" spans="1:2">
      <c r="A179" s="36" t="s">
        <v>1254</v>
      </c>
      <c r="B179">
        <v>1</v>
      </c>
    </row>
    <row r="180" spans="1:2">
      <c r="A180" s="36" t="s">
        <v>1256</v>
      </c>
      <c r="B180">
        <v>1</v>
      </c>
    </row>
    <row r="181" spans="1:2">
      <c r="A181" s="36" t="s">
        <v>1259</v>
      </c>
    </row>
    <row r="182" spans="1:2">
      <c r="A182" s="36" t="s">
        <v>1261</v>
      </c>
      <c r="B182">
        <v>1</v>
      </c>
    </row>
    <row r="183" spans="1:2">
      <c r="A183" s="36" t="s">
        <v>1263</v>
      </c>
      <c r="B183">
        <v>1</v>
      </c>
    </row>
    <row r="184" spans="1:2">
      <c r="A184" s="36" t="s">
        <v>1266</v>
      </c>
      <c r="B184">
        <v>4</v>
      </c>
    </row>
    <row r="185" spans="1:2">
      <c r="A185" s="36" t="s">
        <v>1268</v>
      </c>
      <c r="B185">
        <v>1</v>
      </c>
    </row>
    <row r="186" spans="1:2">
      <c r="A186" s="36" t="s">
        <v>1270</v>
      </c>
      <c r="B186">
        <v>1</v>
      </c>
    </row>
    <row r="187" spans="1:2">
      <c r="A187" s="36" t="s">
        <v>1273</v>
      </c>
      <c r="B187">
        <v>1</v>
      </c>
    </row>
    <row r="188" spans="1:2">
      <c r="A188" s="36" t="s">
        <v>1276</v>
      </c>
      <c r="B188">
        <v>1</v>
      </c>
    </row>
    <row r="189" spans="1:2">
      <c r="A189" s="36" t="s">
        <v>1281</v>
      </c>
      <c r="B189">
        <v>1</v>
      </c>
    </row>
    <row r="190" spans="1:2">
      <c r="A190" s="36" t="s">
        <v>1284</v>
      </c>
      <c r="B190">
        <v>1</v>
      </c>
    </row>
    <row r="191" spans="1:2">
      <c r="A191" s="36" t="s">
        <v>1287</v>
      </c>
      <c r="B191">
        <v>1</v>
      </c>
    </row>
    <row r="192" spans="1:2">
      <c r="A192" s="36" t="s">
        <v>1290</v>
      </c>
      <c r="B192">
        <v>1</v>
      </c>
    </row>
    <row r="193" spans="1:2">
      <c r="A193" s="36" t="s">
        <v>1292</v>
      </c>
      <c r="B193">
        <v>1</v>
      </c>
    </row>
    <row r="194" spans="1:2">
      <c r="A194" s="36" t="s">
        <v>1294</v>
      </c>
      <c r="B194">
        <v>1</v>
      </c>
    </row>
    <row r="195" spans="1:2">
      <c r="A195" s="36" t="s">
        <v>1295</v>
      </c>
      <c r="B195">
        <v>2</v>
      </c>
    </row>
    <row r="196" spans="1:2">
      <c r="A196" s="36" t="s">
        <v>1298</v>
      </c>
      <c r="B196">
        <v>1</v>
      </c>
    </row>
    <row r="197" spans="1:2">
      <c r="A197" s="36" t="s">
        <v>1301</v>
      </c>
      <c r="B197">
        <v>1</v>
      </c>
    </row>
    <row r="198" spans="1:2">
      <c r="A198" s="36" t="s">
        <v>1304</v>
      </c>
      <c r="B198">
        <v>2</v>
      </c>
    </row>
    <row r="199" spans="1:2">
      <c r="A199" s="36" t="s">
        <v>1306</v>
      </c>
      <c r="B199">
        <v>1</v>
      </c>
    </row>
    <row r="200" spans="1:2">
      <c r="A200" s="36" t="s">
        <v>1308</v>
      </c>
      <c r="B200">
        <v>1</v>
      </c>
    </row>
    <row r="201" spans="1:2">
      <c r="A201" s="36" t="s">
        <v>1310</v>
      </c>
      <c r="B201">
        <v>1</v>
      </c>
    </row>
    <row r="202" spans="1:2">
      <c r="A202" s="36" t="s">
        <v>1312</v>
      </c>
      <c r="B202">
        <v>1</v>
      </c>
    </row>
    <row r="203" spans="1:2">
      <c r="A203" s="36" t="s">
        <v>1314</v>
      </c>
      <c r="B203">
        <v>1</v>
      </c>
    </row>
    <row r="204" spans="1:2">
      <c r="A204" s="36" t="s">
        <v>1316</v>
      </c>
      <c r="B204">
        <v>1</v>
      </c>
    </row>
    <row r="205" spans="1:2">
      <c r="A205" s="36" t="s">
        <v>1318</v>
      </c>
      <c r="B205">
        <v>4</v>
      </c>
    </row>
    <row r="206" spans="1:2">
      <c r="A206" s="36" t="s">
        <v>1320</v>
      </c>
      <c r="B206">
        <v>1</v>
      </c>
    </row>
    <row r="207" spans="1:2">
      <c r="A207" s="36" t="s">
        <v>1322</v>
      </c>
      <c r="B207">
        <v>1</v>
      </c>
    </row>
    <row r="208" spans="1:2">
      <c r="A208" s="36" t="s">
        <v>1324</v>
      </c>
      <c r="B208">
        <v>1</v>
      </c>
    </row>
    <row r="209" spans="1:2">
      <c r="A209" s="36" t="s">
        <v>1326</v>
      </c>
      <c r="B209">
        <v>1</v>
      </c>
    </row>
    <row r="210" spans="1:2">
      <c r="A210" s="36" t="s">
        <v>1328</v>
      </c>
      <c r="B210">
        <v>1</v>
      </c>
    </row>
    <row r="211" spans="1:2">
      <c r="A211" s="36" t="s">
        <v>1331</v>
      </c>
      <c r="B211">
        <v>1</v>
      </c>
    </row>
    <row r="212" spans="1:2">
      <c r="A212" s="36" t="s">
        <v>1333</v>
      </c>
      <c r="B212">
        <v>2</v>
      </c>
    </row>
    <row r="213" spans="1:2">
      <c r="A213" s="36" t="s">
        <v>1337</v>
      </c>
      <c r="B213">
        <v>1</v>
      </c>
    </row>
    <row r="214" spans="1:2">
      <c r="A214" s="36" t="s">
        <v>1341</v>
      </c>
      <c r="B214">
        <v>2</v>
      </c>
    </row>
    <row r="215" spans="1:2">
      <c r="A215" s="36" t="s">
        <v>1343</v>
      </c>
      <c r="B215">
        <v>1</v>
      </c>
    </row>
    <row r="216" spans="1:2">
      <c r="A216" s="36" t="s">
        <v>1346</v>
      </c>
      <c r="B216">
        <v>2</v>
      </c>
    </row>
    <row r="217" spans="1:2">
      <c r="A217" s="36" t="s">
        <v>1348</v>
      </c>
      <c r="B217">
        <v>1</v>
      </c>
    </row>
    <row r="218" spans="1:2">
      <c r="A218" s="36" t="s">
        <v>1350</v>
      </c>
      <c r="B218">
        <v>1</v>
      </c>
    </row>
    <row r="219" spans="1:2">
      <c r="A219" s="36" t="s">
        <v>1352</v>
      </c>
      <c r="B219">
        <v>2</v>
      </c>
    </row>
    <row r="220" spans="1:2">
      <c r="A220" s="36" t="s">
        <v>1354</v>
      </c>
      <c r="B220">
        <v>1</v>
      </c>
    </row>
    <row r="221" spans="1:2">
      <c r="A221" s="36" t="s">
        <v>1357</v>
      </c>
      <c r="B221">
        <v>1</v>
      </c>
    </row>
    <row r="222" spans="1:2">
      <c r="A222" s="36" t="s">
        <v>1360</v>
      </c>
      <c r="B222">
        <v>1</v>
      </c>
    </row>
    <row r="223" spans="1:2">
      <c r="A223" s="36" t="s">
        <v>1362</v>
      </c>
      <c r="B223">
        <v>1</v>
      </c>
    </row>
    <row r="224" spans="1:2">
      <c r="A224" s="36" t="s">
        <v>1364</v>
      </c>
      <c r="B224">
        <v>1</v>
      </c>
    </row>
    <row r="225" spans="1:2">
      <c r="A225" s="36" t="s">
        <v>1368</v>
      </c>
      <c r="B225">
        <v>4</v>
      </c>
    </row>
    <row r="226" spans="1:2">
      <c r="A226" s="36" t="s">
        <v>1370</v>
      </c>
      <c r="B226">
        <v>2</v>
      </c>
    </row>
    <row r="227" spans="1:2">
      <c r="A227" s="36" t="s">
        <v>1372</v>
      </c>
      <c r="B227">
        <v>3</v>
      </c>
    </row>
    <row r="228" spans="1:2">
      <c r="A228" s="36" t="s">
        <v>1374</v>
      </c>
      <c r="B228">
        <v>1</v>
      </c>
    </row>
    <row r="229" spans="1:2">
      <c r="A229" s="36" t="s">
        <v>1377</v>
      </c>
      <c r="B229">
        <v>1</v>
      </c>
    </row>
    <row r="230" spans="1:2">
      <c r="A230" s="36" t="s">
        <v>1381</v>
      </c>
      <c r="B230">
        <v>2</v>
      </c>
    </row>
    <row r="231" spans="1:2">
      <c r="A231" s="36" t="s">
        <v>1383</v>
      </c>
      <c r="B231">
        <v>2</v>
      </c>
    </row>
    <row r="232" spans="1:2">
      <c r="A232" s="36" t="s">
        <v>1385</v>
      </c>
      <c r="B232">
        <v>1</v>
      </c>
    </row>
    <row r="233" spans="1:2">
      <c r="A233" s="36" t="s">
        <v>1387</v>
      </c>
      <c r="B233">
        <v>1</v>
      </c>
    </row>
    <row r="234" spans="1:2">
      <c r="A234" s="36" t="s">
        <v>1391</v>
      </c>
      <c r="B234">
        <v>1</v>
      </c>
    </row>
    <row r="235" spans="1:2">
      <c r="A235" s="36" t="s">
        <v>1393</v>
      </c>
      <c r="B235">
        <v>1</v>
      </c>
    </row>
    <row r="236" spans="1:2">
      <c r="A236" s="36" t="s">
        <v>1398</v>
      </c>
      <c r="B236">
        <v>2</v>
      </c>
    </row>
    <row r="237" spans="1:2">
      <c r="A237" s="36" t="s">
        <v>1401</v>
      </c>
      <c r="B237">
        <v>1</v>
      </c>
    </row>
    <row r="238" spans="1:2">
      <c r="A238" s="36" t="s">
        <v>1403</v>
      </c>
      <c r="B238">
        <v>1</v>
      </c>
    </row>
    <row r="239" spans="1:2">
      <c r="A239" s="36" t="s">
        <v>1405</v>
      </c>
      <c r="B239">
        <v>1</v>
      </c>
    </row>
    <row r="240" spans="1:2">
      <c r="A240" s="36" t="s">
        <v>1407</v>
      </c>
      <c r="B240">
        <v>1</v>
      </c>
    </row>
    <row r="241" spans="1:2">
      <c r="A241" s="36" t="s">
        <v>1411</v>
      </c>
      <c r="B241">
        <v>1</v>
      </c>
    </row>
    <row r="242" spans="1:2">
      <c r="A242" s="36" t="s">
        <v>1413</v>
      </c>
      <c r="B242">
        <v>1</v>
      </c>
    </row>
    <row r="243" spans="1:2">
      <c r="A243" s="36" t="s">
        <v>1415</v>
      </c>
      <c r="B243">
        <v>3</v>
      </c>
    </row>
    <row r="244" spans="1:2">
      <c r="A244" s="36" t="s">
        <v>1418</v>
      </c>
      <c r="B244">
        <v>4</v>
      </c>
    </row>
    <row r="245" spans="1:2">
      <c r="A245" s="36" t="s">
        <v>1421</v>
      </c>
      <c r="B245">
        <v>1</v>
      </c>
    </row>
    <row r="246" spans="1:2">
      <c r="A246" s="36" t="s">
        <v>1424</v>
      </c>
      <c r="B246">
        <v>1</v>
      </c>
    </row>
    <row r="247" spans="1:2">
      <c r="A247" s="36" t="s">
        <v>1427</v>
      </c>
      <c r="B247">
        <v>1</v>
      </c>
    </row>
    <row r="248" spans="1:2">
      <c r="A248" s="36" t="s">
        <v>1429</v>
      </c>
      <c r="B248">
        <v>1</v>
      </c>
    </row>
    <row r="249" spans="1:2">
      <c r="A249" s="36" t="s">
        <v>1432</v>
      </c>
      <c r="B249">
        <v>2</v>
      </c>
    </row>
    <row r="250" spans="1:2">
      <c r="A250" s="36" t="s">
        <v>1435</v>
      </c>
      <c r="B250">
        <v>2</v>
      </c>
    </row>
    <row r="251" spans="1:2">
      <c r="A251" s="36" t="s">
        <v>1437</v>
      </c>
      <c r="B251">
        <v>2</v>
      </c>
    </row>
    <row r="252" spans="1:2">
      <c r="A252" s="36" t="s">
        <v>1439</v>
      </c>
      <c r="B252">
        <v>1</v>
      </c>
    </row>
    <row r="253" spans="1:2">
      <c r="A253" s="36" t="s">
        <v>1441</v>
      </c>
      <c r="B253">
        <v>1</v>
      </c>
    </row>
    <row r="254" spans="1:2">
      <c r="A254" s="36" t="s">
        <v>1445</v>
      </c>
      <c r="B254">
        <v>2</v>
      </c>
    </row>
    <row r="255" spans="1:2">
      <c r="A255" s="36" t="s">
        <v>1447</v>
      </c>
      <c r="B255">
        <v>1</v>
      </c>
    </row>
    <row r="256" spans="1:2">
      <c r="A256" s="36" t="s">
        <v>1449</v>
      </c>
      <c r="B256">
        <v>2</v>
      </c>
    </row>
    <row r="257" spans="1:2">
      <c r="A257" s="36" t="s">
        <v>1452</v>
      </c>
      <c r="B257">
        <v>1</v>
      </c>
    </row>
    <row r="258" spans="1:2">
      <c r="A258" s="36" t="s">
        <v>1454</v>
      </c>
      <c r="B258">
        <v>2</v>
      </c>
    </row>
    <row r="259" spans="1:2">
      <c r="A259" s="36" t="s">
        <v>1457</v>
      </c>
      <c r="B259">
        <v>1</v>
      </c>
    </row>
    <row r="260" spans="1:2">
      <c r="A260" s="36" t="s">
        <v>1459</v>
      </c>
      <c r="B260">
        <v>1</v>
      </c>
    </row>
    <row r="261" spans="1:2">
      <c r="A261" s="36" t="s">
        <v>1461</v>
      </c>
      <c r="B261">
        <v>1</v>
      </c>
    </row>
    <row r="262" spans="1:2">
      <c r="A262" s="36" t="s">
        <v>1463</v>
      </c>
      <c r="B262">
        <v>5</v>
      </c>
    </row>
    <row r="263" spans="1:2">
      <c r="A263" s="36" t="s">
        <v>1465</v>
      </c>
      <c r="B263">
        <v>1</v>
      </c>
    </row>
    <row r="264" spans="1:2">
      <c r="A264" s="36" t="s">
        <v>1468</v>
      </c>
      <c r="B264">
        <v>1</v>
      </c>
    </row>
    <row r="265" spans="1:2">
      <c r="A265" s="36" t="s">
        <v>1471</v>
      </c>
      <c r="B265">
        <v>1</v>
      </c>
    </row>
    <row r="266" spans="1:2">
      <c r="A266" s="36" t="s">
        <v>1474</v>
      </c>
      <c r="B266">
        <v>1</v>
      </c>
    </row>
    <row r="267" spans="1:2">
      <c r="A267" s="36" t="s">
        <v>1476</v>
      </c>
      <c r="B267">
        <v>1</v>
      </c>
    </row>
    <row r="268" spans="1:2">
      <c r="A268" s="36" t="s">
        <v>1478</v>
      </c>
      <c r="B268">
        <v>1</v>
      </c>
    </row>
    <row r="269" spans="1:2">
      <c r="A269" s="36" t="s">
        <v>1480</v>
      </c>
      <c r="B269">
        <v>1</v>
      </c>
    </row>
    <row r="270" spans="1:2">
      <c r="A270" s="36" t="s">
        <v>1482</v>
      </c>
      <c r="B270">
        <v>1</v>
      </c>
    </row>
    <row r="271" spans="1:2">
      <c r="A271" s="36" t="s">
        <v>1485</v>
      </c>
      <c r="B271">
        <v>2</v>
      </c>
    </row>
    <row r="272" spans="1:2">
      <c r="A272" s="36" t="s">
        <v>1487</v>
      </c>
      <c r="B272">
        <v>1</v>
      </c>
    </row>
    <row r="273" spans="1:2">
      <c r="A273" s="36" t="s">
        <v>1490</v>
      </c>
      <c r="B273">
        <v>1</v>
      </c>
    </row>
    <row r="274" spans="1:2">
      <c r="A274" s="36" t="s">
        <v>1492</v>
      </c>
      <c r="B274">
        <v>1</v>
      </c>
    </row>
    <row r="275" spans="1:2">
      <c r="A275" s="36" t="s">
        <v>1496</v>
      </c>
      <c r="B275">
        <v>1</v>
      </c>
    </row>
    <row r="276" spans="1:2">
      <c r="A276" s="36" t="s">
        <v>1498</v>
      </c>
      <c r="B276">
        <v>1</v>
      </c>
    </row>
    <row r="277" spans="1:2">
      <c r="A277" s="36" t="s">
        <v>1502</v>
      </c>
      <c r="B277">
        <v>1</v>
      </c>
    </row>
    <row r="278" spans="1:2">
      <c r="A278" s="36" t="s">
        <v>1504</v>
      </c>
      <c r="B278">
        <v>1</v>
      </c>
    </row>
    <row r="279" spans="1:2">
      <c r="A279" s="36" t="s">
        <v>1507</v>
      </c>
      <c r="B279">
        <v>1</v>
      </c>
    </row>
    <row r="280" spans="1:2">
      <c r="A280" s="36" t="s">
        <v>1509</v>
      </c>
      <c r="B280">
        <v>1</v>
      </c>
    </row>
    <row r="281" spans="1:2">
      <c r="A281" s="36" t="s">
        <v>1512</v>
      </c>
      <c r="B281">
        <v>5</v>
      </c>
    </row>
    <row r="282" spans="1:2">
      <c r="A282" s="36" t="s">
        <v>1515</v>
      </c>
      <c r="B282">
        <v>1</v>
      </c>
    </row>
    <row r="283" spans="1:2">
      <c r="A283" s="36" t="s">
        <v>1517</v>
      </c>
      <c r="B283">
        <v>1</v>
      </c>
    </row>
    <row r="284" spans="1:2">
      <c r="A284" s="36" t="s">
        <v>1519</v>
      </c>
      <c r="B284">
        <v>2</v>
      </c>
    </row>
    <row r="285" spans="1:2">
      <c r="A285" s="36" t="s">
        <v>1521</v>
      </c>
      <c r="B285">
        <v>2</v>
      </c>
    </row>
    <row r="286" spans="1:2">
      <c r="A286" s="36" t="s">
        <v>1524</v>
      </c>
      <c r="B286">
        <v>1</v>
      </c>
    </row>
    <row r="287" spans="1:2">
      <c r="A287" s="36" t="s">
        <v>1526</v>
      </c>
      <c r="B287">
        <v>3</v>
      </c>
    </row>
    <row r="288" spans="1:2">
      <c r="A288" s="36" t="s">
        <v>1529</v>
      </c>
      <c r="B288">
        <v>1</v>
      </c>
    </row>
    <row r="289" spans="1:2">
      <c r="A289" s="36" t="s">
        <v>1532</v>
      </c>
      <c r="B289">
        <v>1</v>
      </c>
    </row>
    <row r="290" spans="1:2">
      <c r="A290" s="36" t="s">
        <v>1534</v>
      </c>
    </row>
    <row r="291" spans="1:2">
      <c r="A291" s="36" t="s">
        <v>1536</v>
      </c>
      <c r="B291">
        <v>1</v>
      </c>
    </row>
    <row r="292" spans="1:2">
      <c r="A292" s="36" t="s">
        <v>1539</v>
      </c>
      <c r="B292">
        <v>3</v>
      </c>
    </row>
    <row r="293" spans="1:2">
      <c r="A293" s="36" t="s">
        <v>1541</v>
      </c>
      <c r="B293">
        <v>4</v>
      </c>
    </row>
    <row r="294" spans="1:2">
      <c r="A294" s="36" t="s">
        <v>1543</v>
      </c>
      <c r="B294">
        <v>2</v>
      </c>
    </row>
    <row r="295" spans="1:2">
      <c r="A295" s="36" t="s">
        <v>1547</v>
      </c>
      <c r="B295">
        <v>1</v>
      </c>
    </row>
    <row r="296" spans="1:2">
      <c r="A296" s="36" t="s">
        <v>1550</v>
      </c>
      <c r="B296">
        <v>7</v>
      </c>
    </row>
    <row r="297" spans="1:2">
      <c r="A297" s="36" t="s">
        <v>1552</v>
      </c>
      <c r="B297">
        <v>1</v>
      </c>
    </row>
    <row r="298" spans="1:2">
      <c r="A298" s="36" t="s">
        <v>1554</v>
      </c>
      <c r="B298">
        <v>1</v>
      </c>
    </row>
    <row r="299" spans="1:2">
      <c r="A299" s="36" t="s">
        <v>1557</v>
      </c>
      <c r="B299">
        <v>2</v>
      </c>
    </row>
    <row r="300" spans="1:2">
      <c r="A300" s="36" t="s">
        <v>1560</v>
      </c>
      <c r="B300">
        <v>1</v>
      </c>
    </row>
    <row r="301" spans="1:2">
      <c r="A301" s="36" t="s">
        <v>1562</v>
      </c>
      <c r="B301">
        <v>1</v>
      </c>
    </row>
    <row r="302" spans="1:2">
      <c r="A302" s="36" t="s">
        <v>1564</v>
      </c>
      <c r="B302">
        <v>1</v>
      </c>
    </row>
    <row r="303" spans="1:2">
      <c r="A303" s="36" t="s">
        <v>1566</v>
      </c>
      <c r="B303">
        <v>1</v>
      </c>
    </row>
    <row r="304" spans="1:2">
      <c r="A304" s="36" t="s">
        <v>1568</v>
      </c>
      <c r="B304">
        <v>1</v>
      </c>
    </row>
    <row r="305" spans="1:2">
      <c r="A305" s="36" t="s">
        <v>1570</v>
      </c>
      <c r="B305">
        <v>1</v>
      </c>
    </row>
    <row r="306" spans="1:2">
      <c r="A306" s="36" t="s">
        <v>1572</v>
      </c>
      <c r="B306">
        <v>1</v>
      </c>
    </row>
    <row r="307" spans="1:2">
      <c r="A307" s="36" t="s">
        <v>1575</v>
      </c>
      <c r="B307">
        <v>1</v>
      </c>
    </row>
    <row r="308" spans="1:2">
      <c r="A308" s="36" t="s">
        <v>1577</v>
      </c>
      <c r="B308">
        <v>1</v>
      </c>
    </row>
    <row r="309" spans="1:2">
      <c r="A309" s="36" t="s">
        <v>1580</v>
      </c>
      <c r="B309">
        <v>1</v>
      </c>
    </row>
    <row r="310" spans="1:2">
      <c r="A310" s="36" t="s">
        <v>1582</v>
      </c>
      <c r="B310">
        <v>1</v>
      </c>
    </row>
    <row r="311" spans="1:2">
      <c r="A311" s="36" t="s">
        <v>1584</v>
      </c>
      <c r="B311">
        <v>6</v>
      </c>
    </row>
    <row r="312" spans="1:2">
      <c r="A312" s="36" t="s">
        <v>1586</v>
      </c>
      <c r="B312">
        <v>1</v>
      </c>
    </row>
    <row r="313" spans="1:2">
      <c r="A313" s="36" t="s">
        <v>1588</v>
      </c>
      <c r="B313">
        <v>1</v>
      </c>
    </row>
    <row r="314" spans="1:2">
      <c r="A314" s="36" t="s">
        <v>1590</v>
      </c>
      <c r="B314">
        <v>1</v>
      </c>
    </row>
    <row r="315" spans="1:2">
      <c r="A315" s="36" t="s">
        <v>1592</v>
      </c>
      <c r="B315">
        <v>1</v>
      </c>
    </row>
    <row r="316" spans="1:2">
      <c r="A316" s="36" t="s">
        <v>1594</v>
      </c>
      <c r="B316">
        <v>1</v>
      </c>
    </row>
    <row r="317" spans="1:2">
      <c r="A317" s="36" t="s">
        <v>1596</v>
      </c>
      <c r="B317">
        <v>1</v>
      </c>
    </row>
    <row r="318" spans="1:2">
      <c r="A318" s="36" t="s">
        <v>1598</v>
      </c>
      <c r="B318">
        <v>1</v>
      </c>
    </row>
    <row r="319" spans="1:2">
      <c r="A319" s="36" t="s">
        <v>1601</v>
      </c>
      <c r="B319">
        <v>1</v>
      </c>
    </row>
    <row r="320" spans="1:2">
      <c r="A320" s="36" t="s">
        <v>1604</v>
      </c>
      <c r="B320">
        <v>3</v>
      </c>
    </row>
    <row r="321" spans="1:2">
      <c r="A321" s="36" t="s">
        <v>1606</v>
      </c>
      <c r="B321">
        <v>1</v>
      </c>
    </row>
    <row r="322" spans="1:2">
      <c r="A322" s="36" t="s">
        <v>1608</v>
      </c>
      <c r="B322">
        <v>7</v>
      </c>
    </row>
    <row r="323" spans="1:2">
      <c r="A323" s="36" t="s">
        <v>1610</v>
      </c>
      <c r="B323">
        <v>1</v>
      </c>
    </row>
    <row r="324" spans="1:2">
      <c r="A324" s="36" t="s">
        <v>1612</v>
      </c>
      <c r="B324">
        <v>2</v>
      </c>
    </row>
    <row r="325" spans="1:2">
      <c r="A325" s="36" t="s">
        <v>1615</v>
      </c>
      <c r="B325">
        <v>1</v>
      </c>
    </row>
    <row r="326" spans="1:2">
      <c r="A326" s="36" t="s">
        <v>1617</v>
      </c>
      <c r="B326">
        <v>2</v>
      </c>
    </row>
    <row r="327" spans="1:2">
      <c r="A327" s="36" t="s">
        <v>1619</v>
      </c>
      <c r="B327">
        <v>1</v>
      </c>
    </row>
    <row r="328" spans="1:2">
      <c r="A328" s="36" t="s">
        <v>1622</v>
      </c>
      <c r="B328">
        <v>3</v>
      </c>
    </row>
    <row r="329" spans="1:2">
      <c r="A329" s="36" t="s">
        <v>1624</v>
      </c>
      <c r="B329">
        <v>1</v>
      </c>
    </row>
    <row r="330" spans="1:2">
      <c r="A330" s="36" t="s">
        <v>1626</v>
      </c>
      <c r="B330">
        <v>9</v>
      </c>
    </row>
    <row r="331" spans="1:2">
      <c r="A331" s="36" t="s">
        <v>1628</v>
      </c>
      <c r="B331">
        <v>2</v>
      </c>
    </row>
    <row r="332" spans="1:2">
      <c r="A332" s="36" t="s">
        <v>1632</v>
      </c>
      <c r="B332">
        <v>1</v>
      </c>
    </row>
    <row r="333" spans="1:2">
      <c r="A333" s="36" t="s">
        <v>1634</v>
      </c>
      <c r="B333">
        <v>1</v>
      </c>
    </row>
    <row r="334" spans="1:2">
      <c r="A334" s="36" t="s">
        <v>1636</v>
      </c>
      <c r="B334">
        <v>1</v>
      </c>
    </row>
    <row r="335" spans="1:2">
      <c r="A335" s="36" t="s">
        <v>1638</v>
      </c>
      <c r="B335">
        <v>2</v>
      </c>
    </row>
    <row r="336" spans="1:2">
      <c r="A336" s="36" t="s">
        <v>1640</v>
      </c>
      <c r="B336">
        <v>1</v>
      </c>
    </row>
    <row r="337" spans="1:2">
      <c r="A337" s="36" t="s">
        <v>1642</v>
      </c>
      <c r="B337">
        <v>1</v>
      </c>
    </row>
    <row r="338" spans="1:2">
      <c r="A338" s="36" t="s">
        <v>1645</v>
      </c>
      <c r="B338">
        <v>1</v>
      </c>
    </row>
    <row r="339" spans="1:2">
      <c r="A339" s="36" t="s">
        <v>1648</v>
      </c>
      <c r="B339">
        <v>1</v>
      </c>
    </row>
    <row r="340" spans="1:2">
      <c r="A340" s="36" t="s">
        <v>1650</v>
      </c>
      <c r="B340">
        <v>1</v>
      </c>
    </row>
    <row r="341" spans="1:2">
      <c r="A341" s="36" t="s">
        <v>1652</v>
      </c>
      <c r="B341">
        <v>2</v>
      </c>
    </row>
    <row r="342" spans="1:2">
      <c r="A342" s="36" t="s">
        <v>1654</v>
      </c>
      <c r="B342">
        <v>1</v>
      </c>
    </row>
    <row r="343" spans="1:2">
      <c r="A343" s="36" t="s">
        <v>1656</v>
      </c>
    </row>
    <row r="344" spans="1:2">
      <c r="A344" s="36" t="s">
        <v>1657</v>
      </c>
      <c r="B344">
        <v>1</v>
      </c>
    </row>
    <row r="345" spans="1:2">
      <c r="A345" s="36" t="s">
        <v>1659</v>
      </c>
      <c r="B345">
        <v>2</v>
      </c>
    </row>
    <row r="346" spans="1:2">
      <c r="A346" s="36" t="s">
        <v>1661</v>
      </c>
      <c r="B346">
        <v>1</v>
      </c>
    </row>
    <row r="347" spans="1:2">
      <c r="A347" s="36" t="s">
        <v>1663</v>
      </c>
      <c r="B347">
        <v>1</v>
      </c>
    </row>
    <row r="348" spans="1:2">
      <c r="A348" s="36" t="s">
        <v>1666</v>
      </c>
      <c r="B348">
        <v>1</v>
      </c>
    </row>
    <row r="349" spans="1:2">
      <c r="A349" s="36" t="s">
        <v>1669</v>
      </c>
      <c r="B349">
        <v>3</v>
      </c>
    </row>
    <row r="350" spans="1:2">
      <c r="A350" s="36" t="s">
        <v>1671</v>
      </c>
      <c r="B350">
        <v>1</v>
      </c>
    </row>
    <row r="351" spans="1:2">
      <c r="A351" s="36" t="s">
        <v>1673</v>
      </c>
      <c r="B351">
        <v>1</v>
      </c>
    </row>
    <row r="352" spans="1:2">
      <c r="A352" s="36" t="s">
        <v>1675</v>
      </c>
      <c r="B352">
        <v>1</v>
      </c>
    </row>
    <row r="353" spans="1:2">
      <c r="A353" s="36" t="s">
        <v>1677</v>
      </c>
      <c r="B353">
        <v>1</v>
      </c>
    </row>
    <row r="354" spans="1:2">
      <c r="A354" s="36" t="s">
        <v>1680</v>
      </c>
    </row>
    <row r="355" spans="1:2">
      <c r="A355" s="36" t="s">
        <v>1683</v>
      </c>
    </row>
    <row r="356" spans="1:2">
      <c r="A356" s="36" t="s">
        <v>67</v>
      </c>
      <c r="B356">
        <v>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6ACA-BD9F-4084-B4A2-8F4583ABE878}">
  <dimension ref="A1:E2098"/>
  <sheetViews>
    <sheetView topLeftCell="A74" zoomScale="85" zoomScaleNormal="85" workbookViewId="0">
      <selection activeCell="A4" sqref="A4:C88"/>
    </sheetView>
  </sheetViews>
  <sheetFormatPr baseColWidth="10" defaultRowHeight="13"/>
  <cols>
    <col min="1" max="1" width="54.59765625" bestFit="1" customWidth="1"/>
    <col min="2" max="2" width="20.69921875" style="140" bestFit="1" customWidth="1"/>
    <col min="3" max="4" width="17.69921875" bestFit="1" customWidth="1"/>
    <col min="5" max="5" width="15.09765625" hidden="1" customWidth="1"/>
    <col min="6" max="8" width="13.59765625" bestFit="1" customWidth="1"/>
    <col min="9" max="10" width="11.59765625" bestFit="1" customWidth="1"/>
    <col min="11" max="12" width="12.59765625" bestFit="1" customWidth="1"/>
    <col min="13" max="13" width="6.796875" bestFit="1" customWidth="1"/>
    <col min="14" max="14" width="11.59765625" bestFit="1" customWidth="1"/>
    <col min="15" max="16" width="13.59765625" bestFit="1" customWidth="1"/>
    <col min="17" max="22" width="11.59765625" bestFit="1" customWidth="1"/>
    <col min="23" max="23" width="12.59765625" bestFit="1" customWidth="1"/>
    <col min="24" max="24" width="11.59765625" bestFit="1" customWidth="1"/>
    <col min="25" max="25" width="12.59765625" bestFit="1" customWidth="1"/>
    <col min="26" max="26" width="11.59765625" bestFit="1" customWidth="1"/>
    <col min="27" max="28" width="12.59765625" bestFit="1" customWidth="1"/>
    <col min="29" max="30" width="11.59765625" bestFit="1" customWidth="1"/>
    <col min="31" max="33" width="12.59765625" bestFit="1" customWidth="1"/>
    <col min="34" max="34" width="11.59765625" bestFit="1" customWidth="1"/>
    <col min="35" max="35" width="13.59765625" bestFit="1" customWidth="1"/>
    <col min="36" max="36" width="12.59765625" bestFit="1" customWidth="1"/>
    <col min="37" max="41" width="11.59765625" bestFit="1" customWidth="1"/>
    <col min="42" max="43" width="13.59765625" bestFit="1" customWidth="1"/>
    <col min="44" max="44" width="12.59765625" bestFit="1" customWidth="1"/>
    <col min="45" max="46" width="11.59765625" bestFit="1" customWidth="1"/>
    <col min="47" max="47" width="6.796875" bestFit="1" customWidth="1"/>
    <col min="48" max="48" width="12.59765625" bestFit="1" customWidth="1"/>
    <col min="49" max="49" width="11.59765625" bestFit="1" customWidth="1"/>
    <col min="50" max="53" width="12.59765625" bestFit="1" customWidth="1"/>
    <col min="54" max="55" width="11.59765625" bestFit="1" customWidth="1"/>
    <col min="56" max="56" width="13.59765625" bestFit="1" customWidth="1"/>
    <col min="57" max="57" width="12.59765625" bestFit="1" customWidth="1"/>
    <col min="58" max="59" width="11.59765625" bestFit="1" customWidth="1"/>
    <col min="60" max="63" width="12.59765625" bestFit="1" customWidth="1"/>
    <col min="64" max="64" width="11.59765625" bestFit="1" customWidth="1"/>
    <col min="65" max="65" width="10.09765625" bestFit="1" customWidth="1"/>
    <col min="66" max="67" width="11.59765625" bestFit="1" customWidth="1"/>
    <col min="68" max="68" width="12.59765625" bestFit="1" customWidth="1"/>
    <col min="69" max="69" width="11.59765625" bestFit="1" customWidth="1"/>
    <col min="70" max="70" width="12.59765625" bestFit="1" customWidth="1"/>
    <col min="71" max="72" width="11.59765625" bestFit="1" customWidth="1"/>
    <col min="73" max="73" width="12.59765625" bestFit="1" customWidth="1"/>
    <col min="74" max="76" width="11.59765625" bestFit="1" customWidth="1"/>
    <col min="77" max="77" width="12.59765625" bestFit="1" customWidth="1"/>
    <col min="78" max="78" width="6.796875" bestFit="1" customWidth="1"/>
    <col min="79" max="79" width="11.59765625" bestFit="1" customWidth="1"/>
    <col min="80" max="80" width="10.09765625" bestFit="1" customWidth="1"/>
    <col min="81" max="82" width="12.59765625" bestFit="1" customWidth="1"/>
    <col min="83" max="84" width="11.59765625" bestFit="1" customWidth="1"/>
    <col min="85" max="86" width="12.59765625" bestFit="1" customWidth="1"/>
    <col min="87" max="87" width="6.796875" bestFit="1" customWidth="1"/>
    <col min="88" max="88" width="11.59765625" bestFit="1" customWidth="1"/>
    <col min="89" max="90" width="12.59765625" bestFit="1" customWidth="1"/>
    <col min="91" max="91" width="13.59765625" bestFit="1" customWidth="1"/>
    <col min="92" max="92" width="12.59765625" bestFit="1" customWidth="1"/>
    <col min="93" max="93" width="13.59765625" bestFit="1" customWidth="1"/>
    <col min="94" max="96" width="12.59765625" bestFit="1" customWidth="1"/>
    <col min="97" max="97" width="13.59765625" bestFit="1" customWidth="1"/>
    <col min="98" max="98" width="10.09765625" bestFit="1" customWidth="1"/>
    <col min="99" max="100" width="11.59765625" bestFit="1" customWidth="1"/>
    <col min="101" max="101" width="12.59765625" bestFit="1" customWidth="1"/>
    <col min="102" max="102" width="11.59765625" bestFit="1" customWidth="1"/>
    <col min="103" max="103" width="12.59765625" bestFit="1" customWidth="1"/>
    <col min="104" max="105" width="11.59765625" bestFit="1" customWidth="1"/>
    <col min="106" max="106" width="12.59765625" bestFit="1" customWidth="1"/>
    <col min="107" max="108" width="11.59765625" bestFit="1" customWidth="1"/>
    <col min="109" max="109" width="12.59765625" bestFit="1" customWidth="1"/>
    <col min="110" max="110" width="11.59765625" bestFit="1" customWidth="1"/>
    <col min="111" max="111" width="12.59765625" bestFit="1" customWidth="1"/>
    <col min="112" max="112" width="10.09765625" bestFit="1" customWidth="1"/>
    <col min="113" max="113" width="12.59765625" bestFit="1" customWidth="1"/>
    <col min="114" max="114" width="13.59765625" bestFit="1" customWidth="1"/>
    <col min="115" max="118" width="12.59765625" bestFit="1" customWidth="1"/>
    <col min="119" max="119" width="13.59765625" bestFit="1" customWidth="1"/>
    <col min="120" max="122" width="12.59765625" bestFit="1" customWidth="1"/>
    <col min="123" max="126" width="11.59765625" bestFit="1" customWidth="1"/>
    <col min="127" max="127" width="12.59765625" bestFit="1" customWidth="1"/>
    <col min="128" max="128" width="11.59765625" bestFit="1" customWidth="1"/>
    <col min="129" max="129" width="10.09765625" bestFit="1" customWidth="1"/>
    <col min="130" max="130" width="11.59765625" bestFit="1" customWidth="1"/>
    <col min="131" max="131" width="13.59765625" bestFit="1" customWidth="1"/>
    <col min="132" max="132" width="12.59765625" bestFit="1" customWidth="1"/>
    <col min="133" max="133" width="6.796875" bestFit="1" customWidth="1"/>
    <col min="134" max="136" width="12.59765625" bestFit="1" customWidth="1"/>
    <col min="137" max="137" width="11.59765625" bestFit="1" customWidth="1"/>
    <col min="138" max="138" width="10.09765625" bestFit="1" customWidth="1"/>
    <col min="139" max="139" width="11.59765625" bestFit="1" customWidth="1"/>
    <col min="140" max="140" width="12.59765625" bestFit="1" customWidth="1"/>
    <col min="141" max="143" width="11.59765625" bestFit="1" customWidth="1"/>
    <col min="144" max="144" width="12.59765625" bestFit="1" customWidth="1"/>
    <col min="145" max="145" width="11.59765625" bestFit="1" customWidth="1"/>
    <col min="146" max="147" width="12.59765625" bestFit="1" customWidth="1"/>
    <col min="148" max="149" width="11.59765625" bestFit="1" customWidth="1"/>
    <col min="150" max="152" width="12.59765625" bestFit="1" customWidth="1"/>
    <col min="153" max="153" width="11.59765625" bestFit="1" customWidth="1"/>
    <col min="154" max="154" width="9.09765625" bestFit="1" customWidth="1"/>
    <col min="155" max="156" width="11.59765625" bestFit="1" customWidth="1"/>
    <col min="157" max="159" width="12.59765625" bestFit="1" customWidth="1"/>
    <col min="160" max="160" width="11.59765625" bestFit="1" customWidth="1"/>
    <col min="161" max="161" width="12.59765625" bestFit="1" customWidth="1"/>
    <col min="162" max="162" width="10.09765625" bestFit="1" customWidth="1"/>
    <col min="163" max="165" width="12.59765625" bestFit="1" customWidth="1"/>
    <col min="166" max="166" width="6.796875" bestFit="1" customWidth="1"/>
    <col min="167" max="167" width="13.59765625" bestFit="1" customWidth="1"/>
    <col min="168" max="168" width="10.09765625" bestFit="1" customWidth="1"/>
    <col min="169" max="169" width="11.59765625" bestFit="1" customWidth="1"/>
    <col min="170" max="172" width="12.59765625" bestFit="1" customWidth="1"/>
    <col min="173" max="175" width="11.59765625" bestFit="1" customWidth="1"/>
    <col min="176" max="176" width="13.59765625" bestFit="1" customWidth="1"/>
    <col min="177" max="179" width="11.59765625" bestFit="1" customWidth="1"/>
    <col min="180" max="180" width="13.59765625" bestFit="1" customWidth="1"/>
    <col min="181" max="182" width="11.59765625" bestFit="1" customWidth="1"/>
    <col min="183" max="184" width="12.59765625" bestFit="1" customWidth="1"/>
    <col min="185" max="186" width="11.59765625" bestFit="1" customWidth="1"/>
    <col min="187" max="188" width="12.59765625" bestFit="1" customWidth="1"/>
    <col min="189" max="189" width="11.59765625" bestFit="1" customWidth="1"/>
    <col min="190" max="192" width="12.59765625" bestFit="1" customWidth="1"/>
    <col min="193" max="193" width="11.59765625" bestFit="1" customWidth="1"/>
    <col min="194" max="194" width="12.59765625" bestFit="1" customWidth="1"/>
    <col min="195" max="199" width="11.59765625" bestFit="1" customWidth="1"/>
    <col min="200" max="200" width="13.59765625" bestFit="1" customWidth="1"/>
    <col min="201" max="202" width="12.59765625" bestFit="1" customWidth="1"/>
    <col min="203" max="203" width="13.59765625" bestFit="1" customWidth="1"/>
    <col min="204" max="204" width="12.59765625" bestFit="1" customWidth="1"/>
    <col min="205" max="206" width="11.59765625" bestFit="1" customWidth="1"/>
    <col min="207" max="207" width="13.59765625" bestFit="1" customWidth="1"/>
    <col min="208" max="210" width="12.59765625" bestFit="1" customWidth="1"/>
    <col min="211" max="211" width="10.09765625" bestFit="1" customWidth="1"/>
    <col min="212" max="214" width="11.59765625" bestFit="1" customWidth="1"/>
    <col min="215" max="215" width="12.59765625" bestFit="1" customWidth="1"/>
    <col min="216" max="216" width="11.59765625" bestFit="1" customWidth="1"/>
    <col min="217" max="218" width="12.59765625" bestFit="1" customWidth="1"/>
    <col min="219" max="220" width="11.59765625" bestFit="1" customWidth="1"/>
    <col min="221" max="221" width="12.59765625" bestFit="1" customWidth="1"/>
    <col min="222" max="222" width="11.59765625" bestFit="1" customWidth="1"/>
    <col min="223" max="223" width="12.59765625" bestFit="1" customWidth="1"/>
    <col min="224" max="224" width="11.59765625" bestFit="1" customWidth="1"/>
    <col min="225" max="226" width="12.59765625" bestFit="1" customWidth="1"/>
    <col min="227" max="227" width="6.796875" bestFit="1" customWidth="1"/>
    <col min="228" max="228" width="10.09765625" bestFit="1" customWidth="1"/>
    <col min="229" max="230" width="11.59765625" bestFit="1" customWidth="1"/>
    <col min="231" max="231" width="12.59765625" bestFit="1" customWidth="1"/>
    <col min="232" max="232" width="11.59765625" bestFit="1" customWidth="1"/>
    <col min="233" max="233" width="12.59765625" bestFit="1" customWidth="1"/>
    <col min="234" max="234" width="11.59765625" bestFit="1" customWidth="1"/>
    <col min="235" max="235" width="6.796875" bestFit="1" customWidth="1"/>
    <col min="236" max="236" width="12.59765625" bestFit="1" customWidth="1"/>
    <col min="237" max="239" width="11.59765625" bestFit="1" customWidth="1"/>
    <col min="240" max="240" width="13.59765625" bestFit="1" customWidth="1"/>
    <col min="241" max="241" width="11.59765625" bestFit="1" customWidth="1"/>
    <col min="242" max="242" width="10.09765625" bestFit="1" customWidth="1"/>
    <col min="243" max="244" width="11.59765625" bestFit="1" customWidth="1"/>
    <col min="245" max="245" width="6.796875" bestFit="1" customWidth="1"/>
    <col min="246" max="246" width="9.09765625" bestFit="1" customWidth="1"/>
    <col min="247" max="247" width="11.59765625" bestFit="1" customWidth="1"/>
    <col min="248" max="248" width="12.59765625" bestFit="1" customWidth="1"/>
    <col min="249" max="251" width="11.59765625" bestFit="1" customWidth="1"/>
    <col min="252" max="252" width="12.59765625" bestFit="1" customWidth="1"/>
    <col min="253" max="253" width="13.59765625" bestFit="1" customWidth="1"/>
    <col min="254" max="254" width="12.59765625" bestFit="1" customWidth="1"/>
    <col min="255" max="255" width="10.09765625" bestFit="1" customWidth="1"/>
    <col min="256" max="256" width="12.59765625" bestFit="1" customWidth="1"/>
    <col min="257" max="257" width="11.59765625" bestFit="1" customWidth="1"/>
    <col min="258" max="258" width="12.59765625" bestFit="1" customWidth="1"/>
    <col min="259" max="260" width="11.59765625" bestFit="1" customWidth="1"/>
    <col min="261" max="262" width="13.59765625" bestFit="1" customWidth="1"/>
    <col min="263" max="263" width="11.59765625" bestFit="1" customWidth="1"/>
    <col min="264" max="265" width="12.59765625" bestFit="1" customWidth="1"/>
    <col min="266" max="267" width="13.59765625" bestFit="1" customWidth="1"/>
    <col min="268" max="268" width="10.09765625" bestFit="1" customWidth="1"/>
    <col min="269" max="271" width="12.59765625" bestFit="1" customWidth="1"/>
    <col min="272" max="273" width="11.59765625" bestFit="1" customWidth="1"/>
    <col min="274" max="274" width="10.09765625" bestFit="1" customWidth="1"/>
    <col min="275" max="275" width="12.59765625" bestFit="1" customWidth="1"/>
    <col min="276" max="276" width="11.59765625" bestFit="1" customWidth="1"/>
    <col min="277" max="277" width="6.796875" bestFit="1" customWidth="1"/>
    <col min="278" max="278" width="11.59765625" bestFit="1" customWidth="1"/>
    <col min="279" max="281" width="12.59765625" bestFit="1" customWidth="1"/>
    <col min="282" max="282" width="10.09765625" bestFit="1" customWidth="1"/>
    <col min="283" max="285" width="11.59765625" bestFit="1" customWidth="1"/>
    <col min="286" max="286" width="13.59765625" bestFit="1" customWidth="1"/>
    <col min="287" max="287" width="11.59765625" bestFit="1" customWidth="1"/>
    <col min="288" max="288" width="13.59765625" bestFit="1" customWidth="1"/>
    <col min="289" max="290" width="12.59765625" bestFit="1" customWidth="1"/>
    <col min="291" max="291" width="10.09765625" bestFit="1" customWidth="1"/>
    <col min="292" max="294" width="12.59765625" bestFit="1" customWidth="1"/>
    <col min="295" max="298" width="11.59765625" bestFit="1" customWidth="1"/>
    <col min="299" max="299" width="12.59765625" bestFit="1" customWidth="1"/>
    <col min="300" max="300" width="13.59765625" bestFit="1" customWidth="1"/>
    <col min="301" max="301" width="11.59765625" bestFit="1" customWidth="1"/>
    <col min="302" max="302" width="12.59765625" bestFit="1" customWidth="1"/>
    <col min="303" max="303" width="10.09765625" bestFit="1" customWidth="1"/>
    <col min="304" max="304" width="13.59765625" bestFit="1" customWidth="1"/>
    <col min="305" max="306" width="12.59765625" bestFit="1" customWidth="1"/>
    <col min="307" max="307" width="13.59765625" bestFit="1" customWidth="1"/>
    <col min="308" max="309" width="12.59765625" bestFit="1" customWidth="1"/>
    <col min="310" max="310" width="11.59765625" bestFit="1" customWidth="1"/>
    <col min="311" max="311" width="16.19921875" bestFit="1" customWidth="1"/>
    <col min="312" max="317" width="12.59765625" bestFit="1" customWidth="1"/>
    <col min="318" max="319" width="11.59765625" bestFit="1" customWidth="1"/>
    <col min="320" max="321" width="12.59765625" bestFit="1" customWidth="1"/>
    <col min="322" max="322" width="10.296875" bestFit="1" customWidth="1"/>
    <col min="323" max="323" width="11.59765625" bestFit="1" customWidth="1"/>
    <col min="324" max="329" width="12.59765625" bestFit="1" customWidth="1"/>
    <col min="330" max="330" width="10.296875" bestFit="1" customWidth="1"/>
    <col min="331" max="331" width="11.59765625" bestFit="1" customWidth="1"/>
    <col min="332" max="333" width="13.59765625" bestFit="1" customWidth="1"/>
    <col min="334" max="334" width="10.296875" bestFit="1" customWidth="1"/>
    <col min="335" max="337" width="11.59765625" bestFit="1" customWidth="1"/>
    <col min="338" max="343" width="12.59765625" bestFit="1" customWidth="1"/>
    <col min="344" max="349" width="11.59765625" bestFit="1" customWidth="1"/>
    <col min="350" max="351" width="13.59765625" bestFit="1" customWidth="1"/>
    <col min="352" max="357" width="11.59765625" bestFit="1" customWidth="1"/>
    <col min="358" max="359" width="13.59765625" bestFit="1" customWidth="1"/>
    <col min="360" max="363" width="11.59765625" bestFit="1" customWidth="1"/>
    <col min="364" max="367" width="12.59765625" bestFit="1" customWidth="1"/>
    <col min="368" max="371" width="11.59765625" bestFit="1" customWidth="1"/>
    <col min="372" max="375" width="12.59765625" bestFit="1" customWidth="1"/>
    <col min="376" max="377" width="11.59765625" bestFit="1" customWidth="1"/>
    <col min="378" max="383" width="12.59765625" bestFit="1" customWidth="1"/>
    <col min="384" max="385" width="11.59765625" bestFit="1" customWidth="1"/>
    <col min="386" max="387" width="12.59765625" bestFit="1" customWidth="1"/>
    <col min="388" max="397" width="11.59765625" bestFit="1" customWidth="1"/>
    <col min="398" max="399" width="13.59765625" bestFit="1" customWidth="1"/>
    <col min="400" max="403" width="12.59765625" bestFit="1" customWidth="1"/>
    <col min="404" max="405" width="13.59765625" bestFit="1" customWidth="1"/>
    <col min="406" max="407" width="12.59765625" bestFit="1" customWidth="1"/>
    <col min="408" max="411" width="11.59765625" bestFit="1" customWidth="1"/>
    <col min="412" max="413" width="13.59765625" bestFit="1" customWidth="1"/>
    <col min="414" max="419" width="12.59765625" bestFit="1" customWidth="1"/>
    <col min="420" max="420" width="10.296875" bestFit="1" customWidth="1"/>
    <col min="421" max="427" width="11.59765625" bestFit="1" customWidth="1"/>
    <col min="428" max="429" width="12.59765625" bestFit="1" customWidth="1"/>
    <col min="430" max="431" width="11.59765625" bestFit="1" customWidth="1"/>
    <col min="432" max="435" width="12.59765625" bestFit="1" customWidth="1"/>
    <col min="436" max="439" width="11.59765625" bestFit="1" customWidth="1"/>
    <col min="440" max="441" width="12.59765625" bestFit="1" customWidth="1"/>
    <col min="442" max="443" width="11.59765625" bestFit="1" customWidth="1"/>
    <col min="444" max="445" width="12.59765625" bestFit="1" customWidth="1"/>
    <col min="446" max="447" width="11.59765625" bestFit="1" customWidth="1"/>
    <col min="448" max="451" width="12.59765625" bestFit="1" customWidth="1"/>
    <col min="452" max="452" width="10.296875" bestFit="1" customWidth="1"/>
    <col min="453" max="453" width="11.59765625" bestFit="1" customWidth="1"/>
    <col min="454" max="454" width="10.296875" bestFit="1" customWidth="1"/>
    <col min="455" max="459" width="11.59765625" bestFit="1" customWidth="1"/>
    <col min="460" max="461" width="12.59765625" bestFit="1" customWidth="1"/>
    <col min="462" max="463" width="11.59765625" bestFit="1" customWidth="1"/>
    <col min="464" max="465" width="12.59765625" bestFit="1" customWidth="1"/>
    <col min="466" max="467" width="11.59765625" bestFit="1" customWidth="1"/>
    <col min="468" max="468" width="10.296875" bestFit="1" customWidth="1"/>
    <col min="469" max="469" width="11.59765625" bestFit="1" customWidth="1"/>
    <col min="470" max="471" width="12.59765625" bestFit="1" customWidth="1"/>
    <col min="472" max="477" width="11.59765625" bestFit="1" customWidth="1"/>
    <col min="478" max="479" width="13.59765625" bestFit="1" customWidth="1"/>
    <col min="480" max="481" width="11.59765625" bestFit="1" customWidth="1"/>
    <col min="482" max="482" width="10.296875" bestFit="1" customWidth="1"/>
    <col min="483" max="487" width="11.59765625" bestFit="1" customWidth="1"/>
    <col min="488" max="488" width="10.296875" bestFit="1" customWidth="1"/>
    <col min="489" max="489" width="11.59765625" bestFit="1" customWidth="1"/>
    <col min="490" max="490" width="10.296875" bestFit="1" customWidth="1"/>
    <col min="491" max="493" width="11.59765625" bestFit="1" customWidth="1"/>
    <col min="494" max="495" width="12.59765625" bestFit="1" customWidth="1"/>
    <col min="496" max="501" width="11.59765625" bestFit="1" customWidth="1"/>
    <col min="502" max="503" width="12.59765625" bestFit="1" customWidth="1"/>
    <col min="504" max="505" width="13.59765625" bestFit="1" customWidth="1"/>
    <col min="506" max="507" width="12.59765625" bestFit="1" customWidth="1"/>
    <col min="508" max="508" width="10.296875" bestFit="1" customWidth="1"/>
    <col min="509" max="509" width="11.59765625" bestFit="1" customWidth="1"/>
    <col min="510" max="511" width="12.59765625" bestFit="1" customWidth="1"/>
    <col min="512" max="513" width="11.59765625" bestFit="1" customWidth="1"/>
    <col min="514" max="515" width="12.59765625" bestFit="1" customWidth="1"/>
    <col min="516" max="519" width="11.59765625" bestFit="1" customWidth="1"/>
    <col min="520" max="523" width="13.59765625" bestFit="1" customWidth="1"/>
    <col min="524" max="525" width="11.59765625" bestFit="1" customWidth="1"/>
    <col min="526" max="529" width="12.59765625" bestFit="1" customWidth="1"/>
    <col min="530" max="533" width="13.59765625" bestFit="1" customWidth="1"/>
    <col min="534" max="534" width="10.296875" bestFit="1" customWidth="1"/>
    <col min="535" max="535" width="11.59765625" bestFit="1" customWidth="1"/>
    <col min="536" max="541" width="12.59765625" bestFit="1" customWidth="1"/>
    <col min="542" max="545" width="11.59765625" bestFit="1" customWidth="1"/>
    <col min="546" max="546" width="10.296875" bestFit="1" customWidth="1"/>
    <col min="547" max="547" width="11.59765625" bestFit="1" customWidth="1"/>
    <col min="548" max="549" width="12.59765625" bestFit="1" customWidth="1"/>
    <col min="550" max="551" width="11.59765625" bestFit="1" customWidth="1"/>
    <col min="552" max="552" width="10.296875" bestFit="1" customWidth="1"/>
    <col min="553" max="555" width="11.59765625" bestFit="1" customWidth="1"/>
    <col min="556" max="561" width="12.59765625" bestFit="1" customWidth="1"/>
    <col min="562" max="562" width="10.296875" bestFit="1" customWidth="1"/>
    <col min="563" max="569" width="11.59765625" bestFit="1" customWidth="1"/>
    <col min="570" max="571" width="13.59765625" bestFit="1" customWidth="1"/>
    <col min="572" max="573" width="11.59765625" bestFit="1" customWidth="1"/>
    <col min="574" max="575" width="13.59765625" bestFit="1" customWidth="1"/>
    <col min="576" max="579" width="12.59765625" bestFit="1" customWidth="1"/>
    <col min="580" max="580" width="10.296875" bestFit="1" customWidth="1"/>
    <col min="581" max="581" width="11.59765625" bestFit="1" customWidth="1"/>
    <col min="582" max="587" width="12.59765625" bestFit="1" customWidth="1"/>
    <col min="588" max="595" width="11.59765625" bestFit="1" customWidth="1"/>
    <col min="596" max="597" width="12.59765625" bestFit="1" customWidth="1"/>
    <col min="598" max="599" width="13.59765625" bestFit="1" customWidth="1"/>
    <col min="600" max="601" width="11.59765625" bestFit="1" customWidth="1"/>
    <col min="602" max="603" width="12.59765625" bestFit="1" customWidth="1"/>
    <col min="604" max="604" width="10.296875" bestFit="1" customWidth="1"/>
    <col min="605" max="605" width="11.59765625" bestFit="1" customWidth="1"/>
    <col min="606" max="607" width="13.59765625" bestFit="1" customWidth="1"/>
    <col min="608" max="611" width="12.59765625" bestFit="1" customWidth="1"/>
    <col min="612" max="613" width="13.59765625" bestFit="1" customWidth="1"/>
    <col min="614" max="617" width="12.59765625" bestFit="1" customWidth="1"/>
    <col min="618" max="619" width="11.59765625" bestFit="1" customWidth="1"/>
    <col min="620" max="620" width="16.19921875" bestFit="1" customWidth="1"/>
  </cols>
  <sheetData>
    <row r="1" spans="1:3">
      <c r="B1"/>
    </row>
    <row r="3" spans="1:3">
      <c r="A3" s="73" t="s">
        <v>0</v>
      </c>
      <c r="B3" t="s">
        <v>790</v>
      </c>
      <c r="C3" t="s">
        <v>750</v>
      </c>
    </row>
    <row r="4" spans="1:3">
      <c r="A4" s="36" t="s">
        <v>789</v>
      </c>
      <c r="B4" s="120">
        <v>475</v>
      </c>
      <c r="C4" s="120">
        <v>23415000</v>
      </c>
    </row>
    <row r="5" spans="1:3">
      <c r="A5" s="118" t="s">
        <v>38</v>
      </c>
      <c r="B5" s="120">
        <v>400</v>
      </c>
      <c r="C5" s="120">
        <v>9900000</v>
      </c>
    </row>
    <row r="6" spans="1:3">
      <c r="A6" s="119" t="s">
        <v>913</v>
      </c>
      <c r="B6" s="120">
        <v>400</v>
      </c>
      <c r="C6" s="120">
        <v>9900000</v>
      </c>
    </row>
    <row r="7" spans="1:3">
      <c r="A7" s="118" t="s">
        <v>30</v>
      </c>
      <c r="B7" s="120">
        <v>75</v>
      </c>
      <c r="C7" s="120">
        <v>13515000</v>
      </c>
    </row>
    <row r="8" spans="1:3">
      <c r="A8" s="119" t="s">
        <v>1598</v>
      </c>
      <c r="B8" s="120">
        <v>75</v>
      </c>
      <c r="C8" s="120">
        <v>13515000</v>
      </c>
    </row>
    <row r="9" spans="1:3">
      <c r="A9" s="36" t="s">
        <v>979</v>
      </c>
      <c r="B9" s="120">
        <v>1500</v>
      </c>
      <c r="C9" s="120">
        <v>26635000</v>
      </c>
    </row>
    <row r="10" spans="1:3">
      <c r="A10" s="118" t="s">
        <v>174</v>
      </c>
      <c r="B10" s="120">
        <v>1500</v>
      </c>
      <c r="C10" s="120">
        <v>26635000</v>
      </c>
    </row>
    <row r="11" spans="1:3">
      <c r="A11" s="119" t="s">
        <v>980</v>
      </c>
      <c r="B11" s="120">
        <v>1500</v>
      </c>
      <c r="C11" s="120">
        <v>26635000</v>
      </c>
    </row>
    <row r="12" spans="1:3">
      <c r="A12" s="36" t="s">
        <v>1248</v>
      </c>
      <c r="B12" s="120">
        <v>120</v>
      </c>
      <c r="C12" s="120">
        <v>0</v>
      </c>
    </row>
    <row r="13" spans="1:3">
      <c r="A13" s="118" t="s">
        <v>759</v>
      </c>
      <c r="B13" s="120">
        <v>120</v>
      </c>
      <c r="C13" s="120">
        <v>0</v>
      </c>
    </row>
    <row r="14" spans="1:3">
      <c r="A14" s="119" t="s">
        <v>1249</v>
      </c>
      <c r="B14" s="120">
        <v>120</v>
      </c>
      <c r="C14" s="120">
        <v>0</v>
      </c>
    </row>
    <row r="15" spans="1:3">
      <c r="A15" s="36" t="s">
        <v>109</v>
      </c>
      <c r="B15" s="120">
        <v>6</v>
      </c>
      <c r="C15" s="120">
        <v>300000</v>
      </c>
    </row>
    <row r="16" spans="1:3">
      <c r="A16" s="118" t="s">
        <v>157</v>
      </c>
      <c r="B16" s="120">
        <v>6</v>
      </c>
      <c r="C16" s="120">
        <v>300000</v>
      </c>
    </row>
    <row r="17" spans="1:3">
      <c r="A17" s="119" t="s">
        <v>928</v>
      </c>
      <c r="B17" s="120">
        <v>6</v>
      </c>
      <c r="C17" s="120">
        <v>300000</v>
      </c>
    </row>
    <row r="18" spans="1:3">
      <c r="A18" s="36" t="s">
        <v>725</v>
      </c>
      <c r="B18" s="120">
        <v>3007</v>
      </c>
      <c r="C18" s="120">
        <v>182466500</v>
      </c>
    </row>
    <row r="19" spans="1:3">
      <c r="A19" s="118" t="s">
        <v>479</v>
      </c>
      <c r="B19" s="120">
        <v>31.5</v>
      </c>
      <c r="C19" s="120">
        <v>6750000</v>
      </c>
    </row>
    <row r="20" spans="1:3">
      <c r="A20" s="119" t="s">
        <v>826</v>
      </c>
      <c r="B20" s="120">
        <v>20</v>
      </c>
      <c r="C20" s="120">
        <v>4500000</v>
      </c>
    </row>
    <row r="21" spans="1:3">
      <c r="A21" s="119" t="s">
        <v>827</v>
      </c>
      <c r="B21" s="120">
        <v>1.5</v>
      </c>
      <c r="C21" s="120">
        <v>0</v>
      </c>
    </row>
    <row r="22" spans="1:3">
      <c r="A22" s="119" t="s">
        <v>833</v>
      </c>
      <c r="B22" s="120">
        <v>10</v>
      </c>
      <c r="C22" s="120">
        <v>2250000</v>
      </c>
    </row>
    <row r="23" spans="1:3">
      <c r="A23" s="118" t="s">
        <v>393</v>
      </c>
      <c r="B23" s="120">
        <v>350</v>
      </c>
      <c r="C23" s="120">
        <v>15600000</v>
      </c>
    </row>
    <row r="24" spans="1:3">
      <c r="A24" s="119" t="s">
        <v>1062</v>
      </c>
      <c r="B24" s="120">
        <v>350</v>
      </c>
      <c r="C24" s="120">
        <v>15600000</v>
      </c>
    </row>
    <row r="25" spans="1:3">
      <c r="A25" s="118" t="s">
        <v>776</v>
      </c>
      <c r="B25" s="120">
        <v>30</v>
      </c>
      <c r="C25" s="120">
        <v>3300000</v>
      </c>
    </row>
    <row r="26" spans="1:3">
      <c r="A26" s="119" t="s">
        <v>1656</v>
      </c>
      <c r="B26" s="120">
        <v>30</v>
      </c>
      <c r="C26" s="120">
        <v>3300000</v>
      </c>
    </row>
    <row r="27" spans="1:3">
      <c r="A27" s="118" t="s">
        <v>785</v>
      </c>
      <c r="B27" s="120">
        <v>43</v>
      </c>
      <c r="C27" s="120">
        <v>2795000</v>
      </c>
    </row>
    <row r="28" spans="1:3">
      <c r="A28" s="119" t="s">
        <v>1568</v>
      </c>
      <c r="B28" s="120">
        <v>43</v>
      </c>
      <c r="C28" s="120">
        <v>2795000</v>
      </c>
    </row>
    <row r="29" spans="1:3">
      <c r="A29" s="118" t="s">
        <v>53</v>
      </c>
      <c r="B29" s="120">
        <v>10</v>
      </c>
      <c r="C29" s="120">
        <v>972000</v>
      </c>
    </row>
    <row r="30" spans="1:3">
      <c r="A30" s="119" t="s">
        <v>1007</v>
      </c>
      <c r="B30" s="120">
        <v>10</v>
      </c>
      <c r="C30" s="120">
        <v>972000</v>
      </c>
    </row>
    <row r="31" spans="1:3">
      <c r="A31" s="118" t="s">
        <v>783</v>
      </c>
      <c r="B31" s="120">
        <v>195</v>
      </c>
      <c r="C31" s="120">
        <v>8037500</v>
      </c>
    </row>
    <row r="32" spans="1:3">
      <c r="A32" s="119" t="s">
        <v>1474</v>
      </c>
      <c r="B32" s="120">
        <v>50</v>
      </c>
      <c r="C32" s="120">
        <v>1275000</v>
      </c>
    </row>
    <row r="33" spans="1:3">
      <c r="A33" s="119" t="s">
        <v>1521</v>
      </c>
      <c r="B33" s="120">
        <v>60</v>
      </c>
      <c r="C33" s="120">
        <v>4150000</v>
      </c>
    </row>
    <row r="34" spans="1:3">
      <c r="A34" s="119" t="s">
        <v>1680</v>
      </c>
      <c r="B34" s="120">
        <v>10</v>
      </c>
      <c r="C34" s="120">
        <v>700000</v>
      </c>
    </row>
    <row r="35" spans="1:3">
      <c r="A35" s="119" t="s">
        <v>1683</v>
      </c>
      <c r="B35" s="120">
        <v>75</v>
      </c>
      <c r="C35" s="120">
        <v>1912500</v>
      </c>
    </row>
    <row r="36" spans="1:3">
      <c r="A36" s="118" t="s">
        <v>231</v>
      </c>
      <c r="B36" s="120">
        <v>1690</v>
      </c>
      <c r="C36" s="120">
        <v>69770000</v>
      </c>
    </row>
    <row r="37" spans="1:3">
      <c r="A37" s="119" t="s">
        <v>1156</v>
      </c>
      <c r="B37" s="120">
        <v>400</v>
      </c>
      <c r="C37" s="120">
        <v>16000000</v>
      </c>
    </row>
    <row r="38" spans="1:3">
      <c r="A38" s="119" t="s">
        <v>1158</v>
      </c>
      <c r="B38" s="120">
        <v>400</v>
      </c>
      <c r="C38" s="120">
        <v>38880000</v>
      </c>
    </row>
    <row r="39" spans="1:3">
      <c r="A39" s="119" t="s">
        <v>1324</v>
      </c>
      <c r="B39" s="120">
        <v>525</v>
      </c>
      <c r="C39" s="120">
        <v>8295000</v>
      </c>
    </row>
    <row r="40" spans="1:3">
      <c r="A40" s="119" t="s">
        <v>1524</v>
      </c>
      <c r="B40" s="120">
        <v>15</v>
      </c>
      <c r="C40" s="120">
        <v>1065000</v>
      </c>
    </row>
    <row r="41" spans="1:3">
      <c r="A41" s="119" t="s">
        <v>1624</v>
      </c>
      <c r="B41" s="120">
        <v>350</v>
      </c>
      <c r="C41" s="120">
        <v>5530000</v>
      </c>
    </row>
    <row r="42" spans="1:3">
      <c r="A42" s="118" t="s">
        <v>1456</v>
      </c>
      <c r="B42" s="120">
        <v>107.5</v>
      </c>
      <c r="C42" s="120">
        <v>19392000</v>
      </c>
    </row>
    <row r="43" spans="1:3">
      <c r="A43" s="119" t="s">
        <v>1454</v>
      </c>
      <c r="B43" s="120">
        <v>107.5</v>
      </c>
      <c r="C43" s="120">
        <v>19392000</v>
      </c>
    </row>
    <row r="44" spans="1:3">
      <c r="A44" s="118" t="s">
        <v>767</v>
      </c>
      <c r="B44" s="120">
        <v>550</v>
      </c>
      <c r="C44" s="120">
        <v>55850000</v>
      </c>
    </row>
    <row r="45" spans="1:3">
      <c r="A45" s="119" t="s">
        <v>1659</v>
      </c>
      <c r="B45" s="120">
        <v>550</v>
      </c>
      <c r="C45" s="120">
        <v>55850000</v>
      </c>
    </row>
    <row r="46" spans="1:3">
      <c r="A46" s="36" t="s">
        <v>925</v>
      </c>
      <c r="B46" s="120">
        <v>525</v>
      </c>
      <c r="C46" s="120">
        <v>136275000</v>
      </c>
    </row>
    <row r="47" spans="1:3">
      <c r="A47" s="118" t="s">
        <v>393</v>
      </c>
      <c r="B47" s="120">
        <v>525</v>
      </c>
      <c r="C47" s="120">
        <v>136275000</v>
      </c>
    </row>
    <row r="48" spans="1:3">
      <c r="A48" s="119" t="s">
        <v>926</v>
      </c>
      <c r="B48" s="120">
        <v>525</v>
      </c>
      <c r="C48" s="120">
        <v>136275000</v>
      </c>
    </row>
    <row r="49" spans="1:3">
      <c r="A49" s="36" t="s">
        <v>117</v>
      </c>
      <c r="B49" s="120">
        <v>2860</v>
      </c>
      <c r="C49" s="120">
        <v>55078250</v>
      </c>
    </row>
    <row r="50" spans="1:3">
      <c r="A50" s="118" t="s">
        <v>319</v>
      </c>
      <c r="B50" s="120">
        <v>80</v>
      </c>
      <c r="C50" s="120">
        <v>12400000</v>
      </c>
    </row>
    <row r="51" spans="1:3">
      <c r="A51" s="119" t="s">
        <v>1119</v>
      </c>
      <c r="B51" s="120">
        <v>80</v>
      </c>
      <c r="C51" s="120">
        <v>12400000</v>
      </c>
    </row>
    <row r="52" spans="1:3">
      <c r="A52" s="118" t="s">
        <v>759</v>
      </c>
      <c r="B52" s="120">
        <v>2465</v>
      </c>
      <c r="C52" s="120">
        <v>28943750</v>
      </c>
    </row>
    <row r="53" spans="1:3">
      <c r="A53" s="119" t="s">
        <v>901</v>
      </c>
      <c r="B53" s="120">
        <v>1000</v>
      </c>
      <c r="C53" s="120">
        <v>2475000</v>
      </c>
    </row>
    <row r="54" spans="1:3">
      <c r="A54" s="119" t="s">
        <v>985</v>
      </c>
      <c r="B54" s="120">
        <v>1375</v>
      </c>
      <c r="C54" s="120">
        <v>26468750</v>
      </c>
    </row>
    <row r="55" spans="1:3">
      <c r="A55" s="119" t="s">
        <v>1586</v>
      </c>
      <c r="B55" s="120">
        <v>90</v>
      </c>
      <c r="C55" s="120">
        <v>0</v>
      </c>
    </row>
    <row r="56" spans="1:3">
      <c r="A56" s="118" t="s">
        <v>38</v>
      </c>
      <c r="B56" s="120">
        <v>100</v>
      </c>
      <c r="C56" s="120">
        <v>3000000</v>
      </c>
    </row>
    <row r="57" spans="1:3">
      <c r="A57" s="119" t="s">
        <v>897</v>
      </c>
      <c r="B57" s="120">
        <v>100</v>
      </c>
      <c r="C57" s="120">
        <v>3000000</v>
      </c>
    </row>
    <row r="58" spans="1:3">
      <c r="A58" s="118" t="s">
        <v>177</v>
      </c>
      <c r="B58" s="120">
        <v>25</v>
      </c>
      <c r="C58" s="120">
        <v>1287500</v>
      </c>
    </row>
    <row r="59" spans="1:3">
      <c r="A59" s="119" t="s">
        <v>1005</v>
      </c>
      <c r="B59" s="120">
        <v>25</v>
      </c>
      <c r="C59" s="120">
        <v>1287500</v>
      </c>
    </row>
    <row r="60" spans="1:3">
      <c r="A60" s="118" t="s">
        <v>1018</v>
      </c>
      <c r="B60" s="120">
        <v>10</v>
      </c>
      <c r="C60" s="120">
        <v>0</v>
      </c>
    </row>
    <row r="61" spans="1:3">
      <c r="A61" s="119" t="s">
        <v>1021</v>
      </c>
      <c r="B61" s="120">
        <v>10</v>
      </c>
      <c r="C61" s="120">
        <v>0</v>
      </c>
    </row>
    <row r="62" spans="1:3">
      <c r="A62" s="118" t="s">
        <v>52</v>
      </c>
      <c r="B62" s="120">
        <v>150</v>
      </c>
      <c r="C62" s="120">
        <v>6975000</v>
      </c>
    </row>
    <row r="63" spans="1:3">
      <c r="A63" s="119" t="s">
        <v>1534</v>
      </c>
      <c r="B63" s="120">
        <v>150</v>
      </c>
      <c r="C63" s="120">
        <v>6975000</v>
      </c>
    </row>
    <row r="64" spans="1:3">
      <c r="A64" s="118" t="s">
        <v>469</v>
      </c>
      <c r="B64" s="120">
        <v>15</v>
      </c>
      <c r="C64" s="120">
        <v>2472000</v>
      </c>
    </row>
    <row r="65" spans="1:4">
      <c r="A65" s="119" t="s">
        <v>825</v>
      </c>
      <c r="B65" s="120">
        <v>15</v>
      </c>
      <c r="C65" s="120">
        <v>2472000</v>
      </c>
    </row>
    <row r="66" spans="1:4">
      <c r="A66" s="118" t="s">
        <v>12</v>
      </c>
      <c r="B66" s="120">
        <v>15</v>
      </c>
      <c r="C66" s="120"/>
    </row>
    <row r="67" spans="1:4">
      <c r="A67" s="119" t="s">
        <v>1547</v>
      </c>
      <c r="B67" s="120">
        <v>15</v>
      </c>
      <c r="C67" s="120"/>
    </row>
    <row r="68" spans="1:4">
      <c r="A68" s="36" t="s">
        <v>374</v>
      </c>
      <c r="B68" s="120">
        <v>50</v>
      </c>
      <c r="C68" s="120">
        <v>5391000</v>
      </c>
    </row>
    <row r="69" spans="1:4">
      <c r="A69" s="118" t="s">
        <v>769</v>
      </c>
      <c r="B69" s="120">
        <v>50</v>
      </c>
      <c r="C69" s="120">
        <v>5391000</v>
      </c>
    </row>
    <row r="70" spans="1:4">
      <c r="A70" s="119" t="s">
        <v>1220</v>
      </c>
      <c r="B70" s="120">
        <v>50</v>
      </c>
      <c r="C70" s="120">
        <v>5391000</v>
      </c>
    </row>
    <row r="71" spans="1:4">
      <c r="A71" s="36" t="s">
        <v>765</v>
      </c>
      <c r="B71" s="120">
        <v>2341.75</v>
      </c>
      <c r="C71" s="120">
        <v>154884000</v>
      </c>
    </row>
    <row r="72" spans="1:4">
      <c r="A72" s="118" t="s">
        <v>154</v>
      </c>
      <c r="B72" s="120">
        <v>300</v>
      </c>
      <c r="C72" s="120">
        <v>63000000</v>
      </c>
    </row>
    <row r="73" spans="1:4">
      <c r="A73" s="119" t="s">
        <v>996</v>
      </c>
      <c r="B73" s="120">
        <v>300</v>
      </c>
      <c r="C73" s="120">
        <v>63000000</v>
      </c>
    </row>
    <row r="74" spans="1:4" s="154" customFormat="1">
      <c r="A74" s="118" t="s">
        <v>195</v>
      </c>
      <c r="B74" s="120">
        <v>800</v>
      </c>
      <c r="C74" s="120">
        <v>12800000</v>
      </c>
      <c r="D74"/>
    </row>
    <row r="75" spans="1:4">
      <c r="A75" s="119" t="s">
        <v>1230</v>
      </c>
      <c r="B75" s="120">
        <v>800</v>
      </c>
      <c r="C75" s="120">
        <v>12800000</v>
      </c>
    </row>
    <row r="76" spans="1:4">
      <c r="A76" s="118" t="s">
        <v>479</v>
      </c>
      <c r="B76" s="120">
        <v>100.75</v>
      </c>
      <c r="C76" s="120">
        <v>4000000</v>
      </c>
    </row>
    <row r="77" spans="1:4">
      <c r="A77" s="119" t="s">
        <v>834</v>
      </c>
      <c r="B77" s="120">
        <v>0.75</v>
      </c>
      <c r="C77" s="120">
        <v>0</v>
      </c>
    </row>
    <row r="78" spans="1:4">
      <c r="A78" s="119" t="s">
        <v>1233</v>
      </c>
      <c r="B78" s="120">
        <v>100</v>
      </c>
      <c r="C78" s="120">
        <v>4000000</v>
      </c>
    </row>
    <row r="79" spans="1:4">
      <c r="A79" s="118" t="s">
        <v>400</v>
      </c>
      <c r="B79" s="120">
        <v>15</v>
      </c>
      <c r="C79" s="120">
        <v>825000</v>
      </c>
    </row>
    <row r="80" spans="1:4">
      <c r="A80" s="119" t="s">
        <v>1137</v>
      </c>
      <c r="B80" s="120">
        <v>10</v>
      </c>
      <c r="C80" s="120">
        <v>550000</v>
      </c>
    </row>
    <row r="81" spans="1:3">
      <c r="A81" s="119" t="s">
        <v>1140</v>
      </c>
      <c r="B81" s="120">
        <v>5</v>
      </c>
      <c r="C81" s="120">
        <v>275000</v>
      </c>
    </row>
    <row r="82" spans="1:3">
      <c r="A82" s="118" t="s">
        <v>769</v>
      </c>
      <c r="B82" s="120">
        <v>1054</v>
      </c>
      <c r="C82" s="120">
        <v>54819000</v>
      </c>
    </row>
    <row r="83" spans="1:3">
      <c r="A83" s="119" t="s">
        <v>1225</v>
      </c>
      <c r="B83" s="120">
        <v>1045</v>
      </c>
      <c r="C83" s="120">
        <v>54819000</v>
      </c>
    </row>
    <row r="84" spans="1:3">
      <c r="A84" s="119" t="s">
        <v>1228</v>
      </c>
      <c r="B84" s="120">
        <v>9</v>
      </c>
      <c r="C84" s="120">
        <v>0</v>
      </c>
    </row>
    <row r="85" spans="1:3">
      <c r="A85" s="118" t="s">
        <v>148</v>
      </c>
      <c r="B85" s="120">
        <v>72</v>
      </c>
      <c r="C85" s="120">
        <v>19440000</v>
      </c>
    </row>
    <row r="86" spans="1:3">
      <c r="A86" s="119" t="s">
        <v>1256</v>
      </c>
      <c r="B86" s="120">
        <v>35</v>
      </c>
      <c r="C86" s="120">
        <v>9450000</v>
      </c>
    </row>
    <row r="87" spans="1:3">
      <c r="A87" s="119" t="s">
        <v>1259</v>
      </c>
      <c r="B87" s="120">
        <v>11</v>
      </c>
      <c r="C87" s="120">
        <v>2970000</v>
      </c>
    </row>
    <row r="88" spans="1:3">
      <c r="A88" s="119" t="s">
        <v>1261</v>
      </c>
      <c r="B88" s="120">
        <v>26</v>
      </c>
      <c r="C88" s="120">
        <v>7020000</v>
      </c>
    </row>
    <row r="89" spans="1:3">
      <c r="A89" s="36" t="s">
        <v>299</v>
      </c>
      <c r="B89" s="120">
        <v>316957.10000000003</v>
      </c>
      <c r="C89" s="120">
        <v>9090337801</v>
      </c>
    </row>
    <row r="90" spans="1:3">
      <c r="A90" s="118" t="s">
        <v>6</v>
      </c>
      <c r="B90" s="120">
        <v>1553</v>
      </c>
      <c r="C90" s="120">
        <v>68640000</v>
      </c>
    </row>
    <row r="91" spans="1:3">
      <c r="A91" s="119" t="s">
        <v>977</v>
      </c>
      <c r="B91" s="120">
        <v>75</v>
      </c>
      <c r="C91" s="120">
        <v>4290000</v>
      </c>
    </row>
    <row r="92" spans="1:3">
      <c r="A92" s="119" t="s">
        <v>1333</v>
      </c>
      <c r="B92" s="120">
        <v>350</v>
      </c>
      <c r="C92" s="120">
        <v>28660000</v>
      </c>
    </row>
    <row r="93" spans="1:3">
      <c r="A93" s="119" t="s">
        <v>1557</v>
      </c>
      <c r="B93" s="120">
        <v>53</v>
      </c>
      <c r="C93" s="120">
        <v>15600000</v>
      </c>
    </row>
    <row r="94" spans="1:3" hidden="1">
      <c r="A94" s="119" t="s">
        <v>1560</v>
      </c>
      <c r="B94" s="120">
        <v>75</v>
      </c>
      <c r="C94" s="120">
        <v>4290000</v>
      </c>
    </row>
    <row r="95" spans="1:3" hidden="1">
      <c r="A95" s="119" t="s">
        <v>1650</v>
      </c>
      <c r="B95" s="120">
        <v>1000</v>
      </c>
      <c r="C95" s="120">
        <v>15800000</v>
      </c>
    </row>
    <row r="96" spans="1:3" hidden="1">
      <c r="A96" s="118" t="s">
        <v>323</v>
      </c>
      <c r="B96" s="120">
        <v>2574.8000000000002</v>
      </c>
      <c r="C96" s="120">
        <v>106692000</v>
      </c>
    </row>
    <row r="97" spans="1:3" hidden="1">
      <c r="A97" s="119" t="s">
        <v>878</v>
      </c>
      <c r="B97" s="120">
        <v>675</v>
      </c>
      <c r="C97" s="120">
        <v>27337500</v>
      </c>
    </row>
    <row r="98" spans="1:3" hidden="1">
      <c r="A98" s="119" t="s">
        <v>936</v>
      </c>
      <c r="B98" s="120">
        <v>20</v>
      </c>
      <c r="C98" s="120">
        <v>810000</v>
      </c>
    </row>
    <row r="99" spans="1:3" hidden="1">
      <c r="A99" s="119" t="s">
        <v>940</v>
      </c>
      <c r="B99" s="120">
        <v>720</v>
      </c>
      <c r="C99" s="120">
        <v>29160000</v>
      </c>
    </row>
    <row r="100" spans="1:3" hidden="1">
      <c r="A100" s="119" t="s">
        <v>967</v>
      </c>
      <c r="B100" s="120">
        <v>150</v>
      </c>
      <c r="C100" s="120">
        <v>6075000</v>
      </c>
    </row>
    <row r="101" spans="1:3" hidden="1">
      <c r="A101" s="119" t="s">
        <v>1196</v>
      </c>
      <c r="B101" s="120">
        <v>4</v>
      </c>
      <c r="C101" s="120">
        <v>232000</v>
      </c>
    </row>
    <row r="102" spans="1:3" hidden="1">
      <c r="A102" s="119" t="s">
        <v>1198</v>
      </c>
      <c r="B102" s="120">
        <v>0.3</v>
      </c>
      <c r="C102" s="120">
        <v>0</v>
      </c>
    </row>
    <row r="103" spans="1:3" hidden="1">
      <c r="A103" s="119" t="s">
        <v>1391</v>
      </c>
      <c r="B103" s="120">
        <v>425</v>
      </c>
      <c r="C103" s="120">
        <v>17212500</v>
      </c>
    </row>
    <row r="104" spans="1:3" hidden="1">
      <c r="A104" s="119" t="s">
        <v>1468</v>
      </c>
      <c r="B104" s="120">
        <v>450</v>
      </c>
      <c r="C104" s="120">
        <v>18225000</v>
      </c>
    </row>
    <row r="105" spans="1:3" hidden="1">
      <c r="A105" s="119" t="s">
        <v>1562</v>
      </c>
      <c r="B105" s="120">
        <v>20</v>
      </c>
      <c r="C105" s="120">
        <v>1160000</v>
      </c>
    </row>
    <row r="106" spans="1:3" hidden="1">
      <c r="A106" s="119" t="s">
        <v>1564</v>
      </c>
      <c r="B106" s="120">
        <v>1.5</v>
      </c>
      <c r="C106" s="120">
        <v>0</v>
      </c>
    </row>
    <row r="107" spans="1:3" hidden="1">
      <c r="A107" s="119" t="s">
        <v>1575</v>
      </c>
      <c r="B107" s="120">
        <v>100</v>
      </c>
      <c r="C107" s="120">
        <v>4050000</v>
      </c>
    </row>
    <row r="108" spans="1:3" hidden="1">
      <c r="A108" s="119" t="s">
        <v>1580</v>
      </c>
      <c r="B108" s="120">
        <v>9</v>
      </c>
      <c r="C108" s="120">
        <v>2430000</v>
      </c>
    </row>
    <row r="109" spans="1:3" hidden="1">
      <c r="A109" s="118" t="s">
        <v>319</v>
      </c>
      <c r="B109" s="120">
        <v>4900</v>
      </c>
      <c r="C109" s="120">
        <v>141750000</v>
      </c>
    </row>
    <row r="110" spans="1:3" hidden="1">
      <c r="A110" s="119" t="s">
        <v>886</v>
      </c>
      <c r="B110" s="120">
        <v>1000</v>
      </c>
      <c r="C110" s="120">
        <v>25500000</v>
      </c>
    </row>
    <row r="111" spans="1:3" hidden="1">
      <c r="A111" s="119" t="s">
        <v>890</v>
      </c>
      <c r="B111" s="120">
        <v>3500</v>
      </c>
      <c r="C111" s="120">
        <v>89250000</v>
      </c>
    </row>
    <row r="112" spans="1:3" hidden="1">
      <c r="A112" s="119" t="s">
        <v>1121</v>
      </c>
      <c r="B112" s="120">
        <v>400</v>
      </c>
      <c r="C112" s="120">
        <v>27000000</v>
      </c>
    </row>
    <row r="113" spans="1:3" hidden="1">
      <c r="A113" s="118" t="s">
        <v>18</v>
      </c>
      <c r="B113" s="120">
        <v>1000</v>
      </c>
      <c r="C113" s="120">
        <v>26300000</v>
      </c>
    </row>
    <row r="114" spans="1:3" hidden="1">
      <c r="A114" s="119" t="s">
        <v>921</v>
      </c>
      <c r="B114" s="120">
        <v>1000</v>
      </c>
      <c r="C114" s="120">
        <v>26300000</v>
      </c>
    </row>
    <row r="115" spans="1:3" hidden="1">
      <c r="A115" s="118" t="s">
        <v>174</v>
      </c>
      <c r="B115" s="120">
        <v>15375</v>
      </c>
      <c r="C115" s="120">
        <v>292500000</v>
      </c>
    </row>
    <row r="116" spans="1:3" hidden="1">
      <c r="A116" s="119" t="s">
        <v>1348</v>
      </c>
      <c r="B116" s="120">
        <v>15000</v>
      </c>
      <c r="C116" s="120">
        <v>292500000</v>
      </c>
    </row>
    <row r="117" spans="1:3" hidden="1">
      <c r="A117" s="119" t="s">
        <v>1350</v>
      </c>
      <c r="B117" s="120">
        <v>375</v>
      </c>
      <c r="C117" s="120">
        <v>0</v>
      </c>
    </row>
    <row r="118" spans="1:3" hidden="1">
      <c r="A118" s="118" t="s">
        <v>169</v>
      </c>
      <c r="B118" s="120">
        <v>5800</v>
      </c>
      <c r="C118" s="120">
        <v>142740000</v>
      </c>
    </row>
    <row r="119" spans="1:3" hidden="1">
      <c r="A119" s="119" t="s">
        <v>893</v>
      </c>
      <c r="B119" s="120">
        <v>1500</v>
      </c>
      <c r="C119" s="120">
        <v>39450000</v>
      </c>
    </row>
    <row r="120" spans="1:3" hidden="1">
      <c r="A120" s="119" t="s">
        <v>1035</v>
      </c>
      <c r="B120" s="120">
        <v>500</v>
      </c>
      <c r="C120" s="120">
        <v>12750000</v>
      </c>
    </row>
    <row r="121" spans="1:3" hidden="1">
      <c r="A121" s="119" t="s">
        <v>1183</v>
      </c>
      <c r="B121" s="120">
        <v>1000</v>
      </c>
      <c r="C121" s="120">
        <v>19500000</v>
      </c>
    </row>
    <row r="122" spans="1:3" hidden="1">
      <c r="A122" s="119" t="s">
        <v>1207</v>
      </c>
      <c r="B122" s="120">
        <v>1400</v>
      </c>
      <c r="C122" s="120">
        <v>35460000</v>
      </c>
    </row>
    <row r="123" spans="1:3" hidden="1">
      <c r="A123" s="119" t="s">
        <v>1411</v>
      </c>
      <c r="B123" s="120">
        <v>200</v>
      </c>
      <c r="C123" s="120">
        <v>5100000</v>
      </c>
    </row>
    <row r="124" spans="1:3" hidden="1">
      <c r="A124" s="119" t="s">
        <v>1622</v>
      </c>
      <c r="B124" s="120">
        <v>1200</v>
      </c>
      <c r="C124" s="120">
        <v>30480000</v>
      </c>
    </row>
    <row r="125" spans="1:3" hidden="1">
      <c r="A125" s="118" t="s">
        <v>45</v>
      </c>
      <c r="B125" s="120">
        <v>99.825000000000003</v>
      </c>
      <c r="C125" s="120">
        <v>14738500</v>
      </c>
    </row>
    <row r="126" spans="1:3" hidden="1">
      <c r="A126" s="119" t="s">
        <v>946</v>
      </c>
      <c r="B126" s="120">
        <v>5</v>
      </c>
      <c r="C126" s="120">
        <v>1250000</v>
      </c>
    </row>
    <row r="127" spans="1:3" hidden="1">
      <c r="A127" s="119" t="s">
        <v>974</v>
      </c>
      <c r="B127" s="120">
        <v>2</v>
      </c>
      <c r="C127" s="120">
        <v>320000</v>
      </c>
    </row>
    <row r="128" spans="1:3" hidden="1">
      <c r="A128" s="119" t="s">
        <v>1039</v>
      </c>
      <c r="B128" s="120">
        <v>2</v>
      </c>
      <c r="C128" s="120">
        <v>500000</v>
      </c>
    </row>
    <row r="129" spans="1:3" hidden="1">
      <c r="A129" s="119" t="s">
        <v>1082</v>
      </c>
      <c r="B129" s="120">
        <v>5</v>
      </c>
      <c r="C129" s="120">
        <v>850000</v>
      </c>
    </row>
    <row r="130" spans="1:3" hidden="1">
      <c r="A130" s="119" t="s">
        <v>1123</v>
      </c>
      <c r="B130" s="120">
        <v>5</v>
      </c>
      <c r="C130" s="120">
        <v>2060000</v>
      </c>
    </row>
    <row r="131" spans="1:3" hidden="1">
      <c r="A131" s="119" t="s">
        <v>1130</v>
      </c>
      <c r="B131" s="120">
        <v>52</v>
      </c>
      <c r="C131" s="120">
        <v>5932000</v>
      </c>
    </row>
    <row r="132" spans="1:3" hidden="1">
      <c r="A132" s="119" t="s">
        <v>1134</v>
      </c>
      <c r="B132" s="120">
        <v>9</v>
      </c>
      <c r="C132" s="120">
        <v>0</v>
      </c>
    </row>
    <row r="133" spans="1:3" hidden="1">
      <c r="A133" s="119" t="s">
        <v>1177</v>
      </c>
      <c r="B133" s="120">
        <v>4</v>
      </c>
      <c r="C133" s="120">
        <v>2080000</v>
      </c>
    </row>
    <row r="134" spans="1:3" hidden="1">
      <c r="A134" s="119" t="s">
        <v>1308</v>
      </c>
      <c r="B134" s="120">
        <v>1</v>
      </c>
      <c r="C134" s="120">
        <v>170000</v>
      </c>
    </row>
    <row r="135" spans="1:3" hidden="1">
      <c r="A135" s="119" t="s">
        <v>1310</v>
      </c>
      <c r="B135" s="120">
        <v>0.75</v>
      </c>
      <c r="C135" s="120">
        <v>0</v>
      </c>
    </row>
    <row r="136" spans="1:3" hidden="1">
      <c r="A136" s="119" t="s">
        <v>1316</v>
      </c>
      <c r="B136" s="120">
        <v>10</v>
      </c>
      <c r="C136" s="120">
        <v>620000</v>
      </c>
    </row>
    <row r="137" spans="1:3" hidden="1">
      <c r="A137" s="119" t="s">
        <v>1652</v>
      </c>
      <c r="B137" s="120">
        <v>4</v>
      </c>
      <c r="C137" s="120">
        <v>956500</v>
      </c>
    </row>
    <row r="138" spans="1:3" hidden="1">
      <c r="A138" s="119" t="s">
        <v>1654</v>
      </c>
      <c r="B138" s="120">
        <v>7.4999999999999997E-2</v>
      </c>
      <c r="C138" s="120">
        <v>0</v>
      </c>
    </row>
    <row r="139" spans="1:3" hidden="1">
      <c r="A139" s="118" t="s">
        <v>154</v>
      </c>
      <c r="B139" s="120">
        <v>1300</v>
      </c>
      <c r="C139" s="120">
        <v>58250000</v>
      </c>
    </row>
    <row r="140" spans="1:3" hidden="1">
      <c r="A140" s="119" t="s">
        <v>949</v>
      </c>
      <c r="B140" s="120">
        <v>1300</v>
      </c>
      <c r="C140" s="120">
        <v>58250000</v>
      </c>
    </row>
    <row r="141" spans="1:3" hidden="1">
      <c r="A141" s="118" t="s">
        <v>114</v>
      </c>
      <c r="B141" s="120">
        <v>100</v>
      </c>
      <c r="C141" s="120">
        <v>2100000</v>
      </c>
    </row>
    <row r="142" spans="1:3" hidden="1">
      <c r="A142" s="119" t="s">
        <v>882</v>
      </c>
      <c r="B142" s="120">
        <v>100</v>
      </c>
      <c r="C142" s="120">
        <v>2100000</v>
      </c>
    </row>
    <row r="143" spans="1:3" hidden="1">
      <c r="A143" s="118" t="s">
        <v>146</v>
      </c>
      <c r="B143" s="120">
        <v>1500</v>
      </c>
      <c r="C143" s="120">
        <v>48060000</v>
      </c>
    </row>
    <row r="144" spans="1:3" hidden="1">
      <c r="A144" s="119" t="s">
        <v>865</v>
      </c>
      <c r="B144" s="120">
        <v>750</v>
      </c>
      <c r="C144" s="120">
        <v>21945000</v>
      </c>
    </row>
    <row r="145" spans="1:3" hidden="1">
      <c r="A145" s="119" t="s">
        <v>868</v>
      </c>
      <c r="B145" s="120">
        <v>450</v>
      </c>
      <c r="C145" s="120">
        <v>15385000</v>
      </c>
    </row>
    <row r="146" spans="1:3" hidden="1">
      <c r="A146" s="119" t="s">
        <v>1346</v>
      </c>
      <c r="B146" s="120">
        <v>300</v>
      </c>
      <c r="C146" s="120">
        <v>10730000</v>
      </c>
    </row>
    <row r="147" spans="1:3" hidden="1">
      <c r="A147" s="118" t="s">
        <v>195</v>
      </c>
      <c r="B147" s="120">
        <v>100</v>
      </c>
      <c r="C147" s="120">
        <v>24000000</v>
      </c>
    </row>
    <row r="148" spans="1:3" hidden="1">
      <c r="A148" s="119" t="s">
        <v>862</v>
      </c>
      <c r="B148" s="120">
        <v>100</v>
      </c>
      <c r="C148" s="120">
        <v>24000000</v>
      </c>
    </row>
    <row r="149" spans="1:3" hidden="1">
      <c r="A149" s="118" t="s">
        <v>759</v>
      </c>
      <c r="B149" s="120">
        <v>154045</v>
      </c>
      <c r="C149" s="120">
        <v>3957638500</v>
      </c>
    </row>
    <row r="150" spans="1:3" hidden="1">
      <c r="A150" s="119" t="s">
        <v>840</v>
      </c>
      <c r="B150" s="120">
        <v>52000</v>
      </c>
      <c r="C150" s="120">
        <v>661180000</v>
      </c>
    </row>
    <row r="151" spans="1:3" hidden="1">
      <c r="A151" s="119" t="s">
        <v>842</v>
      </c>
      <c r="B151" s="120">
        <v>26000</v>
      </c>
      <c r="C151" s="120">
        <v>333970000</v>
      </c>
    </row>
    <row r="152" spans="1:3" hidden="1">
      <c r="A152" s="119" t="s">
        <v>845</v>
      </c>
      <c r="B152" s="120">
        <v>2000</v>
      </c>
      <c r="C152" s="120">
        <v>60400000</v>
      </c>
    </row>
    <row r="153" spans="1:3" hidden="1">
      <c r="A153" s="119" t="s">
        <v>906</v>
      </c>
      <c r="B153" s="120">
        <v>2150</v>
      </c>
      <c r="C153" s="120">
        <v>139438000</v>
      </c>
    </row>
    <row r="154" spans="1:3" hidden="1">
      <c r="A154" s="119" t="s">
        <v>829</v>
      </c>
      <c r="B154" s="120">
        <v>2000</v>
      </c>
      <c r="C154" s="120">
        <v>49500000</v>
      </c>
    </row>
    <row r="155" spans="1:3" hidden="1">
      <c r="A155" s="119" t="s">
        <v>985</v>
      </c>
      <c r="B155" s="120">
        <v>4425</v>
      </c>
      <c r="C155" s="120">
        <v>209731250</v>
      </c>
    </row>
    <row r="156" spans="1:3" hidden="1">
      <c r="A156" s="119" t="s">
        <v>988</v>
      </c>
      <c r="B156" s="120">
        <v>60</v>
      </c>
      <c r="C156" s="120">
        <v>0</v>
      </c>
    </row>
    <row r="157" spans="1:3" hidden="1">
      <c r="A157" s="119" t="s">
        <v>1070</v>
      </c>
      <c r="B157" s="120">
        <v>1750</v>
      </c>
      <c r="C157" s="120">
        <v>36046000</v>
      </c>
    </row>
    <row r="158" spans="1:3" hidden="1">
      <c r="A158" s="119" t="s">
        <v>1072</v>
      </c>
      <c r="B158" s="120">
        <v>1600</v>
      </c>
      <c r="C158" s="120">
        <v>69825000</v>
      </c>
    </row>
    <row r="159" spans="1:3" hidden="1">
      <c r="A159" s="119" t="s">
        <v>1074</v>
      </c>
      <c r="B159" s="120">
        <v>30</v>
      </c>
      <c r="C159" s="120">
        <v>0</v>
      </c>
    </row>
    <row r="160" spans="1:3" hidden="1">
      <c r="A160" s="119" t="s">
        <v>1076</v>
      </c>
      <c r="B160" s="120">
        <v>3000</v>
      </c>
      <c r="C160" s="120">
        <v>74250000</v>
      </c>
    </row>
    <row r="161" spans="1:3" hidden="1">
      <c r="A161" s="119" t="s">
        <v>1078</v>
      </c>
      <c r="B161" s="120">
        <v>200</v>
      </c>
      <c r="C161" s="120">
        <v>27100000</v>
      </c>
    </row>
    <row r="162" spans="1:3" hidden="1">
      <c r="A162" s="119" t="s">
        <v>1170</v>
      </c>
      <c r="B162" s="120">
        <v>5000</v>
      </c>
      <c r="C162" s="120">
        <v>97440000</v>
      </c>
    </row>
    <row r="163" spans="1:3" hidden="1">
      <c r="A163" s="119" t="s">
        <v>1173</v>
      </c>
      <c r="B163" s="120">
        <v>100</v>
      </c>
      <c r="C163" s="120">
        <v>3450000</v>
      </c>
    </row>
    <row r="164" spans="1:3" hidden="1">
      <c r="A164" s="119" t="s">
        <v>1246</v>
      </c>
      <c r="B164" s="120">
        <v>6000</v>
      </c>
      <c r="C164" s="120">
        <v>390150000</v>
      </c>
    </row>
    <row r="165" spans="1:3" hidden="1">
      <c r="A165" s="119" t="s">
        <v>1251</v>
      </c>
      <c r="B165" s="120">
        <v>3000</v>
      </c>
      <c r="C165" s="120">
        <v>74250000</v>
      </c>
    </row>
    <row r="166" spans="1:3" hidden="1">
      <c r="A166" s="119" t="s">
        <v>1254</v>
      </c>
      <c r="B166" s="120">
        <v>2000</v>
      </c>
      <c r="C166" s="120">
        <v>69000000</v>
      </c>
    </row>
    <row r="167" spans="1:3" hidden="1">
      <c r="A167" s="119" t="s">
        <v>1318</v>
      </c>
      <c r="B167" s="120">
        <v>3240</v>
      </c>
      <c r="C167" s="120">
        <v>103060000</v>
      </c>
    </row>
    <row r="168" spans="1:3" hidden="1">
      <c r="A168" s="119" t="s">
        <v>1320</v>
      </c>
      <c r="B168" s="120">
        <v>2000</v>
      </c>
      <c r="C168" s="120">
        <v>49500000</v>
      </c>
    </row>
    <row r="169" spans="1:3" hidden="1">
      <c r="A169" s="119" t="s">
        <v>1322</v>
      </c>
      <c r="B169" s="120">
        <v>3500</v>
      </c>
      <c r="C169" s="120">
        <v>120750000</v>
      </c>
    </row>
    <row r="170" spans="1:3" hidden="1">
      <c r="A170" s="119" t="s">
        <v>1354</v>
      </c>
      <c r="B170" s="120">
        <v>700</v>
      </c>
      <c r="C170" s="120"/>
    </row>
    <row r="171" spans="1:3" hidden="1">
      <c r="A171" s="119" t="s">
        <v>1372</v>
      </c>
      <c r="B171" s="120">
        <v>550</v>
      </c>
      <c r="C171" s="120">
        <v>23940000</v>
      </c>
    </row>
    <row r="172" spans="1:3" hidden="1">
      <c r="A172" s="119" t="s">
        <v>1374</v>
      </c>
      <c r="B172" s="120">
        <v>100</v>
      </c>
      <c r="C172" s="120">
        <v>3450000</v>
      </c>
    </row>
    <row r="173" spans="1:3" hidden="1">
      <c r="A173" s="119" t="s">
        <v>1415</v>
      </c>
      <c r="B173" s="120">
        <v>1950</v>
      </c>
      <c r="C173" s="120">
        <v>38743750</v>
      </c>
    </row>
    <row r="174" spans="1:3" hidden="1">
      <c r="A174" s="119" t="s">
        <v>1459</v>
      </c>
      <c r="B174" s="120">
        <v>2000</v>
      </c>
      <c r="C174" s="120">
        <v>49500000</v>
      </c>
    </row>
    <row r="175" spans="1:3" hidden="1">
      <c r="A175" s="119" t="s">
        <v>1461</v>
      </c>
      <c r="B175" s="120">
        <v>3000</v>
      </c>
      <c r="C175" s="120">
        <v>103500000</v>
      </c>
    </row>
    <row r="176" spans="1:3" hidden="1">
      <c r="A176" s="119" t="s">
        <v>1463</v>
      </c>
      <c r="B176" s="120">
        <v>3400</v>
      </c>
      <c r="C176" s="120">
        <v>404697000</v>
      </c>
    </row>
    <row r="177" spans="1:3" hidden="1">
      <c r="A177" s="119" t="s">
        <v>1541</v>
      </c>
      <c r="B177" s="120">
        <v>5400</v>
      </c>
      <c r="C177" s="120">
        <v>150280000</v>
      </c>
    </row>
    <row r="178" spans="1:3" hidden="1">
      <c r="A178" s="119" t="s">
        <v>1582</v>
      </c>
      <c r="B178" s="120">
        <v>353</v>
      </c>
      <c r="C178" s="120">
        <v>47831500</v>
      </c>
    </row>
    <row r="179" spans="1:3" hidden="1">
      <c r="A179" s="119" t="s">
        <v>1584</v>
      </c>
      <c r="B179" s="120">
        <v>3407</v>
      </c>
      <c r="C179" s="120">
        <v>262166000</v>
      </c>
    </row>
    <row r="180" spans="1:3" hidden="1">
      <c r="A180" s="119" t="s">
        <v>1586</v>
      </c>
      <c r="B180" s="120">
        <v>30</v>
      </c>
      <c r="C180" s="120">
        <v>0</v>
      </c>
    </row>
    <row r="181" spans="1:3" hidden="1">
      <c r="A181" s="119" t="s">
        <v>1588</v>
      </c>
      <c r="B181" s="120">
        <v>5000</v>
      </c>
      <c r="C181" s="120">
        <v>123750000</v>
      </c>
    </row>
    <row r="182" spans="1:3" hidden="1">
      <c r="A182" s="119" t="s">
        <v>1590</v>
      </c>
      <c r="B182" s="120">
        <v>3000</v>
      </c>
      <c r="C182" s="120">
        <v>103500000</v>
      </c>
    </row>
    <row r="183" spans="1:3" hidden="1">
      <c r="A183" s="119" t="s">
        <v>1604</v>
      </c>
      <c r="B183" s="120">
        <v>3700</v>
      </c>
      <c r="C183" s="120">
        <v>77240000</v>
      </c>
    </row>
    <row r="184" spans="1:3" hidden="1">
      <c r="A184" s="119" t="s">
        <v>1608</v>
      </c>
      <c r="B184" s="120">
        <v>1100</v>
      </c>
      <c r="C184" s="120"/>
    </row>
    <row r="185" spans="1:3" hidden="1">
      <c r="A185" s="119" t="s">
        <v>1610</v>
      </c>
      <c r="B185" s="120">
        <v>300</v>
      </c>
      <c r="C185" s="120"/>
    </row>
    <row r="186" spans="1:3" hidden="1">
      <c r="A186" s="118" t="s">
        <v>64</v>
      </c>
      <c r="B186" s="120">
        <v>3800</v>
      </c>
      <c r="C186" s="120">
        <v>113685000</v>
      </c>
    </row>
    <row r="187" spans="1:3" hidden="1">
      <c r="A187" s="119" t="s">
        <v>852</v>
      </c>
      <c r="B187" s="120">
        <v>1225</v>
      </c>
      <c r="C187" s="120">
        <v>49277500</v>
      </c>
    </row>
    <row r="188" spans="1:3" hidden="1">
      <c r="A188" s="119" t="s">
        <v>855</v>
      </c>
      <c r="B188" s="120">
        <v>1175</v>
      </c>
      <c r="C188" s="120">
        <v>21907500</v>
      </c>
    </row>
    <row r="189" spans="1:3" hidden="1">
      <c r="A189" s="119" t="s">
        <v>1104</v>
      </c>
      <c r="B189" s="120">
        <v>400</v>
      </c>
      <c r="C189" s="120">
        <v>16200000</v>
      </c>
    </row>
    <row r="190" spans="1:3" hidden="1">
      <c r="A190" s="119" t="s">
        <v>1387</v>
      </c>
      <c r="B190" s="120">
        <v>1000</v>
      </c>
      <c r="C190" s="120">
        <v>26300000</v>
      </c>
    </row>
    <row r="191" spans="1:3" hidden="1">
      <c r="A191" s="118" t="s">
        <v>167</v>
      </c>
      <c r="B191" s="120">
        <v>1200</v>
      </c>
      <c r="C191" s="120">
        <v>19200000</v>
      </c>
    </row>
    <row r="192" spans="1:3" hidden="1">
      <c r="A192" s="119" t="s">
        <v>858</v>
      </c>
      <c r="B192" s="120">
        <v>1200</v>
      </c>
      <c r="C192" s="120">
        <v>19200000</v>
      </c>
    </row>
    <row r="193" spans="1:3" hidden="1">
      <c r="A193" s="118" t="s">
        <v>479</v>
      </c>
      <c r="B193" s="120">
        <v>262.25</v>
      </c>
      <c r="C193" s="120">
        <v>19050000</v>
      </c>
    </row>
    <row r="194" spans="1:3" hidden="1">
      <c r="A194" s="119" t="s">
        <v>991</v>
      </c>
      <c r="B194" s="120">
        <v>80</v>
      </c>
      <c r="C194" s="120">
        <v>3200000</v>
      </c>
    </row>
    <row r="195" spans="1:3" hidden="1">
      <c r="A195" s="119" t="s">
        <v>1111</v>
      </c>
      <c r="B195" s="120">
        <v>180</v>
      </c>
      <c r="C195" s="120">
        <v>15850000</v>
      </c>
    </row>
    <row r="196" spans="1:3" hidden="1">
      <c r="A196" s="119" t="s">
        <v>1113</v>
      </c>
      <c r="B196" s="120">
        <v>2.25</v>
      </c>
      <c r="C196" s="120">
        <v>0</v>
      </c>
    </row>
    <row r="197" spans="1:3" hidden="1">
      <c r="A197" s="118" t="s">
        <v>133</v>
      </c>
      <c r="B197" s="120">
        <v>1625</v>
      </c>
      <c r="C197" s="120">
        <v>106843750</v>
      </c>
    </row>
    <row r="198" spans="1:3" hidden="1">
      <c r="A198" s="119" t="s">
        <v>850</v>
      </c>
      <c r="B198" s="120">
        <v>1625</v>
      </c>
      <c r="C198" s="120">
        <v>106843750</v>
      </c>
    </row>
    <row r="199" spans="1:3" hidden="1">
      <c r="A199" s="118" t="s">
        <v>771</v>
      </c>
      <c r="B199" s="120">
        <v>25</v>
      </c>
      <c r="C199" s="120">
        <v>4325000</v>
      </c>
    </row>
    <row r="200" spans="1:3" hidden="1">
      <c r="A200" s="119" t="s">
        <v>983</v>
      </c>
      <c r="B200" s="120">
        <v>5</v>
      </c>
      <c r="C200" s="120">
        <v>325000</v>
      </c>
    </row>
    <row r="201" spans="1:3" hidden="1">
      <c r="A201" s="119" t="s">
        <v>1287</v>
      </c>
      <c r="B201" s="120">
        <v>20</v>
      </c>
      <c r="C201" s="120">
        <v>4000000</v>
      </c>
    </row>
    <row r="202" spans="1:3" hidden="1">
      <c r="A202" s="118" t="s">
        <v>32</v>
      </c>
      <c r="B202" s="120">
        <v>2915.5</v>
      </c>
      <c r="C202" s="120">
        <v>303916000</v>
      </c>
    </row>
    <row r="203" spans="1:3" hidden="1">
      <c r="A203" s="119" t="s">
        <v>933</v>
      </c>
      <c r="B203" s="120">
        <v>8</v>
      </c>
      <c r="C203" s="120">
        <v>676000</v>
      </c>
    </row>
    <row r="204" spans="1:3" hidden="1">
      <c r="A204" s="119" t="s">
        <v>955</v>
      </c>
      <c r="B204" s="120">
        <v>2250</v>
      </c>
      <c r="C204" s="120">
        <v>181615000</v>
      </c>
    </row>
    <row r="205" spans="1:3" hidden="1">
      <c r="A205" s="119" t="s">
        <v>957</v>
      </c>
      <c r="B205" s="120">
        <v>7.5</v>
      </c>
      <c r="C205" s="120">
        <v>0</v>
      </c>
    </row>
    <row r="206" spans="1:3" hidden="1">
      <c r="A206" s="119" t="s">
        <v>998</v>
      </c>
      <c r="B206" s="120">
        <v>150</v>
      </c>
      <c r="C206" s="120">
        <v>26625000</v>
      </c>
    </row>
    <row r="207" spans="1:3" hidden="1">
      <c r="A207" s="119" t="s">
        <v>1401</v>
      </c>
      <c r="B207" s="120">
        <v>500</v>
      </c>
      <c r="C207" s="120">
        <v>95000000</v>
      </c>
    </row>
    <row r="208" spans="1:3" hidden="1">
      <c r="A208" s="118" t="s">
        <v>398</v>
      </c>
      <c r="B208" s="120">
        <v>2000</v>
      </c>
      <c r="C208" s="120">
        <v>0</v>
      </c>
    </row>
    <row r="209" spans="1:3" hidden="1">
      <c r="A209" s="119" t="s">
        <v>951</v>
      </c>
      <c r="B209" s="120">
        <v>2000</v>
      </c>
      <c r="C209" s="120">
        <v>0</v>
      </c>
    </row>
    <row r="210" spans="1:3" hidden="1">
      <c r="A210" s="118" t="s">
        <v>393</v>
      </c>
      <c r="B210" s="120">
        <v>100</v>
      </c>
      <c r="C210" s="120">
        <v>0</v>
      </c>
    </row>
    <row r="211" spans="1:3" hidden="1">
      <c r="A211" s="119" t="s">
        <v>923</v>
      </c>
      <c r="B211" s="120">
        <v>75</v>
      </c>
      <c r="C211" s="120">
        <v>0</v>
      </c>
    </row>
    <row r="212" spans="1:3" hidden="1">
      <c r="A212" s="119" t="s">
        <v>1060</v>
      </c>
      <c r="B212" s="120">
        <v>25</v>
      </c>
      <c r="C212" s="120">
        <v>0</v>
      </c>
    </row>
    <row r="213" spans="1:3" hidden="1">
      <c r="A213" s="118" t="s">
        <v>776</v>
      </c>
      <c r="B213" s="120">
        <v>80</v>
      </c>
      <c r="C213" s="120">
        <v>3200000</v>
      </c>
    </row>
    <row r="214" spans="1:3" hidden="1">
      <c r="A214" s="119" t="s">
        <v>870</v>
      </c>
      <c r="B214" s="120">
        <v>20</v>
      </c>
      <c r="C214" s="120">
        <v>800000</v>
      </c>
    </row>
    <row r="215" spans="1:3" hidden="1">
      <c r="A215" s="119" t="s">
        <v>1273</v>
      </c>
      <c r="B215" s="120">
        <v>60</v>
      </c>
      <c r="C215" s="120">
        <v>2400000</v>
      </c>
    </row>
    <row r="216" spans="1:3" hidden="1">
      <c r="A216" s="118" t="s">
        <v>385</v>
      </c>
      <c r="B216" s="120">
        <v>14050</v>
      </c>
      <c r="C216" s="120">
        <v>1020642900</v>
      </c>
    </row>
    <row r="217" spans="1:3" hidden="1">
      <c r="A217" s="119" t="s">
        <v>961</v>
      </c>
      <c r="B217" s="120">
        <v>850</v>
      </c>
      <c r="C217" s="120">
        <v>64438600</v>
      </c>
    </row>
    <row r="218" spans="1:3" hidden="1">
      <c r="A218" s="119" t="s">
        <v>1117</v>
      </c>
      <c r="B218" s="120">
        <v>4000</v>
      </c>
      <c r="C218" s="120">
        <v>341502000</v>
      </c>
    </row>
    <row r="219" spans="1:3" hidden="1">
      <c r="A219" s="119" t="s">
        <v>1352</v>
      </c>
      <c r="B219" s="120">
        <v>3000</v>
      </c>
      <c r="C219" s="120">
        <v>268635000</v>
      </c>
    </row>
    <row r="220" spans="1:3" hidden="1">
      <c r="A220" s="119" t="s">
        <v>1437</v>
      </c>
      <c r="B220" s="120">
        <v>1150</v>
      </c>
      <c r="C220" s="120">
        <v>91302150</v>
      </c>
    </row>
    <row r="221" spans="1:3" hidden="1">
      <c r="A221" s="119" t="s">
        <v>1543</v>
      </c>
      <c r="B221" s="120">
        <v>2500</v>
      </c>
      <c r="C221" s="120">
        <v>207184000</v>
      </c>
    </row>
    <row r="222" spans="1:3" hidden="1">
      <c r="A222" s="119" t="s">
        <v>1606</v>
      </c>
      <c r="B222" s="120">
        <v>2000</v>
      </c>
      <c r="C222" s="120"/>
    </row>
    <row r="223" spans="1:3" hidden="1">
      <c r="A223" s="119" t="s">
        <v>1628</v>
      </c>
      <c r="B223" s="120">
        <v>550</v>
      </c>
      <c r="C223" s="120">
        <v>47581150</v>
      </c>
    </row>
    <row r="224" spans="1:3" hidden="1">
      <c r="A224" s="118" t="s">
        <v>160</v>
      </c>
      <c r="B224" s="120">
        <v>6</v>
      </c>
      <c r="C224" s="120">
        <v>294000</v>
      </c>
    </row>
    <row r="225" spans="1:3" hidden="1">
      <c r="A225" s="119" t="s">
        <v>930</v>
      </c>
      <c r="B225" s="120">
        <v>6</v>
      </c>
      <c r="C225" s="120">
        <v>294000</v>
      </c>
    </row>
    <row r="226" spans="1:3" hidden="1">
      <c r="A226" s="118" t="s">
        <v>847</v>
      </c>
      <c r="B226" s="120">
        <v>20000</v>
      </c>
      <c r="C226" s="120">
        <v>161880000</v>
      </c>
    </row>
    <row r="227" spans="1:3" hidden="1">
      <c r="A227" s="119" t="s">
        <v>845</v>
      </c>
      <c r="B227" s="120">
        <v>10000</v>
      </c>
      <c r="C227" s="120">
        <v>0</v>
      </c>
    </row>
    <row r="228" spans="1:3" hidden="1">
      <c r="A228" s="119" t="s">
        <v>848</v>
      </c>
      <c r="B228" s="120">
        <v>10000</v>
      </c>
      <c r="C228" s="120">
        <v>161880000</v>
      </c>
    </row>
    <row r="229" spans="1:3" hidden="1">
      <c r="A229" s="118" t="s">
        <v>38</v>
      </c>
      <c r="B229" s="120">
        <v>1212</v>
      </c>
      <c r="C229" s="120">
        <v>82275500</v>
      </c>
    </row>
    <row r="230" spans="1:3" hidden="1">
      <c r="A230" s="119" t="s">
        <v>860</v>
      </c>
      <c r="B230" s="120">
        <v>150</v>
      </c>
      <c r="C230" s="120">
        <v>7779000</v>
      </c>
    </row>
    <row r="231" spans="1:3" hidden="1">
      <c r="A231" s="119" t="s">
        <v>897</v>
      </c>
      <c r="B231" s="120">
        <v>175</v>
      </c>
      <c r="C231" s="120">
        <v>13500000</v>
      </c>
    </row>
    <row r="232" spans="1:3" hidden="1">
      <c r="A232" s="119" t="s">
        <v>1068</v>
      </c>
      <c r="B232" s="120">
        <v>100</v>
      </c>
      <c r="C232" s="120">
        <v>5186000</v>
      </c>
    </row>
    <row r="233" spans="1:3" hidden="1">
      <c r="A233" s="119" t="s">
        <v>1099</v>
      </c>
      <c r="B233" s="120">
        <v>75</v>
      </c>
      <c r="C233" s="120">
        <v>13515000</v>
      </c>
    </row>
    <row r="234" spans="1:3" hidden="1">
      <c r="A234" s="119" t="s">
        <v>1263</v>
      </c>
      <c r="B234" s="120">
        <v>200</v>
      </c>
      <c r="C234" s="120">
        <v>4950000</v>
      </c>
    </row>
    <row r="235" spans="1:3" hidden="1">
      <c r="A235" s="119" t="s">
        <v>1413</v>
      </c>
      <c r="B235" s="120">
        <v>75</v>
      </c>
      <c r="C235" s="120">
        <v>13515000</v>
      </c>
    </row>
    <row r="236" spans="1:3" hidden="1">
      <c r="A236" s="119" t="s">
        <v>1432</v>
      </c>
      <c r="B236" s="120">
        <v>250</v>
      </c>
      <c r="C236" s="120">
        <v>6712000</v>
      </c>
    </row>
    <row r="237" spans="1:3" hidden="1">
      <c r="A237" s="119" t="s">
        <v>1504</v>
      </c>
      <c r="B237" s="120">
        <v>12</v>
      </c>
      <c r="C237" s="120">
        <v>1626000</v>
      </c>
    </row>
    <row r="238" spans="1:3" hidden="1">
      <c r="A238" s="119" t="s">
        <v>1517</v>
      </c>
      <c r="B238" s="120">
        <v>50</v>
      </c>
      <c r="C238" s="120">
        <v>9010000</v>
      </c>
    </row>
    <row r="239" spans="1:3" hidden="1">
      <c r="A239" s="119" t="s">
        <v>1592</v>
      </c>
      <c r="B239" s="120">
        <v>125</v>
      </c>
      <c r="C239" s="120">
        <v>6482500</v>
      </c>
    </row>
    <row r="240" spans="1:3" hidden="1">
      <c r="A240" s="118" t="s">
        <v>875</v>
      </c>
      <c r="B240" s="120">
        <v>2900</v>
      </c>
      <c r="C240" s="120">
        <v>0</v>
      </c>
    </row>
    <row r="241" spans="1:3" hidden="1">
      <c r="A241" s="119" t="s">
        <v>873</v>
      </c>
      <c r="B241" s="120">
        <v>1900</v>
      </c>
      <c r="C241" s="120">
        <v>0</v>
      </c>
    </row>
    <row r="242" spans="1:3" hidden="1">
      <c r="A242" s="119" t="s">
        <v>1236</v>
      </c>
      <c r="B242" s="120">
        <v>1000</v>
      </c>
      <c r="C242" s="120">
        <v>0</v>
      </c>
    </row>
    <row r="243" spans="1:3" hidden="1">
      <c r="A243" s="118" t="s">
        <v>30</v>
      </c>
      <c r="B243" s="120">
        <v>1250</v>
      </c>
      <c r="C243" s="120">
        <v>85781750</v>
      </c>
    </row>
    <row r="244" spans="1:3" hidden="1">
      <c r="A244" s="119" t="s">
        <v>895</v>
      </c>
      <c r="B244" s="120">
        <v>75</v>
      </c>
      <c r="C244" s="120">
        <v>1629750</v>
      </c>
    </row>
    <row r="245" spans="1:3" hidden="1">
      <c r="A245" s="119" t="s">
        <v>959</v>
      </c>
      <c r="B245" s="120">
        <v>25</v>
      </c>
      <c r="C245" s="120">
        <v>4505000</v>
      </c>
    </row>
    <row r="246" spans="1:3" hidden="1">
      <c r="A246" s="119" t="s">
        <v>969</v>
      </c>
      <c r="B246" s="120">
        <v>50</v>
      </c>
      <c r="C246" s="120">
        <v>9010000</v>
      </c>
    </row>
    <row r="247" spans="1:3" hidden="1">
      <c r="A247" s="119" t="s">
        <v>1058</v>
      </c>
      <c r="B247" s="120">
        <v>75</v>
      </c>
      <c r="C247" s="120">
        <v>2917500</v>
      </c>
    </row>
    <row r="248" spans="1:3" hidden="1">
      <c r="A248" s="119" t="s">
        <v>1185</v>
      </c>
      <c r="B248" s="120">
        <v>50</v>
      </c>
      <c r="C248" s="120">
        <v>1950000</v>
      </c>
    </row>
    <row r="249" spans="1:3" hidden="1">
      <c r="A249" s="119" t="s">
        <v>1191</v>
      </c>
      <c r="B249" s="120">
        <v>50</v>
      </c>
      <c r="C249" s="120">
        <v>2593000</v>
      </c>
    </row>
    <row r="250" spans="1:3" hidden="1">
      <c r="A250" s="119" t="s">
        <v>1202</v>
      </c>
      <c r="B250" s="120">
        <v>100</v>
      </c>
      <c r="C250" s="120">
        <v>3900000</v>
      </c>
    </row>
    <row r="251" spans="1:3" hidden="1">
      <c r="A251" s="119" t="s">
        <v>1204</v>
      </c>
      <c r="B251" s="120">
        <v>150</v>
      </c>
      <c r="C251" s="120">
        <v>12900000</v>
      </c>
    </row>
    <row r="252" spans="1:3" hidden="1">
      <c r="A252" s="119" t="s">
        <v>1326</v>
      </c>
      <c r="B252" s="120">
        <v>75</v>
      </c>
      <c r="C252" s="120">
        <v>2587000</v>
      </c>
    </row>
    <row r="253" spans="1:3" hidden="1">
      <c r="A253" s="119" t="s">
        <v>1393</v>
      </c>
      <c r="B253" s="120">
        <v>150</v>
      </c>
      <c r="C253" s="120">
        <v>27030000</v>
      </c>
    </row>
    <row r="254" spans="1:3" hidden="1">
      <c r="A254" s="119" t="s">
        <v>1507</v>
      </c>
      <c r="B254" s="120">
        <v>150</v>
      </c>
      <c r="C254" s="120">
        <v>5835000</v>
      </c>
    </row>
    <row r="255" spans="1:3" hidden="1">
      <c r="A255" s="119" t="s">
        <v>1509</v>
      </c>
      <c r="B255" s="120">
        <v>75</v>
      </c>
      <c r="C255" s="120">
        <v>3889500</v>
      </c>
    </row>
    <row r="256" spans="1:3" hidden="1">
      <c r="A256" s="119" t="s">
        <v>1661</v>
      </c>
      <c r="B256" s="120">
        <v>100</v>
      </c>
      <c r="C256" s="120">
        <v>2173000</v>
      </c>
    </row>
    <row r="257" spans="1:3" hidden="1">
      <c r="A257" s="119" t="s">
        <v>1663</v>
      </c>
      <c r="B257" s="120">
        <v>125</v>
      </c>
      <c r="C257" s="120">
        <v>4862000</v>
      </c>
    </row>
    <row r="258" spans="1:3" hidden="1">
      <c r="A258" s="118" t="s">
        <v>785</v>
      </c>
      <c r="B258" s="120">
        <v>393</v>
      </c>
      <c r="C258" s="120">
        <v>43180000</v>
      </c>
    </row>
    <row r="259" spans="1:3" hidden="1">
      <c r="A259" s="119" t="s">
        <v>903</v>
      </c>
      <c r="B259" s="120">
        <v>303</v>
      </c>
      <c r="C259" s="120">
        <v>37330000</v>
      </c>
    </row>
    <row r="260" spans="1:3" hidden="1">
      <c r="A260" s="119" t="s">
        <v>1566</v>
      </c>
      <c r="B260" s="120">
        <v>90</v>
      </c>
      <c r="C260" s="120">
        <v>5850000</v>
      </c>
    </row>
    <row r="261" spans="1:3" hidden="1">
      <c r="A261" s="118" t="s">
        <v>51</v>
      </c>
      <c r="B261" s="120">
        <v>898.125</v>
      </c>
      <c r="C261" s="120">
        <v>46590075</v>
      </c>
    </row>
    <row r="262" spans="1:3" hidden="1">
      <c r="A262" s="119" t="s">
        <v>908</v>
      </c>
      <c r="B262" s="120">
        <v>20.5</v>
      </c>
      <c r="C262" s="120">
        <v>3137375</v>
      </c>
    </row>
    <row r="263" spans="1:3" hidden="1">
      <c r="A263" s="119" t="s">
        <v>910</v>
      </c>
      <c r="B263" s="120">
        <v>1.125</v>
      </c>
      <c r="C263" s="120">
        <v>0</v>
      </c>
    </row>
    <row r="264" spans="1:3" hidden="1">
      <c r="A264" s="119" t="s">
        <v>993</v>
      </c>
      <c r="B264" s="120">
        <v>20</v>
      </c>
      <c r="C264" s="120">
        <v>8545000</v>
      </c>
    </row>
    <row r="265" spans="1:3" hidden="1">
      <c r="A265" s="119" t="s">
        <v>1064</v>
      </c>
      <c r="B265" s="120">
        <v>30</v>
      </c>
      <c r="C265" s="120">
        <v>1575000</v>
      </c>
    </row>
    <row r="266" spans="1:3" hidden="1">
      <c r="A266" s="119" t="s">
        <v>1066</v>
      </c>
      <c r="B266" s="120">
        <v>2.25</v>
      </c>
      <c r="C266" s="120">
        <v>0</v>
      </c>
    </row>
    <row r="267" spans="1:3" hidden="1">
      <c r="A267" s="119" t="s">
        <v>1152</v>
      </c>
      <c r="B267" s="120">
        <v>100</v>
      </c>
      <c r="C267" s="120">
        <v>5250000</v>
      </c>
    </row>
    <row r="268" spans="1:3" hidden="1">
      <c r="A268" s="119" t="s">
        <v>1154</v>
      </c>
      <c r="B268" s="120">
        <v>7.5</v>
      </c>
      <c r="C268" s="120">
        <v>0</v>
      </c>
    </row>
    <row r="269" spans="1:3" hidden="1">
      <c r="A269" s="119" t="s">
        <v>1160</v>
      </c>
      <c r="B269" s="120">
        <v>10</v>
      </c>
      <c r="C269" s="120">
        <v>4272500</v>
      </c>
    </row>
    <row r="270" spans="1:3" hidden="1">
      <c r="A270" s="119" t="s">
        <v>1166</v>
      </c>
      <c r="B270" s="120">
        <v>344</v>
      </c>
      <c r="C270" s="120"/>
    </row>
    <row r="271" spans="1:3" hidden="1">
      <c r="A271" s="119" t="s">
        <v>1168</v>
      </c>
      <c r="B271" s="120">
        <v>15</v>
      </c>
      <c r="C271" s="120">
        <v>0</v>
      </c>
    </row>
    <row r="272" spans="1:3" hidden="1">
      <c r="A272" s="119" t="s">
        <v>1175</v>
      </c>
      <c r="B272" s="120">
        <v>12</v>
      </c>
      <c r="C272" s="120">
        <v>5127000</v>
      </c>
    </row>
    <row r="273" spans="1:3" hidden="1">
      <c r="A273" s="119" t="s">
        <v>1187</v>
      </c>
      <c r="B273" s="120">
        <v>13</v>
      </c>
      <c r="C273" s="120">
        <v>2992600</v>
      </c>
    </row>
    <row r="274" spans="1:3" hidden="1">
      <c r="A274" s="119" t="s">
        <v>1189</v>
      </c>
      <c r="B274" s="120">
        <v>1</v>
      </c>
      <c r="C274" s="120">
        <v>0</v>
      </c>
    </row>
    <row r="275" spans="1:3" hidden="1">
      <c r="A275" s="119" t="s">
        <v>1476</v>
      </c>
      <c r="B275" s="120">
        <v>50</v>
      </c>
      <c r="C275" s="120">
        <v>2625000</v>
      </c>
    </row>
    <row r="276" spans="1:3" hidden="1">
      <c r="A276" s="119" t="s">
        <v>1478</v>
      </c>
      <c r="B276" s="120">
        <v>3.75</v>
      </c>
      <c r="C276" s="120">
        <v>0</v>
      </c>
    </row>
    <row r="277" spans="1:3" hidden="1">
      <c r="A277" s="119" t="s">
        <v>1480</v>
      </c>
      <c r="B277" s="120">
        <v>30</v>
      </c>
      <c r="C277" s="120">
        <v>1575000</v>
      </c>
    </row>
    <row r="278" spans="1:3" hidden="1">
      <c r="A278" s="119" t="s">
        <v>1482</v>
      </c>
      <c r="B278" s="120">
        <v>2.25</v>
      </c>
      <c r="C278" s="120">
        <v>0</v>
      </c>
    </row>
    <row r="279" spans="1:3" hidden="1">
      <c r="A279" s="119" t="s">
        <v>1498</v>
      </c>
      <c r="B279" s="120">
        <v>48</v>
      </c>
      <c r="C279" s="120">
        <v>2332800</v>
      </c>
    </row>
    <row r="280" spans="1:3" hidden="1">
      <c r="A280" s="119" t="s">
        <v>1634</v>
      </c>
      <c r="B280" s="120">
        <v>80</v>
      </c>
      <c r="C280" s="120">
        <v>4200000</v>
      </c>
    </row>
    <row r="281" spans="1:3" hidden="1">
      <c r="A281" s="119" t="s">
        <v>1636</v>
      </c>
      <c r="B281" s="120">
        <v>6</v>
      </c>
      <c r="C281" s="120">
        <v>0</v>
      </c>
    </row>
    <row r="282" spans="1:3" hidden="1">
      <c r="A282" s="119" t="s">
        <v>1638</v>
      </c>
      <c r="B282" s="120">
        <v>98</v>
      </c>
      <c r="C282" s="120">
        <v>4957800</v>
      </c>
    </row>
    <row r="283" spans="1:3" hidden="1">
      <c r="A283" s="119" t="s">
        <v>1640</v>
      </c>
      <c r="B283" s="120">
        <v>3.75</v>
      </c>
      <c r="C283" s="120">
        <v>0</v>
      </c>
    </row>
    <row r="284" spans="1:3" hidden="1">
      <c r="A284" s="118" t="s">
        <v>31</v>
      </c>
      <c r="B284" s="120">
        <v>5650</v>
      </c>
      <c r="C284" s="120">
        <v>186420000</v>
      </c>
    </row>
    <row r="285" spans="1:3" hidden="1">
      <c r="A285" s="119" t="s">
        <v>299</v>
      </c>
      <c r="B285" s="120">
        <v>50</v>
      </c>
      <c r="C285" s="120">
        <v>0</v>
      </c>
    </row>
    <row r="286" spans="1:3" hidden="1">
      <c r="A286" s="119" t="s">
        <v>916</v>
      </c>
      <c r="B286" s="120">
        <v>550</v>
      </c>
      <c r="C286" s="120">
        <v>82960000</v>
      </c>
    </row>
    <row r="287" spans="1:3" hidden="1">
      <c r="A287" s="119" t="s">
        <v>1341</v>
      </c>
      <c r="B287" s="120">
        <v>5050</v>
      </c>
      <c r="C287" s="120">
        <v>103460000</v>
      </c>
    </row>
    <row r="288" spans="1:3" hidden="1">
      <c r="A288" s="118" t="s">
        <v>920</v>
      </c>
      <c r="B288" s="120">
        <v>1500</v>
      </c>
      <c r="C288" s="120">
        <v>23700000</v>
      </c>
    </row>
    <row r="289" spans="1:3" hidden="1">
      <c r="A289" s="119" t="s">
        <v>919</v>
      </c>
      <c r="B289" s="120">
        <v>100</v>
      </c>
      <c r="C289" s="120">
        <v>1580000</v>
      </c>
    </row>
    <row r="290" spans="1:3" hidden="1">
      <c r="A290" s="119" t="s">
        <v>1037</v>
      </c>
      <c r="B290" s="120">
        <v>400</v>
      </c>
      <c r="C290" s="120">
        <v>6320000</v>
      </c>
    </row>
    <row r="291" spans="1:3" hidden="1">
      <c r="A291" s="119" t="s">
        <v>1200</v>
      </c>
      <c r="B291" s="120">
        <v>600</v>
      </c>
      <c r="C291" s="120">
        <v>9480000</v>
      </c>
    </row>
    <row r="292" spans="1:3" hidden="1">
      <c r="A292" s="119" t="s">
        <v>1405</v>
      </c>
      <c r="B292" s="120">
        <v>400</v>
      </c>
      <c r="C292" s="120">
        <v>6320000</v>
      </c>
    </row>
    <row r="293" spans="1:3" hidden="1">
      <c r="A293" s="118" t="s">
        <v>157</v>
      </c>
      <c r="B293" s="120">
        <v>750</v>
      </c>
      <c r="C293" s="120">
        <v>13516150</v>
      </c>
    </row>
    <row r="294" spans="1:3" hidden="1">
      <c r="A294" s="119" t="s">
        <v>1089</v>
      </c>
      <c r="B294" s="120">
        <v>700</v>
      </c>
      <c r="C294" s="120">
        <v>12495000</v>
      </c>
    </row>
    <row r="295" spans="1:3" hidden="1">
      <c r="A295" s="119" t="s">
        <v>1091</v>
      </c>
      <c r="B295" s="120">
        <v>50</v>
      </c>
      <c r="C295" s="120">
        <v>1021150</v>
      </c>
    </row>
    <row r="296" spans="1:3" hidden="1">
      <c r="A296" s="118" t="s">
        <v>945</v>
      </c>
      <c r="B296" s="120">
        <v>50</v>
      </c>
      <c r="C296" s="120">
        <v>3194500</v>
      </c>
    </row>
    <row r="297" spans="1:3" hidden="1">
      <c r="A297" s="119" t="s">
        <v>943</v>
      </c>
      <c r="B297" s="120">
        <v>50</v>
      </c>
      <c r="C297" s="120">
        <v>3194500</v>
      </c>
    </row>
    <row r="298" spans="1:3" hidden="1">
      <c r="A298" s="118" t="s">
        <v>386</v>
      </c>
      <c r="B298" s="120">
        <v>17625</v>
      </c>
      <c r="C298" s="120">
        <v>368280000</v>
      </c>
    </row>
    <row r="299" spans="1:3" hidden="1">
      <c r="A299" s="119" t="s">
        <v>964</v>
      </c>
      <c r="B299" s="120">
        <v>2000</v>
      </c>
      <c r="C299" s="120">
        <v>39000000</v>
      </c>
    </row>
    <row r="300" spans="1:3" hidden="1">
      <c r="A300" s="119" t="s">
        <v>1032</v>
      </c>
      <c r="B300" s="120">
        <v>1000</v>
      </c>
      <c r="C300" s="120">
        <v>19500000</v>
      </c>
    </row>
    <row r="301" spans="1:3" hidden="1">
      <c r="A301" s="119" t="s">
        <v>1128</v>
      </c>
      <c r="B301" s="120">
        <v>1000</v>
      </c>
      <c r="C301" s="120">
        <v>19500000</v>
      </c>
    </row>
    <row r="302" spans="1:3" hidden="1">
      <c r="A302" s="119" t="s">
        <v>1143</v>
      </c>
      <c r="B302" s="120">
        <v>25</v>
      </c>
      <c r="C302" s="120">
        <v>1580000</v>
      </c>
    </row>
    <row r="303" spans="1:3" hidden="1">
      <c r="A303" s="119" t="s">
        <v>1164</v>
      </c>
      <c r="B303" s="120">
        <v>1000</v>
      </c>
      <c r="C303" s="120">
        <v>15010000</v>
      </c>
    </row>
    <row r="304" spans="1:3" hidden="1">
      <c r="A304" s="119" t="s">
        <v>1360</v>
      </c>
      <c r="B304" s="120">
        <v>2000</v>
      </c>
      <c r="C304" s="120">
        <v>39000000</v>
      </c>
    </row>
    <row r="305" spans="1:3" hidden="1">
      <c r="A305" s="119" t="s">
        <v>1381</v>
      </c>
      <c r="B305" s="120">
        <v>1200</v>
      </c>
      <c r="C305" s="120">
        <v>34755000</v>
      </c>
    </row>
    <row r="306" spans="1:3" hidden="1">
      <c r="A306" s="119" t="s">
        <v>1383</v>
      </c>
      <c r="B306" s="120">
        <v>600</v>
      </c>
      <c r="C306" s="120">
        <v>16845000</v>
      </c>
    </row>
    <row r="307" spans="1:3" hidden="1">
      <c r="A307" s="119" t="s">
        <v>1398</v>
      </c>
      <c r="B307" s="120">
        <v>1100</v>
      </c>
      <c r="C307" s="120">
        <v>23550000</v>
      </c>
    </row>
    <row r="308" spans="1:3" hidden="1">
      <c r="A308" s="119" t="s">
        <v>1502</v>
      </c>
      <c r="B308" s="120">
        <v>400</v>
      </c>
      <c r="C308" s="120">
        <v>16200000</v>
      </c>
    </row>
    <row r="309" spans="1:3" hidden="1">
      <c r="A309" s="119" t="s">
        <v>1515</v>
      </c>
      <c r="B309" s="120">
        <v>400</v>
      </c>
      <c r="C309" s="120">
        <v>7800000</v>
      </c>
    </row>
    <row r="310" spans="1:3" hidden="1">
      <c r="A310" s="119" t="s">
        <v>1536</v>
      </c>
      <c r="B310" s="120">
        <v>2000</v>
      </c>
      <c r="C310" s="120">
        <v>39000000</v>
      </c>
    </row>
    <row r="311" spans="1:3" hidden="1">
      <c r="A311" s="119" t="s">
        <v>1601</v>
      </c>
      <c r="B311" s="120">
        <v>1500</v>
      </c>
      <c r="C311" s="120">
        <v>29250000</v>
      </c>
    </row>
    <row r="312" spans="1:3" hidden="1">
      <c r="A312" s="119" t="s">
        <v>1648</v>
      </c>
      <c r="B312" s="120">
        <v>400</v>
      </c>
      <c r="C312" s="120">
        <v>7800000</v>
      </c>
    </row>
    <row r="313" spans="1:3" hidden="1">
      <c r="A313" s="119" t="s">
        <v>1666</v>
      </c>
      <c r="B313" s="120">
        <v>1000</v>
      </c>
      <c r="C313" s="120">
        <v>19500000</v>
      </c>
    </row>
    <row r="314" spans="1:3" hidden="1">
      <c r="A314" s="119" t="s">
        <v>1669</v>
      </c>
      <c r="B314" s="120">
        <v>2000</v>
      </c>
      <c r="C314" s="120">
        <v>39990000</v>
      </c>
    </row>
    <row r="315" spans="1:3" hidden="1">
      <c r="A315" s="118" t="s">
        <v>973</v>
      </c>
      <c r="B315" s="120">
        <v>7</v>
      </c>
      <c r="C315" s="120">
        <v>3640000</v>
      </c>
    </row>
    <row r="316" spans="1:3" hidden="1">
      <c r="A316" s="119" t="s">
        <v>971</v>
      </c>
      <c r="B316" s="120">
        <v>7</v>
      </c>
      <c r="C316" s="120">
        <v>3640000</v>
      </c>
    </row>
    <row r="317" spans="1:3" hidden="1">
      <c r="A317" s="118" t="s">
        <v>177</v>
      </c>
      <c r="B317" s="120">
        <v>225</v>
      </c>
      <c r="C317" s="120">
        <v>43400000</v>
      </c>
    </row>
    <row r="318" spans="1:3" hidden="1">
      <c r="A318" s="119" t="s">
        <v>1000</v>
      </c>
      <c r="B318" s="120">
        <v>150</v>
      </c>
      <c r="C318" s="120">
        <v>27400000</v>
      </c>
    </row>
    <row r="319" spans="1:3" hidden="1">
      <c r="A319" s="119" t="s">
        <v>1002</v>
      </c>
      <c r="B319" s="120">
        <v>75</v>
      </c>
      <c r="C319" s="120">
        <v>16000000</v>
      </c>
    </row>
    <row r="320" spans="1:3" hidden="1">
      <c r="A320" s="118" t="s">
        <v>53</v>
      </c>
      <c r="B320" s="120">
        <v>475</v>
      </c>
      <c r="C320" s="120">
        <v>19457000</v>
      </c>
    </row>
    <row r="321" spans="1:3" hidden="1">
      <c r="A321" s="119" t="s">
        <v>1526</v>
      </c>
      <c r="B321" s="120">
        <v>475</v>
      </c>
      <c r="C321" s="120">
        <v>19457000</v>
      </c>
    </row>
    <row r="322" spans="1:3" hidden="1">
      <c r="A322" s="118" t="s">
        <v>54</v>
      </c>
      <c r="B322" s="120">
        <v>2393.75</v>
      </c>
      <c r="C322" s="120">
        <v>80032000</v>
      </c>
    </row>
    <row r="323" spans="1:3" hidden="1">
      <c r="A323" s="119" t="s">
        <v>1009</v>
      </c>
      <c r="B323" s="120">
        <v>250</v>
      </c>
      <c r="C323" s="120">
        <v>4250000</v>
      </c>
    </row>
    <row r="324" spans="1:3" hidden="1">
      <c r="A324" s="119" t="s">
        <v>1266</v>
      </c>
      <c r="B324" s="120">
        <v>625</v>
      </c>
      <c r="C324" s="120">
        <v>20125000</v>
      </c>
    </row>
    <row r="325" spans="1:3" hidden="1">
      <c r="A325" s="119" t="s">
        <v>1268</v>
      </c>
      <c r="B325" s="120">
        <v>7.5</v>
      </c>
      <c r="C325" s="120">
        <v>0</v>
      </c>
    </row>
    <row r="326" spans="1:3" hidden="1">
      <c r="A326" s="119" t="s">
        <v>1418</v>
      </c>
      <c r="B326" s="120">
        <v>375</v>
      </c>
      <c r="C326" s="120">
        <v>14865000</v>
      </c>
    </row>
    <row r="327" spans="1:3" hidden="1">
      <c r="A327" s="119" t="s">
        <v>1550</v>
      </c>
      <c r="B327" s="120">
        <v>1125</v>
      </c>
      <c r="C327" s="120">
        <v>40792000</v>
      </c>
    </row>
    <row r="328" spans="1:3" hidden="1">
      <c r="A328" s="119" t="s">
        <v>1552</v>
      </c>
      <c r="B328" s="120">
        <v>11.25</v>
      </c>
      <c r="C328" s="120">
        <v>0</v>
      </c>
    </row>
    <row r="329" spans="1:3" hidden="1">
      <c r="A329" s="118" t="s">
        <v>783</v>
      </c>
      <c r="B329" s="120">
        <v>75</v>
      </c>
      <c r="C329" s="120">
        <v>1912500</v>
      </c>
    </row>
    <row r="330" spans="1:3" hidden="1">
      <c r="A330" s="119" t="s">
        <v>1009</v>
      </c>
      <c r="B330" s="120">
        <v>75</v>
      </c>
      <c r="C330" s="120">
        <v>1912500</v>
      </c>
    </row>
    <row r="331" spans="1:3" hidden="1">
      <c r="A331" s="118" t="s">
        <v>355</v>
      </c>
      <c r="B331" s="120">
        <v>5970</v>
      </c>
      <c r="C331" s="120">
        <v>177616600</v>
      </c>
    </row>
    <row r="332" spans="1:3" hidden="1">
      <c r="A332" s="119" t="s">
        <v>1014</v>
      </c>
      <c r="B332" s="120">
        <v>80</v>
      </c>
      <c r="C332" s="120">
        <v>11992000</v>
      </c>
    </row>
    <row r="333" spans="1:3" hidden="1">
      <c r="A333" s="119" t="s">
        <v>1180</v>
      </c>
      <c r="B333" s="120">
        <v>1475</v>
      </c>
      <c r="C333" s="120">
        <v>43532000</v>
      </c>
    </row>
    <row r="334" spans="1:3" hidden="1">
      <c r="A334" s="119" t="s">
        <v>1331</v>
      </c>
      <c r="B334" s="120">
        <v>50</v>
      </c>
      <c r="C334" s="120">
        <v>5250000</v>
      </c>
    </row>
    <row r="335" spans="1:3" hidden="1">
      <c r="A335" s="119" t="s">
        <v>1368</v>
      </c>
      <c r="B335" s="120">
        <v>1600</v>
      </c>
      <c r="C335" s="120">
        <v>36471000</v>
      </c>
    </row>
    <row r="336" spans="1:3" hidden="1">
      <c r="A336" s="119" t="s">
        <v>1512</v>
      </c>
      <c r="B336" s="120">
        <v>2700</v>
      </c>
      <c r="C336" s="120">
        <v>76750000</v>
      </c>
    </row>
    <row r="337" spans="1:3" hidden="1">
      <c r="A337" s="119" t="s">
        <v>1539</v>
      </c>
      <c r="B337" s="120">
        <v>65</v>
      </c>
      <c r="C337" s="120">
        <v>3621600</v>
      </c>
    </row>
    <row r="338" spans="1:3" hidden="1">
      <c r="A338" s="118" t="s">
        <v>1018</v>
      </c>
      <c r="B338" s="120">
        <v>61.45</v>
      </c>
      <c r="C338" s="120">
        <v>16399000</v>
      </c>
    </row>
    <row r="339" spans="1:3" hidden="1">
      <c r="A339" s="119" t="s">
        <v>1016</v>
      </c>
      <c r="B339" s="120">
        <v>61</v>
      </c>
      <c r="C339" s="120">
        <v>16399000</v>
      </c>
    </row>
    <row r="340" spans="1:3" hidden="1">
      <c r="A340" s="119" t="s">
        <v>1019</v>
      </c>
      <c r="B340" s="120">
        <v>0.45</v>
      </c>
      <c r="C340" s="120">
        <v>0</v>
      </c>
    </row>
    <row r="341" spans="1:3" hidden="1">
      <c r="A341" s="118" t="s">
        <v>173</v>
      </c>
      <c r="B341" s="120">
        <v>43</v>
      </c>
      <c r="C341" s="120">
        <v>2440000</v>
      </c>
    </row>
    <row r="342" spans="1:3" hidden="1">
      <c r="A342" s="119" t="s">
        <v>1024</v>
      </c>
      <c r="B342" s="120">
        <v>40</v>
      </c>
      <c r="C342" s="120">
        <v>2440000</v>
      </c>
    </row>
    <row r="343" spans="1:3" hidden="1">
      <c r="A343" s="119" t="s">
        <v>1026</v>
      </c>
      <c r="B343" s="120">
        <v>3</v>
      </c>
      <c r="C343" s="120">
        <v>0</v>
      </c>
    </row>
    <row r="344" spans="1:3" hidden="1">
      <c r="A344" s="118" t="s">
        <v>1030</v>
      </c>
      <c r="B344" s="120">
        <v>35</v>
      </c>
      <c r="C344" s="120">
        <v>9830000</v>
      </c>
    </row>
    <row r="345" spans="1:3" hidden="1">
      <c r="A345" s="119" t="s">
        <v>1028</v>
      </c>
      <c r="B345" s="120">
        <v>8</v>
      </c>
      <c r="C345" s="120">
        <v>3080000</v>
      </c>
    </row>
    <row r="346" spans="1:3" hidden="1">
      <c r="A346" s="119" t="s">
        <v>1080</v>
      </c>
      <c r="B346" s="120">
        <v>7</v>
      </c>
      <c r="C346" s="120">
        <v>1750000</v>
      </c>
    </row>
    <row r="347" spans="1:3" hidden="1">
      <c r="A347" s="119" t="s">
        <v>1465</v>
      </c>
      <c r="B347" s="120">
        <v>10</v>
      </c>
      <c r="C347" s="120">
        <v>2500000</v>
      </c>
    </row>
    <row r="348" spans="1:3" hidden="1">
      <c r="A348" s="119" t="s">
        <v>1675</v>
      </c>
      <c r="B348" s="120">
        <v>10</v>
      </c>
      <c r="C348" s="120">
        <v>2500000</v>
      </c>
    </row>
    <row r="349" spans="1:3" hidden="1">
      <c r="A349" s="118" t="s">
        <v>359</v>
      </c>
      <c r="B349" s="120">
        <v>16</v>
      </c>
      <c r="C349" s="120">
        <v>4670000</v>
      </c>
    </row>
    <row r="350" spans="1:3" hidden="1">
      <c r="A350" s="119" t="s">
        <v>1042</v>
      </c>
      <c r="B350" s="120">
        <v>16</v>
      </c>
      <c r="C350" s="120">
        <v>4670000</v>
      </c>
    </row>
    <row r="351" spans="1:3" hidden="1">
      <c r="A351" s="118" t="s">
        <v>1046</v>
      </c>
      <c r="B351" s="120">
        <v>3700</v>
      </c>
      <c r="C351" s="120">
        <v>84980500</v>
      </c>
    </row>
    <row r="352" spans="1:3" hidden="1">
      <c r="A352" s="119" t="s">
        <v>1044</v>
      </c>
      <c r="B352" s="120">
        <v>3500</v>
      </c>
      <c r="C352" s="120">
        <v>71480500</v>
      </c>
    </row>
    <row r="353" spans="1:3" hidden="1">
      <c r="A353" s="119" t="s">
        <v>1047</v>
      </c>
      <c r="B353" s="120">
        <v>200</v>
      </c>
      <c r="C353" s="120">
        <v>13500000</v>
      </c>
    </row>
    <row r="354" spans="1:3" hidden="1">
      <c r="A354" s="118" t="s">
        <v>383</v>
      </c>
      <c r="B354" s="120">
        <v>650</v>
      </c>
      <c r="C354" s="120">
        <v>21925000</v>
      </c>
    </row>
    <row r="355" spans="1:3" hidden="1">
      <c r="A355" s="119" t="s">
        <v>1050</v>
      </c>
      <c r="B355" s="120">
        <v>350</v>
      </c>
      <c r="C355" s="120">
        <v>10225000</v>
      </c>
    </row>
    <row r="356" spans="1:3" hidden="1">
      <c r="A356" s="119" t="s">
        <v>1519</v>
      </c>
      <c r="B356" s="120">
        <v>300</v>
      </c>
      <c r="C356" s="120">
        <v>11700000</v>
      </c>
    </row>
    <row r="357" spans="1:3" hidden="1">
      <c r="A357" s="118" t="s">
        <v>144</v>
      </c>
      <c r="B357" s="120">
        <v>298</v>
      </c>
      <c r="C357" s="120">
        <v>14202500</v>
      </c>
    </row>
    <row r="358" spans="1:3" hidden="1">
      <c r="A358" s="119" t="s">
        <v>1053</v>
      </c>
      <c r="B358" s="120">
        <v>125</v>
      </c>
      <c r="C358" s="120">
        <v>3981250</v>
      </c>
    </row>
    <row r="359" spans="1:3" hidden="1">
      <c r="A359" s="119" t="s">
        <v>1435</v>
      </c>
      <c r="B359" s="120">
        <v>125</v>
      </c>
      <c r="C359" s="120">
        <v>3981250</v>
      </c>
    </row>
    <row r="360" spans="1:3" hidden="1">
      <c r="A360" s="119" t="s">
        <v>1445</v>
      </c>
      <c r="B360" s="120">
        <v>48</v>
      </c>
      <c r="C360" s="120">
        <v>6240000</v>
      </c>
    </row>
    <row r="361" spans="1:3" hidden="1">
      <c r="A361" s="118" t="s">
        <v>376</v>
      </c>
      <c r="B361" s="120">
        <v>1787.5</v>
      </c>
      <c r="C361" s="120">
        <v>92365000</v>
      </c>
    </row>
    <row r="362" spans="1:3" hidden="1">
      <c r="A362" s="119" t="s">
        <v>1056</v>
      </c>
      <c r="B362" s="120">
        <v>150</v>
      </c>
      <c r="C362" s="120">
        <v>30000000</v>
      </c>
    </row>
    <row r="363" spans="1:3" hidden="1">
      <c r="A363" s="119" t="s">
        <v>1290</v>
      </c>
      <c r="B363" s="120">
        <v>500</v>
      </c>
      <c r="C363" s="120">
        <v>28000000</v>
      </c>
    </row>
    <row r="364" spans="1:3" hidden="1">
      <c r="A364" s="119" t="s">
        <v>1292</v>
      </c>
      <c r="B364" s="120">
        <v>37.5</v>
      </c>
      <c r="C364" s="120">
        <v>0</v>
      </c>
    </row>
    <row r="365" spans="1:3" hidden="1">
      <c r="A365" s="119" t="s">
        <v>1471</v>
      </c>
      <c r="B365" s="120">
        <v>1000</v>
      </c>
      <c r="C365" s="120">
        <v>27615000</v>
      </c>
    </row>
    <row r="366" spans="1:3" hidden="1">
      <c r="A366" s="119" t="s">
        <v>1632</v>
      </c>
      <c r="B366" s="120">
        <v>100</v>
      </c>
      <c r="C366" s="120">
        <v>6750000</v>
      </c>
    </row>
    <row r="367" spans="1:3" hidden="1">
      <c r="A367" s="118" t="s">
        <v>761</v>
      </c>
      <c r="B367" s="120">
        <v>300</v>
      </c>
      <c r="C367" s="120">
        <v>10500000</v>
      </c>
    </row>
    <row r="368" spans="1:3" hidden="1">
      <c r="A368" s="119" t="s">
        <v>1085</v>
      </c>
      <c r="B368" s="120">
        <v>300</v>
      </c>
      <c r="C368" s="120">
        <v>10500000</v>
      </c>
    </row>
    <row r="369" spans="1:3" hidden="1">
      <c r="A369" s="118" t="s">
        <v>819</v>
      </c>
      <c r="B369" s="120">
        <v>100</v>
      </c>
      <c r="C369" s="120">
        <v>51480000</v>
      </c>
    </row>
    <row r="370" spans="1:3" hidden="1">
      <c r="A370" s="119" t="s">
        <v>1087</v>
      </c>
      <c r="B370" s="120">
        <v>100</v>
      </c>
      <c r="C370" s="120">
        <v>51480000</v>
      </c>
    </row>
    <row r="371" spans="1:3" hidden="1">
      <c r="A371" s="118" t="s">
        <v>380</v>
      </c>
      <c r="B371" s="120">
        <v>16945</v>
      </c>
      <c r="C371" s="120">
        <v>305843750</v>
      </c>
    </row>
    <row r="372" spans="1:3" hidden="1">
      <c r="A372" s="119" t="s">
        <v>1093</v>
      </c>
      <c r="B372" s="120">
        <v>5600</v>
      </c>
      <c r="C372" s="120">
        <v>99400000</v>
      </c>
    </row>
    <row r="373" spans="1:3" hidden="1">
      <c r="A373" s="119" t="s">
        <v>1095</v>
      </c>
      <c r="B373" s="120">
        <v>5600</v>
      </c>
      <c r="C373" s="120">
        <v>99400000</v>
      </c>
    </row>
    <row r="374" spans="1:3" hidden="1">
      <c r="A374" s="119" t="s">
        <v>1097</v>
      </c>
      <c r="B374" s="120">
        <v>5600</v>
      </c>
      <c r="C374" s="120">
        <v>99400000</v>
      </c>
    </row>
    <row r="375" spans="1:3" hidden="1">
      <c r="A375" s="119" t="s">
        <v>1429</v>
      </c>
      <c r="B375" s="120">
        <v>120</v>
      </c>
      <c r="C375" s="120">
        <v>7200000</v>
      </c>
    </row>
    <row r="376" spans="1:3" hidden="1">
      <c r="A376" s="119" t="s">
        <v>1452</v>
      </c>
      <c r="B376" s="120">
        <v>25</v>
      </c>
      <c r="C376" s="120">
        <v>443750</v>
      </c>
    </row>
    <row r="377" spans="1:3" hidden="1">
      <c r="A377" s="118" t="s">
        <v>371</v>
      </c>
      <c r="B377" s="120">
        <v>10</v>
      </c>
      <c r="C377" s="120">
        <v>5190000</v>
      </c>
    </row>
    <row r="378" spans="1:3" hidden="1">
      <c r="A378" s="119" t="s">
        <v>1102</v>
      </c>
      <c r="B378" s="120">
        <v>10</v>
      </c>
      <c r="C378" s="120">
        <v>5190000</v>
      </c>
    </row>
    <row r="379" spans="1:3" hidden="1">
      <c r="A379" s="118" t="s">
        <v>52</v>
      </c>
      <c r="B379" s="120">
        <v>6350</v>
      </c>
      <c r="C379" s="120">
        <v>127725000</v>
      </c>
    </row>
    <row r="380" spans="1:3" hidden="1">
      <c r="A380" s="119" t="s">
        <v>1115</v>
      </c>
      <c r="B380" s="120">
        <v>100</v>
      </c>
      <c r="C380" s="120">
        <v>4650000</v>
      </c>
    </row>
    <row r="381" spans="1:3" hidden="1">
      <c r="A381" s="119" t="s">
        <v>1125</v>
      </c>
      <c r="B381" s="120">
        <v>50</v>
      </c>
      <c r="C381" s="120">
        <v>2325000</v>
      </c>
    </row>
    <row r="382" spans="1:3" hidden="1">
      <c r="A382" s="119" t="s">
        <v>1211</v>
      </c>
      <c r="B382" s="120">
        <v>100</v>
      </c>
      <c r="C382" s="120">
        <v>4650000</v>
      </c>
    </row>
    <row r="383" spans="1:3" hidden="1">
      <c r="A383" s="119" t="s">
        <v>1213</v>
      </c>
      <c r="B383" s="120">
        <v>100</v>
      </c>
      <c r="C383" s="120">
        <v>6000000</v>
      </c>
    </row>
    <row r="384" spans="1:3" hidden="1">
      <c r="A384" s="119" t="s">
        <v>1385</v>
      </c>
      <c r="B384" s="120">
        <v>6000</v>
      </c>
      <c r="C384" s="120">
        <v>110100000</v>
      </c>
    </row>
    <row r="385" spans="1:3" hidden="1">
      <c r="A385" s="118" t="s">
        <v>368</v>
      </c>
      <c r="B385" s="120">
        <v>511.25</v>
      </c>
      <c r="C385" s="120">
        <v>22280000</v>
      </c>
    </row>
    <row r="386" spans="1:3" hidden="1">
      <c r="A386" s="119" t="s">
        <v>1145</v>
      </c>
      <c r="B386" s="120">
        <v>500</v>
      </c>
      <c r="C386" s="120">
        <v>22280000</v>
      </c>
    </row>
    <row r="387" spans="1:3" hidden="1">
      <c r="A387" s="119" t="s">
        <v>1147</v>
      </c>
      <c r="B387" s="120">
        <v>11.25</v>
      </c>
      <c r="C387" s="120">
        <v>0</v>
      </c>
    </row>
    <row r="388" spans="1:3" hidden="1">
      <c r="A388" s="118" t="s">
        <v>1151</v>
      </c>
      <c r="B388" s="120">
        <v>25</v>
      </c>
      <c r="C388" s="120">
        <v>600000</v>
      </c>
    </row>
    <row r="389" spans="1:3" hidden="1">
      <c r="A389" s="119" t="s">
        <v>1149</v>
      </c>
      <c r="B389" s="120">
        <v>25</v>
      </c>
      <c r="C389" s="120">
        <v>600000</v>
      </c>
    </row>
    <row r="390" spans="1:3" hidden="1">
      <c r="A390" s="118" t="s">
        <v>163</v>
      </c>
      <c r="B390" s="120">
        <v>688.5</v>
      </c>
      <c r="C390" s="120">
        <v>124928000</v>
      </c>
    </row>
    <row r="391" spans="1:3" hidden="1">
      <c r="A391" s="119" t="s">
        <v>1162</v>
      </c>
      <c r="B391" s="120">
        <v>30</v>
      </c>
      <c r="C391" s="120">
        <v>7500000</v>
      </c>
    </row>
    <row r="392" spans="1:3" hidden="1">
      <c r="A392" s="119" t="s">
        <v>1362</v>
      </c>
      <c r="B392" s="120">
        <v>12</v>
      </c>
      <c r="C392" s="120">
        <v>2772000</v>
      </c>
    </row>
    <row r="393" spans="1:3" hidden="1">
      <c r="A393" s="119" t="s">
        <v>1364</v>
      </c>
      <c r="B393" s="120">
        <v>0</v>
      </c>
      <c r="C393" s="120">
        <v>0</v>
      </c>
    </row>
    <row r="394" spans="1:3" hidden="1">
      <c r="A394" s="119" t="s">
        <v>1626</v>
      </c>
      <c r="B394" s="120">
        <v>646.5</v>
      </c>
      <c r="C394" s="120">
        <v>114656000</v>
      </c>
    </row>
    <row r="395" spans="1:3" hidden="1">
      <c r="A395" s="118" t="s">
        <v>381</v>
      </c>
      <c r="B395" s="120">
        <v>200</v>
      </c>
      <c r="C395" s="120">
        <v>9412000</v>
      </c>
    </row>
    <row r="396" spans="1:3" hidden="1">
      <c r="A396" s="119" t="s">
        <v>832</v>
      </c>
      <c r="B396" s="120">
        <v>175</v>
      </c>
      <c r="C396" s="120">
        <v>3412000</v>
      </c>
    </row>
    <row r="397" spans="1:3" hidden="1">
      <c r="A397" s="119" t="s">
        <v>835</v>
      </c>
      <c r="B397" s="120">
        <v>25</v>
      </c>
      <c r="C397" s="120">
        <v>6000000</v>
      </c>
    </row>
    <row r="398" spans="1:3" hidden="1">
      <c r="A398" s="118" t="s">
        <v>219</v>
      </c>
      <c r="B398" s="120">
        <v>937</v>
      </c>
      <c r="C398" s="120">
        <v>23975000</v>
      </c>
    </row>
    <row r="399" spans="1:3" hidden="1">
      <c r="A399" s="119" t="s">
        <v>1209</v>
      </c>
      <c r="B399" s="120">
        <v>12</v>
      </c>
      <c r="C399" s="120">
        <v>600000</v>
      </c>
    </row>
    <row r="400" spans="1:3" hidden="1">
      <c r="A400" s="119" t="s">
        <v>1243</v>
      </c>
      <c r="B400" s="120">
        <v>900</v>
      </c>
      <c r="C400" s="120">
        <v>18000000</v>
      </c>
    </row>
    <row r="401" spans="1:3" hidden="1">
      <c r="A401" s="119" t="s">
        <v>1312</v>
      </c>
      <c r="B401" s="120">
        <v>25</v>
      </c>
      <c r="C401" s="120">
        <v>5375000</v>
      </c>
    </row>
    <row r="402" spans="1:3" hidden="1">
      <c r="A402" s="118" t="s">
        <v>820</v>
      </c>
      <c r="B402" s="120">
        <v>54.825000000000003</v>
      </c>
      <c r="C402" s="120">
        <v>8814126</v>
      </c>
    </row>
    <row r="403" spans="1:3" hidden="1">
      <c r="A403" s="119" t="s">
        <v>1214</v>
      </c>
      <c r="B403" s="120">
        <v>23</v>
      </c>
      <c r="C403" s="120">
        <v>3974998</v>
      </c>
    </row>
    <row r="404" spans="1:3" hidden="1">
      <c r="A404" s="119" t="s">
        <v>1216</v>
      </c>
      <c r="B404" s="120">
        <v>28</v>
      </c>
      <c r="C404" s="120">
        <v>4839128</v>
      </c>
    </row>
    <row r="405" spans="1:3" hidden="1">
      <c r="A405" s="119" t="s">
        <v>1218</v>
      </c>
      <c r="B405" s="120">
        <v>3.8250000000000002</v>
      </c>
      <c r="C405" s="120">
        <v>0</v>
      </c>
    </row>
    <row r="406" spans="1:3" hidden="1">
      <c r="A406" s="118" t="s">
        <v>769</v>
      </c>
      <c r="B406" s="120">
        <v>3070</v>
      </c>
      <c r="C406" s="120">
        <v>90594000</v>
      </c>
    </row>
    <row r="407" spans="1:3" hidden="1">
      <c r="A407" s="119" t="s">
        <v>1220</v>
      </c>
      <c r="B407" s="120">
        <v>800</v>
      </c>
      <c r="C407" s="120">
        <v>21825000</v>
      </c>
    </row>
    <row r="408" spans="1:3" hidden="1">
      <c r="A408" s="119" t="s">
        <v>1223</v>
      </c>
      <c r="B408" s="120">
        <v>450</v>
      </c>
      <c r="C408" s="120">
        <v>15000000</v>
      </c>
    </row>
    <row r="409" spans="1:3" hidden="1">
      <c r="A409" s="119" t="s">
        <v>1301</v>
      </c>
      <c r="B409" s="120">
        <v>50</v>
      </c>
      <c r="C409" s="120">
        <v>5125000</v>
      </c>
    </row>
    <row r="410" spans="1:3" hidden="1">
      <c r="A410" s="119" t="s">
        <v>1314</v>
      </c>
      <c r="B410" s="120">
        <v>1500</v>
      </c>
      <c r="C410" s="120">
        <v>39450000</v>
      </c>
    </row>
    <row r="411" spans="1:3" hidden="1">
      <c r="A411" s="119" t="s">
        <v>1328</v>
      </c>
      <c r="B411" s="120">
        <v>200</v>
      </c>
      <c r="C411" s="120">
        <v>5260000</v>
      </c>
    </row>
    <row r="412" spans="1:3" hidden="1">
      <c r="A412" s="119" t="s">
        <v>1532</v>
      </c>
      <c r="B412" s="120">
        <v>10</v>
      </c>
      <c r="C412" s="120">
        <v>562000</v>
      </c>
    </row>
    <row r="413" spans="1:3" hidden="1">
      <c r="A413" s="119" t="s">
        <v>1596</v>
      </c>
      <c r="B413" s="120">
        <v>30</v>
      </c>
      <c r="C413" s="120">
        <v>1686000</v>
      </c>
    </row>
    <row r="414" spans="1:3" hidden="1">
      <c r="A414" s="119" t="s">
        <v>1642</v>
      </c>
      <c r="B414" s="120">
        <v>5</v>
      </c>
      <c r="C414" s="120">
        <v>281000</v>
      </c>
    </row>
    <row r="415" spans="1:3" hidden="1">
      <c r="A415" s="119" t="s">
        <v>1645</v>
      </c>
      <c r="B415" s="120">
        <v>25</v>
      </c>
      <c r="C415" s="120">
        <v>1405000</v>
      </c>
    </row>
    <row r="416" spans="1:3" hidden="1">
      <c r="A416" s="118" t="s">
        <v>152</v>
      </c>
      <c r="B416" s="120">
        <v>850</v>
      </c>
      <c r="C416" s="120">
        <v>18750000</v>
      </c>
    </row>
    <row r="417" spans="1:3" hidden="1">
      <c r="A417" s="119" t="s">
        <v>1239</v>
      </c>
      <c r="B417" s="120">
        <v>50</v>
      </c>
      <c r="C417" s="120">
        <v>1315000</v>
      </c>
    </row>
    <row r="418" spans="1:3" hidden="1">
      <c r="A418" s="119" t="s">
        <v>1241</v>
      </c>
      <c r="B418" s="120">
        <v>400</v>
      </c>
      <c r="C418" s="120">
        <v>6915000</v>
      </c>
    </row>
    <row r="419" spans="1:3" hidden="1">
      <c r="A419" s="119" t="s">
        <v>1403</v>
      </c>
      <c r="B419" s="120">
        <v>400</v>
      </c>
      <c r="C419" s="120">
        <v>10520000</v>
      </c>
    </row>
    <row r="420" spans="1:3" hidden="1">
      <c r="A420" s="118" t="s">
        <v>148</v>
      </c>
      <c r="B420" s="120">
        <v>10</v>
      </c>
      <c r="C420" s="120">
        <v>2700000</v>
      </c>
    </row>
    <row r="421" spans="1:3" hidden="1">
      <c r="A421" s="119" t="s">
        <v>1343</v>
      </c>
      <c r="B421" s="120">
        <v>10</v>
      </c>
      <c r="C421" s="120">
        <v>2700000</v>
      </c>
    </row>
    <row r="422" spans="1:3" hidden="1">
      <c r="A422" s="118" t="s">
        <v>1272</v>
      </c>
      <c r="B422" s="120">
        <v>20</v>
      </c>
      <c r="C422" s="120">
        <v>11500000</v>
      </c>
    </row>
    <row r="423" spans="1:3" hidden="1">
      <c r="A423" s="119" t="s">
        <v>1270</v>
      </c>
      <c r="B423" s="120">
        <v>20</v>
      </c>
      <c r="C423" s="120">
        <v>11500000</v>
      </c>
    </row>
    <row r="424" spans="1:3" hidden="1">
      <c r="A424" s="118" t="s">
        <v>1278</v>
      </c>
      <c r="B424" s="120">
        <v>110</v>
      </c>
      <c r="C424" s="120">
        <v>30800000</v>
      </c>
    </row>
    <row r="425" spans="1:3" hidden="1">
      <c r="A425" s="119" t="s">
        <v>1276</v>
      </c>
      <c r="B425" s="120">
        <v>110</v>
      </c>
      <c r="C425" s="120">
        <v>30800000</v>
      </c>
    </row>
    <row r="426" spans="1:3" hidden="1">
      <c r="A426" s="118" t="s">
        <v>787</v>
      </c>
      <c r="B426" s="120">
        <v>50</v>
      </c>
      <c r="C426" s="120">
        <v>8250000</v>
      </c>
    </row>
    <row r="427" spans="1:3" hidden="1">
      <c r="A427" s="119" t="s">
        <v>1281</v>
      </c>
      <c r="B427" s="120">
        <v>50</v>
      </c>
      <c r="C427" s="120">
        <v>8250000</v>
      </c>
    </row>
    <row r="428" spans="1:3" hidden="1">
      <c r="A428" s="118" t="s">
        <v>1286</v>
      </c>
      <c r="B428" s="120">
        <v>25</v>
      </c>
      <c r="C428" s="120">
        <v>472200</v>
      </c>
    </row>
    <row r="429" spans="1:3" hidden="1">
      <c r="A429" s="119" t="s">
        <v>1284</v>
      </c>
      <c r="B429" s="120">
        <v>25</v>
      </c>
      <c r="C429" s="120">
        <v>472200</v>
      </c>
    </row>
    <row r="430" spans="1:3" hidden="1">
      <c r="A430" s="118" t="s">
        <v>1297</v>
      </c>
      <c r="B430" s="120">
        <v>70</v>
      </c>
      <c r="C430" s="120">
        <v>4900000</v>
      </c>
    </row>
    <row r="431" spans="1:3" hidden="1">
      <c r="A431" s="119" t="s">
        <v>1295</v>
      </c>
      <c r="B431" s="120">
        <v>70</v>
      </c>
      <c r="C431" s="120">
        <v>4900000</v>
      </c>
    </row>
    <row r="432" spans="1:3" hidden="1">
      <c r="A432" s="118" t="s">
        <v>1300</v>
      </c>
      <c r="B432" s="120">
        <v>75</v>
      </c>
      <c r="C432" s="120">
        <v>16125000</v>
      </c>
    </row>
    <row r="433" spans="1:3" hidden="1">
      <c r="A433" s="119" t="s">
        <v>1298</v>
      </c>
      <c r="B433" s="120">
        <v>75</v>
      </c>
      <c r="C433" s="120">
        <v>16125000</v>
      </c>
    </row>
    <row r="434" spans="1:3" hidden="1">
      <c r="A434" s="118" t="s">
        <v>205</v>
      </c>
      <c r="B434" s="120">
        <v>49.8</v>
      </c>
      <c r="C434" s="120">
        <v>0</v>
      </c>
    </row>
    <row r="435" spans="1:3" hidden="1">
      <c r="A435" s="119" t="s">
        <v>1304</v>
      </c>
      <c r="B435" s="120">
        <v>48</v>
      </c>
      <c r="C435" s="120"/>
    </row>
    <row r="436" spans="1:3" hidden="1">
      <c r="A436" s="119" t="s">
        <v>1306</v>
      </c>
      <c r="B436" s="120">
        <v>1.8</v>
      </c>
      <c r="C436" s="120">
        <v>0</v>
      </c>
    </row>
    <row r="437" spans="1:3" hidden="1">
      <c r="A437" s="118" t="s">
        <v>469</v>
      </c>
      <c r="B437" s="120">
        <v>20</v>
      </c>
      <c r="C437" s="120">
        <v>3296000</v>
      </c>
    </row>
    <row r="438" spans="1:3" hidden="1">
      <c r="A438" s="119" t="s">
        <v>1337</v>
      </c>
      <c r="B438" s="120">
        <v>20</v>
      </c>
      <c r="C438" s="120">
        <v>3296000</v>
      </c>
    </row>
    <row r="439" spans="1:3" hidden="1">
      <c r="A439" s="118" t="s">
        <v>351</v>
      </c>
      <c r="B439" s="120">
        <v>16</v>
      </c>
      <c r="C439" s="120">
        <v>4480000</v>
      </c>
    </row>
    <row r="440" spans="1:3" hidden="1">
      <c r="A440" s="119" t="s">
        <v>1357</v>
      </c>
      <c r="B440" s="120">
        <v>16</v>
      </c>
      <c r="C440" s="120">
        <v>4480000</v>
      </c>
    </row>
    <row r="441" spans="1:3" hidden="1">
      <c r="A441" s="118" t="s">
        <v>778</v>
      </c>
      <c r="B441" s="120">
        <v>450</v>
      </c>
      <c r="C441" s="120">
        <v>18000000</v>
      </c>
    </row>
    <row r="442" spans="1:3" hidden="1">
      <c r="A442" s="119" t="s">
        <v>1370</v>
      </c>
      <c r="B442" s="120">
        <v>450</v>
      </c>
      <c r="C442" s="120">
        <v>18000000</v>
      </c>
    </row>
    <row r="443" spans="1:3" hidden="1">
      <c r="A443" s="118" t="s">
        <v>183</v>
      </c>
      <c r="B443" s="120">
        <v>1307.5</v>
      </c>
      <c r="C443" s="120">
        <v>25350000</v>
      </c>
    </row>
    <row r="444" spans="1:3" hidden="1">
      <c r="A444" s="119" t="s">
        <v>1377</v>
      </c>
      <c r="B444" s="120">
        <v>1300</v>
      </c>
      <c r="C444" s="120">
        <v>21450000</v>
      </c>
    </row>
    <row r="445" spans="1:3" hidden="1">
      <c r="A445" s="119" t="s">
        <v>1457</v>
      </c>
      <c r="B445" s="120">
        <v>4.5</v>
      </c>
      <c r="C445" s="120">
        <v>2340000</v>
      </c>
    </row>
    <row r="446" spans="1:3" hidden="1">
      <c r="A446" s="119" t="s">
        <v>1657</v>
      </c>
      <c r="B446" s="120">
        <v>3</v>
      </c>
      <c r="C446" s="120">
        <v>1560000</v>
      </c>
    </row>
    <row r="447" spans="1:3" hidden="1">
      <c r="A447" s="118" t="s">
        <v>1396</v>
      </c>
      <c r="B447" s="120">
        <v>26</v>
      </c>
      <c r="C447" s="120">
        <v>14300000</v>
      </c>
    </row>
    <row r="448" spans="1:3" hidden="1">
      <c r="A448" s="119" t="s">
        <v>822</v>
      </c>
      <c r="B448" s="120">
        <v>26</v>
      </c>
      <c r="C448" s="120">
        <v>14300000</v>
      </c>
    </row>
    <row r="449" spans="1:3" hidden="1">
      <c r="A449" s="118" t="s">
        <v>390</v>
      </c>
      <c r="B449" s="120">
        <v>45</v>
      </c>
      <c r="C449" s="120">
        <v>5050000</v>
      </c>
    </row>
    <row r="450" spans="1:3" hidden="1">
      <c r="A450" s="119" t="s">
        <v>1407</v>
      </c>
      <c r="B450" s="120">
        <v>25</v>
      </c>
      <c r="C450" s="120">
        <v>4250000</v>
      </c>
    </row>
    <row r="451" spans="1:3" hidden="1">
      <c r="A451" s="119" t="s">
        <v>1594</v>
      </c>
      <c r="B451" s="120">
        <v>20</v>
      </c>
      <c r="C451" s="120">
        <v>800000</v>
      </c>
    </row>
    <row r="452" spans="1:3" hidden="1">
      <c r="A452" s="118" t="s">
        <v>1423</v>
      </c>
      <c r="B452" s="120">
        <v>78.75</v>
      </c>
      <c r="C452" s="120">
        <v>7300000</v>
      </c>
    </row>
    <row r="453" spans="1:3" hidden="1">
      <c r="A453" s="119" t="s">
        <v>1421</v>
      </c>
      <c r="B453" s="120">
        <v>50</v>
      </c>
      <c r="C453" s="120">
        <v>3050000</v>
      </c>
    </row>
    <row r="454" spans="1:3" hidden="1">
      <c r="A454" s="119" t="s">
        <v>1424</v>
      </c>
      <c r="B454" s="120">
        <v>3.75</v>
      </c>
      <c r="C454" s="120">
        <v>0</v>
      </c>
    </row>
    <row r="455" spans="1:3" hidden="1">
      <c r="A455" s="119" t="s">
        <v>1427</v>
      </c>
      <c r="B455" s="120">
        <v>25</v>
      </c>
      <c r="C455" s="120">
        <v>4250000</v>
      </c>
    </row>
    <row r="456" spans="1:3" hidden="1">
      <c r="A456" s="118" t="s">
        <v>772</v>
      </c>
      <c r="B456" s="120">
        <v>3</v>
      </c>
      <c r="C456" s="120">
        <v>1557000</v>
      </c>
    </row>
    <row r="457" spans="1:3" hidden="1">
      <c r="A457" s="119" t="s">
        <v>1439</v>
      </c>
      <c r="B457" s="120">
        <v>3</v>
      </c>
      <c r="C457" s="120">
        <v>1557000</v>
      </c>
    </row>
    <row r="458" spans="1:3" hidden="1">
      <c r="A458" s="118" t="s">
        <v>1443</v>
      </c>
      <c r="B458" s="120">
        <v>600</v>
      </c>
      <c r="C458" s="120">
        <v>9600000</v>
      </c>
    </row>
    <row r="459" spans="1:3" hidden="1">
      <c r="A459" s="119" t="s">
        <v>1441</v>
      </c>
      <c r="B459" s="120">
        <v>600</v>
      </c>
      <c r="C459" s="120">
        <v>9600000</v>
      </c>
    </row>
    <row r="460" spans="1:3" hidden="1">
      <c r="A460" s="118" t="s">
        <v>372</v>
      </c>
      <c r="B460" s="120">
        <v>200</v>
      </c>
      <c r="C460" s="120">
        <v>11200000</v>
      </c>
    </row>
    <row r="461" spans="1:3">
      <c r="A461" s="119" t="s">
        <v>1447</v>
      </c>
      <c r="B461" s="120">
        <v>200</v>
      </c>
      <c r="C461" s="120">
        <v>11200000</v>
      </c>
    </row>
    <row r="462" spans="1:3">
      <c r="A462" s="118" t="s">
        <v>392</v>
      </c>
      <c r="B462" s="120">
        <v>150</v>
      </c>
      <c r="C462" s="120">
        <v>4547000</v>
      </c>
    </row>
    <row r="463" spans="1:3">
      <c r="A463" s="119" t="s">
        <v>1449</v>
      </c>
      <c r="B463" s="120">
        <v>150</v>
      </c>
      <c r="C463" s="120">
        <v>4547000</v>
      </c>
    </row>
    <row r="464" spans="1:3">
      <c r="A464" s="118" t="s">
        <v>12</v>
      </c>
      <c r="B464" s="120">
        <v>7</v>
      </c>
      <c r="C464" s="120">
        <v>2335000</v>
      </c>
    </row>
    <row r="465" spans="1:3">
      <c r="A465" s="119" t="s">
        <v>1485</v>
      </c>
      <c r="B465" s="120">
        <v>7</v>
      </c>
      <c r="C465" s="120">
        <v>2335000</v>
      </c>
    </row>
    <row r="466" spans="1:3">
      <c r="A466" s="118" t="s">
        <v>1489</v>
      </c>
      <c r="B466" s="120">
        <v>4</v>
      </c>
      <c r="C466" s="120">
        <v>900000</v>
      </c>
    </row>
    <row r="467" spans="1:3">
      <c r="A467" s="119" t="s">
        <v>1487</v>
      </c>
      <c r="B467" s="120">
        <v>4</v>
      </c>
      <c r="C467" s="120">
        <v>900000</v>
      </c>
    </row>
    <row r="468" spans="1:3">
      <c r="A468" s="119" t="s">
        <v>1490</v>
      </c>
      <c r="B468" s="120">
        <v>0</v>
      </c>
      <c r="C468" s="120">
        <v>0</v>
      </c>
    </row>
    <row r="469" spans="1:3">
      <c r="A469" s="118" t="s">
        <v>1494</v>
      </c>
      <c r="B469" s="120">
        <v>42</v>
      </c>
      <c r="C469" s="120">
        <v>4410000</v>
      </c>
    </row>
    <row r="470" spans="1:3">
      <c r="A470" s="119" t="s">
        <v>1492</v>
      </c>
      <c r="B470" s="120">
        <v>27</v>
      </c>
      <c r="C470" s="120">
        <v>2835000</v>
      </c>
    </row>
    <row r="471" spans="1:3">
      <c r="A471" s="119" t="s">
        <v>1496</v>
      </c>
      <c r="B471" s="120">
        <v>15</v>
      </c>
      <c r="C471" s="120">
        <v>1575000</v>
      </c>
    </row>
    <row r="472" spans="1:3">
      <c r="A472" s="118" t="s">
        <v>1531</v>
      </c>
      <c r="B472" s="120">
        <v>325</v>
      </c>
      <c r="C472" s="120">
        <v>5200000</v>
      </c>
    </row>
    <row r="473" spans="1:3">
      <c r="A473" s="119" t="s">
        <v>1529</v>
      </c>
      <c r="B473" s="120">
        <v>325</v>
      </c>
      <c r="C473" s="120">
        <v>5200000</v>
      </c>
    </row>
    <row r="474" spans="1:3">
      <c r="A474" s="118" t="s">
        <v>1556</v>
      </c>
      <c r="B474" s="120">
        <v>100</v>
      </c>
      <c r="C474" s="120">
        <v>2100000</v>
      </c>
    </row>
    <row r="475" spans="1:3">
      <c r="A475" s="119" t="s">
        <v>1554</v>
      </c>
      <c r="B475" s="120">
        <v>100</v>
      </c>
      <c r="C475" s="120">
        <v>2100000</v>
      </c>
    </row>
    <row r="476" spans="1:3">
      <c r="A476" s="118" t="s">
        <v>589</v>
      </c>
      <c r="B476" s="120">
        <v>29.024999999999999</v>
      </c>
      <c r="C476" s="120">
        <v>3699000</v>
      </c>
    </row>
    <row r="477" spans="1:3">
      <c r="A477" s="119" t="s">
        <v>1570</v>
      </c>
      <c r="B477" s="120">
        <v>10</v>
      </c>
      <c r="C477" s="120">
        <v>1500000</v>
      </c>
    </row>
    <row r="478" spans="1:3">
      <c r="A478" s="119" t="s">
        <v>1572</v>
      </c>
      <c r="B478" s="120">
        <v>0.75</v>
      </c>
      <c r="C478" s="120">
        <v>0</v>
      </c>
    </row>
    <row r="479" spans="1:3">
      <c r="A479" s="119" t="s">
        <v>1617</v>
      </c>
      <c r="B479" s="120">
        <v>17</v>
      </c>
      <c r="C479" s="120">
        <v>2199000</v>
      </c>
    </row>
    <row r="480" spans="1:3">
      <c r="A480" s="119" t="s">
        <v>1619</v>
      </c>
      <c r="B480" s="120">
        <v>1.2749999999999999</v>
      </c>
      <c r="C480" s="120">
        <v>0</v>
      </c>
    </row>
    <row r="481" spans="1:3">
      <c r="A481" s="118" t="s">
        <v>777</v>
      </c>
      <c r="B481" s="120">
        <v>600</v>
      </c>
      <c r="C481" s="120">
        <v>9600000</v>
      </c>
    </row>
    <row r="482" spans="1:3">
      <c r="A482" s="119" t="s">
        <v>1577</v>
      </c>
      <c r="B482" s="120">
        <v>600</v>
      </c>
      <c r="C482" s="120">
        <v>9600000</v>
      </c>
    </row>
    <row r="483" spans="1:3">
      <c r="A483" s="118" t="s">
        <v>1614</v>
      </c>
      <c r="B483" s="120">
        <v>52.25</v>
      </c>
      <c r="C483" s="120">
        <v>17130000</v>
      </c>
    </row>
    <row r="484" spans="1:3">
      <c r="A484" s="119" t="s">
        <v>1612</v>
      </c>
      <c r="B484" s="120">
        <v>50</v>
      </c>
      <c r="C484" s="120">
        <v>17130000</v>
      </c>
    </row>
    <row r="485" spans="1:3">
      <c r="A485" s="119" t="s">
        <v>1615</v>
      </c>
      <c r="B485" s="120">
        <v>2.25</v>
      </c>
      <c r="C485" s="120">
        <v>0</v>
      </c>
    </row>
    <row r="486" spans="1:3">
      <c r="A486" s="118" t="s">
        <v>179</v>
      </c>
      <c r="B486" s="120">
        <v>64</v>
      </c>
      <c r="C486" s="120">
        <v>2691000</v>
      </c>
    </row>
    <row r="487" spans="1:3">
      <c r="A487" s="119" t="s">
        <v>1671</v>
      </c>
      <c r="B487" s="120">
        <v>63</v>
      </c>
      <c r="C487" s="120">
        <v>2691000</v>
      </c>
    </row>
    <row r="488" spans="1:3">
      <c r="A488" s="119" t="s">
        <v>1673</v>
      </c>
      <c r="B488" s="120">
        <v>1</v>
      </c>
      <c r="C488" s="120">
        <v>0</v>
      </c>
    </row>
    <row r="489" spans="1:3">
      <c r="A489" s="118" t="s">
        <v>1679</v>
      </c>
      <c r="B489" s="120">
        <v>10</v>
      </c>
      <c r="C489" s="120">
        <v>500000</v>
      </c>
    </row>
    <row r="490" spans="1:3">
      <c r="A490" s="119" t="s">
        <v>1677</v>
      </c>
      <c r="B490" s="120">
        <v>10</v>
      </c>
      <c r="C490" s="120">
        <v>500000</v>
      </c>
    </row>
    <row r="491" spans="1:3">
      <c r="A491" s="36" t="s">
        <v>1684</v>
      </c>
      <c r="B491" s="120">
        <v>37.5</v>
      </c>
      <c r="C491" s="120">
        <v>0</v>
      </c>
    </row>
    <row r="492" spans="1:3">
      <c r="A492" s="118" t="s">
        <v>376</v>
      </c>
      <c r="B492" s="120">
        <v>37.5</v>
      </c>
      <c r="C492" s="120">
        <v>0</v>
      </c>
    </row>
    <row r="493" spans="1:3">
      <c r="A493" s="119" t="s">
        <v>1294</v>
      </c>
      <c r="B493" s="120">
        <v>37.5</v>
      </c>
      <c r="C493" s="120">
        <v>0</v>
      </c>
    </row>
    <row r="494" spans="1:3">
      <c r="A494" s="36" t="s">
        <v>67</v>
      </c>
      <c r="B494" s="120">
        <v>327879.35000000003</v>
      </c>
      <c r="C494" s="120">
        <v>9674782551</v>
      </c>
    </row>
    <row r="495" spans="1:3">
      <c r="B495"/>
    </row>
    <row r="496" spans="1:3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 s="139"/>
    </row>
    <row r="1362" spans="2:2">
      <c r="B1362" s="139"/>
    </row>
    <row r="1363" spans="2:2">
      <c r="B1363" s="139"/>
    </row>
    <row r="1364" spans="2:2">
      <c r="B1364" s="139"/>
    </row>
    <row r="1365" spans="2:2">
      <c r="B1365" s="139"/>
    </row>
    <row r="1366" spans="2:2">
      <c r="B1366" s="139"/>
    </row>
    <row r="1367" spans="2:2">
      <c r="B1367" s="139"/>
    </row>
    <row r="1368" spans="2:2">
      <c r="B1368" s="139"/>
    </row>
    <row r="1369" spans="2:2">
      <c r="B1369" s="139"/>
    </row>
    <row r="1370" spans="2:2">
      <c r="B1370" s="139"/>
    </row>
    <row r="1371" spans="2:2">
      <c r="B1371" s="139"/>
    </row>
    <row r="1372" spans="2:2">
      <c r="B1372" s="139"/>
    </row>
    <row r="1373" spans="2:2">
      <c r="B1373" s="139"/>
    </row>
    <row r="1374" spans="2:2">
      <c r="B1374" s="139"/>
    </row>
    <row r="1375" spans="2:2">
      <c r="B1375" s="139"/>
    </row>
    <row r="1376" spans="2:2">
      <c r="B1376" s="139"/>
    </row>
    <row r="1377" spans="2:2">
      <c r="B1377" s="139"/>
    </row>
    <row r="1378" spans="2:2">
      <c r="B1378" s="139"/>
    </row>
    <row r="1379" spans="2:2">
      <c r="B1379" s="139"/>
    </row>
    <row r="1380" spans="2:2">
      <c r="B1380" s="139"/>
    </row>
    <row r="1381" spans="2:2">
      <c r="B1381" s="139"/>
    </row>
    <row r="1382" spans="2:2">
      <c r="B1382" s="139"/>
    </row>
    <row r="1383" spans="2:2">
      <c r="B1383" s="139"/>
    </row>
    <row r="1384" spans="2:2">
      <c r="B1384" s="139"/>
    </row>
    <row r="1385" spans="2:2">
      <c r="B1385" s="139"/>
    </row>
    <row r="1386" spans="2:2">
      <c r="B1386" s="139"/>
    </row>
    <row r="1387" spans="2:2">
      <c r="B1387" s="139"/>
    </row>
    <row r="1388" spans="2:2">
      <c r="B1388" s="139"/>
    </row>
    <row r="1389" spans="2:2">
      <c r="B1389" s="139"/>
    </row>
    <row r="1390" spans="2:2">
      <c r="B1390" s="139"/>
    </row>
    <row r="1391" spans="2:2">
      <c r="B1391" s="139"/>
    </row>
    <row r="1392" spans="2:2">
      <c r="B1392" s="139"/>
    </row>
    <row r="1393" spans="2:2">
      <c r="B1393" s="139"/>
    </row>
    <row r="1394" spans="2:2">
      <c r="B1394" s="139"/>
    </row>
    <row r="1395" spans="2:2">
      <c r="B1395" s="139"/>
    </row>
    <row r="1396" spans="2:2">
      <c r="B1396" s="139"/>
    </row>
    <row r="1397" spans="2:2">
      <c r="B1397" s="139"/>
    </row>
    <row r="1398" spans="2:2">
      <c r="B1398" s="139"/>
    </row>
    <row r="1399" spans="2:2">
      <c r="B1399" s="139"/>
    </row>
    <row r="1400" spans="2:2">
      <c r="B1400" s="139"/>
    </row>
    <row r="1401" spans="2:2">
      <c r="B1401" s="139"/>
    </row>
    <row r="1402" spans="2:2">
      <c r="B1402" s="139"/>
    </row>
    <row r="1403" spans="2:2">
      <c r="B1403" s="139"/>
    </row>
    <row r="1404" spans="2:2">
      <c r="B1404" s="139"/>
    </row>
    <row r="1405" spans="2:2">
      <c r="B1405" s="139"/>
    </row>
    <row r="1406" spans="2:2">
      <c r="B1406" s="139"/>
    </row>
    <row r="1407" spans="2:2">
      <c r="B1407" s="139"/>
    </row>
    <row r="1408" spans="2:2">
      <c r="B1408" s="139"/>
    </row>
    <row r="1409" spans="2:2">
      <c r="B1409" s="139"/>
    </row>
    <row r="1410" spans="2:2">
      <c r="B1410" s="139"/>
    </row>
    <row r="1411" spans="2:2">
      <c r="B1411" s="139"/>
    </row>
    <row r="1412" spans="2:2">
      <c r="B1412" s="139"/>
    </row>
    <row r="1413" spans="2:2">
      <c r="B1413" s="139"/>
    </row>
    <row r="1414" spans="2:2">
      <c r="B1414" s="139"/>
    </row>
    <row r="1415" spans="2:2">
      <c r="B1415" s="139"/>
    </row>
    <row r="1416" spans="2:2">
      <c r="B1416" s="139"/>
    </row>
    <row r="1417" spans="2:2">
      <c r="B1417" s="139"/>
    </row>
    <row r="1418" spans="2:2">
      <c r="B1418" s="139"/>
    </row>
    <row r="1419" spans="2:2">
      <c r="B1419" s="139"/>
    </row>
    <row r="1420" spans="2:2">
      <c r="B1420" s="139"/>
    </row>
    <row r="1421" spans="2:2">
      <c r="B1421" s="139"/>
    </row>
    <row r="1422" spans="2:2">
      <c r="B1422" s="139"/>
    </row>
    <row r="1423" spans="2:2">
      <c r="B1423" s="139"/>
    </row>
    <row r="1424" spans="2:2">
      <c r="B1424" s="139"/>
    </row>
    <row r="1425" spans="2:2">
      <c r="B1425" s="139"/>
    </row>
    <row r="1426" spans="2:2">
      <c r="B1426" s="139"/>
    </row>
    <row r="1427" spans="2:2">
      <c r="B1427" s="139"/>
    </row>
    <row r="1428" spans="2:2">
      <c r="B1428" s="139"/>
    </row>
    <row r="1429" spans="2:2">
      <c r="B1429" s="139"/>
    </row>
    <row r="1430" spans="2:2">
      <c r="B1430" s="139"/>
    </row>
    <row r="1431" spans="2:2">
      <c r="B1431" s="139"/>
    </row>
    <row r="1432" spans="2:2">
      <c r="B1432" s="139"/>
    </row>
    <row r="1433" spans="2:2">
      <c r="B1433" s="139"/>
    </row>
    <row r="1434" spans="2:2">
      <c r="B1434" s="139"/>
    </row>
    <row r="1435" spans="2:2">
      <c r="B1435" s="139"/>
    </row>
    <row r="1436" spans="2:2">
      <c r="B1436" s="139"/>
    </row>
    <row r="1437" spans="2:2">
      <c r="B1437" s="139"/>
    </row>
    <row r="1438" spans="2:2">
      <c r="B1438" s="139"/>
    </row>
    <row r="1439" spans="2:2">
      <c r="B1439" s="139"/>
    </row>
    <row r="1440" spans="2:2">
      <c r="B1440" s="139"/>
    </row>
    <row r="1441" spans="2:2">
      <c r="B1441" s="139"/>
    </row>
    <row r="1442" spans="2:2">
      <c r="B1442" s="139"/>
    </row>
    <row r="1443" spans="2:2">
      <c r="B1443" s="139"/>
    </row>
    <row r="1444" spans="2:2">
      <c r="B1444" s="139"/>
    </row>
    <row r="1445" spans="2:2">
      <c r="B1445" s="139"/>
    </row>
    <row r="1446" spans="2:2">
      <c r="B1446" s="139"/>
    </row>
    <row r="1447" spans="2:2">
      <c r="B1447" s="139"/>
    </row>
    <row r="1448" spans="2:2">
      <c r="B1448" s="139"/>
    </row>
    <row r="1449" spans="2:2">
      <c r="B1449" s="139"/>
    </row>
    <row r="1450" spans="2:2">
      <c r="B1450" s="139"/>
    </row>
    <row r="1451" spans="2:2">
      <c r="B1451" s="139"/>
    </row>
    <row r="1452" spans="2:2">
      <c r="B1452" s="139"/>
    </row>
    <row r="1453" spans="2:2">
      <c r="B1453" s="139"/>
    </row>
    <row r="1454" spans="2:2">
      <c r="B1454" s="139"/>
    </row>
    <row r="1455" spans="2:2">
      <c r="B1455" s="139"/>
    </row>
    <row r="1456" spans="2:2">
      <c r="B1456" s="139"/>
    </row>
    <row r="1457" spans="2:2">
      <c r="B1457" s="139"/>
    </row>
    <row r="1458" spans="2:2">
      <c r="B1458" s="139"/>
    </row>
    <row r="1459" spans="2:2">
      <c r="B1459" s="139"/>
    </row>
    <row r="1460" spans="2:2">
      <c r="B1460" s="139"/>
    </row>
    <row r="1461" spans="2:2">
      <c r="B1461" s="139"/>
    </row>
    <row r="1462" spans="2:2">
      <c r="B1462" s="139"/>
    </row>
    <row r="1463" spans="2:2">
      <c r="B1463" s="139"/>
    </row>
    <row r="1464" spans="2:2">
      <c r="B1464" s="139"/>
    </row>
    <row r="1465" spans="2:2">
      <c r="B1465" s="139"/>
    </row>
    <row r="1466" spans="2:2">
      <c r="B1466" s="139"/>
    </row>
    <row r="1467" spans="2:2">
      <c r="B1467" s="139"/>
    </row>
    <row r="1468" spans="2:2">
      <c r="B1468" s="139"/>
    </row>
    <row r="1469" spans="2:2">
      <c r="B1469" s="139"/>
    </row>
    <row r="1470" spans="2:2">
      <c r="B1470" s="139"/>
    </row>
    <row r="1471" spans="2:2">
      <c r="B1471" s="139"/>
    </row>
    <row r="1472" spans="2:2">
      <c r="B1472" s="139"/>
    </row>
    <row r="1473" spans="2:2">
      <c r="B1473" s="139"/>
    </row>
    <row r="1474" spans="2:2">
      <c r="B1474" s="139"/>
    </row>
    <row r="1475" spans="2:2">
      <c r="B1475" s="139"/>
    </row>
    <row r="1476" spans="2:2">
      <c r="B1476" s="139"/>
    </row>
    <row r="1477" spans="2:2">
      <c r="B1477" s="139"/>
    </row>
    <row r="1478" spans="2:2">
      <c r="B1478" s="139"/>
    </row>
    <row r="1479" spans="2:2">
      <c r="B1479" s="139"/>
    </row>
    <row r="1480" spans="2:2">
      <c r="B1480" s="139"/>
    </row>
    <row r="1481" spans="2:2">
      <c r="B1481" s="139"/>
    </row>
    <row r="1482" spans="2:2">
      <c r="B1482" s="139"/>
    </row>
    <row r="1483" spans="2:2">
      <c r="B1483" s="139"/>
    </row>
    <row r="1484" spans="2:2">
      <c r="B1484" s="139"/>
    </row>
    <row r="1485" spans="2:2">
      <c r="B1485" s="139"/>
    </row>
    <row r="1486" spans="2:2">
      <c r="B1486" s="139"/>
    </row>
    <row r="1487" spans="2:2">
      <c r="B1487" s="139"/>
    </row>
    <row r="1488" spans="2:2">
      <c r="B1488" s="139"/>
    </row>
    <row r="1489" spans="2:2">
      <c r="B1489" s="139"/>
    </row>
    <row r="1490" spans="2:2">
      <c r="B1490" s="139"/>
    </row>
    <row r="1491" spans="2:2">
      <c r="B1491" s="139"/>
    </row>
    <row r="1492" spans="2:2">
      <c r="B1492" s="139"/>
    </row>
    <row r="1493" spans="2:2">
      <c r="B1493" s="139"/>
    </row>
    <row r="1494" spans="2:2">
      <c r="B1494" s="139"/>
    </row>
    <row r="1495" spans="2:2">
      <c r="B1495" s="139"/>
    </row>
    <row r="1496" spans="2:2">
      <c r="B1496" s="139"/>
    </row>
    <row r="1497" spans="2:2">
      <c r="B1497" s="139"/>
    </row>
    <row r="1498" spans="2:2">
      <c r="B1498" s="139"/>
    </row>
    <row r="1499" spans="2:2">
      <c r="B1499" s="139"/>
    </row>
    <row r="1500" spans="2:2">
      <c r="B1500" s="139"/>
    </row>
    <row r="1501" spans="2:2">
      <c r="B1501" s="139"/>
    </row>
    <row r="1502" spans="2:2">
      <c r="B1502" s="139"/>
    </row>
    <row r="1503" spans="2:2">
      <c r="B1503" s="139"/>
    </row>
    <row r="1504" spans="2:2">
      <c r="B1504" s="139"/>
    </row>
    <row r="1505" spans="2:2">
      <c r="B1505" s="139"/>
    </row>
    <row r="1506" spans="2:2">
      <c r="B1506" s="139"/>
    </row>
    <row r="1507" spans="2:2">
      <c r="B1507" s="139"/>
    </row>
    <row r="1508" spans="2:2">
      <c r="B1508" s="139"/>
    </row>
    <row r="1509" spans="2:2">
      <c r="B1509" s="139"/>
    </row>
    <row r="1510" spans="2:2">
      <c r="B1510" s="139"/>
    </row>
    <row r="1511" spans="2:2">
      <c r="B1511" s="139"/>
    </row>
    <row r="1512" spans="2:2">
      <c r="B1512" s="139"/>
    </row>
    <row r="1513" spans="2:2">
      <c r="B1513" s="139"/>
    </row>
    <row r="1514" spans="2:2">
      <c r="B1514" s="139"/>
    </row>
    <row r="1515" spans="2:2">
      <c r="B1515" s="139"/>
    </row>
    <row r="1516" spans="2:2">
      <c r="B1516" s="139"/>
    </row>
    <row r="1517" spans="2:2">
      <c r="B1517" s="139"/>
    </row>
    <row r="1518" spans="2:2">
      <c r="B1518" s="139"/>
    </row>
    <row r="1519" spans="2:2">
      <c r="B1519" s="139"/>
    </row>
    <row r="1520" spans="2:2">
      <c r="B1520" s="139"/>
    </row>
    <row r="1521" spans="2:2">
      <c r="B1521" s="139"/>
    </row>
    <row r="1522" spans="2:2">
      <c r="B1522" s="139"/>
    </row>
    <row r="1523" spans="2:2">
      <c r="B1523" s="139"/>
    </row>
    <row r="1524" spans="2:2">
      <c r="B1524" s="139"/>
    </row>
    <row r="1525" spans="2:2">
      <c r="B1525" s="139"/>
    </row>
    <row r="1526" spans="2:2">
      <c r="B1526" s="139"/>
    </row>
    <row r="1527" spans="2:2">
      <c r="B1527" s="139"/>
    </row>
    <row r="1528" spans="2:2">
      <c r="B1528" s="139"/>
    </row>
    <row r="1529" spans="2:2">
      <c r="B1529" s="139"/>
    </row>
    <row r="1530" spans="2:2">
      <c r="B1530" s="139"/>
    </row>
    <row r="1531" spans="2:2">
      <c r="B1531" s="139"/>
    </row>
    <row r="1532" spans="2:2">
      <c r="B1532" s="139"/>
    </row>
    <row r="1533" spans="2:2">
      <c r="B1533" s="139"/>
    </row>
    <row r="1534" spans="2:2">
      <c r="B1534" s="139"/>
    </row>
    <row r="1535" spans="2:2">
      <c r="B1535" s="139"/>
    </row>
    <row r="1536" spans="2:2">
      <c r="B1536" s="139"/>
    </row>
    <row r="1537" spans="2:2">
      <c r="B1537" s="139"/>
    </row>
    <row r="1538" spans="2:2">
      <c r="B1538" s="139"/>
    </row>
    <row r="1539" spans="2:2">
      <c r="B1539" s="139"/>
    </row>
    <row r="1540" spans="2:2">
      <c r="B1540" s="139"/>
    </row>
    <row r="1541" spans="2:2">
      <c r="B1541" s="139"/>
    </row>
    <row r="1542" spans="2:2">
      <c r="B1542" s="139"/>
    </row>
    <row r="1543" spans="2:2">
      <c r="B1543" s="139"/>
    </row>
    <row r="1544" spans="2:2">
      <c r="B1544" s="139"/>
    </row>
    <row r="1545" spans="2:2">
      <c r="B1545" s="139"/>
    </row>
    <row r="1546" spans="2:2">
      <c r="B1546" s="139"/>
    </row>
    <row r="1547" spans="2:2">
      <c r="B1547" s="139"/>
    </row>
    <row r="1548" spans="2:2">
      <c r="B1548" s="139"/>
    </row>
    <row r="1549" spans="2:2">
      <c r="B1549" s="139"/>
    </row>
    <row r="1550" spans="2:2">
      <c r="B1550" s="139"/>
    </row>
    <row r="1551" spans="2:2">
      <c r="B1551" s="139"/>
    </row>
    <row r="1552" spans="2:2">
      <c r="B1552" s="139"/>
    </row>
    <row r="1553" spans="2:2">
      <c r="B1553" s="139"/>
    </row>
    <row r="1554" spans="2:2">
      <c r="B1554" s="139"/>
    </row>
    <row r="1555" spans="2:2">
      <c r="B1555" s="139"/>
    </row>
    <row r="1556" spans="2:2">
      <c r="B1556" s="139"/>
    </row>
    <row r="1557" spans="2:2">
      <c r="B1557" s="139"/>
    </row>
    <row r="1558" spans="2:2">
      <c r="B1558" s="139"/>
    </row>
    <row r="1559" spans="2:2">
      <c r="B1559" s="139"/>
    </row>
    <row r="1560" spans="2:2">
      <c r="B1560" s="139"/>
    </row>
    <row r="1561" spans="2:2">
      <c r="B1561" s="139"/>
    </row>
    <row r="1562" spans="2:2">
      <c r="B1562" s="139"/>
    </row>
    <row r="1563" spans="2:2">
      <c r="B1563" s="139"/>
    </row>
    <row r="1564" spans="2:2">
      <c r="B1564" s="139"/>
    </row>
    <row r="1565" spans="2:2">
      <c r="B1565" s="139"/>
    </row>
    <row r="1566" spans="2:2">
      <c r="B1566" s="139"/>
    </row>
    <row r="1567" spans="2:2">
      <c r="B1567" s="139"/>
    </row>
    <row r="1568" spans="2:2">
      <c r="B1568" s="139"/>
    </row>
    <row r="1569" spans="2:2">
      <c r="B1569" s="139"/>
    </row>
    <row r="1570" spans="2:2">
      <c r="B1570" s="139"/>
    </row>
    <row r="1571" spans="2:2">
      <c r="B1571" s="139"/>
    </row>
    <row r="1572" spans="2:2">
      <c r="B1572" s="139"/>
    </row>
    <row r="1573" spans="2:2">
      <c r="B1573" s="139"/>
    </row>
    <row r="1574" spans="2:2">
      <c r="B1574" s="139"/>
    </row>
    <row r="1575" spans="2:2">
      <c r="B1575" s="139"/>
    </row>
    <row r="1576" spans="2:2">
      <c r="B1576" s="139"/>
    </row>
    <row r="1577" spans="2:2">
      <c r="B1577" s="139"/>
    </row>
    <row r="1578" spans="2:2">
      <c r="B1578" s="139"/>
    </row>
    <row r="1579" spans="2:2">
      <c r="B1579" s="139"/>
    </row>
    <row r="1580" spans="2:2">
      <c r="B1580" s="139"/>
    </row>
    <row r="1581" spans="2:2">
      <c r="B1581" s="139"/>
    </row>
    <row r="1582" spans="2:2">
      <c r="B1582" s="139"/>
    </row>
    <row r="1583" spans="2:2">
      <c r="B1583" s="139"/>
    </row>
    <row r="1584" spans="2:2">
      <c r="B1584" s="139"/>
    </row>
    <row r="1585" spans="2:2">
      <c r="B1585" s="139"/>
    </row>
    <row r="1586" spans="2:2">
      <c r="B1586" s="139"/>
    </row>
    <row r="1587" spans="2:2">
      <c r="B1587" s="139"/>
    </row>
    <row r="1588" spans="2:2">
      <c r="B1588" s="139"/>
    </row>
    <row r="1589" spans="2:2">
      <c r="B1589" s="139"/>
    </row>
    <row r="1590" spans="2:2">
      <c r="B1590" s="139"/>
    </row>
    <row r="1591" spans="2:2">
      <c r="B1591" s="139"/>
    </row>
    <row r="1592" spans="2:2">
      <c r="B1592" s="139"/>
    </row>
    <row r="1593" spans="2:2">
      <c r="B1593" s="139"/>
    </row>
    <row r="1594" spans="2:2">
      <c r="B1594" s="139"/>
    </row>
    <row r="1595" spans="2:2">
      <c r="B1595" s="139"/>
    </row>
    <row r="1596" spans="2:2">
      <c r="B1596" s="139"/>
    </row>
    <row r="1597" spans="2:2">
      <c r="B1597" s="139"/>
    </row>
    <row r="1598" spans="2:2">
      <c r="B1598" s="139"/>
    </row>
    <row r="1599" spans="2:2">
      <c r="B1599" s="139"/>
    </row>
    <row r="1600" spans="2:2">
      <c r="B1600" s="139"/>
    </row>
    <row r="1601" spans="2:2">
      <c r="B1601" s="139"/>
    </row>
    <row r="1602" spans="2:2">
      <c r="B1602" s="139"/>
    </row>
    <row r="1603" spans="2:2">
      <c r="B1603" s="139"/>
    </row>
    <row r="1604" spans="2:2">
      <c r="B1604" s="139"/>
    </row>
    <row r="1605" spans="2:2">
      <c r="B1605" s="139"/>
    </row>
    <row r="1606" spans="2:2">
      <c r="B1606" s="139"/>
    </row>
    <row r="1607" spans="2:2">
      <c r="B1607" s="139"/>
    </row>
    <row r="1608" spans="2:2">
      <c r="B1608" s="139"/>
    </row>
    <row r="1609" spans="2:2">
      <c r="B1609" s="139"/>
    </row>
    <row r="1610" spans="2:2">
      <c r="B1610" s="139"/>
    </row>
    <row r="1611" spans="2:2">
      <c r="B1611" s="139"/>
    </row>
    <row r="1612" spans="2:2">
      <c r="B1612" s="139"/>
    </row>
    <row r="1613" spans="2:2">
      <c r="B1613" s="139"/>
    </row>
    <row r="1614" spans="2:2">
      <c r="B1614" s="139"/>
    </row>
    <row r="1615" spans="2:2">
      <c r="B1615" s="139"/>
    </row>
    <row r="1616" spans="2:2">
      <c r="B1616" s="139"/>
    </row>
    <row r="1617" spans="2:2">
      <c r="B1617" s="139"/>
    </row>
    <row r="1618" spans="2:2">
      <c r="B1618" s="139"/>
    </row>
    <row r="1619" spans="2:2">
      <c r="B1619" s="139"/>
    </row>
    <row r="1620" spans="2:2">
      <c r="B1620" s="139"/>
    </row>
    <row r="1621" spans="2:2">
      <c r="B1621" s="139"/>
    </row>
    <row r="1622" spans="2:2">
      <c r="B1622" s="139"/>
    </row>
    <row r="1623" spans="2:2">
      <c r="B1623" s="139"/>
    </row>
    <row r="1624" spans="2:2">
      <c r="B1624" s="139"/>
    </row>
    <row r="1625" spans="2:2">
      <c r="B1625" s="139"/>
    </row>
    <row r="1626" spans="2:2">
      <c r="B1626" s="139"/>
    </row>
    <row r="1627" spans="2:2">
      <c r="B1627" s="139"/>
    </row>
    <row r="1628" spans="2:2">
      <c r="B1628" s="139"/>
    </row>
    <row r="1629" spans="2:2">
      <c r="B1629" s="139"/>
    </row>
    <row r="1630" spans="2:2">
      <c r="B1630" s="139"/>
    </row>
    <row r="1631" spans="2:2">
      <c r="B1631" s="139"/>
    </row>
    <row r="1632" spans="2:2">
      <c r="B1632" s="139"/>
    </row>
    <row r="1633" spans="2:2">
      <c r="B1633" s="139"/>
    </row>
    <row r="1634" spans="2:2">
      <c r="B1634" s="139"/>
    </row>
    <row r="1635" spans="2:2">
      <c r="B1635" s="139"/>
    </row>
    <row r="1636" spans="2:2">
      <c r="B1636" s="139"/>
    </row>
    <row r="1637" spans="2:2">
      <c r="B1637" s="139"/>
    </row>
    <row r="1638" spans="2:2">
      <c r="B1638" s="139"/>
    </row>
    <row r="1639" spans="2:2">
      <c r="B1639" s="139"/>
    </row>
    <row r="1640" spans="2:2">
      <c r="B1640" s="139"/>
    </row>
    <row r="1641" spans="2:2">
      <c r="B1641" s="139"/>
    </row>
    <row r="1642" spans="2:2">
      <c r="B1642" s="139"/>
    </row>
    <row r="1643" spans="2:2">
      <c r="B1643" s="139"/>
    </row>
    <row r="1644" spans="2:2">
      <c r="B1644" s="139"/>
    </row>
    <row r="1645" spans="2:2">
      <c r="B1645" s="139"/>
    </row>
    <row r="1646" spans="2:2">
      <c r="B1646" s="139"/>
    </row>
    <row r="1647" spans="2:2">
      <c r="B1647" s="139"/>
    </row>
    <row r="1648" spans="2:2">
      <c r="B1648" s="139"/>
    </row>
    <row r="1649" spans="2:2">
      <c r="B1649" s="139"/>
    </row>
    <row r="1650" spans="2:2">
      <c r="B1650" s="139"/>
    </row>
    <row r="1651" spans="2:2">
      <c r="B1651" s="139"/>
    </row>
    <row r="1652" spans="2:2">
      <c r="B1652" s="139"/>
    </row>
    <row r="1653" spans="2:2">
      <c r="B1653" s="139"/>
    </row>
    <row r="1654" spans="2:2">
      <c r="B1654" s="139"/>
    </row>
    <row r="1655" spans="2:2">
      <c r="B1655" s="139"/>
    </row>
    <row r="1656" spans="2:2">
      <c r="B1656" s="139"/>
    </row>
    <row r="1657" spans="2:2">
      <c r="B1657" s="139"/>
    </row>
    <row r="1658" spans="2:2">
      <c r="B1658" s="139"/>
    </row>
    <row r="1659" spans="2:2">
      <c r="B1659" s="139"/>
    </row>
    <row r="1660" spans="2:2">
      <c r="B1660" s="139"/>
    </row>
    <row r="1661" spans="2:2">
      <c r="B1661" s="139"/>
    </row>
    <row r="1662" spans="2:2">
      <c r="B1662" s="139"/>
    </row>
    <row r="1663" spans="2:2">
      <c r="B1663" s="139"/>
    </row>
    <row r="1664" spans="2:2">
      <c r="B1664" s="139"/>
    </row>
    <row r="1665" spans="2:2">
      <c r="B1665" s="139"/>
    </row>
    <row r="1666" spans="2:2">
      <c r="B1666" s="139"/>
    </row>
    <row r="1667" spans="2:2">
      <c r="B1667" s="139"/>
    </row>
    <row r="1668" spans="2:2">
      <c r="B1668" s="139"/>
    </row>
    <row r="1669" spans="2:2">
      <c r="B1669" s="139"/>
    </row>
    <row r="1670" spans="2:2">
      <c r="B1670" s="139"/>
    </row>
    <row r="1671" spans="2:2">
      <c r="B1671" s="139"/>
    </row>
    <row r="1672" spans="2:2">
      <c r="B1672" s="139"/>
    </row>
    <row r="1673" spans="2:2">
      <c r="B1673" s="139"/>
    </row>
    <row r="1674" spans="2:2">
      <c r="B1674" s="139"/>
    </row>
    <row r="1675" spans="2:2">
      <c r="B1675" s="139"/>
    </row>
    <row r="1676" spans="2:2">
      <c r="B1676" s="139"/>
    </row>
    <row r="1677" spans="2:2">
      <c r="B1677" s="139"/>
    </row>
    <row r="1678" spans="2:2">
      <c r="B1678" s="139"/>
    </row>
    <row r="1679" spans="2:2">
      <c r="B1679" s="139"/>
    </row>
    <row r="1680" spans="2:2">
      <c r="B1680" s="139"/>
    </row>
    <row r="1681" spans="2:2">
      <c r="B1681" s="139"/>
    </row>
    <row r="1682" spans="2:2">
      <c r="B1682" s="139"/>
    </row>
    <row r="1683" spans="2:2">
      <c r="B1683" s="139"/>
    </row>
    <row r="1684" spans="2:2">
      <c r="B1684" s="139"/>
    </row>
    <row r="1685" spans="2:2">
      <c r="B1685" s="139"/>
    </row>
    <row r="1686" spans="2:2">
      <c r="B1686" s="139"/>
    </row>
    <row r="1687" spans="2:2">
      <c r="B1687" s="139"/>
    </row>
    <row r="1688" spans="2:2">
      <c r="B1688" s="139"/>
    </row>
    <row r="1689" spans="2:2">
      <c r="B1689" s="139"/>
    </row>
    <row r="1690" spans="2:2">
      <c r="B1690" s="139"/>
    </row>
    <row r="1691" spans="2:2">
      <c r="B1691" s="139"/>
    </row>
    <row r="1692" spans="2:2">
      <c r="B1692" s="139"/>
    </row>
    <row r="1693" spans="2:2">
      <c r="B1693" s="139"/>
    </row>
    <row r="1694" spans="2:2">
      <c r="B1694" s="139"/>
    </row>
    <row r="1695" spans="2:2">
      <c r="B1695" s="139"/>
    </row>
    <row r="1696" spans="2:2">
      <c r="B1696" s="139"/>
    </row>
    <row r="1697" spans="2:2">
      <c r="B1697" s="139"/>
    </row>
    <row r="1698" spans="2:2">
      <c r="B1698" s="139"/>
    </row>
    <row r="1699" spans="2:2">
      <c r="B1699" s="139"/>
    </row>
    <row r="1700" spans="2:2">
      <c r="B1700" s="139"/>
    </row>
    <row r="1701" spans="2:2">
      <c r="B1701" s="139"/>
    </row>
    <row r="1702" spans="2:2">
      <c r="B1702" s="139"/>
    </row>
    <row r="1703" spans="2:2">
      <c r="B1703" s="139"/>
    </row>
    <row r="1704" spans="2:2">
      <c r="B1704" s="139"/>
    </row>
    <row r="1705" spans="2:2">
      <c r="B1705" s="139"/>
    </row>
    <row r="1706" spans="2:2">
      <c r="B1706" s="139"/>
    </row>
    <row r="1707" spans="2:2">
      <c r="B1707" s="139"/>
    </row>
    <row r="1708" spans="2:2">
      <c r="B1708" s="139"/>
    </row>
    <row r="1709" spans="2:2">
      <c r="B1709" s="139"/>
    </row>
    <row r="1710" spans="2:2">
      <c r="B1710" s="139"/>
    </row>
    <row r="1711" spans="2:2">
      <c r="B1711" s="139"/>
    </row>
    <row r="1712" spans="2:2">
      <c r="B1712" s="139"/>
    </row>
    <row r="1713" spans="2:2">
      <c r="B1713" s="139"/>
    </row>
    <row r="1714" spans="2:2">
      <c r="B1714" s="139"/>
    </row>
    <row r="1715" spans="2:2">
      <c r="B1715" s="139"/>
    </row>
    <row r="1716" spans="2:2">
      <c r="B1716" s="139"/>
    </row>
    <row r="1717" spans="2:2">
      <c r="B1717" s="139"/>
    </row>
    <row r="1718" spans="2:2">
      <c r="B1718" s="139"/>
    </row>
    <row r="1719" spans="2:2">
      <c r="B1719" s="139"/>
    </row>
    <row r="1720" spans="2:2">
      <c r="B1720" s="139"/>
    </row>
    <row r="1721" spans="2:2">
      <c r="B1721" s="139"/>
    </row>
    <row r="1722" spans="2:2">
      <c r="B1722" s="139"/>
    </row>
    <row r="1723" spans="2:2">
      <c r="B1723" s="139"/>
    </row>
    <row r="1724" spans="2:2">
      <c r="B1724" s="139"/>
    </row>
    <row r="1725" spans="2:2">
      <c r="B1725" s="139"/>
    </row>
    <row r="1726" spans="2:2">
      <c r="B1726" s="139"/>
    </row>
    <row r="1727" spans="2:2">
      <c r="B1727" s="139"/>
    </row>
    <row r="1728" spans="2:2">
      <c r="B1728" s="139"/>
    </row>
    <row r="1729" spans="2:2">
      <c r="B1729" s="139"/>
    </row>
    <row r="1730" spans="2:2">
      <c r="B1730" s="139"/>
    </row>
    <row r="1731" spans="2:2">
      <c r="B1731" s="139"/>
    </row>
    <row r="1732" spans="2:2">
      <c r="B1732" s="139"/>
    </row>
    <row r="1733" spans="2:2">
      <c r="B1733" s="139"/>
    </row>
    <row r="1734" spans="2:2">
      <c r="B1734" s="139"/>
    </row>
    <row r="1735" spans="2:2">
      <c r="B1735" s="139"/>
    </row>
    <row r="1736" spans="2:2">
      <c r="B1736" s="139"/>
    </row>
    <row r="1737" spans="2:2">
      <c r="B1737" s="139"/>
    </row>
    <row r="1738" spans="2:2">
      <c r="B1738" s="139"/>
    </row>
    <row r="1739" spans="2:2">
      <c r="B1739" s="139"/>
    </row>
    <row r="1740" spans="2:2">
      <c r="B1740" s="139"/>
    </row>
    <row r="1741" spans="2:2">
      <c r="B1741" s="139"/>
    </row>
    <row r="1742" spans="2:2">
      <c r="B1742" s="139"/>
    </row>
    <row r="1743" spans="2:2">
      <c r="B1743" s="139"/>
    </row>
    <row r="1744" spans="2:2">
      <c r="B1744" s="139"/>
    </row>
    <row r="1745" spans="2:2">
      <c r="B1745" s="139"/>
    </row>
    <row r="1746" spans="2:2">
      <c r="B1746" s="139"/>
    </row>
    <row r="1747" spans="2:2">
      <c r="B1747" s="139"/>
    </row>
    <row r="1748" spans="2:2">
      <c r="B1748" s="139"/>
    </row>
    <row r="1749" spans="2:2">
      <c r="B1749" s="139"/>
    </row>
    <row r="1750" spans="2:2">
      <c r="B1750" s="139"/>
    </row>
    <row r="1751" spans="2:2">
      <c r="B1751" s="139"/>
    </row>
    <row r="1752" spans="2:2">
      <c r="B1752" s="139"/>
    </row>
    <row r="1753" spans="2:2">
      <c r="B1753" s="139"/>
    </row>
    <row r="1754" spans="2:2">
      <c r="B1754" s="139"/>
    </row>
    <row r="1755" spans="2:2">
      <c r="B1755" s="139"/>
    </row>
    <row r="1756" spans="2:2">
      <c r="B1756" s="139"/>
    </row>
    <row r="1757" spans="2:2">
      <c r="B1757" s="139"/>
    </row>
    <row r="1758" spans="2:2">
      <c r="B1758" s="139"/>
    </row>
    <row r="1759" spans="2:2">
      <c r="B1759" s="139"/>
    </row>
    <row r="1760" spans="2:2">
      <c r="B1760" s="139"/>
    </row>
    <row r="1761" spans="2:2">
      <c r="B1761" s="139"/>
    </row>
    <row r="1762" spans="2:2">
      <c r="B1762" s="139"/>
    </row>
    <row r="1763" spans="2:2">
      <c r="B1763" s="139"/>
    </row>
    <row r="1764" spans="2:2">
      <c r="B1764" s="139"/>
    </row>
    <row r="1765" spans="2:2">
      <c r="B1765" s="139"/>
    </row>
    <row r="1766" spans="2:2">
      <c r="B1766" s="139"/>
    </row>
    <row r="1767" spans="2:2">
      <c r="B1767" s="139"/>
    </row>
    <row r="1768" spans="2:2">
      <c r="B1768" s="139"/>
    </row>
    <row r="1769" spans="2:2">
      <c r="B1769" s="139"/>
    </row>
    <row r="1770" spans="2:2">
      <c r="B1770" s="139"/>
    </row>
    <row r="1771" spans="2:2">
      <c r="B1771" s="139"/>
    </row>
    <row r="1772" spans="2:2">
      <c r="B1772" s="139"/>
    </row>
    <row r="1773" spans="2:2">
      <c r="B1773" s="139"/>
    </row>
    <row r="1774" spans="2:2">
      <c r="B1774" s="139"/>
    </row>
    <row r="1775" spans="2:2">
      <c r="B1775" s="139"/>
    </row>
    <row r="1776" spans="2:2">
      <c r="B1776" s="139"/>
    </row>
    <row r="1777" spans="2:2">
      <c r="B1777" s="139"/>
    </row>
    <row r="1778" spans="2:2">
      <c r="B1778" s="139"/>
    </row>
    <row r="1779" spans="2:2">
      <c r="B1779" s="139"/>
    </row>
    <row r="1780" spans="2:2">
      <c r="B1780" s="139"/>
    </row>
    <row r="1781" spans="2:2">
      <c r="B1781" s="139"/>
    </row>
    <row r="1782" spans="2:2">
      <c r="B1782" s="139"/>
    </row>
    <row r="1783" spans="2:2">
      <c r="B1783" s="139"/>
    </row>
    <row r="1784" spans="2:2">
      <c r="B1784" s="139"/>
    </row>
    <row r="1785" spans="2:2">
      <c r="B1785" s="139"/>
    </row>
    <row r="1786" spans="2:2">
      <c r="B1786" s="139"/>
    </row>
    <row r="1787" spans="2:2">
      <c r="B1787" s="139"/>
    </row>
    <row r="1788" spans="2:2">
      <c r="B1788" s="139"/>
    </row>
    <row r="1789" spans="2:2">
      <c r="B1789" s="139"/>
    </row>
    <row r="1790" spans="2:2">
      <c r="B1790" s="139"/>
    </row>
    <row r="1791" spans="2:2">
      <c r="B1791" s="139"/>
    </row>
    <row r="1792" spans="2:2">
      <c r="B1792" s="139"/>
    </row>
    <row r="1793" spans="2:2">
      <c r="B1793" s="139"/>
    </row>
    <row r="1794" spans="2:2">
      <c r="B1794" s="139"/>
    </row>
    <row r="1795" spans="2:2">
      <c r="B1795" s="139"/>
    </row>
    <row r="1796" spans="2:2">
      <c r="B1796" s="139"/>
    </row>
    <row r="1797" spans="2:2">
      <c r="B1797" s="139"/>
    </row>
    <row r="1798" spans="2:2">
      <c r="B1798" s="139"/>
    </row>
    <row r="1799" spans="2:2">
      <c r="B1799" s="139"/>
    </row>
    <row r="1800" spans="2:2">
      <c r="B1800" s="139"/>
    </row>
    <row r="1801" spans="2:2">
      <c r="B1801" s="139"/>
    </row>
    <row r="1802" spans="2:2">
      <c r="B1802" s="139"/>
    </row>
    <row r="1803" spans="2:2">
      <c r="B1803" s="139"/>
    </row>
    <row r="1804" spans="2:2">
      <c r="B1804" s="139"/>
    </row>
    <row r="1805" spans="2:2">
      <c r="B1805" s="139"/>
    </row>
    <row r="1806" spans="2:2">
      <c r="B1806" s="139"/>
    </row>
    <row r="1807" spans="2:2">
      <c r="B1807" s="139"/>
    </row>
    <row r="1808" spans="2:2">
      <c r="B1808" s="139"/>
    </row>
    <row r="1809" spans="2:2">
      <c r="B1809" s="139"/>
    </row>
    <row r="1810" spans="2:2">
      <c r="B1810" s="139"/>
    </row>
    <row r="1811" spans="2:2">
      <c r="B1811" s="139"/>
    </row>
    <row r="1812" spans="2:2">
      <c r="B1812" s="139"/>
    </row>
    <row r="1813" spans="2:2">
      <c r="B1813" s="139"/>
    </row>
    <row r="1814" spans="2:2">
      <c r="B1814" s="139"/>
    </row>
    <row r="1815" spans="2:2">
      <c r="B1815" s="139"/>
    </row>
    <row r="1816" spans="2:2">
      <c r="B1816" s="139"/>
    </row>
    <row r="1817" spans="2:2">
      <c r="B1817" s="139"/>
    </row>
    <row r="1818" spans="2:2">
      <c r="B1818" s="139"/>
    </row>
    <row r="1819" spans="2:2">
      <c r="B1819" s="139"/>
    </row>
    <row r="1820" spans="2:2">
      <c r="B1820" s="139"/>
    </row>
    <row r="1821" spans="2:2">
      <c r="B1821" s="139"/>
    </row>
    <row r="1822" spans="2:2">
      <c r="B1822" s="139"/>
    </row>
    <row r="1823" spans="2:2">
      <c r="B1823" s="139"/>
    </row>
    <row r="1824" spans="2:2">
      <c r="B1824" s="139"/>
    </row>
    <row r="1825" spans="2:2">
      <c r="B1825" s="139"/>
    </row>
    <row r="1826" spans="2:2">
      <c r="B1826" s="139"/>
    </row>
    <row r="1827" spans="2:2">
      <c r="B1827" s="139"/>
    </row>
    <row r="1828" spans="2:2">
      <c r="B1828" s="139"/>
    </row>
    <row r="1829" spans="2:2">
      <c r="B1829" s="139"/>
    </row>
    <row r="1830" spans="2:2">
      <c r="B1830" s="139"/>
    </row>
    <row r="1831" spans="2:2">
      <c r="B1831" s="139"/>
    </row>
    <row r="1832" spans="2:2">
      <c r="B1832" s="139"/>
    </row>
    <row r="1833" spans="2:2">
      <c r="B1833" s="139"/>
    </row>
    <row r="1834" spans="2:2">
      <c r="B1834" s="139"/>
    </row>
    <row r="1835" spans="2:2">
      <c r="B1835" s="139"/>
    </row>
    <row r="1836" spans="2:2">
      <c r="B1836" s="139"/>
    </row>
    <row r="1837" spans="2:2">
      <c r="B1837" s="139"/>
    </row>
    <row r="1838" spans="2:2">
      <c r="B1838" s="139"/>
    </row>
    <row r="1839" spans="2:2">
      <c r="B1839" s="139"/>
    </row>
    <row r="1840" spans="2:2">
      <c r="B1840" s="139"/>
    </row>
    <row r="1841" spans="2:2">
      <c r="B1841" s="139"/>
    </row>
    <row r="1842" spans="2:2">
      <c r="B1842" s="139"/>
    </row>
    <row r="1843" spans="2:2">
      <c r="B1843" s="139"/>
    </row>
    <row r="1844" spans="2:2">
      <c r="B1844" s="139"/>
    </row>
    <row r="1845" spans="2:2">
      <c r="B1845" s="139"/>
    </row>
    <row r="1846" spans="2:2">
      <c r="B1846" s="139"/>
    </row>
    <row r="1847" spans="2:2">
      <c r="B1847" s="139"/>
    </row>
    <row r="1848" spans="2:2">
      <c r="B1848" s="139"/>
    </row>
    <row r="1849" spans="2:2">
      <c r="B1849" s="139"/>
    </row>
    <row r="1850" spans="2:2">
      <c r="B1850" s="139"/>
    </row>
    <row r="1851" spans="2:2">
      <c r="B1851" s="139"/>
    </row>
    <row r="1852" spans="2:2">
      <c r="B1852" s="139"/>
    </row>
    <row r="1853" spans="2:2">
      <c r="B1853" s="139"/>
    </row>
    <row r="1854" spans="2:2">
      <c r="B1854" s="139"/>
    </row>
    <row r="1855" spans="2:2">
      <c r="B1855" s="139"/>
    </row>
    <row r="1856" spans="2:2">
      <c r="B1856" s="139"/>
    </row>
    <row r="1857" spans="2:2">
      <c r="B1857" s="139"/>
    </row>
    <row r="1858" spans="2:2">
      <c r="B1858" s="139"/>
    </row>
    <row r="1859" spans="2:2">
      <c r="B1859" s="139"/>
    </row>
    <row r="1860" spans="2:2">
      <c r="B1860" s="139"/>
    </row>
    <row r="1861" spans="2:2">
      <c r="B1861" s="139"/>
    </row>
    <row r="1862" spans="2:2">
      <c r="B1862" s="139"/>
    </row>
    <row r="1863" spans="2:2">
      <c r="B1863" s="139"/>
    </row>
    <row r="1864" spans="2:2">
      <c r="B1864" s="139"/>
    </row>
    <row r="1865" spans="2:2">
      <c r="B1865" s="139"/>
    </row>
    <row r="1866" spans="2:2">
      <c r="B1866" s="139"/>
    </row>
    <row r="1867" spans="2:2">
      <c r="B1867" s="139"/>
    </row>
    <row r="1868" spans="2:2">
      <c r="B1868" s="139"/>
    </row>
    <row r="1869" spans="2:2">
      <c r="B1869" s="139"/>
    </row>
    <row r="1870" spans="2:2">
      <c r="B1870" s="139"/>
    </row>
    <row r="1871" spans="2:2">
      <c r="B1871" s="139"/>
    </row>
    <row r="1872" spans="2:2">
      <c r="B1872" s="139"/>
    </row>
    <row r="1873" spans="2:2">
      <c r="B1873" s="139"/>
    </row>
    <row r="1874" spans="2:2">
      <c r="B1874" s="139"/>
    </row>
    <row r="1875" spans="2:2">
      <c r="B1875" s="139"/>
    </row>
    <row r="1876" spans="2:2">
      <c r="B1876" s="139"/>
    </row>
    <row r="1877" spans="2:2">
      <c r="B1877" s="139"/>
    </row>
    <row r="1878" spans="2:2">
      <c r="B1878" s="139"/>
    </row>
    <row r="1879" spans="2:2">
      <c r="B1879" s="139"/>
    </row>
    <row r="1880" spans="2:2">
      <c r="B1880" s="139"/>
    </row>
    <row r="1881" spans="2:2">
      <c r="B1881" s="139"/>
    </row>
    <row r="1882" spans="2:2">
      <c r="B1882" s="139"/>
    </row>
    <row r="1883" spans="2:2">
      <c r="B1883" s="139"/>
    </row>
    <row r="1884" spans="2:2">
      <c r="B1884" s="139"/>
    </row>
    <row r="1885" spans="2:2">
      <c r="B1885" s="139"/>
    </row>
    <row r="1886" spans="2:2">
      <c r="B1886" s="139"/>
    </row>
    <row r="1887" spans="2:2">
      <c r="B1887" s="139"/>
    </row>
    <row r="1888" spans="2:2">
      <c r="B1888" s="139"/>
    </row>
    <row r="1889" spans="2:2">
      <c r="B1889" s="139"/>
    </row>
    <row r="1890" spans="2:2">
      <c r="B1890" s="139"/>
    </row>
    <row r="1891" spans="2:2">
      <c r="B1891" s="139"/>
    </row>
    <row r="1892" spans="2:2">
      <c r="B1892" s="139"/>
    </row>
    <row r="1893" spans="2:2">
      <c r="B1893" s="139"/>
    </row>
    <row r="1894" spans="2:2">
      <c r="B1894" s="139"/>
    </row>
    <row r="1895" spans="2:2">
      <c r="B1895" s="139"/>
    </row>
    <row r="1896" spans="2:2">
      <c r="B1896" s="139"/>
    </row>
    <row r="1897" spans="2:2">
      <c r="B1897" s="139"/>
    </row>
    <row r="1898" spans="2:2">
      <c r="B1898" s="139"/>
    </row>
    <row r="1899" spans="2:2">
      <c r="B1899" s="139"/>
    </row>
    <row r="1900" spans="2:2">
      <c r="B1900" s="139"/>
    </row>
    <row r="1901" spans="2:2">
      <c r="B1901" s="139"/>
    </row>
    <row r="1902" spans="2:2">
      <c r="B1902" s="139"/>
    </row>
    <row r="1903" spans="2:2">
      <c r="B1903" s="139"/>
    </row>
    <row r="1904" spans="2:2">
      <c r="B1904" s="139"/>
    </row>
    <row r="1905" spans="2:2">
      <c r="B1905" s="139"/>
    </row>
    <row r="1906" spans="2:2">
      <c r="B1906" s="139"/>
    </row>
    <row r="1907" spans="2:2">
      <c r="B1907" s="139"/>
    </row>
    <row r="1908" spans="2:2">
      <c r="B1908" s="139"/>
    </row>
    <row r="1909" spans="2:2">
      <c r="B1909" s="139"/>
    </row>
    <row r="1910" spans="2:2">
      <c r="B1910" s="139"/>
    </row>
    <row r="1911" spans="2:2">
      <c r="B1911" s="139"/>
    </row>
    <row r="1912" spans="2:2">
      <c r="B1912" s="139"/>
    </row>
    <row r="1913" spans="2:2">
      <c r="B1913" s="139"/>
    </row>
    <row r="1914" spans="2:2">
      <c r="B1914" s="139"/>
    </row>
    <row r="1915" spans="2:2">
      <c r="B1915" s="139"/>
    </row>
    <row r="1916" spans="2:2">
      <c r="B1916" s="139"/>
    </row>
    <row r="1917" spans="2:2">
      <c r="B1917" s="139"/>
    </row>
    <row r="1918" spans="2:2">
      <c r="B1918" s="139"/>
    </row>
    <row r="1919" spans="2:2">
      <c r="B1919" s="139"/>
    </row>
    <row r="1920" spans="2:2">
      <c r="B1920" s="139"/>
    </row>
    <row r="1921" spans="2:2">
      <c r="B1921" s="139"/>
    </row>
    <row r="1922" spans="2:2">
      <c r="B1922" s="139"/>
    </row>
    <row r="1923" spans="2:2">
      <c r="B1923" s="139"/>
    </row>
    <row r="1924" spans="2:2">
      <c r="B1924" s="139"/>
    </row>
    <row r="1925" spans="2:2">
      <c r="B1925" s="139"/>
    </row>
    <row r="1926" spans="2:2">
      <c r="B1926" s="139"/>
    </row>
    <row r="1927" spans="2:2">
      <c r="B1927" s="139"/>
    </row>
    <row r="1928" spans="2:2">
      <c r="B1928" s="139"/>
    </row>
    <row r="1929" spans="2:2">
      <c r="B1929" s="139"/>
    </row>
    <row r="1930" spans="2:2">
      <c r="B1930" s="139"/>
    </row>
    <row r="1931" spans="2:2">
      <c r="B1931" s="139"/>
    </row>
    <row r="1932" spans="2:2">
      <c r="B1932" s="139"/>
    </row>
    <row r="1933" spans="2:2">
      <c r="B1933" s="139"/>
    </row>
    <row r="1934" spans="2:2">
      <c r="B1934" s="139"/>
    </row>
    <row r="1935" spans="2:2">
      <c r="B1935" s="139"/>
    </row>
    <row r="1936" spans="2:2">
      <c r="B1936" s="139"/>
    </row>
    <row r="1937" spans="2:2">
      <c r="B1937" s="139"/>
    </row>
    <row r="1938" spans="2:2">
      <c r="B1938" s="139"/>
    </row>
    <row r="1939" spans="2:2">
      <c r="B1939" s="139"/>
    </row>
    <row r="1940" spans="2:2">
      <c r="B1940" s="139"/>
    </row>
    <row r="1941" spans="2:2">
      <c r="B1941" s="139"/>
    </row>
    <row r="1942" spans="2:2">
      <c r="B1942" s="139"/>
    </row>
    <row r="1943" spans="2:2">
      <c r="B1943" s="139"/>
    </row>
    <row r="1944" spans="2:2">
      <c r="B1944" s="139"/>
    </row>
    <row r="1945" spans="2:2">
      <c r="B1945" s="139"/>
    </row>
    <row r="1946" spans="2:2">
      <c r="B1946" s="139"/>
    </row>
    <row r="1947" spans="2:2">
      <c r="B1947" s="139"/>
    </row>
    <row r="1948" spans="2:2">
      <c r="B1948" s="139"/>
    </row>
    <row r="1949" spans="2:2">
      <c r="B1949" s="139"/>
    </row>
    <row r="1950" spans="2:2">
      <c r="B1950" s="139"/>
    </row>
    <row r="1951" spans="2:2">
      <c r="B1951" s="139"/>
    </row>
    <row r="1952" spans="2:2">
      <c r="B1952" s="139"/>
    </row>
    <row r="1953" spans="2:2">
      <c r="B1953" s="139"/>
    </row>
    <row r="1954" spans="2:2">
      <c r="B1954" s="139"/>
    </row>
    <row r="1955" spans="2:2">
      <c r="B1955" s="139"/>
    </row>
    <row r="1956" spans="2:2">
      <c r="B1956" s="139"/>
    </row>
    <row r="1957" spans="2:2">
      <c r="B1957" s="139"/>
    </row>
    <row r="1958" spans="2:2">
      <c r="B1958" s="139"/>
    </row>
    <row r="1959" spans="2:2">
      <c r="B1959" s="139"/>
    </row>
    <row r="1960" spans="2:2">
      <c r="B1960" s="139"/>
    </row>
    <row r="1961" spans="2:2">
      <c r="B1961" s="139"/>
    </row>
    <row r="1962" spans="2:2">
      <c r="B1962" s="139"/>
    </row>
    <row r="1963" spans="2:2">
      <c r="B1963" s="139"/>
    </row>
    <row r="1964" spans="2:2">
      <c r="B1964" s="139"/>
    </row>
    <row r="1965" spans="2:2">
      <c r="B1965" s="139"/>
    </row>
    <row r="1966" spans="2:2">
      <c r="B1966" s="139"/>
    </row>
    <row r="1967" spans="2:2">
      <c r="B1967" s="139"/>
    </row>
    <row r="1968" spans="2:2">
      <c r="B1968" s="139"/>
    </row>
    <row r="1969" spans="2:2">
      <c r="B1969" s="139"/>
    </row>
    <row r="1970" spans="2:2">
      <c r="B1970" s="139"/>
    </row>
    <row r="1971" spans="2:2">
      <c r="B1971" s="139"/>
    </row>
    <row r="1972" spans="2:2">
      <c r="B1972" s="139"/>
    </row>
    <row r="1973" spans="2:2">
      <c r="B1973" s="139"/>
    </row>
    <row r="1974" spans="2:2">
      <c r="B1974" s="139"/>
    </row>
    <row r="1975" spans="2:2">
      <c r="B1975" s="139"/>
    </row>
    <row r="1976" spans="2:2">
      <c r="B1976" s="139"/>
    </row>
    <row r="1977" spans="2:2">
      <c r="B1977" s="139"/>
    </row>
    <row r="1978" spans="2:2">
      <c r="B1978" s="139"/>
    </row>
    <row r="1979" spans="2:2">
      <c r="B1979" s="139"/>
    </row>
    <row r="1980" spans="2:2">
      <c r="B1980" s="139"/>
    </row>
    <row r="1981" spans="2:2">
      <c r="B1981" s="139"/>
    </row>
    <row r="1982" spans="2:2">
      <c r="B1982" s="139"/>
    </row>
    <row r="1983" spans="2:2">
      <c r="B1983" s="139"/>
    </row>
    <row r="1984" spans="2:2">
      <c r="B1984" s="139"/>
    </row>
    <row r="1985" spans="2:2">
      <c r="B1985" s="139"/>
    </row>
    <row r="1986" spans="2:2">
      <c r="B1986" s="139"/>
    </row>
    <row r="1987" spans="2:2">
      <c r="B1987" s="139"/>
    </row>
    <row r="1988" spans="2:2">
      <c r="B1988" s="139"/>
    </row>
    <row r="1989" spans="2:2">
      <c r="B1989" s="139"/>
    </row>
    <row r="1990" spans="2:2">
      <c r="B1990" s="139"/>
    </row>
    <row r="1991" spans="2:2">
      <c r="B1991" s="139"/>
    </row>
    <row r="1992" spans="2:2">
      <c r="B1992" s="139"/>
    </row>
    <row r="1993" spans="2:2">
      <c r="B1993" s="139"/>
    </row>
    <row r="1994" spans="2:2">
      <c r="B1994" s="139"/>
    </row>
    <row r="1995" spans="2:2">
      <c r="B1995" s="139"/>
    </row>
    <row r="1996" spans="2:2">
      <c r="B1996" s="139"/>
    </row>
    <row r="1997" spans="2:2">
      <c r="B1997" s="139"/>
    </row>
    <row r="1998" spans="2:2">
      <c r="B1998" s="139"/>
    </row>
    <row r="1999" spans="2:2">
      <c r="B1999" s="139"/>
    </row>
    <row r="2000" spans="2:2">
      <c r="B2000" s="139"/>
    </row>
    <row r="2001" spans="2:2">
      <c r="B2001" s="139"/>
    </row>
    <row r="2002" spans="2:2">
      <c r="B2002" s="139"/>
    </row>
    <row r="2003" spans="2:2">
      <c r="B2003" s="139"/>
    </row>
    <row r="2004" spans="2:2">
      <c r="B2004" s="139"/>
    </row>
    <row r="2005" spans="2:2">
      <c r="B2005" s="139"/>
    </row>
    <row r="2006" spans="2:2">
      <c r="B2006" s="139"/>
    </row>
    <row r="2007" spans="2:2">
      <c r="B2007" s="139"/>
    </row>
    <row r="2008" spans="2:2">
      <c r="B2008" s="139"/>
    </row>
    <row r="2009" spans="2:2">
      <c r="B2009" s="139"/>
    </row>
    <row r="2010" spans="2:2">
      <c r="B2010" s="139"/>
    </row>
    <row r="2011" spans="2:2">
      <c r="B2011" s="139"/>
    </row>
    <row r="2012" spans="2:2">
      <c r="B2012" s="139"/>
    </row>
    <row r="2013" spans="2:2">
      <c r="B2013" s="139"/>
    </row>
    <row r="2014" spans="2:2">
      <c r="B2014" s="139"/>
    </row>
    <row r="2015" spans="2:2">
      <c r="B2015" s="139"/>
    </row>
    <row r="2016" spans="2:2">
      <c r="B2016" s="139"/>
    </row>
    <row r="2017" spans="2:2">
      <c r="B2017" s="139"/>
    </row>
    <row r="2018" spans="2:2">
      <c r="B2018" s="139"/>
    </row>
    <row r="2019" spans="2:2">
      <c r="B2019" s="139"/>
    </row>
    <row r="2020" spans="2:2">
      <c r="B2020" s="139"/>
    </row>
    <row r="2021" spans="2:2">
      <c r="B2021" s="139"/>
    </row>
    <row r="2022" spans="2:2">
      <c r="B2022" s="139"/>
    </row>
    <row r="2023" spans="2:2">
      <c r="B2023" s="139"/>
    </row>
    <row r="2024" spans="2:2">
      <c r="B2024" s="139"/>
    </row>
    <row r="2025" spans="2:2">
      <c r="B2025" s="139"/>
    </row>
    <row r="2026" spans="2:2">
      <c r="B2026" s="139"/>
    </row>
    <row r="2027" spans="2:2">
      <c r="B2027" s="139"/>
    </row>
    <row r="2028" spans="2:2">
      <c r="B2028" s="139"/>
    </row>
    <row r="2029" spans="2:2">
      <c r="B2029" s="139"/>
    </row>
    <row r="2030" spans="2:2">
      <c r="B2030" s="139"/>
    </row>
    <row r="2031" spans="2:2">
      <c r="B2031" s="139"/>
    </row>
    <row r="2032" spans="2:2">
      <c r="B2032" s="139"/>
    </row>
    <row r="2033" spans="2:2">
      <c r="B2033" s="139"/>
    </row>
    <row r="2034" spans="2:2">
      <c r="B2034" s="139"/>
    </row>
    <row r="2035" spans="2:2">
      <c r="B2035" s="139"/>
    </row>
    <row r="2036" spans="2:2">
      <c r="B2036" s="139"/>
    </row>
    <row r="2037" spans="2:2">
      <c r="B2037" s="139"/>
    </row>
    <row r="2038" spans="2:2">
      <c r="B2038" s="139"/>
    </row>
    <row r="2039" spans="2:2">
      <c r="B2039" s="139"/>
    </row>
    <row r="2040" spans="2:2">
      <c r="B2040" s="139"/>
    </row>
    <row r="2041" spans="2:2">
      <c r="B2041" s="139"/>
    </row>
    <row r="2042" spans="2:2">
      <c r="B2042" s="139"/>
    </row>
    <row r="2043" spans="2:2">
      <c r="B2043" s="139"/>
    </row>
    <row r="2044" spans="2:2">
      <c r="B2044" s="139"/>
    </row>
    <row r="2045" spans="2:2">
      <c r="B2045" s="139"/>
    </row>
    <row r="2046" spans="2:2">
      <c r="B2046" s="139"/>
    </row>
    <row r="2047" spans="2:2">
      <c r="B2047" s="139"/>
    </row>
    <row r="2048" spans="2:2">
      <c r="B2048" s="139"/>
    </row>
    <row r="2049" spans="2:2">
      <c r="B2049" s="139"/>
    </row>
    <row r="2050" spans="2:2">
      <c r="B2050" s="139"/>
    </row>
    <row r="2051" spans="2:2">
      <c r="B2051" s="139"/>
    </row>
    <row r="2052" spans="2:2">
      <c r="B2052" s="139"/>
    </row>
    <row r="2053" spans="2:2">
      <c r="B2053" s="139"/>
    </row>
    <row r="2054" spans="2:2">
      <c r="B2054" s="139"/>
    </row>
    <row r="2055" spans="2:2">
      <c r="B2055" s="139"/>
    </row>
    <row r="2056" spans="2:2">
      <c r="B2056" s="139"/>
    </row>
    <row r="2057" spans="2:2">
      <c r="B2057" s="139"/>
    </row>
    <row r="2058" spans="2:2">
      <c r="B2058" s="139"/>
    </row>
    <row r="2059" spans="2:2">
      <c r="B2059" s="139"/>
    </row>
    <row r="2060" spans="2:2">
      <c r="B2060" s="139"/>
    </row>
    <row r="2061" spans="2:2">
      <c r="B2061" s="139"/>
    </row>
    <row r="2062" spans="2:2">
      <c r="B2062" s="139"/>
    </row>
    <row r="2063" spans="2:2">
      <c r="B2063" s="139"/>
    </row>
    <row r="2064" spans="2:2">
      <c r="B2064" s="139"/>
    </row>
    <row r="2065" spans="2:2">
      <c r="B2065" s="139"/>
    </row>
    <row r="2066" spans="2:2">
      <c r="B2066" s="139"/>
    </row>
    <row r="2067" spans="2:2">
      <c r="B2067" s="139"/>
    </row>
    <row r="2068" spans="2:2">
      <c r="B2068" s="139"/>
    </row>
    <row r="2069" spans="2:2">
      <c r="B2069" s="139"/>
    </row>
    <row r="2070" spans="2:2">
      <c r="B2070" s="139"/>
    </row>
    <row r="2071" spans="2:2">
      <c r="B2071" s="139"/>
    </row>
    <row r="2072" spans="2:2">
      <c r="B2072" s="139"/>
    </row>
    <row r="2073" spans="2:2">
      <c r="B2073" s="139"/>
    </row>
    <row r="2074" spans="2:2">
      <c r="B2074" s="139"/>
    </row>
    <row r="2075" spans="2:2">
      <c r="B2075" s="139"/>
    </row>
    <row r="2076" spans="2:2">
      <c r="B2076" s="139"/>
    </row>
    <row r="2077" spans="2:2">
      <c r="B2077" s="139"/>
    </row>
    <row r="2078" spans="2:2">
      <c r="B2078" s="139"/>
    </row>
    <row r="2079" spans="2:2">
      <c r="B2079" s="139"/>
    </row>
    <row r="2080" spans="2:2">
      <c r="B2080" s="139"/>
    </row>
    <row r="2081" spans="2:2">
      <c r="B2081" s="139"/>
    </row>
    <row r="2082" spans="2:2">
      <c r="B2082" s="139"/>
    </row>
    <row r="2083" spans="2:2">
      <c r="B2083" s="139"/>
    </row>
    <row r="2084" spans="2:2">
      <c r="B2084" s="139"/>
    </row>
    <row r="2085" spans="2:2">
      <c r="B2085" s="139"/>
    </row>
    <row r="2086" spans="2:2">
      <c r="B2086" s="139"/>
    </row>
    <row r="2087" spans="2:2">
      <c r="B2087" s="139"/>
    </row>
    <row r="2088" spans="2:2">
      <c r="B2088" s="139"/>
    </row>
    <row r="2089" spans="2:2">
      <c r="B2089" s="139"/>
    </row>
    <row r="2090" spans="2:2">
      <c r="B2090" s="139"/>
    </row>
    <row r="2091" spans="2:2">
      <c r="B2091" s="139"/>
    </row>
    <row r="2092" spans="2:2">
      <c r="B2092" s="139"/>
    </row>
    <row r="2093" spans="2:2">
      <c r="B2093" s="139"/>
    </row>
    <row r="2094" spans="2:2">
      <c r="B2094" s="139"/>
    </row>
    <row r="2095" spans="2:2">
      <c r="B2095" s="139"/>
    </row>
    <row r="2096" spans="2:2">
      <c r="B2096" s="139"/>
    </row>
    <row r="2097" spans="2:2">
      <c r="B2097" s="139"/>
    </row>
    <row r="2098" spans="2:2">
      <c r="B2098" s="139"/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98D6-4923-48A1-A077-657DAF3C5B5E}">
  <dimension ref="A3:G521"/>
  <sheetViews>
    <sheetView topLeftCell="A325" workbookViewId="0">
      <selection activeCell="A340" sqref="A340"/>
    </sheetView>
  </sheetViews>
  <sheetFormatPr baseColWidth="10" defaultRowHeight="13"/>
  <cols>
    <col min="1" max="1" width="54.59765625" bestFit="1" customWidth="1"/>
    <col min="2" max="2" width="16" bestFit="1" customWidth="1"/>
    <col min="4" max="4" width="20.19921875" customWidth="1"/>
  </cols>
  <sheetData>
    <row r="3" spans="1:7">
      <c r="A3" s="73" t="s">
        <v>0</v>
      </c>
      <c r="B3" t="s">
        <v>751</v>
      </c>
    </row>
    <row r="4" spans="1:7">
      <c r="A4" s="36">
        <v>-16</v>
      </c>
      <c r="B4">
        <v>1</v>
      </c>
    </row>
    <row r="5" spans="1:7">
      <c r="A5" s="118" t="s">
        <v>159</v>
      </c>
      <c r="B5">
        <v>1</v>
      </c>
    </row>
    <row r="6" spans="1:7">
      <c r="A6" s="119" t="s">
        <v>465</v>
      </c>
      <c r="B6">
        <v>1</v>
      </c>
      <c r="D6" s="144" t="s">
        <v>756</v>
      </c>
      <c r="E6" s="144">
        <v>587</v>
      </c>
      <c r="F6" s="145">
        <v>1</v>
      </c>
      <c r="G6" s="144" t="s">
        <v>757</v>
      </c>
    </row>
    <row r="7" spans="1:7">
      <c r="A7" s="36">
        <v>-7</v>
      </c>
      <c r="B7">
        <v>1</v>
      </c>
      <c r="D7" s="142" t="s">
        <v>752</v>
      </c>
      <c r="E7" s="141">
        <v>77</v>
      </c>
      <c r="F7" s="142" t="s">
        <v>755</v>
      </c>
      <c r="G7" s="143">
        <f>+E7*F6/E6</f>
        <v>0.131175468483816</v>
      </c>
    </row>
    <row r="8" spans="1:7">
      <c r="A8" s="118" t="s">
        <v>159</v>
      </c>
      <c r="B8">
        <v>1</v>
      </c>
      <c r="D8" s="142" t="s">
        <v>753</v>
      </c>
      <c r="E8" s="141">
        <f>+GETPIVOTDATA("Cliente",$A$3,"DIAS DE DIFERENCIA",0)</f>
        <v>371</v>
      </c>
      <c r="F8" s="142" t="s">
        <v>755</v>
      </c>
      <c r="G8" s="143">
        <f>+E8*F6/E6</f>
        <v>0.63202725724020448</v>
      </c>
    </row>
    <row r="9" spans="1:7">
      <c r="A9" s="119" t="s">
        <v>433</v>
      </c>
      <c r="B9">
        <v>1</v>
      </c>
      <c r="D9" s="142" t="s">
        <v>754</v>
      </c>
      <c r="E9" s="141">
        <v>139</v>
      </c>
      <c r="F9" s="142" t="s">
        <v>755</v>
      </c>
      <c r="G9" s="143">
        <f>+E9*F6/E6</f>
        <v>0.23679727427597955</v>
      </c>
    </row>
    <row r="10" spans="1:7">
      <c r="A10" s="36">
        <v>-6</v>
      </c>
      <c r="B10">
        <v>6</v>
      </c>
    </row>
    <row r="11" spans="1:7">
      <c r="A11" s="118" t="s">
        <v>114</v>
      </c>
      <c r="B11">
        <v>6</v>
      </c>
    </row>
    <row r="12" spans="1:7">
      <c r="A12" s="119" t="s">
        <v>605</v>
      </c>
      <c r="B12">
        <v>6</v>
      </c>
    </row>
    <row r="13" spans="1:7">
      <c r="A13" s="36">
        <v>-4</v>
      </c>
      <c r="B13">
        <v>1</v>
      </c>
    </row>
    <row r="14" spans="1:7">
      <c r="A14" s="118" t="s">
        <v>748</v>
      </c>
      <c r="B14">
        <v>1</v>
      </c>
    </row>
    <row r="15" spans="1:7">
      <c r="A15" s="119" t="s">
        <v>747</v>
      </c>
      <c r="B15">
        <v>1</v>
      </c>
    </row>
    <row r="16" spans="1:7">
      <c r="A16" s="36">
        <v>-3</v>
      </c>
      <c r="B16">
        <v>19</v>
      </c>
    </row>
    <row r="17" spans="1:2">
      <c r="A17" s="118" t="s">
        <v>144</v>
      </c>
      <c r="B17">
        <v>2</v>
      </c>
    </row>
    <row r="18" spans="1:2">
      <c r="A18" s="119" t="s">
        <v>443</v>
      </c>
      <c r="B18">
        <v>2</v>
      </c>
    </row>
    <row r="19" spans="1:2">
      <c r="A19" s="118" t="s">
        <v>469</v>
      </c>
      <c r="B19">
        <v>1</v>
      </c>
    </row>
    <row r="20" spans="1:2">
      <c r="A20" s="119" t="s">
        <v>749</v>
      </c>
      <c r="B20">
        <v>1</v>
      </c>
    </row>
    <row r="21" spans="1:2">
      <c r="A21" s="118" t="s">
        <v>386</v>
      </c>
      <c r="B21">
        <v>1</v>
      </c>
    </row>
    <row r="22" spans="1:2">
      <c r="A22" s="119" t="s">
        <v>603</v>
      </c>
      <c r="B22">
        <v>1</v>
      </c>
    </row>
    <row r="23" spans="1:2">
      <c r="A23" s="118" t="s">
        <v>30</v>
      </c>
      <c r="B23">
        <v>5</v>
      </c>
    </row>
    <row r="24" spans="1:2">
      <c r="A24" s="119" t="s">
        <v>462</v>
      </c>
      <c r="B24">
        <v>2</v>
      </c>
    </row>
    <row r="25" spans="1:2">
      <c r="A25" s="119" t="s">
        <v>507</v>
      </c>
      <c r="B25">
        <v>1</v>
      </c>
    </row>
    <row r="26" spans="1:2">
      <c r="A26" s="119" t="s">
        <v>627</v>
      </c>
      <c r="B26">
        <v>1</v>
      </c>
    </row>
    <row r="27" spans="1:2">
      <c r="A27" s="119" t="s">
        <v>628</v>
      </c>
      <c r="B27">
        <v>1</v>
      </c>
    </row>
    <row r="28" spans="1:2">
      <c r="A28" s="118" t="s">
        <v>38</v>
      </c>
      <c r="B28">
        <v>6</v>
      </c>
    </row>
    <row r="29" spans="1:2">
      <c r="A29" s="119" t="s">
        <v>416</v>
      </c>
      <c r="B29">
        <v>1</v>
      </c>
    </row>
    <row r="30" spans="1:2">
      <c r="A30" s="119" t="s">
        <v>504</v>
      </c>
      <c r="B30">
        <v>1</v>
      </c>
    </row>
    <row r="31" spans="1:2">
      <c r="A31" s="119" t="s">
        <v>569</v>
      </c>
      <c r="B31">
        <v>1</v>
      </c>
    </row>
    <row r="32" spans="1:2">
      <c r="A32" s="119" t="s">
        <v>616</v>
      </c>
      <c r="B32">
        <v>1</v>
      </c>
    </row>
    <row r="33" spans="1:2">
      <c r="A33" s="119" t="s">
        <v>644</v>
      </c>
      <c r="B33">
        <v>1</v>
      </c>
    </row>
    <row r="34" spans="1:2">
      <c r="A34" s="119" t="s">
        <v>680</v>
      </c>
      <c r="B34">
        <v>1</v>
      </c>
    </row>
    <row r="35" spans="1:2">
      <c r="A35" s="118" t="s">
        <v>383</v>
      </c>
      <c r="B35">
        <v>1</v>
      </c>
    </row>
    <row r="36" spans="1:2">
      <c r="A36" s="119" t="s">
        <v>571</v>
      </c>
      <c r="B36">
        <v>1</v>
      </c>
    </row>
    <row r="37" spans="1:2">
      <c r="A37" s="118" t="s">
        <v>167</v>
      </c>
      <c r="B37">
        <v>1</v>
      </c>
    </row>
    <row r="38" spans="1:2">
      <c r="A38" s="119" t="s">
        <v>746</v>
      </c>
      <c r="B38">
        <v>1</v>
      </c>
    </row>
    <row r="39" spans="1:2">
      <c r="A39" s="118" t="s">
        <v>437</v>
      </c>
      <c r="B39">
        <v>1</v>
      </c>
    </row>
    <row r="40" spans="1:2">
      <c r="A40" s="119" t="s">
        <v>436</v>
      </c>
      <c r="B40">
        <v>1</v>
      </c>
    </row>
    <row r="41" spans="1:2">
      <c r="A41" s="118" t="s">
        <v>159</v>
      </c>
      <c r="B41">
        <v>1</v>
      </c>
    </row>
    <row r="42" spans="1:2">
      <c r="A42" s="119" t="s">
        <v>509</v>
      </c>
      <c r="B42">
        <v>1</v>
      </c>
    </row>
    <row r="43" spans="1:2">
      <c r="A43" s="36">
        <v>-2</v>
      </c>
      <c r="B43">
        <v>18</v>
      </c>
    </row>
    <row r="44" spans="1:2">
      <c r="A44" s="118" t="s">
        <v>378</v>
      </c>
      <c r="B44">
        <v>3</v>
      </c>
    </row>
    <row r="45" spans="1:2">
      <c r="A45" s="119" t="s">
        <v>564</v>
      </c>
      <c r="B45">
        <v>3</v>
      </c>
    </row>
    <row r="46" spans="1:2">
      <c r="A46" s="118" t="s">
        <v>386</v>
      </c>
      <c r="B46">
        <v>3</v>
      </c>
    </row>
    <row r="47" spans="1:2">
      <c r="A47" s="119" t="s">
        <v>702</v>
      </c>
      <c r="B47">
        <v>3</v>
      </c>
    </row>
    <row r="48" spans="1:2">
      <c r="A48" s="118" t="s">
        <v>30</v>
      </c>
      <c r="B48">
        <v>4</v>
      </c>
    </row>
    <row r="49" spans="1:2">
      <c r="A49" s="119" t="s">
        <v>421</v>
      </c>
      <c r="B49">
        <v>2</v>
      </c>
    </row>
    <row r="50" spans="1:2">
      <c r="A50" s="119" t="s">
        <v>447</v>
      </c>
      <c r="B50">
        <v>1</v>
      </c>
    </row>
    <row r="51" spans="1:2">
      <c r="A51" s="119" t="s">
        <v>681</v>
      </c>
      <c r="B51">
        <v>1</v>
      </c>
    </row>
    <row r="52" spans="1:2">
      <c r="A52" s="118" t="s">
        <v>38</v>
      </c>
      <c r="B52">
        <v>3</v>
      </c>
    </row>
    <row r="53" spans="1:2">
      <c r="A53" s="119" t="s">
        <v>442</v>
      </c>
      <c r="B53">
        <v>2</v>
      </c>
    </row>
    <row r="54" spans="1:2">
      <c r="A54" s="119" t="s">
        <v>691</v>
      </c>
      <c r="B54">
        <v>1</v>
      </c>
    </row>
    <row r="55" spans="1:2">
      <c r="A55" s="118" t="s">
        <v>114</v>
      </c>
      <c r="B55">
        <v>2</v>
      </c>
    </row>
    <row r="56" spans="1:2">
      <c r="A56" s="119" t="s">
        <v>606</v>
      </c>
      <c r="B56">
        <v>2</v>
      </c>
    </row>
    <row r="57" spans="1:2">
      <c r="A57" s="118" t="s">
        <v>146</v>
      </c>
      <c r="B57">
        <v>3</v>
      </c>
    </row>
    <row r="58" spans="1:2">
      <c r="A58" s="119" t="s">
        <v>471</v>
      </c>
      <c r="B58">
        <v>3</v>
      </c>
    </row>
    <row r="59" spans="1:2">
      <c r="A59" s="36">
        <v>-1</v>
      </c>
      <c r="B59">
        <v>31</v>
      </c>
    </row>
    <row r="60" spans="1:2">
      <c r="A60" s="118" t="s">
        <v>152</v>
      </c>
      <c r="B60">
        <v>5</v>
      </c>
    </row>
    <row r="61" spans="1:2">
      <c r="A61" s="119" t="s">
        <v>453</v>
      </c>
      <c r="B61">
        <v>1</v>
      </c>
    </row>
    <row r="62" spans="1:2">
      <c r="A62" s="119" t="s">
        <v>601</v>
      </c>
      <c r="B62">
        <v>2</v>
      </c>
    </row>
    <row r="63" spans="1:2">
      <c r="A63" s="119" t="s">
        <v>733</v>
      </c>
      <c r="B63">
        <v>2</v>
      </c>
    </row>
    <row r="64" spans="1:2">
      <c r="A64" s="118" t="s">
        <v>144</v>
      </c>
      <c r="B64">
        <v>1</v>
      </c>
    </row>
    <row r="65" spans="1:2">
      <c r="A65" s="119" t="s">
        <v>522</v>
      </c>
      <c r="B65">
        <v>1</v>
      </c>
    </row>
    <row r="66" spans="1:2">
      <c r="A66" s="118" t="s">
        <v>18</v>
      </c>
      <c r="B66">
        <v>1</v>
      </c>
    </row>
    <row r="67" spans="1:2">
      <c r="A67" s="119" t="s">
        <v>572</v>
      </c>
      <c r="B67">
        <v>1</v>
      </c>
    </row>
    <row r="68" spans="1:2">
      <c r="A68" s="118" t="s">
        <v>391</v>
      </c>
      <c r="B68">
        <v>1</v>
      </c>
    </row>
    <row r="69" spans="1:2">
      <c r="A69" s="119" t="s">
        <v>567</v>
      </c>
      <c r="B69">
        <v>1</v>
      </c>
    </row>
    <row r="70" spans="1:2">
      <c r="A70" s="118" t="s">
        <v>219</v>
      </c>
      <c r="B70">
        <v>1</v>
      </c>
    </row>
    <row r="71" spans="1:2">
      <c r="A71" s="119" t="s">
        <v>585</v>
      </c>
      <c r="B71">
        <v>1</v>
      </c>
    </row>
    <row r="72" spans="1:2">
      <c r="A72" s="118" t="s">
        <v>380</v>
      </c>
      <c r="B72">
        <v>1</v>
      </c>
    </row>
    <row r="73" spans="1:2">
      <c r="A73" s="119" t="s">
        <v>523</v>
      </c>
      <c r="B73">
        <v>1</v>
      </c>
    </row>
    <row r="74" spans="1:2">
      <c r="A74" s="118" t="s">
        <v>525</v>
      </c>
      <c r="B74">
        <v>1</v>
      </c>
    </row>
    <row r="75" spans="1:2">
      <c r="A75" s="119" t="s">
        <v>524</v>
      </c>
      <c r="B75">
        <v>1</v>
      </c>
    </row>
    <row r="76" spans="1:2">
      <c r="A76" s="118" t="s">
        <v>386</v>
      </c>
      <c r="B76">
        <v>4</v>
      </c>
    </row>
    <row r="77" spans="1:2">
      <c r="A77" s="119" t="s">
        <v>582</v>
      </c>
      <c r="B77">
        <v>1</v>
      </c>
    </row>
    <row r="78" spans="1:2">
      <c r="A78" s="119" t="s">
        <v>640</v>
      </c>
      <c r="B78">
        <v>3</v>
      </c>
    </row>
    <row r="79" spans="1:2">
      <c r="A79" s="118" t="s">
        <v>30</v>
      </c>
      <c r="B79">
        <v>2</v>
      </c>
    </row>
    <row r="80" spans="1:2">
      <c r="A80" s="119" t="s">
        <v>607</v>
      </c>
      <c r="B80">
        <v>1</v>
      </c>
    </row>
    <row r="81" spans="1:2">
      <c r="A81" s="119" t="s">
        <v>610</v>
      </c>
      <c r="B81">
        <v>1</v>
      </c>
    </row>
    <row r="82" spans="1:2">
      <c r="A82" s="118" t="s">
        <v>38</v>
      </c>
      <c r="B82">
        <v>5</v>
      </c>
    </row>
    <row r="83" spans="1:2">
      <c r="A83" s="119" t="s">
        <v>466</v>
      </c>
      <c r="B83">
        <v>1</v>
      </c>
    </row>
    <row r="84" spans="1:2">
      <c r="A84" s="119" t="s">
        <v>467</v>
      </c>
      <c r="B84">
        <v>1</v>
      </c>
    </row>
    <row r="85" spans="1:2">
      <c r="A85" s="119" t="s">
        <v>506</v>
      </c>
      <c r="B85">
        <v>1</v>
      </c>
    </row>
    <row r="86" spans="1:2">
      <c r="A86" s="119" t="s">
        <v>565</v>
      </c>
      <c r="B86">
        <v>1</v>
      </c>
    </row>
    <row r="87" spans="1:2">
      <c r="A87" s="119" t="s">
        <v>727</v>
      </c>
      <c r="B87">
        <v>1</v>
      </c>
    </row>
    <row r="88" spans="1:2">
      <c r="A88" s="118" t="s">
        <v>665</v>
      </c>
      <c r="B88">
        <v>1</v>
      </c>
    </row>
    <row r="89" spans="1:2">
      <c r="A89" s="119" t="s">
        <v>664</v>
      </c>
      <c r="B89">
        <v>1</v>
      </c>
    </row>
    <row r="90" spans="1:2">
      <c r="A90" s="118" t="s">
        <v>649</v>
      </c>
      <c r="B90">
        <v>1</v>
      </c>
    </row>
    <row r="91" spans="1:2">
      <c r="A91" s="119" t="s">
        <v>648</v>
      </c>
      <c r="B91">
        <v>1</v>
      </c>
    </row>
    <row r="92" spans="1:2">
      <c r="A92" s="118" t="s">
        <v>520</v>
      </c>
      <c r="B92">
        <v>1</v>
      </c>
    </row>
    <row r="93" spans="1:2">
      <c r="A93" s="119" t="s">
        <v>519</v>
      </c>
      <c r="B93">
        <v>1</v>
      </c>
    </row>
    <row r="94" spans="1:2">
      <c r="A94" s="118" t="s">
        <v>157</v>
      </c>
      <c r="B94">
        <v>1</v>
      </c>
    </row>
    <row r="95" spans="1:2">
      <c r="A95" s="119" t="s">
        <v>686</v>
      </c>
      <c r="B95">
        <v>1</v>
      </c>
    </row>
    <row r="96" spans="1:2">
      <c r="A96" s="118" t="s">
        <v>45</v>
      </c>
      <c r="B96">
        <v>1</v>
      </c>
    </row>
    <row r="97" spans="1:2">
      <c r="A97" s="119" t="s">
        <v>496</v>
      </c>
      <c r="B97">
        <v>1</v>
      </c>
    </row>
    <row r="98" spans="1:2">
      <c r="A98" s="118" t="s">
        <v>51</v>
      </c>
      <c r="B98">
        <v>2</v>
      </c>
    </row>
    <row r="99" spans="1:2">
      <c r="A99" s="119" t="s">
        <v>658</v>
      </c>
      <c r="B99">
        <v>2</v>
      </c>
    </row>
    <row r="100" spans="1:2">
      <c r="A100" s="118" t="s">
        <v>744</v>
      </c>
      <c r="B100">
        <v>1</v>
      </c>
    </row>
    <row r="101" spans="1:2">
      <c r="A101" s="119" t="s">
        <v>743</v>
      </c>
      <c r="B101">
        <v>1</v>
      </c>
    </row>
    <row r="102" spans="1:2">
      <c r="A102" s="118" t="s">
        <v>671</v>
      </c>
      <c r="B102">
        <v>1</v>
      </c>
    </row>
    <row r="103" spans="1:2">
      <c r="A103" s="119" t="s">
        <v>670</v>
      </c>
      <c r="B103">
        <v>1</v>
      </c>
    </row>
    <row r="104" spans="1:2">
      <c r="A104" s="36">
        <v>0</v>
      </c>
      <c r="B104">
        <v>371</v>
      </c>
    </row>
    <row r="105" spans="1:2">
      <c r="A105" s="118" t="s">
        <v>138</v>
      </c>
      <c r="B105">
        <v>1</v>
      </c>
    </row>
    <row r="106" spans="1:2">
      <c r="A106" s="119" t="s">
        <v>492</v>
      </c>
      <c r="B106">
        <v>1</v>
      </c>
    </row>
    <row r="107" spans="1:2">
      <c r="A107" s="118" t="s">
        <v>323</v>
      </c>
      <c r="B107">
        <v>5</v>
      </c>
    </row>
    <row r="108" spans="1:2">
      <c r="A108" s="119" t="s">
        <v>463</v>
      </c>
      <c r="B108">
        <v>1</v>
      </c>
    </row>
    <row r="109" spans="1:2">
      <c r="A109" s="119" t="s">
        <v>473</v>
      </c>
      <c r="B109">
        <v>1</v>
      </c>
    </row>
    <row r="110" spans="1:2">
      <c r="A110" s="119" t="s">
        <v>474</v>
      </c>
      <c r="B110">
        <v>1</v>
      </c>
    </row>
    <row r="111" spans="1:2">
      <c r="A111" s="119" t="s">
        <v>501</v>
      </c>
      <c r="B111">
        <v>1</v>
      </c>
    </row>
    <row r="112" spans="1:2">
      <c r="A112" s="119" t="s">
        <v>629</v>
      </c>
      <c r="B112">
        <v>1</v>
      </c>
    </row>
    <row r="113" spans="1:2">
      <c r="A113" s="118" t="s">
        <v>182</v>
      </c>
      <c r="B113">
        <v>1</v>
      </c>
    </row>
    <row r="114" spans="1:2">
      <c r="A114" s="119" t="s">
        <v>669</v>
      </c>
      <c r="B114">
        <v>1</v>
      </c>
    </row>
    <row r="115" spans="1:2">
      <c r="A115" s="118" t="s">
        <v>403</v>
      </c>
      <c r="B115">
        <v>4</v>
      </c>
    </row>
    <row r="116" spans="1:2">
      <c r="A116" s="119" t="s">
        <v>402</v>
      </c>
      <c r="B116">
        <v>1</v>
      </c>
    </row>
    <row r="117" spans="1:2">
      <c r="A117" s="119" t="s">
        <v>472</v>
      </c>
      <c r="B117">
        <v>1</v>
      </c>
    </row>
    <row r="118" spans="1:2">
      <c r="A118" s="119" t="s">
        <v>617</v>
      </c>
      <c r="B118">
        <v>1</v>
      </c>
    </row>
    <row r="119" spans="1:2">
      <c r="A119" s="119" t="s">
        <v>701</v>
      </c>
      <c r="B119">
        <v>1</v>
      </c>
    </row>
    <row r="120" spans="1:2">
      <c r="A120" s="118" t="s">
        <v>152</v>
      </c>
      <c r="B120">
        <v>4</v>
      </c>
    </row>
    <row r="121" spans="1:2">
      <c r="A121" s="119" t="s">
        <v>682</v>
      </c>
      <c r="B121">
        <v>2</v>
      </c>
    </row>
    <row r="122" spans="1:2">
      <c r="A122" s="119" t="s">
        <v>689</v>
      </c>
      <c r="B122">
        <v>2</v>
      </c>
    </row>
    <row r="123" spans="1:2">
      <c r="A123" s="118" t="s">
        <v>12</v>
      </c>
      <c r="B123">
        <v>3</v>
      </c>
    </row>
    <row r="124" spans="1:2">
      <c r="A124" s="119" t="s">
        <v>475</v>
      </c>
      <c r="B124">
        <v>1</v>
      </c>
    </row>
    <row r="125" spans="1:2">
      <c r="A125" s="119" t="s">
        <v>633</v>
      </c>
      <c r="B125">
        <v>1</v>
      </c>
    </row>
    <row r="126" spans="1:2">
      <c r="A126" s="119" t="s">
        <v>700</v>
      </c>
      <c r="B126">
        <v>1</v>
      </c>
    </row>
    <row r="127" spans="1:2">
      <c r="A127" s="118" t="s">
        <v>355</v>
      </c>
      <c r="B127">
        <v>13</v>
      </c>
    </row>
    <row r="128" spans="1:2">
      <c r="A128" s="119" t="s">
        <v>432</v>
      </c>
      <c r="B128">
        <v>4</v>
      </c>
    </row>
    <row r="129" spans="1:2">
      <c r="A129" s="119" t="s">
        <v>499</v>
      </c>
      <c r="B129">
        <v>2</v>
      </c>
    </row>
    <row r="130" spans="1:2">
      <c r="A130" s="119" t="s">
        <v>652</v>
      </c>
      <c r="B130">
        <v>4</v>
      </c>
    </row>
    <row r="131" spans="1:2">
      <c r="A131" s="119" t="s">
        <v>688</v>
      </c>
      <c r="B131">
        <v>3</v>
      </c>
    </row>
    <row r="132" spans="1:2">
      <c r="A132" s="118" t="s">
        <v>400</v>
      </c>
      <c r="B132">
        <v>1</v>
      </c>
    </row>
    <row r="133" spans="1:2">
      <c r="A133" s="119" t="s">
        <v>634</v>
      </c>
      <c r="B133">
        <v>1</v>
      </c>
    </row>
    <row r="134" spans="1:2">
      <c r="A134" s="118" t="s">
        <v>173</v>
      </c>
      <c r="B134">
        <v>1</v>
      </c>
    </row>
    <row r="135" spans="1:2">
      <c r="A135" s="119" t="s">
        <v>470</v>
      </c>
      <c r="B135">
        <v>1</v>
      </c>
    </row>
    <row r="136" spans="1:2">
      <c r="A136" s="118" t="s">
        <v>540</v>
      </c>
      <c r="B136">
        <v>4</v>
      </c>
    </row>
    <row r="137" spans="1:2">
      <c r="A137" s="119" t="s">
        <v>539</v>
      </c>
      <c r="B137">
        <v>4</v>
      </c>
    </row>
    <row r="138" spans="1:2">
      <c r="A138" s="118" t="s">
        <v>412</v>
      </c>
      <c r="B138">
        <v>1</v>
      </c>
    </row>
    <row r="139" spans="1:2">
      <c r="A139" s="119" t="s">
        <v>411</v>
      </c>
      <c r="B139">
        <v>1</v>
      </c>
    </row>
    <row r="140" spans="1:2">
      <c r="A140" s="118" t="s">
        <v>160</v>
      </c>
      <c r="B140">
        <v>1</v>
      </c>
    </row>
    <row r="141" spans="1:2">
      <c r="A141" s="119" t="s">
        <v>690</v>
      </c>
      <c r="B141">
        <v>1</v>
      </c>
    </row>
    <row r="142" spans="1:2">
      <c r="A142" s="118" t="s">
        <v>319</v>
      </c>
      <c r="B142">
        <v>1</v>
      </c>
    </row>
    <row r="143" spans="1:2">
      <c r="A143" s="119" t="s">
        <v>427</v>
      </c>
      <c r="B143">
        <v>1</v>
      </c>
    </row>
    <row r="144" spans="1:2">
      <c r="A144" s="118" t="s">
        <v>378</v>
      </c>
      <c r="B144">
        <v>1</v>
      </c>
    </row>
    <row r="145" spans="1:2">
      <c r="A145" s="119" t="s">
        <v>434</v>
      </c>
      <c r="B145">
        <v>1</v>
      </c>
    </row>
    <row r="146" spans="1:2">
      <c r="A146" s="118" t="s">
        <v>391</v>
      </c>
      <c r="B146">
        <v>1</v>
      </c>
    </row>
    <row r="147" spans="1:2">
      <c r="A147" s="119" t="s">
        <v>567</v>
      </c>
      <c r="B147">
        <v>1</v>
      </c>
    </row>
    <row r="148" spans="1:2">
      <c r="A148" s="118" t="s">
        <v>174</v>
      </c>
      <c r="B148">
        <v>3</v>
      </c>
    </row>
    <row r="149" spans="1:2">
      <c r="A149" s="119" t="s">
        <v>586</v>
      </c>
      <c r="B149">
        <v>1</v>
      </c>
    </row>
    <row r="150" spans="1:2">
      <c r="A150" s="119" t="s">
        <v>619</v>
      </c>
      <c r="B150">
        <v>1</v>
      </c>
    </row>
    <row r="151" spans="1:2">
      <c r="A151" s="119" t="s">
        <v>620</v>
      </c>
      <c r="B151">
        <v>1</v>
      </c>
    </row>
    <row r="152" spans="1:2">
      <c r="A152" s="118" t="s">
        <v>219</v>
      </c>
      <c r="B152">
        <v>4</v>
      </c>
    </row>
    <row r="153" spans="1:2">
      <c r="A153" s="119" t="s">
        <v>425</v>
      </c>
      <c r="B153">
        <v>1</v>
      </c>
    </row>
    <row r="154" spans="1:2">
      <c r="A154" s="119" t="s">
        <v>599</v>
      </c>
      <c r="B154">
        <v>2</v>
      </c>
    </row>
    <row r="155" spans="1:2">
      <c r="A155" s="119" t="s">
        <v>687</v>
      </c>
      <c r="B155">
        <v>1</v>
      </c>
    </row>
    <row r="156" spans="1:2">
      <c r="A156" s="118" t="s">
        <v>376</v>
      </c>
      <c r="B156">
        <v>1</v>
      </c>
    </row>
    <row r="157" spans="1:2">
      <c r="A157" s="119" t="s">
        <v>484</v>
      </c>
      <c r="B157">
        <v>1</v>
      </c>
    </row>
    <row r="158" spans="1:2">
      <c r="A158" s="118" t="s">
        <v>231</v>
      </c>
      <c r="B158">
        <v>2</v>
      </c>
    </row>
    <row r="159" spans="1:2">
      <c r="A159" s="119" t="s">
        <v>493</v>
      </c>
      <c r="B159">
        <v>1</v>
      </c>
    </row>
    <row r="160" spans="1:2">
      <c r="A160" s="119" t="s">
        <v>516</v>
      </c>
      <c r="B160">
        <v>1</v>
      </c>
    </row>
    <row r="161" spans="1:2">
      <c r="A161" s="118" t="s">
        <v>525</v>
      </c>
      <c r="B161">
        <v>1</v>
      </c>
    </row>
    <row r="162" spans="1:2">
      <c r="A162" s="119" t="s">
        <v>635</v>
      </c>
      <c r="B162">
        <v>1</v>
      </c>
    </row>
    <row r="163" spans="1:2">
      <c r="A163" s="118" t="s">
        <v>469</v>
      </c>
      <c r="B163">
        <v>5</v>
      </c>
    </row>
    <row r="164" spans="1:2">
      <c r="A164" s="119" t="s">
        <v>468</v>
      </c>
      <c r="B164">
        <v>2</v>
      </c>
    </row>
    <row r="165" spans="1:2">
      <c r="A165" s="119" t="s">
        <v>556</v>
      </c>
      <c r="B165">
        <v>2</v>
      </c>
    </row>
    <row r="166" spans="1:2">
      <c r="A166" s="119" t="s">
        <v>724</v>
      </c>
      <c r="B166">
        <v>1</v>
      </c>
    </row>
    <row r="167" spans="1:2">
      <c r="A167" s="118" t="s">
        <v>393</v>
      </c>
      <c r="B167">
        <v>1</v>
      </c>
    </row>
    <row r="168" spans="1:2">
      <c r="A168" s="119" t="s">
        <v>458</v>
      </c>
      <c r="B168">
        <v>1</v>
      </c>
    </row>
    <row r="169" spans="1:2">
      <c r="A169" s="118" t="s">
        <v>386</v>
      </c>
      <c r="B169">
        <v>19</v>
      </c>
    </row>
    <row r="170" spans="1:2">
      <c r="A170" s="119" t="s">
        <v>387</v>
      </c>
      <c r="B170">
        <v>2</v>
      </c>
    </row>
    <row r="171" spans="1:2">
      <c r="A171" s="119" t="s">
        <v>415</v>
      </c>
      <c r="B171">
        <v>1</v>
      </c>
    </row>
    <row r="172" spans="1:2">
      <c r="A172" s="119" t="s">
        <v>448</v>
      </c>
      <c r="B172">
        <v>2</v>
      </c>
    </row>
    <row r="173" spans="1:2">
      <c r="A173" s="119" t="s">
        <v>494</v>
      </c>
      <c r="B173">
        <v>1</v>
      </c>
    </row>
    <row r="174" spans="1:2">
      <c r="A174" s="119" t="s">
        <v>497</v>
      </c>
      <c r="B174">
        <v>1</v>
      </c>
    </row>
    <row r="175" spans="1:2">
      <c r="A175" s="119" t="s">
        <v>559</v>
      </c>
      <c r="B175">
        <v>1</v>
      </c>
    </row>
    <row r="176" spans="1:2">
      <c r="A176" s="119" t="s">
        <v>573</v>
      </c>
      <c r="B176">
        <v>2</v>
      </c>
    </row>
    <row r="177" spans="1:2">
      <c r="A177" s="119" t="s">
        <v>596</v>
      </c>
      <c r="B177">
        <v>1</v>
      </c>
    </row>
    <row r="178" spans="1:2">
      <c r="A178" s="119" t="s">
        <v>654</v>
      </c>
      <c r="B178">
        <v>2</v>
      </c>
    </row>
    <row r="179" spans="1:2">
      <c r="A179" s="119" t="s">
        <v>659</v>
      </c>
      <c r="B179">
        <v>2</v>
      </c>
    </row>
    <row r="180" spans="1:2">
      <c r="A180" s="119" t="s">
        <v>718</v>
      </c>
      <c r="B180">
        <v>1</v>
      </c>
    </row>
    <row r="181" spans="1:2">
      <c r="A181" s="119" t="s">
        <v>721</v>
      </c>
      <c r="B181">
        <v>3</v>
      </c>
    </row>
    <row r="182" spans="1:2">
      <c r="A182" s="118" t="s">
        <v>30</v>
      </c>
      <c r="B182">
        <v>9</v>
      </c>
    </row>
    <row r="183" spans="1:2">
      <c r="A183" s="119" t="s">
        <v>417</v>
      </c>
      <c r="B183">
        <v>1</v>
      </c>
    </row>
    <row r="184" spans="1:2">
      <c r="A184" s="119" t="s">
        <v>503</v>
      </c>
      <c r="B184">
        <v>1</v>
      </c>
    </row>
    <row r="185" spans="1:2">
      <c r="A185" s="119" t="s">
        <v>526</v>
      </c>
      <c r="B185">
        <v>1</v>
      </c>
    </row>
    <row r="186" spans="1:2">
      <c r="A186" s="119" t="s">
        <v>560</v>
      </c>
      <c r="B186">
        <v>1</v>
      </c>
    </row>
    <row r="187" spans="1:2">
      <c r="A187" s="119" t="s">
        <v>570</v>
      </c>
      <c r="B187">
        <v>1</v>
      </c>
    </row>
    <row r="188" spans="1:2">
      <c r="A188" s="119" t="s">
        <v>580</v>
      </c>
      <c r="B188">
        <v>1</v>
      </c>
    </row>
    <row r="189" spans="1:2">
      <c r="A189" s="119" t="s">
        <v>642</v>
      </c>
      <c r="B189">
        <v>1</v>
      </c>
    </row>
    <row r="190" spans="1:2">
      <c r="A190" s="119" t="s">
        <v>698</v>
      </c>
      <c r="B190">
        <v>1</v>
      </c>
    </row>
    <row r="191" spans="1:2">
      <c r="A191" s="119" t="s">
        <v>679</v>
      </c>
      <c r="B191">
        <v>1</v>
      </c>
    </row>
    <row r="192" spans="1:2">
      <c r="A192" s="118" t="s">
        <v>31</v>
      </c>
      <c r="B192">
        <v>7</v>
      </c>
    </row>
    <row r="193" spans="1:2">
      <c r="A193" s="119" t="s">
        <v>429</v>
      </c>
      <c r="B193">
        <v>2</v>
      </c>
    </row>
    <row r="194" spans="1:2">
      <c r="A194" s="119" t="s">
        <v>461</v>
      </c>
      <c r="B194">
        <v>1</v>
      </c>
    </row>
    <row r="195" spans="1:2">
      <c r="A195" s="119" t="s">
        <v>613</v>
      </c>
      <c r="B195">
        <v>3</v>
      </c>
    </row>
    <row r="196" spans="1:2">
      <c r="A196" s="119" t="s">
        <v>639</v>
      </c>
      <c r="B196">
        <v>1</v>
      </c>
    </row>
    <row r="197" spans="1:2">
      <c r="A197" s="118" t="s">
        <v>237</v>
      </c>
      <c r="B197">
        <v>8</v>
      </c>
    </row>
    <row r="198" spans="1:2">
      <c r="A198" s="119" t="s">
        <v>699</v>
      </c>
      <c r="B198">
        <v>8</v>
      </c>
    </row>
    <row r="199" spans="1:2">
      <c r="A199" s="118" t="s">
        <v>32</v>
      </c>
      <c r="B199">
        <v>9</v>
      </c>
    </row>
    <row r="200" spans="1:2">
      <c r="A200" s="119" t="s">
        <v>487</v>
      </c>
      <c r="B200">
        <v>1</v>
      </c>
    </row>
    <row r="201" spans="1:2">
      <c r="A201" s="119" t="s">
        <v>488</v>
      </c>
      <c r="B201">
        <v>2</v>
      </c>
    </row>
    <row r="202" spans="1:2">
      <c r="A202" s="119" t="s">
        <v>495</v>
      </c>
      <c r="B202">
        <v>6</v>
      </c>
    </row>
    <row r="203" spans="1:2">
      <c r="A203" s="118" t="s">
        <v>372</v>
      </c>
      <c r="B203">
        <v>2</v>
      </c>
    </row>
    <row r="204" spans="1:2">
      <c r="A204" s="119" t="s">
        <v>544</v>
      </c>
      <c r="B204">
        <v>1</v>
      </c>
    </row>
    <row r="205" spans="1:2">
      <c r="A205" s="119" t="s">
        <v>621</v>
      </c>
      <c r="B205">
        <v>1</v>
      </c>
    </row>
    <row r="206" spans="1:2">
      <c r="A206" s="118" t="s">
        <v>205</v>
      </c>
      <c r="B206">
        <v>3</v>
      </c>
    </row>
    <row r="207" spans="1:2">
      <c r="A207" s="119" t="s">
        <v>598</v>
      </c>
      <c r="B207">
        <v>3</v>
      </c>
    </row>
    <row r="208" spans="1:2">
      <c r="A208" s="118" t="s">
        <v>479</v>
      </c>
      <c r="B208">
        <v>4</v>
      </c>
    </row>
    <row r="209" spans="1:2">
      <c r="A209" s="119" t="s">
        <v>478</v>
      </c>
      <c r="B209">
        <v>4</v>
      </c>
    </row>
    <row r="210" spans="1:2">
      <c r="A210" s="118" t="s">
        <v>395</v>
      </c>
      <c r="B210">
        <v>4</v>
      </c>
    </row>
    <row r="211" spans="1:2">
      <c r="A211" s="119" t="s">
        <v>583</v>
      </c>
      <c r="B211">
        <v>4</v>
      </c>
    </row>
    <row r="212" spans="1:2">
      <c r="A212" s="118" t="s">
        <v>536</v>
      </c>
      <c r="B212">
        <v>1</v>
      </c>
    </row>
    <row r="213" spans="1:2">
      <c r="A213" s="119" t="s">
        <v>535</v>
      </c>
      <c r="B213">
        <v>1</v>
      </c>
    </row>
    <row r="214" spans="1:2">
      <c r="A214" s="118" t="s">
        <v>38</v>
      </c>
      <c r="B214">
        <v>11</v>
      </c>
    </row>
    <row r="215" spans="1:2">
      <c r="A215" s="119" t="s">
        <v>440</v>
      </c>
      <c r="B215">
        <v>2</v>
      </c>
    </row>
    <row r="216" spans="1:2">
      <c r="A216" s="119" t="s">
        <v>508</v>
      </c>
      <c r="B216">
        <v>1</v>
      </c>
    </row>
    <row r="217" spans="1:2">
      <c r="A217" s="119" t="s">
        <v>562</v>
      </c>
      <c r="B217">
        <v>1</v>
      </c>
    </row>
    <row r="218" spans="1:2">
      <c r="A218" s="119" t="s">
        <v>577</v>
      </c>
      <c r="B218">
        <v>1</v>
      </c>
    </row>
    <row r="219" spans="1:2">
      <c r="A219" s="119" t="s">
        <v>579</v>
      </c>
      <c r="B219">
        <v>1</v>
      </c>
    </row>
    <row r="220" spans="1:2">
      <c r="A220" s="119" t="s">
        <v>600</v>
      </c>
      <c r="B220">
        <v>1</v>
      </c>
    </row>
    <row r="221" spans="1:2">
      <c r="A221" s="119" t="s">
        <v>630</v>
      </c>
      <c r="B221">
        <v>1</v>
      </c>
    </row>
    <row r="222" spans="1:2">
      <c r="A222" s="119" t="s">
        <v>638</v>
      </c>
      <c r="B222">
        <v>1</v>
      </c>
    </row>
    <row r="223" spans="1:2">
      <c r="A223" s="119" t="s">
        <v>692</v>
      </c>
      <c r="B223">
        <v>1</v>
      </c>
    </row>
    <row r="224" spans="1:2">
      <c r="A224" s="119" t="s">
        <v>696</v>
      </c>
      <c r="B224">
        <v>1</v>
      </c>
    </row>
    <row r="225" spans="1:2">
      <c r="A225" s="118" t="s">
        <v>518</v>
      </c>
      <c r="B225">
        <v>8</v>
      </c>
    </row>
    <row r="226" spans="1:2">
      <c r="A226" s="119" t="s">
        <v>517</v>
      </c>
      <c r="B226">
        <v>4</v>
      </c>
    </row>
    <row r="227" spans="1:2">
      <c r="A227" s="119" t="s">
        <v>521</v>
      </c>
      <c r="B227">
        <v>4</v>
      </c>
    </row>
    <row r="228" spans="1:2">
      <c r="A228" s="118" t="s">
        <v>39</v>
      </c>
      <c r="B228">
        <v>11</v>
      </c>
    </row>
    <row r="229" spans="1:2">
      <c r="A229" s="119" t="s">
        <v>729</v>
      </c>
      <c r="B229">
        <v>11</v>
      </c>
    </row>
    <row r="230" spans="1:2">
      <c r="A230" s="118" t="s">
        <v>515</v>
      </c>
      <c r="B230">
        <v>3</v>
      </c>
    </row>
    <row r="231" spans="1:2">
      <c r="A231" s="119" t="s">
        <v>514</v>
      </c>
      <c r="B231">
        <v>3</v>
      </c>
    </row>
    <row r="232" spans="1:2">
      <c r="A232" s="118" t="s">
        <v>371</v>
      </c>
      <c r="B232">
        <v>1</v>
      </c>
    </row>
    <row r="233" spans="1:2">
      <c r="A233" s="119" t="s">
        <v>480</v>
      </c>
      <c r="B233">
        <v>1</v>
      </c>
    </row>
    <row r="234" spans="1:2">
      <c r="A234" s="118" t="s">
        <v>741</v>
      </c>
      <c r="B234">
        <v>3</v>
      </c>
    </row>
    <row r="235" spans="1:2">
      <c r="A235" s="119" t="s">
        <v>740</v>
      </c>
      <c r="B235">
        <v>2</v>
      </c>
    </row>
    <row r="236" spans="1:2">
      <c r="A236" s="119" t="s">
        <v>742</v>
      </c>
      <c r="B236">
        <v>1</v>
      </c>
    </row>
    <row r="237" spans="1:2">
      <c r="A237" s="118" t="s">
        <v>589</v>
      </c>
      <c r="B237">
        <v>3</v>
      </c>
    </row>
    <row r="238" spans="1:2">
      <c r="A238" s="119" t="s">
        <v>588</v>
      </c>
      <c r="B238">
        <v>3</v>
      </c>
    </row>
    <row r="239" spans="1:2">
      <c r="A239" s="118" t="s">
        <v>451</v>
      </c>
      <c r="B239">
        <v>1</v>
      </c>
    </row>
    <row r="240" spans="1:2">
      <c r="A240" s="119" t="s">
        <v>450</v>
      </c>
      <c r="B240">
        <v>1</v>
      </c>
    </row>
    <row r="241" spans="1:2">
      <c r="A241" s="118" t="s">
        <v>169</v>
      </c>
      <c r="B241">
        <v>5</v>
      </c>
    </row>
    <row r="242" spans="1:2">
      <c r="A242" s="119" t="s">
        <v>498</v>
      </c>
      <c r="B242">
        <v>1</v>
      </c>
    </row>
    <row r="243" spans="1:2">
      <c r="A243" s="119" t="s">
        <v>513</v>
      </c>
      <c r="B243">
        <v>2</v>
      </c>
    </row>
    <row r="244" spans="1:2">
      <c r="A244" s="119" t="s">
        <v>674</v>
      </c>
      <c r="B244">
        <v>1</v>
      </c>
    </row>
    <row r="245" spans="1:2">
      <c r="A245" s="119" t="s">
        <v>299</v>
      </c>
      <c r="B245">
        <v>1</v>
      </c>
    </row>
    <row r="246" spans="1:2">
      <c r="A246" s="118" t="s">
        <v>45</v>
      </c>
      <c r="B246">
        <v>7</v>
      </c>
    </row>
    <row r="247" spans="1:2">
      <c r="A247" s="119" t="s">
        <v>423</v>
      </c>
      <c r="B247">
        <v>2</v>
      </c>
    </row>
    <row r="248" spans="1:2">
      <c r="A248" s="119" t="s">
        <v>424</v>
      </c>
      <c r="B248">
        <v>1</v>
      </c>
    </row>
    <row r="249" spans="1:2">
      <c r="A249" s="119" t="s">
        <v>459</v>
      </c>
      <c r="B249">
        <v>1</v>
      </c>
    </row>
    <row r="250" spans="1:2">
      <c r="A250" s="119" t="s">
        <v>587</v>
      </c>
      <c r="B250">
        <v>1</v>
      </c>
    </row>
    <row r="251" spans="1:2">
      <c r="A251" s="119" t="s">
        <v>643</v>
      </c>
      <c r="B251">
        <v>2</v>
      </c>
    </row>
    <row r="252" spans="1:2">
      <c r="A252" s="118" t="s">
        <v>385</v>
      </c>
      <c r="B252">
        <v>12</v>
      </c>
    </row>
    <row r="253" spans="1:2">
      <c r="A253" s="119" t="s">
        <v>510</v>
      </c>
      <c r="B253">
        <v>2</v>
      </c>
    </row>
    <row r="254" spans="1:2">
      <c r="A254" s="119" t="s">
        <v>542</v>
      </c>
      <c r="B254">
        <v>2</v>
      </c>
    </row>
    <row r="255" spans="1:2">
      <c r="A255" s="119" t="s">
        <v>623</v>
      </c>
      <c r="B255">
        <v>2</v>
      </c>
    </row>
    <row r="256" spans="1:2">
      <c r="A256" s="119" t="s">
        <v>657</v>
      </c>
      <c r="B256">
        <v>2</v>
      </c>
    </row>
    <row r="257" spans="1:2">
      <c r="A257" s="119" t="s">
        <v>697</v>
      </c>
      <c r="B257">
        <v>2</v>
      </c>
    </row>
    <row r="258" spans="1:2">
      <c r="A258" s="119" t="s">
        <v>737</v>
      </c>
      <c r="B258">
        <v>2</v>
      </c>
    </row>
    <row r="259" spans="1:2">
      <c r="A259" s="118" t="s">
        <v>167</v>
      </c>
      <c r="B259">
        <v>2</v>
      </c>
    </row>
    <row r="260" spans="1:2">
      <c r="A260" s="119" t="s">
        <v>422</v>
      </c>
      <c r="B260">
        <v>1</v>
      </c>
    </row>
    <row r="261" spans="1:2">
      <c r="A261" s="119" t="s">
        <v>430</v>
      </c>
      <c r="B261">
        <v>1</v>
      </c>
    </row>
    <row r="262" spans="1:2">
      <c r="A262" s="118" t="s">
        <v>154</v>
      </c>
      <c r="B262">
        <v>4</v>
      </c>
    </row>
    <row r="263" spans="1:2">
      <c r="A263" s="119" t="s">
        <v>485</v>
      </c>
      <c r="B263">
        <v>3</v>
      </c>
    </row>
    <row r="264" spans="1:2">
      <c r="A264" s="119" t="s">
        <v>720</v>
      </c>
      <c r="B264">
        <v>1</v>
      </c>
    </row>
    <row r="265" spans="1:2">
      <c r="A265" s="118" t="s">
        <v>114</v>
      </c>
      <c r="B265">
        <v>11</v>
      </c>
    </row>
    <row r="266" spans="1:2">
      <c r="A266" s="119" t="s">
        <v>457</v>
      </c>
      <c r="B266">
        <v>2</v>
      </c>
    </row>
    <row r="267" spans="1:2">
      <c r="A267" s="119" t="s">
        <v>500</v>
      </c>
      <c r="B267">
        <v>3</v>
      </c>
    </row>
    <row r="268" spans="1:2">
      <c r="A268" s="119" t="s">
        <v>604</v>
      </c>
      <c r="B268">
        <v>6</v>
      </c>
    </row>
    <row r="269" spans="1:2">
      <c r="A269" s="118" t="s">
        <v>51</v>
      </c>
      <c r="B269">
        <v>7</v>
      </c>
    </row>
    <row r="270" spans="1:2">
      <c r="A270" s="119" t="s">
        <v>389</v>
      </c>
      <c r="B270">
        <v>1</v>
      </c>
    </row>
    <row r="271" spans="1:2">
      <c r="A271" s="119" t="s">
        <v>511</v>
      </c>
      <c r="B271">
        <v>1</v>
      </c>
    </row>
    <row r="272" spans="1:2">
      <c r="A272" s="119" t="s">
        <v>531</v>
      </c>
      <c r="B272">
        <v>1</v>
      </c>
    </row>
    <row r="273" spans="1:2">
      <c r="A273" s="119" t="s">
        <v>578</v>
      </c>
      <c r="B273">
        <v>2</v>
      </c>
    </row>
    <row r="274" spans="1:2">
      <c r="A274" s="119" t="s">
        <v>735</v>
      </c>
      <c r="B274">
        <v>1</v>
      </c>
    </row>
    <row r="275" spans="1:2">
      <c r="A275" s="119" t="s">
        <v>736</v>
      </c>
      <c r="B275">
        <v>1</v>
      </c>
    </row>
    <row r="276" spans="1:2">
      <c r="A276" s="118" t="s">
        <v>369</v>
      </c>
      <c r="B276">
        <v>2</v>
      </c>
    </row>
    <row r="277" spans="1:2">
      <c r="A277" s="119" t="s">
        <v>597</v>
      </c>
      <c r="B277">
        <v>1</v>
      </c>
    </row>
    <row r="278" spans="1:2">
      <c r="A278" s="119" t="s">
        <v>662</v>
      </c>
      <c r="B278">
        <v>1</v>
      </c>
    </row>
    <row r="279" spans="1:2">
      <c r="A279" s="118" t="s">
        <v>52</v>
      </c>
      <c r="B279">
        <v>2</v>
      </c>
    </row>
    <row r="280" spans="1:2">
      <c r="A280" s="119" t="s">
        <v>534</v>
      </c>
      <c r="B280">
        <v>1</v>
      </c>
    </row>
    <row r="281" spans="1:2">
      <c r="A281" s="119" t="s">
        <v>695</v>
      </c>
      <c r="B281">
        <v>1</v>
      </c>
    </row>
    <row r="282" spans="1:2">
      <c r="A282" s="118" t="s">
        <v>390</v>
      </c>
      <c r="B282">
        <v>1</v>
      </c>
    </row>
    <row r="283" spans="1:2">
      <c r="A283" s="119" t="s">
        <v>566</v>
      </c>
      <c r="B283">
        <v>1</v>
      </c>
    </row>
    <row r="284" spans="1:2">
      <c r="A284" s="118" t="s">
        <v>54</v>
      </c>
      <c r="B284">
        <v>22</v>
      </c>
    </row>
    <row r="285" spans="1:2">
      <c r="A285" s="119" t="s">
        <v>528</v>
      </c>
      <c r="B285">
        <v>4</v>
      </c>
    </row>
    <row r="286" spans="1:2">
      <c r="A286" s="119" t="s">
        <v>672</v>
      </c>
      <c r="B286">
        <v>5</v>
      </c>
    </row>
    <row r="287" spans="1:2">
      <c r="A287" s="119" t="s">
        <v>673</v>
      </c>
      <c r="B287">
        <v>5</v>
      </c>
    </row>
    <row r="288" spans="1:2">
      <c r="A288" s="119" t="s">
        <v>734</v>
      </c>
      <c r="B288">
        <v>8</v>
      </c>
    </row>
    <row r="289" spans="1:2">
      <c r="A289" s="118" t="s">
        <v>146</v>
      </c>
      <c r="B289">
        <v>5</v>
      </c>
    </row>
    <row r="290" spans="1:2">
      <c r="A290" s="119" t="s">
        <v>477</v>
      </c>
      <c r="B290">
        <v>1</v>
      </c>
    </row>
    <row r="291" spans="1:2">
      <c r="A291" s="119" t="s">
        <v>656</v>
      </c>
      <c r="B291">
        <v>2</v>
      </c>
    </row>
    <row r="292" spans="1:2">
      <c r="A292" s="119" t="s">
        <v>707</v>
      </c>
      <c r="B292">
        <v>2</v>
      </c>
    </row>
    <row r="293" spans="1:2">
      <c r="A293" s="118" t="s">
        <v>408</v>
      </c>
      <c r="B293">
        <v>89</v>
      </c>
    </row>
    <row r="294" spans="1:2">
      <c r="A294" s="119" t="s">
        <v>491</v>
      </c>
      <c r="B294">
        <v>11</v>
      </c>
    </row>
    <row r="295" spans="1:2">
      <c r="A295" s="119" t="s">
        <v>527</v>
      </c>
      <c r="B295">
        <v>4</v>
      </c>
    </row>
    <row r="296" spans="1:2">
      <c r="A296" s="119" t="s">
        <v>537</v>
      </c>
      <c r="B296">
        <v>14</v>
      </c>
    </row>
    <row r="297" spans="1:2">
      <c r="A297" s="119" t="s">
        <v>574</v>
      </c>
      <c r="B297">
        <v>8</v>
      </c>
    </row>
    <row r="298" spans="1:2">
      <c r="A298" s="119" t="s">
        <v>575</v>
      </c>
      <c r="B298">
        <v>9</v>
      </c>
    </row>
    <row r="299" spans="1:2">
      <c r="A299" s="119" t="s">
        <v>407</v>
      </c>
      <c r="B299">
        <v>1</v>
      </c>
    </row>
    <row r="300" spans="1:2">
      <c r="A300" s="119" t="s">
        <v>624</v>
      </c>
      <c r="B300">
        <v>11</v>
      </c>
    </row>
    <row r="301" spans="1:2">
      <c r="A301" s="119" t="s">
        <v>632</v>
      </c>
      <c r="B301">
        <v>1</v>
      </c>
    </row>
    <row r="302" spans="1:2">
      <c r="A302" s="119" t="s">
        <v>631</v>
      </c>
      <c r="B302">
        <v>3</v>
      </c>
    </row>
    <row r="303" spans="1:2">
      <c r="A303" s="119" t="s">
        <v>653</v>
      </c>
      <c r="B303">
        <v>3</v>
      </c>
    </row>
    <row r="304" spans="1:2">
      <c r="A304" s="119" t="s">
        <v>675</v>
      </c>
      <c r="B304">
        <v>2</v>
      </c>
    </row>
    <row r="305" spans="1:2">
      <c r="A305" s="119" t="s">
        <v>625</v>
      </c>
      <c r="B305">
        <v>1</v>
      </c>
    </row>
    <row r="306" spans="1:2">
      <c r="A306" s="119" t="s">
        <v>728</v>
      </c>
      <c r="B306">
        <v>6</v>
      </c>
    </row>
    <row r="307" spans="1:2">
      <c r="A307" s="119" t="s">
        <v>738</v>
      </c>
      <c r="B307">
        <v>14</v>
      </c>
    </row>
    <row r="308" spans="1:2">
      <c r="A308" s="119" t="s">
        <v>739</v>
      </c>
      <c r="B308">
        <v>1</v>
      </c>
    </row>
    <row r="309" spans="1:2">
      <c r="A309" s="118" t="s">
        <v>398</v>
      </c>
      <c r="B309">
        <v>4</v>
      </c>
    </row>
    <row r="310" spans="1:2">
      <c r="A310" s="119" t="s">
        <v>414</v>
      </c>
      <c r="B310">
        <v>3</v>
      </c>
    </row>
    <row r="311" spans="1:2">
      <c r="A311" s="119" t="s">
        <v>418</v>
      </c>
      <c r="B311">
        <v>1</v>
      </c>
    </row>
    <row r="312" spans="1:2">
      <c r="A312" s="118" t="s">
        <v>370</v>
      </c>
      <c r="B312">
        <v>1</v>
      </c>
    </row>
    <row r="313" spans="1:2">
      <c r="A313" s="119" t="s">
        <v>593</v>
      </c>
      <c r="B313">
        <v>1</v>
      </c>
    </row>
    <row r="314" spans="1:2">
      <c r="A314" s="118" t="s">
        <v>437</v>
      </c>
      <c r="B314">
        <v>1</v>
      </c>
    </row>
    <row r="315" spans="1:2">
      <c r="A315" s="119" t="s">
        <v>438</v>
      </c>
      <c r="B315">
        <v>1</v>
      </c>
    </row>
    <row r="316" spans="1:2">
      <c r="A316" s="118" t="s">
        <v>731</v>
      </c>
      <c r="B316">
        <v>2</v>
      </c>
    </row>
    <row r="317" spans="1:2">
      <c r="A317" s="119" t="s">
        <v>730</v>
      </c>
      <c r="B317">
        <v>2</v>
      </c>
    </row>
    <row r="318" spans="1:2">
      <c r="A318" s="118" t="s">
        <v>195</v>
      </c>
      <c r="B318">
        <v>2</v>
      </c>
    </row>
    <row r="319" spans="1:2">
      <c r="A319" s="119" t="s">
        <v>595</v>
      </c>
      <c r="B319">
        <v>2</v>
      </c>
    </row>
    <row r="320" spans="1:2">
      <c r="A320" s="118" t="s">
        <v>177</v>
      </c>
      <c r="B320">
        <v>16</v>
      </c>
    </row>
    <row r="321" spans="1:2">
      <c r="A321" s="119" t="s">
        <v>449</v>
      </c>
      <c r="B321">
        <v>3</v>
      </c>
    </row>
    <row r="322" spans="1:2">
      <c r="A322" s="119" t="s">
        <v>481</v>
      </c>
      <c r="B322">
        <v>6</v>
      </c>
    </row>
    <row r="323" spans="1:2">
      <c r="A323" s="119" t="s">
        <v>547</v>
      </c>
      <c r="B323">
        <v>7</v>
      </c>
    </row>
    <row r="324" spans="1:2">
      <c r="A324" s="118" t="s">
        <v>159</v>
      </c>
      <c r="B324">
        <v>4</v>
      </c>
    </row>
    <row r="325" spans="1:2">
      <c r="A325" s="119" t="s">
        <v>413</v>
      </c>
      <c r="B325">
        <v>1</v>
      </c>
    </row>
    <row r="326" spans="1:2">
      <c r="A326" s="119" t="s">
        <v>452</v>
      </c>
      <c r="B326">
        <v>1</v>
      </c>
    </row>
    <row r="327" spans="1:2">
      <c r="A327" s="119" t="s">
        <v>609</v>
      </c>
      <c r="B327">
        <v>1</v>
      </c>
    </row>
    <row r="328" spans="1:2">
      <c r="A328" s="119" t="s">
        <v>615</v>
      </c>
      <c r="B328">
        <v>1</v>
      </c>
    </row>
    <row r="329" spans="1:2">
      <c r="A329" s="118" t="s">
        <v>684</v>
      </c>
      <c r="B329">
        <v>3</v>
      </c>
    </row>
    <row r="330" spans="1:2">
      <c r="A330" s="119" t="s">
        <v>685</v>
      </c>
      <c r="B330">
        <v>1</v>
      </c>
    </row>
    <row r="331" spans="1:2">
      <c r="A331" s="119" t="s">
        <v>712</v>
      </c>
      <c r="B331">
        <v>1</v>
      </c>
    </row>
    <row r="332" spans="1:2">
      <c r="A332" s="119" t="s">
        <v>732</v>
      </c>
      <c r="B332">
        <v>1</v>
      </c>
    </row>
    <row r="333" spans="1:2">
      <c r="A333" s="118" t="s">
        <v>394</v>
      </c>
      <c r="B333">
        <v>2</v>
      </c>
    </row>
    <row r="334" spans="1:2">
      <c r="A334" s="119" t="s">
        <v>551</v>
      </c>
      <c r="B334">
        <v>2</v>
      </c>
    </row>
    <row r="335" spans="1:2">
      <c r="A335" s="118" t="s">
        <v>661</v>
      </c>
      <c r="B335">
        <v>1</v>
      </c>
    </row>
    <row r="336" spans="1:2">
      <c r="A336" s="119" t="s">
        <v>660</v>
      </c>
      <c r="B336">
        <v>1</v>
      </c>
    </row>
    <row r="337" spans="1:2">
      <c r="A337" s="36">
        <v>1</v>
      </c>
      <c r="B337">
        <v>87</v>
      </c>
    </row>
    <row r="338" spans="1:2">
      <c r="A338" s="118" t="s">
        <v>144</v>
      </c>
      <c r="B338">
        <v>4</v>
      </c>
    </row>
    <row r="339" spans="1:2">
      <c r="A339" s="119" t="s">
        <v>622</v>
      </c>
      <c r="B339">
        <v>1</v>
      </c>
    </row>
    <row r="340" spans="1:2">
      <c r="A340" s="119" t="s">
        <v>693</v>
      </c>
      <c r="B340">
        <v>1</v>
      </c>
    </row>
    <row r="341" spans="1:2">
      <c r="A341" s="119" t="s">
        <v>717</v>
      </c>
      <c r="B341">
        <v>2</v>
      </c>
    </row>
    <row r="342" spans="1:2">
      <c r="A342" s="118" t="s">
        <v>368</v>
      </c>
      <c r="B342">
        <v>1</v>
      </c>
    </row>
    <row r="343" spans="1:2">
      <c r="A343" s="119" t="s">
        <v>713</v>
      </c>
      <c r="B343">
        <v>1</v>
      </c>
    </row>
    <row r="344" spans="1:2">
      <c r="A344" s="118" t="s">
        <v>173</v>
      </c>
      <c r="B344">
        <v>4</v>
      </c>
    </row>
    <row r="345" spans="1:2">
      <c r="A345" s="119" t="s">
        <v>655</v>
      </c>
      <c r="B345">
        <v>4</v>
      </c>
    </row>
    <row r="346" spans="1:2">
      <c r="A346" s="118" t="s">
        <v>160</v>
      </c>
      <c r="B346">
        <v>1</v>
      </c>
    </row>
    <row r="347" spans="1:2">
      <c r="A347" s="119" t="s">
        <v>618</v>
      </c>
      <c r="B347">
        <v>1</v>
      </c>
    </row>
    <row r="348" spans="1:2">
      <c r="A348" s="118" t="s">
        <v>319</v>
      </c>
      <c r="B348">
        <v>2</v>
      </c>
    </row>
    <row r="349" spans="1:2">
      <c r="A349" s="119" t="s">
        <v>441</v>
      </c>
      <c r="B349">
        <v>1</v>
      </c>
    </row>
    <row r="350" spans="1:2">
      <c r="A350" s="119" t="s">
        <v>584</v>
      </c>
      <c r="B350">
        <v>1</v>
      </c>
    </row>
    <row r="351" spans="1:2">
      <c r="A351" s="118" t="s">
        <v>378</v>
      </c>
      <c r="B351">
        <v>2</v>
      </c>
    </row>
    <row r="352" spans="1:2">
      <c r="A352" s="119" t="s">
        <v>705</v>
      </c>
      <c r="B352">
        <v>2</v>
      </c>
    </row>
    <row r="353" spans="1:2">
      <c r="A353" s="118" t="s">
        <v>174</v>
      </c>
      <c r="B353">
        <v>1</v>
      </c>
    </row>
    <row r="354" spans="1:2">
      <c r="A354" s="119" t="s">
        <v>650</v>
      </c>
      <c r="B354">
        <v>1</v>
      </c>
    </row>
    <row r="355" spans="1:2">
      <c r="A355" s="118" t="s">
        <v>219</v>
      </c>
      <c r="B355">
        <v>1</v>
      </c>
    </row>
    <row r="356" spans="1:2">
      <c r="A356" s="119" t="s">
        <v>426</v>
      </c>
      <c r="B356">
        <v>1</v>
      </c>
    </row>
    <row r="357" spans="1:2">
      <c r="A357" s="118" t="s">
        <v>380</v>
      </c>
      <c r="B357">
        <v>1</v>
      </c>
    </row>
    <row r="358" spans="1:2">
      <c r="A358" s="119" t="s">
        <v>651</v>
      </c>
      <c r="B358">
        <v>1</v>
      </c>
    </row>
    <row r="359" spans="1:2">
      <c r="A359" s="118" t="s">
        <v>715</v>
      </c>
      <c r="B359">
        <v>1</v>
      </c>
    </row>
    <row r="360" spans="1:2">
      <c r="A360" s="119" t="s">
        <v>714</v>
      </c>
      <c r="B360">
        <v>1</v>
      </c>
    </row>
    <row r="361" spans="1:2">
      <c r="A361" s="118" t="s">
        <v>376</v>
      </c>
      <c r="B361">
        <v>12</v>
      </c>
    </row>
    <row r="362" spans="1:2">
      <c r="A362" s="119" t="s">
        <v>592</v>
      </c>
      <c r="B362">
        <v>6</v>
      </c>
    </row>
    <row r="363" spans="1:2">
      <c r="A363" s="119" t="s">
        <v>645</v>
      </c>
      <c r="B363">
        <v>5</v>
      </c>
    </row>
    <row r="364" spans="1:2">
      <c r="A364" s="119" t="s">
        <v>646</v>
      </c>
      <c r="B364">
        <v>1</v>
      </c>
    </row>
    <row r="365" spans="1:2">
      <c r="A365" s="118" t="s">
        <v>231</v>
      </c>
      <c r="B365">
        <v>2</v>
      </c>
    </row>
    <row r="366" spans="1:2">
      <c r="A366" s="119" t="s">
        <v>594</v>
      </c>
      <c r="B366">
        <v>1</v>
      </c>
    </row>
    <row r="367" spans="1:2">
      <c r="A367" s="119" t="s">
        <v>708</v>
      </c>
      <c r="B367">
        <v>1</v>
      </c>
    </row>
    <row r="368" spans="1:2">
      <c r="A368" s="118" t="s">
        <v>393</v>
      </c>
      <c r="B368">
        <v>2</v>
      </c>
    </row>
    <row r="369" spans="1:2">
      <c r="A369" s="119" t="s">
        <v>608</v>
      </c>
      <c r="B369">
        <v>2</v>
      </c>
    </row>
    <row r="370" spans="1:2">
      <c r="A370" s="118" t="s">
        <v>386</v>
      </c>
      <c r="B370">
        <v>4</v>
      </c>
    </row>
    <row r="371" spans="1:2">
      <c r="A371" s="119" t="s">
        <v>677</v>
      </c>
      <c r="B371">
        <v>3</v>
      </c>
    </row>
    <row r="372" spans="1:2">
      <c r="A372" s="119" t="s">
        <v>719</v>
      </c>
      <c r="B372">
        <v>1</v>
      </c>
    </row>
    <row r="373" spans="1:2">
      <c r="A373" s="118" t="s">
        <v>483</v>
      </c>
      <c r="B373">
        <v>1</v>
      </c>
    </row>
    <row r="374" spans="1:2">
      <c r="A374" s="119" t="s">
        <v>482</v>
      </c>
      <c r="B374">
        <v>1</v>
      </c>
    </row>
    <row r="375" spans="1:2">
      <c r="A375" s="118" t="s">
        <v>30</v>
      </c>
      <c r="B375">
        <v>3</v>
      </c>
    </row>
    <row r="376" spans="1:2">
      <c r="A376" s="119" t="s">
        <v>602</v>
      </c>
      <c r="B376">
        <v>1</v>
      </c>
    </row>
    <row r="377" spans="1:2">
      <c r="A377" s="119" t="s">
        <v>678</v>
      </c>
      <c r="B377">
        <v>1</v>
      </c>
    </row>
    <row r="378" spans="1:2">
      <c r="A378" s="119" t="s">
        <v>716</v>
      </c>
      <c r="B378">
        <v>1</v>
      </c>
    </row>
    <row r="379" spans="1:2">
      <c r="A379" s="118" t="s">
        <v>372</v>
      </c>
      <c r="B379">
        <v>3</v>
      </c>
    </row>
    <row r="380" spans="1:2">
      <c r="A380" s="119" t="s">
        <v>545</v>
      </c>
      <c r="B380">
        <v>1</v>
      </c>
    </row>
    <row r="381" spans="1:2">
      <c r="A381" s="119" t="s">
        <v>563</v>
      </c>
      <c r="B381">
        <v>1</v>
      </c>
    </row>
    <row r="382" spans="1:2">
      <c r="A382" s="119" t="s">
        <v>722</v>
      </c>
      <c r="B382">
        <v>1</v>
      </c>
    </row>
    <row r="383" spans="1:2">
      <c r="A383" s="118" t="s">
        <v>479</v>
      </c>
      <c r="B383">
        <v>1</v>
      </c>
    </row>
    <row r="384" spans="1:2">
      <c r="A384" s="119" t="s">
        <v>647</v>
      </c>
      <c r="B384">
        <v>1</v>
      </c>
    </row>
    <row r="385" spans="1:2">
      <c r="A385" s="118" t="s">
        <v>38</v>
      </c>
      <c r="B385">
        <v>9</v>
      </c>
    </row>
    <row r="386" spans="1:2">
      <c r="A386" s="119" t="s">
        <v>431</v>
      </c>
      <c r="B386">
        <v>1</v>
      </c>
    </row>
    <row r="387" spans="1:2">
      <c r="A387" s="119" t="s">
        <v>490</v>
      </c>
      <c r="B387">
        <v>1</v>
      </c>
    </row>
    <row r="388" spans="1:2">
      <c r="A388" s="119" t="s">
        <v>505</v>
      </c>
      <c r="B388">
        <v>1</v>
      </c>
    </row>
    <row r="389" spans="1:2">
      <c r="A389" s="119" t="s">
        <v>532</v>
      </c>
      <c r="B389">
        <v>1</v>
      </c>
    </row>
    <row r="390" spans="1:2">
      <c r="A390" s="119" t="s">
        <v>568</v>
      </c>
      <c r="B390">
        <v>1</v>
      </c>
    </row>
    <row r="391" spans="1:2">
      <c r="A391" s="119" t="s">
        <v>576</v>
      </c>
      <c r="B391">
        <v>1</v>
      </c>
    </row>
    <row r="392" spans="1:2">
      <c r="A392" s="119" t="s">
        <v>703</v>
      </c>
      <c r="B392">
        <v>1</v>
      </c>
    </row>
    <row r="393" spans="1:2">
      <c r="A393" s="119" t="s">
        <v>706</v>
      </c>
      <c r="B393">
        <v>1</v>
      </c>
    </row>
    <row r="394" spans="1:2">
      <c r="A394" s="119" t="s">
        <v>704</v>
      </c>
      <c r="B394">
        <v>1</v>
      </c>
    </row>
    <row r="395" spans="1:2">
      <c r="A395" s="118" t="s">
        <v>665</v>
      </c>
      <c r="B395">
        <v>3</v>
      </c>
    </row>
    <row r="396" spans="1:2">
      <c r="A396" s="119" t="s">
        <v>666</v>
      </c>
      <c r="B396">
        <v>3</v>
      </c>
    </row>
    <row r="397" spans="1:2">
      <c r="A397" s="118" t="s">
        <v>381</v>
      </c>
      <c r="B397">
        <v>1</v>
      </c>
    </row>
    <row r="398" spans="1:2">
      <c r="A398" s="119" t="s">
        <v>745</v>
      </c>
      <c r="B398">
        <v>1</v>
      </c>
    </row>
    <row r="399" spans="1:2">
      <c r="A399" s="118" t="s">
        <v>169</v>
      </c>
      <c r="B399">
        <v>3</v>
      </c>
    </row>
    <row r="400" spans="1:2">
      <c r="A400" s="119" t="s">
        <v>444</v>
      </c>
      <c r="B400">
        <v>1</v>
      </c>
    </row>
    <row r="401" spans="1:2">
      <c r="A401" s="119" t="s">
        <v>709</v>
      </c>
      <c r="B401">
        <v>2</v>
      </c>
    </row>
    <row r="402" spans="1:2">
      <c r="A402" s="118" t="s">
        <v>392</v>
      </c>
      <c r="B402">
        <v>2</v>
      </c>
    </row>
    <row r="403" spans="1:2">
      <c r="A403" s="119" t="s">
        <v>663</v>
      </c>
      <c r="B403">
        <v>2</v>
      </c>
    </row>
    <row r="404" spans="1:2">
      <c r="A404" s="118" t="s">
        <v>51</v>
      </c>
      <c r="B404">
        <v>3</v>
      </c>
    </row>
    <row r="405" spans="1:2">
      <c r="A405" s="119" t="s">
        <v>612</v>
      </c>
      <c r="B405">
        <v>1</v>
      </c>
    </row>
    <row r="406" spans="1:2">
      <c r="A406" s="119" t="s">
        <v>611</v>
      </c>
      <c r="B406">
        <v>1</v>
      </c>
    </row>
    <row r="407" spans="1:2">
      <c r="A407" s="119" t="s">
        <v>641</v>
      </c>
      <c r="B407">
        <v>1</v>
      </c>
    </row>
    <row r="408" spans="1:2">
      <c r="A408" s="118" t="s">
        <v>668</v>
      </c>
      <c r="B408">
        <v>1</v>
      </c>
    </row>
    <row r="409" spans="1:2">
      <c r="A409" s="119" t="s">
        <v>667</v>
      </c>
      <c r="B409">
        <v>1</v>
      </c>
    </row>
    <row r="410" spans="1:2">
      <c r="A410" s="118" t="s">
        <v>53</v>
      </c>
      <c r="B410">
        <v>2</v>
      </c>
    </row>
    <row r="411" spans="1:2">
      <c r="A411" s="119" t="s">
        <v>455</v>
      </c>
      <c r="B411">
        <v>2</v>
      </c>
    </row>
    <row r="412" spans="1:2">
      <c r="A412" s="118" t="s">
        <v>408</v>
      </c>
      <c r="B412">
        <v>10</v>
      </c>
    </row>
    <row r="413" spans="1:2">
      <c r="A413" s="119" t="s">
        <v>537</v>
      </c>
      <c r="B413">
        <v>1</v>
      </c>
    </row>
    <row r="414" spans="1:2">
      <c r="A414" s="119" t="s">
        <v>675</v>
      </c>
      <c r="B414">
        <v>9</v>
      </c>
    </row>
    <row r="415" spans="1:2">
      <c r="A415" s="118" t="s">
        <v>159</v>
      </c>
      <c r="B415">
        <v>3</v>
      </c>
    </row>
    <row r="416" spans="1:2">
      <c r="A416" s="119" t="s">
        <v>428</v>
      </c>
      <c r="B416">
        <v>1</v>
      </c>
    </row>
    <row r="417" spans="1:2">
      <c r="A417" s="119" t="s">
        <v>464</v>
      </c>
      <c r="B417">
        <v>2</v>
      </c>
    </row>
    <row r="418" spans="1:2">
      <c r="A418" s="118" t="s">
        <v>684</v>
      </c>
      <c r="B418">
        <v>2</v>
      </c>
    </row>
    <row r="419" spans="1:2">
      <c r="A419" s="119" t="s">
        <v>683</v>
      </c>
      <c r="B419">
        <v>2</v>
      </c>
    </row>
    <row r="420" spans="1:2">
      <c r="A420" s="118" t="s">
        <v>711</v>
      </c>
      <c r="B420">
        <v>2</v>
      </c>
    </row>
    <row r="421" spans="1:2">
      <c r="A421" s="119" t="s">
        <v>710</v>
      </c>
      <c r="B421">
        <v>2</v>
      </c>
    </row>
    <row r="422" spans="1:2">
      <c r="A422" s="36">
        <v>2</v>
      </c>
      <c r="B422">
        <v>21</v>
      </c>
    </row>
    <row r="423" spans="1:2">
      <c r="A423" s="118" t="s">
        <v>348</v>
      </c>
      <c r="B423">
        <v>2</v>
      </c>
    </row>
    <row r="424" spans="1:2">
      <c r="A424" s="119" t="s">
        <v>637</v>
      </c>
      <c r="B424">
        <v>2</v>
      </c>
    </row>
    <row r="425" spans="1:2">
      <c r="A425" s="118" t="s">
        <v>6</v>
      </c>
      <c r="B425">
        <v>2</v>
      </c>
    </row>
    <row r="426" spans="1:2">
      <c r="A426" s="119" t="s">
        <v>581</v>
      </c>
      <c r="B426">
        <v>2</v>
      </c>
    </row>
    <row r="427" spans="1:2">
      <c r="A427" s="118" t="s">
        <v>323</v>
      </c>
      <c r="B427">
        <v>1</v>
      </c>
    </row>
    <row r="428" spans="1:2">
      <c r="A428" s="119" t="s">
        <v>502</v>
      </c>
      <c r="B428">
        <v>1</v>
      </c>
    </row>
    <row r="429" spans="1:2">
      <c r="A429" s="118" t="s">
        <v>144</v>
      </c>
      <c r="B429">
        <v>2</v>
      </c>
    </row>
    <row r="430" spans="1:2">
      <c r="A430" s="119" t="s">
        <v>533</v>
      </c>
      <c r="B430">
        <v>2</v>
      </c>
    </row>
    <row r="431" spans="1:2">
      <c r="A431" s="118" t="s">
        <v>378</v>
      </c>
      <c r="B431">
        <v>1</v>
      </c>
    </row>
    <row r="432" spans="1:2">
      <c r="A432" s="119" t="s">
        <v>445</v>
      </c>
      <c r="B432">
        <v>1</v>
      </c>
    </row>
    <row r="433" spans="1:2">
      <c r="A433" s="118" t="s">
        <v>219</v>
      </c>
      <c r="B433">
        <v>1</v>
      </c>
    </row>
    <row r="434" spans="1:2">
      <c r="A434" s="119" t="s">
        <v>555</v>
      </c>
      <c r="B434">
        <v>1</v>
      </c>
    </row>
    <row r="435" spans="1:2">
      <c r="A435" s="118" t="s">
        <v>30</v>
      </c>
      <c r="B435">
        <v>1</v>
      </c>
    </row>
    <row r="436" spans="1:2">
      <c r="A436" s="119" t="s">
        <v>723</v>
      </c>
      <c r="B436">
        <v>1</v>
      </c>
    </row>
    <row r="437" spans="1:2">
      <c r="A437" s="118" t="s">
        <v>31</v>
      </c>
      <c r="B437">
        <v>1</v>
      </c>
    </row>
    <row r="438" spans="1:2">
      <c r="A438" s="119" t="s">
        <v>613</v>
      </c>
      <c r="B438">
        <v>1</v>
      </c>
    </row>
    <row r="439" spans="1:2">
      <c r="A439" s="118" t="s">
        <v>372</v>
      </c>
      <c r="B439">
        <v>2</v>
      </c>
    </row>
    <row r="440" spans="1:2">
      <c r="A440" s="119" t="s">
        <v>548</v>
      </c>
      <c r="B440">
        <v>1</v>
      </c>
    </row>
    <row r="441" spans="1:2">
      <c r="A441" s="119" t="s">
        <v>549</v>
      </c>
      <c r="B441">
        <v>1</v>
      </c>
    </row>
    <row r="442" spans="1:2">
      <c r="A442" s="118" t="s">
        <v>345</v>
      </c>
      <c r="B442">
        <v>1</v>
      </c>
    </row>
    <row r="443" spans="1:2">
      <c r="A443" s="119" t="s">
        <v>439</v>
      </c>
      <c r="B443">
        <v>1</v>
      </c>
    </row>
    <row r="444" spans="1:2">
      <c r="A444" s="118" t="s">
        <v>371</v>
      </c>
      <c r="B444">
        <v>1</v>
      </c>
    </row>
    <row r="445" spans="1:2">
      <c r="A445" s="119" t="s">
        <v>541</v>
      </c>
      <c r="B445">
        <v>1</v>
      </c>
    </row>
    <row r="446" spans="1:2">
      <c r="A446" s="118" t="s">
        <v>589</v>
      </c>
      <c r="B446">
        <v>2</v>
      </c>
    </row>
    <row r="447" spans="1:2">
      <c r="A447" s="119" t="s">
        <v>591</v>
      </c>
      <c r="B447">
        <v>2</v>
      </c>
    </row>
    <row r="448" spans="1:2">
      <c r="A448" s="118" t="s">
        <v>451</v>
      </c>
      <c r="B448">
        <v>1</v>
      </c>
    </row>
    <row r="449" spans="1:2">
      <c r="A449" s="119" t="s">
        <v>636</v>
      </c>
      <c r="B449">
        <v>1</v>
      </c>
    </row>
    <row r="450" spans="1:2">
      <c r="A450" s="118" t="s">
        <v>45</v>
      </c>
      <c r="B450">
        <v>1</v>
      </c>
    </row>
    <row r="451" spans="1:2">
      <c r="A451" s="119" t="s">
        <v>550</v>
      </c>
      <c r="B451">
        <v>1</v>
      </c>
    </row>
    <row r="452" spans="1:2">
      <c r="A452" s="118" t="s">
        <v>159</v>
      </c>
      <c r="B452">
        <v>1</v>
      </c>
    </row>
    <row r="453" spans="1:2">
      <c r="A453" s="119" t="s">
        <v>420</v>
      </c>
      <c r="B453">
        <v>1</v>
      </c>
    </row>
    <row r="454" spans="1:2">
      <c r="A454" s="118" t="s">
        <v>210</v>
      </c>
      <c r="B454">
        <v>1</v>
      </c>
    </row>
    <row r="455" spans="1:2">
      <c r="A455" s="119" t="s">
        <v>726</v>
      </c>
      <c r="B455">
        <v>1</v>
      </c>
    </row>
    <row r="456" spans="1:2">
      <c r="A456" s="36">
        <v>3</v>
      </c>
      <c r="B456">
        <v>7</v>
      </c>
    </row>
    <row r="457" spans="1:2">
      <c r="A457" s="118" t="s">
        <v>30</v>
      </c>
      <c r="B457">
        <v>1</v>
      </c>
    </row>
    <row r="458" spans="1:2">
      <c r="A458" s="119" t="s">
        <v>529</v>
      </c>
      <c r="B458">
        <v>1</v>
      </c>
    </row>
    <row r="459" spans="1:2">
      <c r="A459" s="118" t="s">
        <v>381</v>
      </c>
      <c r="B459">
        <v>1</v>
      </c>
    </row>
    <row r="460" spans="1:2">
      <c r="A460" s="119" t="s">
        <v>419</v>
      </c>
      <c r="B460">
        <v>1</v>
      </c>
    </row>
    <row r="461" spans="1:2">
      <c r="A461" s="118" t="s">
        <v>45</v>
      </c>
      <c r="B461">
        <v>1</v>
      </c>
    </row>
    <row r="462" spans="1:2">
      <c r="A462" s="119" t="s">
        <v>553</v>
      </c>
      <c r="B462">
        <v>1</v>
      </c>
    </row>
    <row r="463" spans="1:2">
      <c r="A463" s="118" t="s">
        <v>369</v>
      </c>
      <c r="B463">
        <v>1</v>
      </c>
    </row>
    <row r="464" spans="1:2">
      <c r="A464" s="119" t="s">
        <v>512</v>
      </c>
      <c r="B464">
        <v>1</v>
      </c>
    </row>
    <row r="465" spans="1:2">
      <c r="A465" s="118" t="s">
        <v>159</v>
      </c>
      <c r="B465">
        <v>3</v>
      </c>
    </row>
    <row r="466" spans="1:2">
      <c r="A466" s="119" t="s">
        <v>401</v>
      </c>
      <c r="B466">
        <v>1</v>
      </c>
    </row>
    <row r="467" spans="1:2">
      <c r="A467" s="119" t="s">
        <v>460</v>
      </c>
      <c r="B467">
        <v>1</v>
      </c>
    </row>
    <row r="468" spans="1:2">
      <c r="A468" s="119" t="s">
        <v>538</v>
      </c>
      <c r="B468">
        <v>1</v>
      </c>
    </row>
    <row r="469" spans="1:2">
      <c r="A469" s="36">
        <v>4</v>
      </c>
      <c r="B469">
        <v>4</v>
      </c>
    </row>
    <row r="470" spans="1:2">
      <c r="A470" s="118" t="s">
        <v>119</v>
      </c>
      <c r="B470">
        <v>1</v>
      </c>
    </row>
    <row r="471" spans="1:2">
      <c r="A471" s="119" t="s">
        <v>476</v>
      </c>
      <c r="B471">
        <v>1</v>
      </c>
    </row>
    <row r="472" spans="1:2">
      <c r="A472" s="118" t="s">
        <v>372</v>
      </c>
      <c r="B472">
        <v>1</v>
      </c>
    </row>
    <row r="473" spans="1:2">
      <c r="A473" s="119" t="s">
        <v>546</v>
      </c>
      <c r="B473">
        <v>1</v>
      </c>
    </row>
    <row r="474" spans="1:2">
      <c r="A474" s="118" t="s">
        <v>558</v>
      </c>
      <c r="B474">
        <v>1</v>
      </c>
    </row>
    <row r="475" spans="1:2">
      <c r="A475" s="119" t="s">
        <v>557</v>
      </c>
      <c r="B475">
        <v>1</v>
      </c>
    </row>
    <row r="476" spans="1:2">
      <c r="A476" s="118" t="s">
        <v>169</v>
      </c>
      <c r="B476">
        <v>1</v>
      </c>
    </row>
    <row r="477" spans="1:2">
      <c r="A477" s="119" t="s">
        <v>552</v>
      </c>
      <c r="B477">
        <v>1</v>
      </c>
    </row>
    <row r="478" spans="1:2">
      <c r="A478" s="36">
        <v>5</v>
      </c>
      <c r="B478">
        <v>4</v>
      </c>
    </row>
    <row r="479" spans="1:2">
      <c r="A479" s="118" t="s">
        <v>6</v>
      </c>
      <c r="B479">
        <v>1</v>
      </c>
    </row>
    <row r="480" spans="1:2">
      <c r="A480" s="119" t="s">
        <v>435</v>
      </c>
      <c r="B480">
        <v>1</v>
      </c>
    </row>
    <row r="481" spans="1:2">
      <c r="A481" s="118" t="s">
        <v>144</v>
      </c>
      <c r="B481">
        <v>1</v>
      </c>
    </row>
    <row r="482" spans="1:2">
      <c r="A482" s="119" t="s">
        <v>694</v>
      </c>
      <c r="B482">
        <v>1</v>
      </c>
    </row>
    <row r="483" spans="1:2">
      <c r="A483" s="118" t="s">
        <v>355</v>
      </c>
      <c r="B483">
        <v>1</v>
      </c>
    </row>
    <row r="484" spans="1:2">
      <c r="A484" s="119" t="s">
        <v>652</v>
      </c>
      <c r="B484">
        <v>1</v>
      </c>
    </row>
    <row r="485" spans="1:2">
      <c r="A485" s="118" t="s">
        <v>30</v>
      </c>
      <c r="B485">
        <v>1</v>
      </c>
    </row>
    <row r="486" spans="1:2">
      <c r="A486" s="119" t="s">
        <v>626</v>
      </c>
      <c r="B486">
        <v>1</v>
      </c>
    </row>
    <row r="487" spans="1:2">
      <c r="A487" s="36">
        <v>6</v>
      </c>
      <c r="B487">
        <v>3</v>
      </c>
    </row>
    <row r="488" spans="1:2">
      <c r="A488" s="118" t="s">
        <v>181</v>
      </c>
      <c r="B488">
        <v>1</v>
      </c>
    </row>
    <row r="489" spans="1:2">
      <c r="A489" s="119" t="s">
        <v>446</v>
      </c>
      <c r="B489">
        <v>1</v>
      </c>
    </row>
    <row r="490" spans="1:2">
      <c r="A490" s="118" t="s">
        <v>148</v>
      </c>
      <c r="B490">
        <v>1</v>
      </c>
    </row>
    <row r="491" spans="1:2">
      <c r="A491" s="119" t="s">
        <v>614</v>
      </c>
      <c r="B491">
        <v>1</v>
      </c>
    </row>
    <row r="492" spans="1:2">
      <c r="A492" s="118" t="s">
        <v>30</v>
      </c>
      <c r="B492">
        <v>1</v>
      </c>
    </row>
    <row r="493" spans="1:2">
      <c r="A493" s="119" t="s">
        <v>530</v>
      </c>
      <c r="B493">
        <v>1</v>
      </c>
    </row>
    <row r="494" spans="1:2">
      <c r="A494" s="36">
        <v>7</v>
      </c>
      <c r="B494">
        <v>5</v>
      </c>
    </row>
    <row r="495" spans="1:2">
      <c r="A495" s="118" t="s">
        <v>30</v>
      </c>
      <c r="B495">
        <v>1</v>
      </c>
    </row>
    <row r="496" spans="1:2">
      <c r="A496" s="119" t="s">
        <v>489</v>
      </c>
      <c r="B496">
        <v>1</v>
      </c>
    </row>
    <row r="497" spans="1:2">
      <c r="A497" s="118" t="s">
        <v>157</v>
      </c>
      <c r="B497">
        <v>1</v>
      </c>
    </row>
    <row r="498" spans="1:2">
      <c r="A498" s="119" t="s">
        <v>554</v>
      </c>
      <c r="B498">
        <v>1</v>
      </c>
    </row>
    <row r="499" spans="1:2">
      <c r="A499" s="118" t="s">
        <v>154</v>
      </c>
      <c r="B499">
        <v>1</v>
      </c>
    </row>
    <row r="500" spans="1:2">
      <c r="A500" s="119" t="s">
        <v>485</v>
      </c>
      <c r="B500">
        <v>1</v>
      </c>
    </row>
    <row r="501" spans="1:2">
      <c r="A501" s="118" t="s">
        <v>408</v>
      </c>
      <c r="B501">
        <v>2</v>
      </c>
    </row>
    <row r="502" spans="1:2">
      <c r="A502" s="119" t="s">
        <v>675</v>
      </c>
      <c r="B502">
        <v>2</v>
      </c>
    </row>
    <row r="503" spans="1:2">
      <c r="A503" s="36">
        <v>9</v>
      </c>
      <c r="B503">
        <v>1</v>
      </c>
    </row>
    <row r="504" spans="1:2">
      <c r="A504" s="118" t="s">
        <v>30</v>
      </c>
      <c r="B504">
        <v>1</v>
      </c>
    </row>
    <row r="505" spans="1:2">
      <c r="A505" s="119" t="s">
        <v>561</v>
      </c>
      <c r="B505">
        <v>1</v>
      </c>
    </row>
    <row r="506" spans="1:2">
      <c r="A506" s="36">
        <v>11</v>
      </c>
      <c r="B506">
        <v>2</v>
      </c>
    </row>
    <row r="507" spans="1:2">
      <c r="A507" s="118" t="s">
        <v>408</v>
      </c>
      <c r="B507">
        <v>2</v>
      </c>
    </row>
    <row r="508" spans="1:2">
      <c r="A508" s="119" t="s">
        <v>410</v>
      </c>
      <c r="B508">
        <v>1</v>
      </c>
    </row>
    <row r="509" spans="1:2">
      <c r="A509" s="119" t="s">
        <v>409</v>
      </c>
      <c r="B509">
        <v>1</v>
      </c>
    </row>
    <row r="510" spans="1:2">
      <c r="A510" s="36">
        <v>13</v>
      </c>
      <c r="B510">
        <v>2</v>
      </c>
    </row>
    <row r="511" spans="1:2">
      <c r="A511" s="118" t="s">
        <v>52</v>
      </c>
      <c r="B511">
        <v>2</v>
      </c>
    </row>
    <row r="512" spans="1:2">
      <c r="A512" s="119" t="s">
        <v>543</v>
      </c>
      <c r="B512">
        <v>2</v>
      </c>
    </row>
    <row r="513" spans="1:2">
      <c r="A513" s="36">
        <v>14</v>
      </c>
      <c r="B513">
        <v>2</v>
      </c>
    </row>
    <row r="514" spans="1:2">
      <c r="A514" s="118" t="s">
        <v>144</v>
      </c>
      <c r="B514">
        <v>1</v>
      </c>
    </row>
    <row r="515" spans="1:2">
      <c r="A515" s="119" t="s">
        <v>533</v>
      </c>
      <c r="B515">
        <v>1</v>
      </c>
    </row>
    <row r="516" spans="1:2">
      <c r="A516" s="118" t="s">
        <v>408</v>
      </c>
      <c r="B516">
        <v>1</v>
      </c>
    </row>
    <row r="517" spans="1:2">
      <c r="A517" s="119" t="s">
        <v>537</v>
      </c>
      <c r="B517">
        <v>1</v>
      </c>
    </row>
    <row r="518" spans="1:2">
      <c r="A518" s="36">
        <v>8</v>
      </c>
      <c r="B518">
        <v>1</v>
      </c>
    </row>
    <row r="519" spans="1:2">
      <c r="A519" s="118" t="s">
        <v>159</v>
      </c>
      <c r="B519">
        <v>1</v>
      </c>
    </row>
    <row r="520" spans="1:2">
      <c r="A520" s="119" t="s">
        <v>454</v>
      </c>
      <c r="B520">
        <v>1</v>
      </c>
    </row>
    <row r="521" spans="1:2">
      <c r="A521" s="36" t="s">
        <v>67</v>
      </c>
      <c r="B521">
        <v>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459"/>
  <sheetViews>
    <sheetView topLeftCell="A296" workbookViewId="0">
      <selection activeCell="H397" sqref="A397:H397"/>
    </sheetView>
  </sheetViews>
  <sheetFormatPr baseColWidth="10" defaultRowHeight="13"/>
  <sheetData>
    <row r="1" spans="1:11" ht="35" thickBot="1">
      <c r="A1" s="80" t="s">
        <v>68</v>
      </c>
      <c r="B1" s="81" t="s">
        <v>130</v>
      </c>
      <c r="C1" s="81" t="s">
        <v>69</v>
      </c>
      <c r="D1" s="81" t="s">
        <v>70</v>
      </c>
      <c r="E1" s="81" t="s">
        <v>71</v>
      </c>
      <c r="F1" s="81" t="s">
        <v>72</v>
      </c>
      <c r="G1" s="81" t="s">
        <v>73</v>
      </c>
      <c r="H1" s="82" t="s">
        <v>317</v>
      </c>
      <c r="I1" s="81" t="s">
        <v>74</v>
      </c>
      <c r="J1" s="82" t="s">
        <v>107</v>
      </c>
      <c r="K1" s="81" t="s">
        <v>131</v>
      </c>
    </row>
    <row r="2" spans="1:11" ht="70.5" hidden="1" thickBot="1">
      <c r="A2" s="83">
        <v>7000371676</v>
      </c>
      <c r="B2" s="38">
        <v>45329</v>
      </c>
      <c r="C2" s="39">
        <v>0.47499999999999998</v>
      </c>
      <c r="D2" s="37">
        <v>113780</v>
      </c>
      <c r="E2" s="37">
        <v>18163</v>
      </c>
      <c r="F2" s="38">
        <v>45408</v>
      </c>
      <c r="G2" s="37" t="s">
        <v>190</v>
      </c>
      <c r="H2" s="84" t="s">
        <v>133</v>
      </c>
      <c r="I2" s="37" t="s">
        <v>191</v>
      </c>
      <c r="J2" s="40" t="s">
        <v>134</v>
      </c>
      <c r="K2" s="37">
        <v>56</v>
      </c>
    </row>
    <row r="3" spans="1:11" ht="35" hidden="1" thickBot="1">
      <c r="A3" s="83">
        <v>5502137871</v>
      </c>
      <c r="B3" s="38">
        <v>45357</v>
      </c>
      <c r="C3" s="39">
        <v>0.38472222222222224</v>
      </c>
      <c r="D3" s="37">
        <v>113403</v>
      </c>
      <c r="E3" s="37">
        <v>18253</v>
      </c>
      <c r="F3" s="38">
        <v>45358</v>
      </c>
      <c r="G3" s="39">
        <v>0.47222222222222221</v>
      </c>
      <c r="H3" s="40" t="s">
        <v>52</v>
      </c>
      <c r="I3" s="37" t="s">
        <v>135</v>
      </c>
      <c r="J3" s="40" t="s">
        <v>136</v>
      </c>
      <c r="K3" s="37">
        <v>40</v>
      </c>
    </row>
    <row r="4" spans="1:11" ht="35" hidden="1" thickBot="1">
      <c r="A4" s="83">
        <v>4500306477</v>
      </c>
      <c r="B4" s="38">
        <v>45390</v>
      </c>
      <c r="C4" s="39">
        <v>0.64652777777777781</v>
      </c>
      <c r="D4" s="37">
        <v>113635</v>
      </c>
      <c r="E4" s="43">
        <v>18144</v>
      </c>
      <c r="F4" s="38">
        <v>45391</v>
      </c>
      <c r="G4" s="39">
        <v>0.36249999999999999</v>
      </c>
      <c r="H4" s="44" t="s">
        <v>159</v>
      </c>
      <c r="I4" s="37" t="s">
        <v>142</v>
      </c>
      <c r="J4" s="40" t="s">
        <v>156</v>
      </c>
      <c r="K4" s="37">
        <v>97</v>
      </c>
    </row>
    <row r="5" spans="1:11" ht="23.5" hidden="1" thickBot="1">
      <c r="A5" s="83">
        <v>4500069104</v>
      </c>
      <c r="B5" s="38">
        <v>45401</v>
      </c>
      <c r="C5" s="39">
        <v>0.375</v>
      </c>
      <c r="D5" s="37">
        <v>113722</v>
      </c>
      <c r="E5" s="37">
        <v>18114</v>
      </c>
      <c r="F5" s="38">
        <v>45401</v>
      </c>
      <c r="G5" s="39">
        <v>0.38194444444444442</v>
      </c>
      <c r="H5" s="40" t="s">
        <v>138</v>
      </c>
      <c r="I5" s="37" t="s">
        <v>139</v>
      </c>
      <c r="J5" s="40" t="s">
        <v>118</v>
      </c>
      <c r="K5" s="37">
        <v>160</v>
      </c>
    </row>
    <row r="6" spans="1:11" ht="23.5" hidden="1" thickBot="1">
      <c r="A6" s="83">
        <v>4500069104</v>
      </c>
      <c r="B6" s="38">
        <v>45401</v>
      </c>
      <c r="C6" s="39">
        <v>0.375</v>
      </c>
      <c r="D6" s="37">
        <v>113723</v>
      </c>
      <c r="E6" s="37">
        <v>18237</v>
      </c>
      <c r="F6" s="38">
        <v>45401</v>
      </c>
      <c r="G6" s="39">
        <v>0.38194444444444442</v>
      </c>
      <c r="H6" s="40" t="s">
        <v>138</v>
      </c>
      <c r="I6" s="37" t="s">
        <v>139</v>
      </c>
      <c r="J6" s="40" t="s">
        <v>118</v>
      </c>
      <c r="K6" s="37">
        <v>120</v>
      </c>
    </row>
    <row r="7" spans="1:11" ht="76" hidden="1" thickBot="1">
      <c r="A7" s="83" t="s">
        <v>192</v>
      </c>
      <c r="B7" s="42">
        <v>45405</v>
      </c>
      <c r="C7" s="46">
        <v>0.32847222222222222</v>
      </c>
      <c r="D7" s="37">
        <v>113744</v>
      </c>
      <c r="E7" s="37">
        <v>18141</v>
      </c>
      <c r="F7" s="38">
        <v>45405</v>
      </c>
      <c r="G7" s="39">
        <v>0.41458333333333336</v>
      </c>
      <c r="H7" s="45" t="s">
        <v>193</v>
      </c>
      <c r="I7" s="47" t="s">
        <v>141</v>
      </c>
      <c r="J7" s="40" t="s">
        <v>194</v>
      </c>
      <c r="K7" s="37">
        <v>20</v>
      </c>
    </row>
    <row r="8" spans="1:11" ht="46.5" hidden="1" thickBot="1">
      <c r="A8" s="83">
        <v>1001451962</v>
      </c>
      <c r="B8" s="42">
        <v>45405</v>
      </c>
      <c r="C8" s="46">
        <v>0.74097222222222225</v>
      </c>
      <c r="D8" s="37">
        <v>113773</v>
      </c>
      <c r="E8" s="37">
        <v>18120</v>
      </c>
      <c r="F8" s="38">
        <v>45407</v>
      </c>
      <c r="G8" s="39">
        <v>0.66666666666666663</v>
      </c>
      <c r="H8" s="45" t="s">
        <v>195</v>
      </c>
      <c r="I8" s="47" t="s">
        <v>141</v>
      </c>
      <c r="J8" s="40" t="s">
        <v>145</v>
      </c>
      <c r="K8" s="37">
        <v>20</v>
      </c>
    </row>
    <row r="9" spans="1:11" ht="38.5" hidden="1" thickBot="1">
      <c r="A9" s="85" t="s">
        <v>196</v>
      </c>
      <c r="B9" s="47" t="s">
        <v>197</v>
      </c>
      <c r="C9" s="46">
        <v>0.375</v>
      </c>
      <c r="D9" s="37">
        <v>113755</v>
      </c>
      <c r="E9" s="37">
        <v>18162</v>
      </c>
      <c r="F9" s="38">
        <v>45406</v>
      </c>
      <c r="G9" s="39">
        <v>0.41875000000000001</v>
      </c>
      <c r="H9" s="45" t="s">
        <v>146</v>
      </c>
      <c r="I9" s="47" t="s">
        <v>147</v>
      </c>
      <c r="J9" s="40" t="s">
        <v>140</v>
      </c>
      <c r="K9" s="37">
        <v>7</v>
      </c>
    </row>
    <row r="10" spans="1:11" ht="38.5" hidden="1" thickBot="1">
      <c r="A10" s="85" t="s">
        <v>196</v>
      </c>
      <c r="B10" s="47" t="s">
        <v>197</v>
      </c>
      <c r="C10" s="46">
        <v>0.375</v>
      </c>
      <c r="D10" s="37">
        <v>113756</v>
      </c>
      <c r="E10" s="37">
        <v>18272</v>
      </c>
      <c r="F10" s="38">
        <v>45406</v>
      </c>
      <c r="G10" s="39">
        <v>0.43680555555555556</v>
      </c>
      <c r="H10" s="45" t="s">
        <v>146</v>
      </c>
      <c r="I10" s="47" t="s">
        <v>147</v>
      </c>
      <c r="J10" s="40" t="s">
        <v>140</v>
      </c>
      <c r="K10" s="37">
        <v>5</v>
      </c>
    </row>
    <row r="11" spans="1:11" ht="46.5" hidden="1" thickBot="1">
      <c r="A11" s="85" t="s">
        <v>196</v>
      </c>
      <c r="B11" s="42">
        <v>45406</v>
      </c>
      <c r="C11" s="46">
        <v>0.375</v>
      </c>
      <c r="D11" s="37">
        <v>113756</v>
      </c>
      <c r="E11" s="37">
        <v>18272</v>
      </c>
      <c r="F11" s="38">
        <v>45406</v>
      </c>
      <c r="G11" s="39">
        <v>0.43680555555555556</v>
      </c>
      <c r="H11" s="45" t="s">
        <v>146</v>
      </c>
      <c r="I11" s="47" t="s">
        <v>147</v>
      </c>
      <c r="J11" s="40" t="s">
        <v>145</v>
      </c>
      <c r="K11" s="37">
        <v>80</v>
      </c>
    </row>
    <row r="12" spans="1:11" ht="76" hidden="1" thickBot="1">
      <c r="A12" s="83" t="s">
        <v>198</v>
      </c>
      <c r="B12" s="42">
        <v>45406</v>
      </c>
      <c r="C12" s="46">
        <v>0.68194444444444446</v>
      </c>
      <c r="D12" s="37">
        <v>113768</v>
      </c>
      <c r="E12" s="37">
        <v>18116</v>
      </c>
      <c r="F12" s="38">
        <v>45407</v>
      </c>
      <c r="G12" s="39">
        <v>0.52638888888888891</v>
      </c>
      <c r="H12" s="45" t="s">
        <v>154</v>
      </c>
      <c r="I12" s="47" t="s">
        <v>155</v>
      </c>
      <c r="J12" s="40" t="s">
        <v>115</v>
      </c>
      <c r="K12" s="37">
        <v>40</v>
      </c>
    </row>
    <row r="13" spans="1:11" ht="76" hidden="1" thickBot="1">
      <c r="A13" s="83" t="s">
        <v>199</v>
      </c>
      <c r="B13" s="42">
        <v>45406</v>
      </c>
      <c r="C13" s="46">
        <v>0.68194444444444446</v>
      </c>
      <c r="D13" s="37">
        <v>113767</v>
      </c>
      <c r="E13" s="37">
        <v>18210</v>
      </c>
      <c r="F13" s="38">
        <v>45407</v>
      </c>
      <c r="G13" s="39">
        <v>0.52638888888888891</v>
      </c>
      <c r="H13" s="45" t="s">
        <v>154</v>
      </c>
      <c r="I13" s="47" t="s">
        <v>155</v>
      </c>
      <c r="J13" s="40" t="s">
        <v>156</v>
      </c>
      <c r="K13" s="37">
        <v>400</v>
      </c>
    </row>
    <row r="14" spans="1:11" ht="76" hidden="1" thickBot="1">
      <c r="A14" s="83" t="s">
        <v>200</v>
      </c>
      <c r="B14" s="42">
        <v>45406</v>
      </c>
      <c r="C14" s="46">
        <v>0.68194444444444446</v>
      </c>
      <c r="D14" s="37">
        <v>113766</v>
      </c>
      <c r="E14" s="37">
        <v>18117</v>
      </c>
      <c r="F14" s="38">
        <v>45407</v>
      </c>
      <c r="G14" s="39">
        <v>0.52638888888888891</v>
      </c>
      <c r="H14" s="45" t="s">
        <v>154</v>
      </c>
      <c r="I14" s="47" t="s">
        <v>155</v>
      </c>
      <c r="J14" s="40" t="s">
        <v>194</v>
      </c>
      <c r="K14" s="37">
        <v>4</v>
      </c>
    </row>
    <row r="15" spans="1:11" ht="51" hidden="1" thickBot="1">
      <c r="A15" s="83">
        <v>5502282955</v>
      </c>
      <c r="B15" s="42">
        <v>45407</v>
      </c>
      <c r="C15" s="46">
        <v>0.63194444444444442</v>
      </c>
      <c r="D15" s="37">
        <v>113774</v>
      </c>
      <c r="E15" s="37">
        <v>18121</v>
      </c>
      <c r="F15" s="38">
        <v>45408</v>
      </c>
      <c r="G15" s="39">
        <v>0.37638888888888888</v>
      </c>
      <c r="H15" s="45" t="s">
        <v>52</v>
      </c>
      <c r="I15" s="47" t="s">
        <v>137</v>
      </c>
      <c r="J15" s="40" t="s">
        <v>194</v>
      </c>
      <c r="K15" s="37">
        <v>80</v>
      </c>
    </row>
    <row r="16" spans="1:11" ht="23.5" hidden="1" thickBot="1">
      <c r="A16" s="83">
        <v>933060</v>
      </c>
      <c r="B16" s="38">
        <v>45407</v>
      </c>
      <c r="C16" s="39">
        <v>0.72291666666666665</v>
      </c>
      <c r="D16" s="37">
        <v>113775</v>
      </c>
      <c r="E16" s="37">
        <v>18156</v>
      </c>
      <c r="F16" s="38">
        <v>45408</v>
      </c>
      <c r="G16" s="48">
        <v>0.37986111111111109</v>
      </c>
      <c r="H16" s="45" t="s">
        <v>38</v>
      </c>
      <c r="I16" s="37" t="s">
        <v>141</v>
      </c>
      <c r="J16" s="40" t="s">
        <v>113</v>
      </c>
      <c r="K16" s="37">
        <v>6</v>
      </c>
    </row>
    <row r="17" spans="1:11" ht="38.5" hidden="1" thickBot="1">
      <c r="A17" s="83" t="s">
        <v>201</v>
      </c>
      <c r="B17" s="38">
        <v>45408</v>
      </c>
      <c r="C17" s="39">
        <v>0.47430555555555554</v>
      </c>
      <c r="D17" s="37">
        <v>113782</v>
      </c>
      <c r="E17" s="37">
        <v>18126</v>
      </c>
      <c r="F17" s="38">
        <v>45408</v>
      </c>
      <c r="G17" s="39">
        <v>0.52430555555555558</v>
      </c>
      <c r="H17" s="45" t="s">
        <v>119</v>
      </c>
      <c r="I17" s="37" t="s">
        <v>180</v>
      </c>
      <c r="J17" s="40" t="s">
        <v>189</v>
      </c>
      <c r="K17" s="37">
        <v>200</v>
      </c>
    </row>
    <row r="18" spans="1:11" ht="23.5" hidden="1" thickBot="1">
      <c r="A18" s="83">
        <v>521</v>
      </c>
      <c r="B18" s="38">
        <v>45408</v>
      </c>
      <c r="C18" s="39">
        <v>0.66180555555555554</v>
      </c>
      <c r="D18" s="37">
        <v>113783</v>
      </c>
      <c r="E18" s="37">
        <v>18134</v>
      </c>
      <c r="F18" s="38">
        <v>45411</v>
      </c>
      <c r="G18" s="39">
        <v>0.39444444444444443</v>
      </c>
      <c r="H18" s="45" t="s">
        <v>163</v>
      </c>
      <c r="I18" s="37" t="s">
        <v>80</v>
      </c>
      <c r="J18" s="40" t="s">
        <v>202</v>
      </c>
      <c r="K18" s="47">
        <v>2</v>
      </c>
    </row>
    <row r="19" spans="1:11" ht="76" hidden="1" thickBot="1">
      <c r="A19" s="83" t="s">
        <v>203</v>
      </c>
      <c r="B19" s="38">
        <v>45408</v>
      </c>
      <c r="C19" s="39">
        <v>0.68263888888888891</v>
      </c>
      <c r="D19" s="37">
        <v>113785</v>
      </c>
      <c r="E19" s="37">
        <v>18140</v>
      </c>
      <c r="F19" s="38">
        <v>45411</v>
      </c>
      <c r="G19" s="39">
        <v>0.45763888888888887</v>
      </c>
      <c r="H19" s="45" t="s">
        <v>193</v>
      </c>
      <c r="I19" s="37" t="s">
        <v>76</v>
      </c>
      <c r="J19" s="40" t="s">
        <v>113</v>
      </c>
      <c r="K19" s="37">
        <v>2</v>
      </c>
    </row>
    <row r="20" spans="1:11" ht="38.5" hidden="1" thickBot="1">
      <c r="A20" s="83" t="s">
        <v>204</v>
      </c>
      <c r="B20" s="38">
        <v>45408</v>
      </c>
      <c r="C20" s="39">
        <v>0.78333333333333333</v>
      </c>
      <c r="D20" s="37">
        <v>113786</v>
      </c>
      <c r="E20" s="37">
        <v>18125</v>
      </c>
      <c r="F20" s="38">
        <v>45411</v>
      </c>
      <c r="G20" s="39">
        <v>0.45763888888888887</v>
      </c>
      <c r="H20" s="45" t="s">
        <v>119</v>
      </c>
      <c r="I20" s="37" t="s">
        <v>180</v>
      </c>
      <c r="J20" s="40" t="s">
        <v>158</v>
      </c>
      <c r="K20" s="37">
        <v>20</v>
      </c>
    </row>
    <row r="21" spans="1:11" ht="38.5" hidden="1" thickBot="1">
      <c r="A21" s="83">
        <v>41083</v>
      </c>
      <c r="B21" s="38">
        <v>45411</v>
      </c>
      <c r="C21" s="39">
        <v>0.60416666666666663</v>
      </c>
      <c r="D21" s="37">
        <v>113788</v>
      </c>
      <c r="E21" s="37">
        <v>18131</v>
      </c>
      <c r="F21" s="38">
        <v>45411</v>
      </c>
      <c r="G21" s="39">
        <v>0.62152777777777779</v>
      </c>
      <c r="H21" s="45" t="s">
        <v>205</v>
      </c>
      <c r="I21" s="37" t="s">
        <v>82</v>
      </c>
      <c r="J21" s="40" t="s">
        <v>206</v>
      </c>
      <c r="K21" s="47">
        <v>36</v>
      </c>
    </row>
    <row r="22" spans="1:11" ht="38.5" hidden="1" thickBot="1">
      <c r="A22" s="83">
        <v>41083</v>
      </c>
      <c r="B22" s="38">
        <v>45411</v>
      </c>
      <c r="C22" s="39">
        <v>0.60416666666666663</v>
      </c>
      <c r="D22" s="37">
        <v>113788</v>
      </c>
      <c r="E22" s="37">
        <v>18131</v>
      </c>
      <c r="F22" s="38">
        <v>45411</v>
      </c>
      <c r="G22" s="39">
        <v>0.62152777777777779</v>
      </c>
      <c r="H22" s="45" t="s">
        <v>205</v>
      </c>
      <c r="I22" s="37" t="s">
        <v>82</v>
      </c>
      <c r="J22" s="49" t="s">
        <v>112</v>
      </c>
      <c r="K22" s="47">
        <v>6</v>
      </c>
    </row>
    <row r="23" spans="1:11" ht="38.5" hidden="1" thickBot="1">
      <c r="A23" s="83">
        <v>41083</v>
      </c>
      <c r="B23" s="38">
        <v>45411</v>
      </c>
      <c r="C23" s="39">
        <v>0.60416666666666663</v>
      </c>
      <c r="D23" s="37">
        <v>113788</v>
      </c>
      <c r="E23" s="37">
        <v>18131</v>
      </c>
      <c r="F23" s="38">
        <v>45411</v>
      </c>
      <c r="G23" s="39">
        <v>0.62152777777777779</v>
      </c>
      <c r="H23" s="45" t="s">
        <v>205</v>
      </c>
      <c r="I23" s="37" t="s">
        <v>82</v>
      </c>
      <c r="J23" s="40" t="s">
        <v>207</v>
      </c>
      <c r="K23" s="47">
        <v>36</v>
      </c>
    </row>
    <row r="24" spans="1:11" ht="23.5" hidden="1" thickBot="1">
      <c r="A24" s="83">
        <v>523</v>
      </c>
      <c r="B24" s="38">
        <v>45412</v>
      </c>
      <c r="C24" s="39">
        <v>0.3125</v>
      </c>
      <c r="D24" s="37">
        <v>113789</v>
      </c>
      <c r="E24" s="37">
        <v>18135</v>
      </c>
      <c r="F24" s="38">
        <v>45412</v>
      </c>
      <c r="G24" s="39">
        <v>0.31666666666666665</v>
      </c>
      <c r="H24" s="45" t="s">
        <v>163</v>
      </c>
      <c r="I24" s="37" t="s">
        <v>80</v>
      </c>
      <c r="J24" s="40" t="s">
        <v>112</v>
      </c>
      <c r="K24" s="37">
        <v>30</v>
      </c>
    </row>
    <row r="25" spans="1:11" ht="23.5" hidden="1" thickBot="1">
      <c r="A25" s="83">
        <v>523</v>
      </c>
      <c r="B25" s="38">
        <v>45412</v>
      </c>
      <c r="C25" s="39">
        <v>0.3125</v>
      </c>
      <c r="D25" s="37">
        <v>113789</v>
      </c>
      <c r="E25" s="37">
        <v>18135</v>
      </c>
      <c r="F25" s="38">
        <v>45412</v>
      </c>
      <c r="G25" s="39">
        <v>0.31666666666666665</v>
      </c>
      <c r="H25" s="45" t="s">
        <v>163</v>
      </c>
      <c r="I25" s="37" t="s">
        <v>80</v>
      </c>
      <c r="J25" s="40" t="s">
        <v>151</v>
      </c>
      <c r="K25" s="37">
        <v>4</v>
      </c>
    </row>
    <row r="26" spans="1:11" ht="38.5" hidden="1" thickBot="1">
      <c r="A26" s="83" t="s">
        <v>208</v>
      </c>
      <c r="B26" s="38">
        <v>45411</v>
      </c>
      <c r="C26" s="39">
        <v>0.90972222222222221</v>
      </c>
      <c r="D26" s="37">
        <v>113790</v>
      </c>
      <c r="E26" s="37">
        <v>18130</v>
      </c>
      <c r="F26" s="38">
        <v>45412</v>
      </c>
      <c r="G26" s="39">
        <v>0.32777777777777778</v>
      </c>
      <c r="H26" s="45" t="s">
        <v>31</v>
      </c>
      <c r="I26" s="37" t="s">
        <v>82</v>
      </c>
      <c r="J26" s="40" t="s">
        <v>209</v>
      </c>
      <c r="K26" s="37">
        <v>10</v>
      </c>
    </row>
    <row r="27" spans="1:11" ht="35" hidden="1" thickBot="1">
      <c r="A27" s="83">
        <v>935595</v>
      </c>
      <c r="B27" s="38">
        <v>45411</v>
      </c>
      <c r="C27" s="39">
        <v>0.74305555555555558</v>
      </c>
      <c r="D27" s="37">
        <v>113791</v>
      </c>
      <c r="E27" s="37">
        <v>18164</v>
      </c>
      <c r="F27" s="38">
        <v>45412</v>
      </c>
      <c r="G27" s="39">
        <v>0.3298611111111111</v>
      </c>
      <c r="H27" s="45" t="s">
        <v>38</v>
      </c>
      <c r="I27" s="37" t="s">
        <v>141</v>
      </c>
      <c r="J27" s="40" t="s">
        <v>143</v>
      </c>
      <c r="K27" s="37">
        <v>4</v>
      </c>
    </row>
    <row r="28" spans="1:11" ht="35" thickBot="1">
      <c r="A28" s="86">
        <v>1</v>
      </c>
      <c r="B28" s="38">
        <v>45411</v>
      </c>
      <c r="C28" s="39">
        <v>0.70138888888888884</v>
      </c>
      <c r="D28" s="37">
        <v>113792</v>
      </c>
      <c r="E28" s="37">
        <v>18133</v>
      </c>
      <c r="F28" s="38">
        <v>45412</v>
      </c>
      <c r="G28" s="39">
        <v>0.33194444444444443</v>
      </c>
      <c r="H28" s="45" t="s">
        <v>210</v>
      </c>
      <c r="I28" s="37" t="s">
        <v>178</v>
      </c>
      <c r="J28" s="40" t="s">
        <v>207</v>
      </c>
      <c r="K28" s="37">
        <v>7</v>
      </c>
    </row>
    <row r="29" spans="1:11" ht="35" hidden="1" thickBot="1">
      <c r="A29" s="83">
        <v>935360</v>
      </c>
      <c r="B29" s="38">
        <v>45411</v>
      </c>
      <c r="C29" s="39">
        <v>0.6694444444444444</v>
      </c>
      <c r="D29" s="37">
        <v>113798</v>
      </c>
      <c r="E29" s="37">
        <v>18154</v>
      </c>
      <c r="F29" s="38">
        <v>45412</v>
      </c>
      <c r="G29" s="39">
        <v>0.43541666666666667</v>
      </c>
      <c r="H29" s="45" t="s">
        <v>30</v>
      </c>
      <c r="I29" s="37" t="s">
        <v>80</v>
      </c>
      <c r="J29" s="40" t="s">
        <v>143</v>
      </c>
      <c r="K29" s="37">
        <v>4</v>
      </c>
    </row>
    <row r="30" spans="1:11" ht="51" hidden="1" thickBot="1">
      <c r="A30" s="83">
        <v>4503305140</v>
      </c>
      <c r="B30" s="38">
        <v>45411</v>
      </c>
      <c r="C30" s="39">
        <v>0.64166666666666672</v>
      </c>
      <c r="D30" s="37">
        <v>113799</v>
      </c>
      <c r="E30" s="37">
        <v>18175</v>
      </c>
      <c r="F30" s="38">
        <v>45412</v>
      </c>
      <c r="G30" s="39">
        <v>0.43611111111111112</v>
      </c>
      <c r="H30" s="45" t="s">
        <v>174</v>
      </c>
      <c r="I30" s="37" t="s">
        <v>142</v>
      </c>
      <c r="J30" s="49" t="s">
        <v>145</v>
      </c>
      <c r="K30" s="37">
        <v>240</v>
      </c>
    </row>
    <row r="31" spans="1:11" ht="47" hidden="1" thickBot="1">
      <c r="A31" s="83" t="s">
        <v>211</v>
      </c>
      <c r="B31" s="38">
        <v>45411</v>
      </c>
      <c r="C31" s="39">
        <v>0.62847222222222221</v>
      </c>
      <c r="D31" s="37">
        <v>113793</v>
      </c>
      <c r="E31" s="37">
        <v>18137</v>
      </c>
      <c r="F31" s="38">
        <v>45412</v>
      </c>
      <c r="G31" s="39">
        <v>0.34027777777777779</v>
      </c>
      <c r="H31" s="45" t="s">
        <v>167</v>
      </c>
      <c r="I31" s="37" t="s">
        <v>168</v>
      </c>
      <c r="J31" s="49" t="s">
        <v>145</v>
      </c>
      <c r="K31" s="37">
        <v>24</v>
      </c>
    </row>
    <row r="32" spans="1:11" ht="23.5" hidden="1" thickBot="1">
      <c r="A32" s="83">
        <v>935170</v>
      </c>
      <c r="B32" s="38">
        <v>45411</v>
      </c>
      <c r="C32" s="39">
        <v>0.58611111111111114</v>
      </c>
      <c r="D32" s="37">
        <v>113794</v>
      </c>
      <c r="E32" s="37">
        <v>18182</v>
      </c>
      <c r="F32" s="38">
        <v>45412</v>
      </c>
      <c r="G32" s="39">
        <v>0.34166666666666667</v>
      </c>
      <c r="H32" s="45" t="s">
        <v>38</v>
      </c>
      <c r="I32" s="37" t="s">
        <v>142</v>
      </c>
      <c r="J32" s="40" t="s">
        <v>118</v>
      </c>
      <c r="K32" s="37">
        <v>1</v>
      </c>
    </row>
    <row r="33" spans="1:11" ht="35" hidden="1" thickBot="1">
      <c r="A33" s="83">
        <v>934396</v>
      </c>
      <c r="B33" s="38">
        <v>45409</v>
      </c>
      <c r="C33" s="39">
        <v>0.85486111111111107</v>
      </c>
      <c r="D33" s="37">
        <v>113795</v>
      </c>
      <c r="E33" s="37">
        <v>18132</v>
      </c>
      <c r="F33" s="38">
        <v>45412</v>
      </c>
      <c r="G33" s="39">
        <v>0.34652777777777777</v>
      </c>
      <c r="H33" s="45" t="s">
        <v>38</v>
      </c>
      <c r="I33" s="37" t="s">
        <v>141</v>
      </c>
      <c r="J33" s="40" t="s">
        <v>212</v>
      </c>
      <c r="K33" s="37">
        <v>4</v>
      </c>
    </row>
    <row r="34" spans="1:11" ht="38.5" hidden="1" thickBot="1">
      <c r="A34" s="83">
        <v>935018</v>
      </c>
      <c r="B34" s="38">
        <v>45411</v>
      </c>
      <c r="C34" s="39">
        <v>0.50486111111111109</v>
      </c>
      <c r="D34" s="37">
        <v>113796</v>
      </c>
      <c r="E34" s="37">
        <v>18118</v>
      </c>
      <c r="F34" s="38">
        <v>45412</v>
      </c>
      <c r="G34" s="39">
        <v>0.35</v>
      </c>
      <c r="H34" s="45" t="s">
        <v>51</v>
      </c>
      <c r="I34" s="37" t="s">
        <v>78</v>
      </c>
      <c r="J34" s="40" t="s">
        <v>112</v>
      </c>
      <c r="K34" s="37">
        <v>3</v>
      </c>
    </row>
    <row r="35" spans="1:11" ht="26" hidden="1" thickBot="1">
      <c r="A35" s="83">
        <v>935007</v>
      </c>
      <c r="B35" s="42">
        <v>45411</v>
      </c>
      <c r="C35" s="46">
        <v>0.49375000000000002</v>
      </c>
      <c r="D35" s="37">
        <v>113800</v>
      </c>
      <c r="E35" s="37">
        <v>18128</v>
      </c>
      <c r="F35" s="38">
        <v>45412</v>
      </c>
      <c r="G35" s="39">
        <v>0.43611111111111112</v>
      </c>
      <c r="H35" s="45" t="s">
        <v>30</v>
      </c>
      <c r="I35" s="47" t="s">
        <v>84</v>
      </c>
      <c r="J35" s="40" t="s">
        <v>140</v>
      </c>
      <c r="K35" s="37">
        <v>6</v>
      </c>
    </row>
    <row r="36" spans="1:11" ht="26" hidden="1" thickBot="1">
      <c r="A36" s="83">
        <v>935007</v>
      </c>
      <c r="B36" s="42">
        <v>45411</v>
      </c>
      <c r="C36" s="46">
        <v>0.49375000000000002</v>
      </c>
      <c r="D36" s="37">
        <v>113801</v>
      </c>
      <c r="E36" s="37">
        <v>18224</v>
      </c>
      <c r="F36" s="38">
        <v>45412</v>
      </c>
      <c r="G36" s="39">
        <v>0.43611111111111112</v>
      </c>
      <c r="H36" s="45" t="s">
        <v>30</v>
      </c>
      <c r="I36" s="47" t="s">
        <v>84</v>
      </c>
      <c r="J36" s="40" t="s">
        <v>113</v>
      </c>
      <c r="K36" s="37">
        <v>42</v>
      </c>
    </row>
    <row r="37" spans="1:11" ht="38.5" thickBot="1">
      <c r="A37" s="86">
        <v>2</v>
      </c>
      <c r="B37" s="38">
        <v>45412</v>
      </c>
      <c r="C37" s="39">
        <v>0.39861111111111114</v>
      </c>
      <c r="D37" s="37">
        <v>113807</v>
      </c>
      <c r="E37" s="37">
        <v>18138</v>
      </c>
      <c r="F37" s="38">
        <v>45412</v>
      </c>
      <c r="G37" s="39">
        <v>0.61805555555555558</v>
      </c>
      <c r="H37" s="45" t="s">
        <v>45</v>
      </c>
      <c r="I37" s="37" t="s">
        <v>78</v>
      </c>
      <c r="J37" s="40" t="s">
        <v>207</v>
      </c>
      <c r="K37" s="37">
        <v>4</v>
      </c>
    </row>
    <row r="38" spans="1:11" ht="38.5" hidden="1" thickBot="1">
      <c r="A38" s="83" t="s">
        <v>213</v>
      </c>
      <c r="B38" s="38">
        <v>45412</v>
      </c>
      <c r="C38" s="39">
        <v>0.4152777777777778</v>
      </c>
      <c r="D38" s="37">
        <v>113803</v>
      </c>
      <c r="E38" s="37">
        <v>18122</v>
      </c>
      <c r="F38" s="38">
        <v>45412</v>
      </c>
      <c r="G38" s="39">
        <v>0.46250000000000002</v>
      </c>
      <c r="H38" s="45" t="s">
        <v>54</v>
      </c>
      <c r="I38" s="37" t="s">
        <v>75</v>
      </c>
      <c r="J38" s="40" t="s">
        <v>214</v>
      </c>
      <c r="K38" s="37">
        <v>4</v>
      </c>
    </row>
    <row r="39" spans="1:11" ht="38.5" hidden="1" thickBot="1">
      <c r="A39" s="83" t="s">
        <v>213</v>
      </c>
      <c r="B39" s="38">
        <v>45412</v>
      </c>
      <c r="C39" s="39">
        <v>0.4152777777777778</v>
      </c>
      <c r="D39" s="37">
        <v>113803</v>
      </c>
      <c r="E39" s="37">
        <v>18122</v>
      </c>
      <c r="F39" s="38">
        <v>45412</v>
      </c>
      <c r="G39" s="39">
        <v>0.46250000000000002</v>
      </c>
      <c r="H39" s="45" t="s">
        <v>54</v>
      </c>
      <c r="I39" s="37" t="s">
        <v>75</v>
      </c>
      <c r="J39" s="40" t="s">
        <v>215</v>
      </c>
      <c r="K39" s="37">
        <v>10</v>
      </c>
    </row>
    <row r="40" spans="1:11" ht="38.5" hidden="1" thickBot="1">
      <c r="A40" s="83" t="s">
        <v>213</v>
      </c>
      <c r="B40" s="38">
        <v>45412</v>
      </c>
      <c r="C40" s="39">
        <v>0.4152777777777778</v>
      </c>
      <c r="D40" s="37">
        <v>113803</v>
      </c>
      <c r="E40" s="37">
        <v>18122</v>
      </c>
      <c r="F40" s="38">
        <v>45412</v>
      </c>
      <c r="G40" s="39">
        <v>0.46250000000000002</v>
      </c>
      <c r="H40" s="45" t="s">
        <v>54</v>
      </c>
      <c r="I40" s="37" t="s">
        <v>75</v>
      </c>
      <c r="J40" s="40" t="s">
        <v>112</v>
      </c>
      <c r="K40" s="37">
        <v>20</v>
      </c>
    </row>
    <row r="41" spans="1:11" ht="51" hidden="1" thickBot="1">
      <c r="A41" s="83" t="s">
        <v>216</v>
      </c>
      <c r="B41" s="38">
        <v>45412</v>
      </c>
      <c r="C41" s="39">
        <v>0.51458333333333328</v>
      </c>
      <c r="D41" s="37">
        <v>113805</v>
      </c>
      <c r="E41" s="37">
        <v>18136</v>
      </c>
      <c r="F41" s="38">
        <v>45412</v>
      </c>
      <c r="G41" s="39">
        <v>0.54097222222222219</v>
      </c>
      <c r="H41" s="45" t="s">
        <v>169</v>
      </c>
      <c r="I41" s="37" t="s">
        <v>147</v>
      </c>
      <c r="J41" s="40" t="s">
        <v>153</v>
      </c>
      <c r="K41" s="37">
        <v>4</v>
      </c>
    </row>
    <row r="42" spans="1:11" ht="26" hidden="1" thickBot="1">
      <c r="A42" s="87">
        <v>49287</v>
      </c>
      <c r="B42" s="38">
        <v>45412</v>
      </c>
      <c r="C42" s="46">
        <v>0.54027777777777775</v>
      </c>
      <c r="D42" s="47">
        <v>113806</v>
      </c>
      <c r="E42" s="47">
        <v>18124</v>
      </c>
      <c r="F42" s="38">
        <v>45412</v>
      </c>
      <c r="G42" s="39">
        <v>0.62361111111111112</v>
      </c>
      <c r="H42" s="45" t="s">
        <v>157</v>
      </c>
      <c r="I42" s="47" t="s">
        <v>78</v>
      </c>
      <c r="J42" s="49" t="s">
        <v>189</v>
      </c>
      <c r="K42" s="47">
        <v>10</v>
      </c>
    </row>
    <row r="43" spans="1:11" ht="38.5" hidden="1" thickBot="1">
      <c r="A43" s="87" t="s">
        <v>217</v>
      </c>
      <c r="B43" s="42">
        <v>45412</v>
      </c>
      <c r="C43" s="46">
        <v>0.61944444444444446</v>
      </c>
      <c r="D43" s="47">
        <v>113808</v>
      </c>
      <c r="E43" s="47">
        <v>18127</v>
      </c>
      <c r="F43" s="38">
        <v>45414</v>
      </c>
      <c r="G43" s="39">
        <v>0.41805555555555557</v>
      </c>
      <c r="H43" s="45" t="s">
        <v>144</v>
      </c>
      <c r="I43" s="47" t="s">
        <v>88</v>
      </c>
      <c r="J43" s="49" t="s">
        <v>209</v>
      </c>
      <c r="K43" s="47">
        <v>1</v>
      </c>
    </row>
    <row r="44" spans="1:11" ht="38.5" hidden="1" thickBot="1">
      <c r="A44" s="87" t="s">
        <v>217</v>
      </c>
      <c r="B44" s="42">
        <v>45412</v>
      </c>
      <c r="C44" s="46">
        <v>0.61944444444444446</v>
      </c>
      <c r="D44" s="47">
        <v>113808</v>
      </c>
      <c r="E44" s="47">
        <v>18127</v>
      </c>
      <c r="F44" s="38">
        <v>45414</v>
      </c>
      <c r="G44" s="39">
        <v>0.41805555555555557</v>
      </c>
      <c r="H44" s="45" t="s">
        <v>144</v>
      </c>
      <c r="I44" s="47" t="s">
        <v>88</v>
      </c>
      <c r="J44" s="40" t="s">
        <v>218</v>
      </c>
      <c r="K44" s="37">
        <v>10</v>
      </c>
    </row>
    <row r="45" spans="1:11" ht="24.5" hidden="1" thickBot="1">
      <c r="A45" s="88" t="s">
        <v>123</v>
      </c>
      <c r="B45" s="42">
        <v>45414</v>
      </c>
      <c r="C45" s="46">
        <v>0.4152777777777778</v>
      </c>
      <c r="D45" s="47">
        <v>113809</v>
      </c>
      <c r="E45" s="47">
        <v>18115</v>
      </c>
      <c r="F45" s="38">
        <v>45414</v>
      </c>
      <c r="G45" s="39">
        <v>0.45208333333333334</v>
      </c>
      <c r="H45" s="45" t="s">
        <v>219</v>
      </c>
      <c r="I45" s="47" t="s">
        <v>78</v>
      </c>
      <c r="J45" s="50" t="s">
        <v>189</v>
      </c>
      <c r="K45" s="37">
        <v>84</v>
      </c>
    </row>
    <row r="46" spans="1:11" ht="23.5" hidden="1" thickBot="1">
      <c r="A46" s="87">
        <v>4500069406</v>
      </c>
      <c r="B46" s="42">
        <v>45412</v>
      </c>
      <c r="C46" s="46">
        <v>0.68125000000000002</v>
      </c>
      <c r="D46" s="47">
        <v>113810</v>
      </c>
      <c r="E46" s="47">
        <v>18384</v>
      </c>
      <c r="F46" s="38">
        <v>45414</v>
      </c>
      <c r="G46" s="39">
        <v>0.45208333333333334</v>
      </c>
      <c r="H46" s="45" t="s">
        <v>57</v>
      </c>
      <c r="I46" s="47" t="s">
        <v>83</v>
      </c>
      <c r="J46" s="40" t="s">
        <v>215</v>
      </c>
      <c r="K46" s="37">
        <v>20</v>
      </c>
    </row>
    <row r="47" spans="1:11" ht="23.5" hidden="1" thickBot="1">
      <c r="A47" s="87">
        <v>4500069406</v>
      </c>
      <c r="B47" s="42">
        <v>45412</v>
      </c>
      <c r="C47" s="46">
        <v>0.68125000000000002</v>
      </c>
      <c r="D47" s="47">
        <v>113810</v>
      </c>
      <c r="E47" s="47">
        <v>18384</v>
      </c>
      <c r="F47" s="38">
        <v>45414</v>
      </c>
      <c r="G47" s="39">
        <v>0.45208333333333334</v>
      </c>
      <c r="H47" s="45" t="s">
        <v>57</v>
      </c>
      <c r="I47" s="47" t="s">
        <v>83</v>
      </c>
      <c r="J47" s="40" t="s">
        <v>115</v>
      </c>
      <c r="K47" s="37">
        <v>80</v>
      </c>
    </row>
    <row r="48" spans="1:11" ht="23.5" hidden="1" thickBot="1">
      <c r="A48" s="87">
        <v>4500069406</v>
      </c>
      <c r="B48" s="42">
        <v>45412</v>
      </c>
      <c r="C48" s="46">
        <v>0.68125000000000002</v>
      </c>
      <c r="D48" s="47">
        <v>113810</v>
      </c>
      <c r="E48" s="47">
        <v>18384</v>
      </c>
      <c r="F48" s="38">
        <v>45414</v>
      </c>
      <c r="G48" s="39">
        <v>0.45208333333333334</v>
      </c>
      <c r="H48" s="45" t="s">
        <v>57</v>
      </c>
      <c r="I48" s="47" t="s">
        <v>83</v>
      </c>
      <c r="J48" s="40" t="s">
        <v>110</v>
      </c>
      <c r="K48" s="37">
        <v>32</v>
      </c>
    </row>
    <row r="49" spans="1:11" ht="23.5" hidden="1" thickBot="1">
      <c r="A49" s="87">
        <v>4500069406</v>
      </c>
      <c r="B49" s="42">
        <v>45412</v>
      </c>
      <c r="C49" s="46">
        <v>0.68125000000000002</v>
      </c>
      <c r="D49" s="47">
        <v>113810</v>
      </c>
      <c r="E49" s="47">
        <v>18384</v>
      </c>
      <c r="F49" s="38">
        <v>45414</v>
      </c>
      <c r="G49" s="39">
        <v>0.45208333333333334</v>
      </c>
      <c r="H49" s="45" t="s">
        <v>57</v>
      </c>
      <c r="I49" s="47" t="s">
        <v>83</v>
      </c>
      <c r="J49" s="40" t="s">
        <v>118</v>
      </c>
      <c r="K49" s="37">
        <v>16</v>
      </c>
    </row>
    <row r="50" spans="1:11" ht="23.5" hidden="1" thickBot="1">
      <c r="A50" s="87">
        <v>4500069406</v>
      </c>
      <c r="B50" s="42">
        <v>45412</v>
      </c>
      <c r="C50" s="46">
        <v>0.68125000000000002</v>
      </c>
      <c r="D50" s="47">
        <v>113810</v>
      </c>
      <c r="E50" s="47">
        <v>18384</v>
      </c>
      <c r="F50" s="38">
        <v>45414</v>
      </c>
      <c r="G50" s="39">
        <v>0.45208333333333334</v>
      </c>
      <c r="H50" s="45" t="s">
        <v>57</v>
      </c>
      <c r="I50" s="47" t="s">
        <v>83</v>
      </c>
      <c r="J50" s="40" t="s">
        <v>118</v>
      </c>
      <c r="K50" s="37">
        <v>100</v>
      </c>
    </row>
    <row r="51" spans="1:11" ht="23.5" hidden="1" thickBot="1">
      <c r="A51" s="87">
        <v>4500069406</v>
      </c>
      <c r="B51" s="42">
        <v>45412</v>
      </c>
      <c r="C51" s="46">
        <v>0.68125000000000002</v>
      </c>
      <c r="D51" s="47">
        <v>113810</v>
      </c>
      <c r="E51" s="47">
        <v>18384</v>
      </c>
      <c r="F51" s="38">
        <v>45414</v>
      </c>
      <c r="G51" s="39">
        <v>0.45208333333333334</v>
      </c>
      <c r="H51" s="45" t="s">
        <v>57</v>
      </c>
      <c r="I51" s="47" t="s">
        <v>83</v>
      </c>
      <c r="J51" s="40" t="s">
        <v>194</v>
      </c>
      <c r="K51" s="37">
        <v>40</v>
      </c>
    </row>
    <row r="52" spans="1:11" ht="23.5" hidden="1" thickBot="1">
      <c r="A52" s="87">
        <v>4500069406</v>
      </c>
      <c r="B52" s="42">
        <v>45412</v>
      </c>
      <c r="C52" s="46">
        <v>0.68125000000000002</v>
      </c>
      <c r="D52" s="47">
        <v>113810</v>
      </c>
      <c r="E52" s="47">
        <v>18384</v>
      </c>
      <c r="F52" s="38">
        <v>45414</v>
      </c>
      <c r="G52" s="39">
        <v>0.45208333333333334</v>
      </c>
      <c r="H52" s="45" t="s">
        <v>57</v>
      </c>
      <c r="I52" s="47" t="s">
        <v>83</v>
      </c>
      <c r="J52" s="40" t="s">
        <v>220</v>
      </c>
      <c r="K52" s="37">
        <v>8</v>
      </c>
    </row>
    <row r="53" spans="1:11" ht="24" hidden="1" thickBot="1">
      <c r="A53" s="87">
        <v>4500069406</v>
      </c>
      <c r="B53" s="42">
        <v>45412</v>
      </c>
      <c r="C53" s="46">
        <v>0.68125000000000002</v>
      </c>
      <c r="D53" s="47">
        <v>113810</v>
      </c>
      <c r="E53" s="47">
        <v>18384</v>
      </c>
      <c r="F53" s="38">
        <v>45414</v>
      </c>
      <c r="G53" s="39">
        <v>0.45208333333333334</v>
      </c>
      <c r="H53" s="45" t="s">
        <v>57</v>
      </c>
      <c r="I53" s="47" t="s">
        <v>83</v>
      </c>
      <c r="J53" s="49" t="s">
        <v>209</v>
      </c>
      <c r="K53" s="47">
        <v>10</v>
      </c>
    </row>
    <row r="54" spans="1:11" ht="24" hidden="1" thickBot="1">
      <c r="A54" s="87">
        <v>4500069406</v>
      </c>
      <c r="B54" s="42">
        <v>45412</v>
      </c>
      <c r="C54" s="46">
        <v>0.68125000000000002</v>
      </c>
      <c r="D54" s="47">
        <v>113810</v>
      </c>
      <c r="E54" s="47">
        <v>18384</v>
      </c>
      <c r="F54" s="38">
        <v>45414</v>
      </c>
      <c r="G54" s="39">
        <v>0.45208333333333334</v>
      </c>
      <c r="H54" s="45" t="s">
        <v>57</v>
      </c>
      <c r="I54" s="47" t="s">
        <v>83</v>
      </c>
      <c r="J54" s="49" t="s">
        <v>151</v>
      </c>
      <c r="K54" s="47">
        <v>20</v>
      </c>
    </row>
    <row r="55" spans="1:11" ht="35" hidden="1" thickBot="1">
      <c r="A55" s="87">
        <v>4500069406</v>
      </c>
      <c r="B55" s="42">
        <v>45412</v>
      </c>
      <c r="C55" s="46">
        <v>0.68125000000000002</v>
      </c>
      <c r="D55" s="47">
        <v>113810</v>
      </c>
      <c r="E55" s="47">
        <v>18384</v>
      </c>
      <c r="F55" s="38">
        <v>45414</v>
      </c>
      <c r="G55" s="39">
        <v>0.45208333333333334</v>
      </c>
      <c r="H55" s="45" t="s">
        <v>57</v>
      </c>
      <c r="I55" s="47" t="s">
        <v>83</v>
      </c>
      <c r="J55" s="40" t="s">
        <v>156</v>
      </c>
      <c r="K55" s="37">
        <v>40</v>
      </c>
    </row>
    <row r="56" spans="1:11" ht="13.5" hidden="1" thickBot="1">
      <c r="A56" s="87">
        <v>4500069406</v>
      </c>
      <c r="B56" s="42">
        <v>45412</v>
      </c>
      <c r="C56" s="46">
        <v>0.68125000000000002</v>
      </c>
      <c r="D56" s="47">
        <v>113810</v>
      </c>
      <c r="E56" s="47">
        <v>18384</v>
      </c>
      <c r="F56" s="38">
        <v>45414</v>
      </c>
      <c r="G56" s="39">
        <v>0.45208333333333334</v>
      </c>
      <c r="H56" s="45" t="s">
        <v>57</v>
      </c>
      <c r="I56" s="47" t="s">
        <v>83</v>
      </c>
      <c r="J56" s="40" t="s">
        <v>134</v>
      </c>
      <c r="K56" s="37">
        <v>8</v>
      </c>
    </row>
    <row r="57" spans="1:11" ht="23.5" hidden="1" thickBot="1">
      <c r="A57" s="87">
        <v>4500069407</v>
      </c>
      <c r="B57" s="42">
        <v>45412</v>
      </c>
      <c r="C57" s="46">
        <v>0.68125000000000002</v>
      </c>
      <c r="D57" s="47">
        <v>113814</v>
      </c>
      <c r="E57" s="47">
        <v>18165</v>
      </c>
      <c r="F57" s="38">
        <v>45414</v>
      </c>
      <c r="G57" s="39">
        <v>0.59097222222222223</v>
      </c>
      <c r="H57" s="45" t="s">
        <v>57</v>
      </c>
      <c r="I57" s="47" t="s">
        <v>83</v>
      </c>
      <c r="J57" s="40" t="s">
        <v>115</v>
      </c>
      <c r="K57" s="37">
        <v>80</v>
      </c>
    </row>
    <row r="58" spans="1:11" ht="23.5" hidden="1" thickBot="1">
      <c r="A58" s="87">
        <v>4500069407</v>
      </c>
      <c r="B58" s="42">
        <v>45412</v>
      </c>
      <c r="C58" s="46">
        <v>0.68125000000000002</v>
      </c>
      <c r="D58" s="47">
        <v>113814</v>
      </c>
      <c r="E58" s="47">
        <v>18165</v>
      </c>
      <c r="F58" s="38">
        <v>45414</v>
      </c>
      <c r="G58" s="39">
        <v>0.59097222222222223</v>
      </c>
      <c r="H58" s="45" t="s">
        <v>57</v>
      </c>
      <c r="I58" s="47" t="s">
        <v>83</v>
      </c>
      <c r="J58" s="40" t="s">
        <v>110</v>
      </c>
      <c r="K58" s="37">
        <v>32</v>
      </c>
    </row>
    <row r="59" spans="1:11" ht="23.5" hidden="1" thickBot="1">
      <c r="A59" s="87">
        <v>4500069407</v>
      </c>
      <c r="B59" s="42">
        <v>45412</v>
      </c>
      <c r="C59" s="46">
        <v>0.68125000000000002</v>
      </c>
      <c r="D59" s="47">
        <v>113814</v>
      </c>
      <c r="E59" s="47">
        <v>18165</v>
      </c>
      <c r="F59" s="38">
        <v>45414</v>
      </c>
      <c r="G59" s="39">
        <v>0.59097222222222223</v>
      </c>
      <c r="H59" s="45" t="s">
        <v>57</v>
      </c>
      <c r="I59" s="47" t="s">
        <v>83</v>
      </c>
      <c r="J59" s="40" t="s">
        <v>118</v>
      </c>
      <c r="K59" s="37">
        <v>100</v>
      </c>
    </row>
    <row r="60" spans="1:11" ht="24" hidden="1" thickBot="1">
      <c r="A60" s="87">
        <v>4500069407</v>
      </c>
      <c r="B60" s="42">
        <v>45412</v>
      </c>
      <c r="C60" s="46">
        <v>0.68125000000000002</v>
      </c>
      <c r="D60" s="47">
        <v>113814</v>
      </c>
      <c r="E60" s="47">
        <v>18165</v>
      </c>
      <c r="F60" s="38">
        <v>45414</v>
      </c>
      <c r="G60" s="39">
        <v>0.59097222222222223</v>
      </c>
      <c r="H60" s="45" t="s">
        <v>57</v>
      </c>
      <c r="I60" s="47" t="s">
        <v>83</v>
      </c>
      <c r="J60" s="49" t="s">
        <v>194</v>
      </c>
      <c r="K60" s="47">
        <v>40</v>
      </c>
    </row>
    <row r="61" spans="1:11" ht="23.5" hidden="1" thickBot="1">
      <c r="A61" s="87">
        <v>4500069407</v>
      </c>
      <c r="B61" s="42">
        <v>45412</v>
      </c>
      <c r="C61" s="46">
        <v>0.68125000000000002</v>
      </c>
      <c r="D61" s="47">
        <v>113814</v>
      </c>
      <c r="E61" s="47">
        <v>18165</v>
      </c>
      <c r="F61" s="38">
        <v>45414</v>
      </c>
      <c r="G61" s="39">
        <v>0.59097222222222223</v>
      </c>
      <c r="H61" s="45" t="s">
        <v>57</v>
      </c>
      <c r="I61" s="47" t="s">
        <v>83</v>
      </c>
      <c r="J61" s="40" t="s">
        <v>220</v>
      </c>
      <c r="K61" s="37">
        <v>8</v>
      </c>
    </row>
    <row r="62" spans="1:11" ht="23.5" hidden="1" thickBot="1">
      <c r="A62" s="87">
        <v>4500069407</v>
      </c>
      <c r="B62" s="42">
        <v>45412</v>
      </c>
      <c r="C62" s="46">
        <v>0.68125000000000002</v>
      </c>
      <c r="D62" s="47">
        <v>113814</v>
      </c>
      <c r="E62" s="47">
        <v>18165</v>
      </c>
      <c r="F62" s="38">
        <v>45414</v>
      </c>
      <c r="G62" s="39">
        <v>0.59097222222222223</v>
      </c>
      <c r="H62" s="45" t="s">
        <v>57</v>
      </c>
      <c r="I62" s="47" t="s">
        <v>83</v>
      </c>
      <c r="J62" s="40" t="s">
        <v>209</v>
      </c>
      <c r="K62" s="37">
        <v>10</v>
      </c>
    </row>
    <row r="63" spans="1:11" ht="24" hidden="1" thickBot="1">
      <c r="A63" s="87">
        <v>4500069407</v>
      </c>
      <c r="B63" s="42">
        <v>45412</v>
      </c>
      <c r="C63" s="46">
        <v>0.68125000000000002</v>
      </c>
      <c r="D63" s="47">
        <v>113814</v>
      </c>
      <c r="E63" s="47">
        <v>18165</v>
      </c>
      <c r="F63" s="38">
        <v>45414</v>
      </c>
      <c r="G63" s="39">
        <v>0.59097222222222223</v>
      </c>
      <c r="H63" s="45" t="s">
        <v>57</v>
      </c>
      <c r="I63" s="47" t="s">
        <v>83</v>
      </c>
      <c r="J63" s="49" t="s">
        <v>221</v>
      </c>
      <c r="K63" s="37">
        <v>200</v>
      </c>
    </row>
    <row r="64" spans="1:11" ht="23.5" hidden="1" thickBot="1">
      <c r="A64" s="87">
        <v>4500069407</v>
      </c>
      <c r="B64" s="42">
        <v>45412</v>
      </c>
      <c r="C64" s="46">
        <v>0.68125000000000002</v>
      </c>
      <c r="D64" s="47">
        <v>113814</v>
      </c>
      <c r="E64" s="47">
        <v>18165</v>
      </c>
      <c r="F64" s="38">
        <v>45414</v>
      </c>
      <c r="G64" s="39">
        <v>0.59097222222222223</v>
      </c>
      <c r="H64" s="45" t="s">
        <v>57</v>
      </c>
      <c r="I64" s="47" t="s">
        <v>83</v>
      </c>
      <c r="J64" s="40" t="s">
        <v>113</v>
      </c>
      <c r="K64" s="37">
        <v>12</v>
      </c>
    </row>
    <row r="65" spans="1:11" ht="23.5" hidden="1" thickBot="1">
      <c r="A65" s="83">
        <v>4500069408</v>
      </c>
      <c r="B65" s="42">
        <v>45412</v>
      </c>
      <c r="C65" s="39">
        <v>0.68125000000000002</v>
      </c>
      <c r="D65" s="37">
        <v>113813</v>
      </c>
      <c r="E65" s="37">
        <v>18155</v>
      </c>
      <c r="F65" s="38">
        <v>45414</v>
      </c>
      <c r="G65" s="39">
        <v>0.58958333333333335</v>
      </c>
      <c r="H65" s="45" t="s">
        <v>57</v>
      </c>
      <c r="I65" s="37" t="s">
        <v>80</v>
      </c>
      <c r="J65" s="40" t="s">
        <v>165</v>
      </c>
      <c r="K65" s="37">
        <v>60</v>
      </c>
    </row>
    <row r="66" spans="1:11" ht="35" hidden="1" thickBot="1">
      <c r="A66" s="83">
        <v>4500069408</v>
      </c>
      <c r="B66" s="42">
        <v>45412</v>
      </c>
      <c r="C66" s="39">
        <v>0.68125000000000002</v>
      </c>
      <c r="D66" s="37">
        <v>113813</v>
      </c>
      <c r="E66" s="37">
        <v>18155</v>
      </c>
      <c r="F66" s="38">
        <v>45414</v>
      </c>
      <c r="G66" s="39">
        <v>0.58958333333333335</v>
      </c>
      <c r="H66" s="45" t="s">
        <v>57</v>
      </c>
      <c r="I66" s="37" t="s">
        <v>80</v>
      </c>
      <c r="J66" s="40" t="s">
        <v>156</v>
      </c>
      <c r="K66" s="37">
        <v>40</v>
      </c>
    </row>
    <row r="67" spans="1:11" ht="35" hidden="1" thickBot="1">
      <c r="A67" s="83">
        <v>4500069408</v>
      </c>
      <c r="B67" s="42">
        <v>45412</v>
      </c>
      <c r="C67" s="39">
        <v>0.68125000000000002</v>
      </c>
      <c r="D67" s="37">
        <v>113813</v>
      </c>
      <c r="E67" s="37">
        <v>18155</v>
      </c>
      <c r="F67" s="38">
        <v>45414</v>
      </c>
      <c r="G67" s="39">
        <v>0.58958333333333335</v>
      </c>
      <c r="H67" s="45" t="s">
        <v>57</v>
      </c>
      <c r="I67" s="37" t="s">
        <v>80</v>
      </c>
      <c r="J67" s="40" t="s">
        <v>136</v>
      </c>
      <c r="K67" s="37">
        <v>8</v>
      </c>
    </row>
    <row r="68" spans="1:11" ht="23.5" hidden="1" thickBot="1">
      <c r="A68" s="83">
        <v>4500069408</v>
      </c>
      <c r="B68" s="42">
        <v>45412</v>
      </c>
      <c r="C68" s="39">
        <v>0.68125000000000002</v>
      </c>
      <c r="D68" s="37">
        <v>113813</v>
      </c>
      <c r="E68" s="37">
        <v>18155</v>
      </c>
      <c r="F68" s="38">
        <v>45414</v>
      </c>
      <c r="G68" s="39">
        <v>0.58958333333333335</v>
      </c>
      <c r="H68" s="45" t="s">
        <v>57</v>
      </c>
      <c r="I68" s="37" t="s">
        <v>80</v>
      </c>
      <c r="J68" s="40" t="s">
        <v>162</v>
      </c>
      <c r="K68" s="37">
        <v>3</v>
      </c>
    </row>
    <row r="69" spans="1:11" ht="23.5" hidden="1" thickBot="1">
      <c r="A69" s="83">
        <v>4500069408</v>
      </c>
      <c r="B69" s="42">
        <v>45412</v>
      </c>
      <c r="C69" s="39">
        <v>0.68125000000000002</v>
      </c>
      <c r="D69" s="37">
        <v>113813</v>
      </c>
      <c r="E69" s="37">
        <v>18155</v>
      </c>
      <c r="F69" s="38">
        <v>45414</v>
      </c>
      <c r="G69" s="39">
        <v>0.58958333333333335</v>
      </c>
      <c r="H69" s="45" t="s">
        <v>57</v>
      </c>
      <c r="I69" s="37" t="s">
        <v>80</v>
      </c>
      <c r="J69" s="40" t="s">
        <v>110</v>
      </c>
      <c r="K69" s="37">
        <v>20</v>
      </c>
    </row>
    <row r="70" spans="1:11" ht="26" hidden="1" thickBot="1">
      <c r="A70" s="87">
        <v>936620</v>
      </c>
      <c r="B70" s="42">
        <v>45412</v>
      </c>
      <c r="C70" s="46">
        <v>0.68680555555555556</v>
      </c>
      <c r="D70" s="37">
        <v>113820</v>
      </c>
      <c r="E70" s="37">
        <v>18129</v>
      </c>
      <c r="F70" s="38">
        <v>45414</v>
      </c>
      <c r="G70" s="39">
        <v>0.58958333333333335</v>
      </c>
      <c r="H70" s="45" t="s">
        <v>30</v>
      </c>
      <c r="I70" s="47" t="s">
        <v>79</v>
      </c>
      <c r="J70" s="49" t="s">
        <v>206</v>
      </c>
      <c r="K70" s="47">
        <v>24</v>
      </c>
    </row>
    <row r="71" spans="1:11" ht="46.5" hidden="1" thickBot="1">
      <c r="A71" s="83">
        <v>1001459262</v>
      </c>
      <c r="B71" s="38">
        <v>45412</v>
      </c>
      <c r="C71" s="39">
        <v>0.70277777777777772</v>
      </c>
      <c r="D71" s="37">
        <v>113812</v>
      </c>
      <c r="E71" s="37">
        <v>18286</v>
      </c>
      <c r="F71" s="38">
        <v>45414</v>
      </c>
      <c r="G71" s="39">
        <v>0.58750000000000002</v>
      </c>
      <c r="H71" s="45" t="s">
        <v>195</v>
      </c>
      <c r="I71" s="37" t="s">
        <v>141</v>
      </c>
      <c r="J71" s="40" t="s">
        <v>145</v>
      </c>
      <c r="K71" s="37">
        <v>20</v>
      </c>
    </row>
    <row r="72" spans="1:11" ht="76" hidden="1" thickBot="1">
      <c r="A72" s="83" t="s">
        <v>222</v>
      </c>
      <c r="B72" s="38">
        <v>45414</v>
      </c>
      <c r="C72" s="39">
        <v>0.29375000000000001</v>
      </c>
      <c r="D72" s="37">
        <v>113815</v>
      </c>
      <c r="E72" s="37">
        <v>18142</v>
      </c>
      <c r="F72" s="38">
        <v>45414</v>
      </c>
      <c r="G72" s="39">
        <v>0.60347222222222219</v>
      </c>
      <c r="H72" s="45" t="s">
        <v>193</v>
      </c>
      <c r="I72" s="37" t="s">
        <v>79</v>
      </c>
      <c r="J72" s="40" t="s">
        <v>151</v>
      </c>
      <c r="K72" s="37">
        <v>8</v>
      </c>
    </row>
    <row r="73" spans="1:11" ht="76" hidden="1" thickBot="1">
      <c r="A73" s="83" t="s">
        <v>223</v>
      </c>
      <c r="B73" s="38">
        <v>45414</v>
      </c>
      <c r="C73" s="39">
        <v>0.29375000000000001</v>
      </c>
      <c r="D73" s="37">
        <v>113816</v>
      </c>
      <c r="E73" s="37">
        <v>18143</v>
      </c>
      <c r="F73" s="38">
        <v>45414</v>
      </c>
      <c r="G73" s="39">
        <v>0.60347222222222219</v>
      </c>
      <c r="H73" s="45" t="s">
        <v>193</v>
      </c>
      <c r="I73" s="37" t="s">
        <v>79</v>
      </c>
      <c r="J73" s="40" t="s">
        <v>194</v>
      </c>
      <c r="K73" s="37">
        <v>8</v>
      </c>
    </row>
    <row r="74" spans="1:11" ht="76" hidden="1" thickBot="1">
      <c r="A74" s="83" t="s">
        <v>224</v>
      </c>
      <c r="B74" s="38">
        <v>45414</v>
      </c>
      <c r="C74" s="39">
        <v>0.50138888888888888</v>
      </c>
      <c r="D74" s="37">
        <v>113817</v>
      </c>
      <c r="E74" s="37">
        <v>18145</v>
      </c>
      <c r="F74" s="38">
        <v>45414</v>
      </c>
      <c r="G74" s="39">
        <v>0.60347222222222219</v>
      </c>
      <c r="H74" s="45" t="s">
        <v>193</v>
      </c>
      <c r="I74" s="37" t="s">
        <v>79</v>
      </c>
      <c r="J74" s="40" t="s">
        <v>145</v>
      </c>
      <c r="K74" s="37">
        <v>80</v>
      </c>
    </row>
    <row r="75" spans="1:11" ht="44" hidden="1" thickBot="1">
      <c r="A75" s="89">
        <v>937355</v>
      </c>
      <c r="B75" s="38">
        <v>45414</v>
      </c>
      <c r="C75" s="39">
        <v>0.51180555555555551</v>
      </c>
      <c r="D75" s="37">
        <v>113818</v>
      </c>
      <c r="E75" s="37">
        <v>18153</v>
      </c>
      <c r="F75" s="38">
        <v>45414</v>
      </c>
      <c r="G75" s="39">
        <v>0.60347222222222219</v>
      </c>
      <c r="H75" s="45" t="s">
        <v>30</v>
      </c>
      <c r="I75" s="37" t="s">
        <v>225</v>
      </c>
      <c r="J75" s="50" t="s">
        <v>212</v>
      </c>
      <c r="K75" s="37">
        <v>40</v>
      </c>
    </row>
    <row r="76" spans="1:11" ht="35" thickBot="1">
      <c r="A76" s="86">
        <v>3</v>
      </c>
      <c r="B76" s="38">
        <v>45414</v>
      </c>
      <c r="C76" s="39">
        <v>0.4826388888888889</v>
      </c>
      <c r="D76" s="37">
        <v>113819</v>
      </c>
      <c r="E76" s="37">
        <v>18139</v>
      </c>
      <c r="F76" s="38">
        <v>45414</v>
      </c>
      <c r="G76" s="39">
        <v>0.60347222222222219</v>
      </c>
      <c r="H76" s="45" t="s">
        <v>177</v>
      </c>
      <c r="I76" s="37" t="s">
        <v>139</v>
      </c>
      <c r="J76" s="40" t="s">
        <v>143</v>
      </c>
      <c r="K76" s="37">
        <v>2</v>
      </c>
    </row>
    <row r="77" spans="1:11" ht="35" thickBot="1">
      <c r="A77" s="86">
        <v>3</v>
      </c>
      <c r="B77" s="38">
        <v>45414</v>
      </c>
      <c r="C77" s="39">
        <v>0.4826388888888889</v>
      </c>
      <c r="D77" s="37">
        <v>113819</v>
      </c>
      <c r="E77" s="37">
        <v>18139</v>
      </c>
      <c r="F77" s="38">
        <v>45414</v>
      </c>
      <c r="G77" s="39">
        <v>0.60347222222222219</v>
      </c>
      <c r="H77" s="45" t="s">
        <v>177</v>
      </c>
      <c r="I77" s="37" t="s">
        <v>139</v>
      </c>
      <c r="J77" s="40" t="s">
        <v>226</v>
      </c>
      <c r="K77" s="37">
        <v>4</v>
      </c>
    </row>
    <row r="78" spans="1:11" ht="35" hidden="1" thickBot="1">
      <c r="A78" s="83" t="s">
        <v>227</v>
      </c>
      <c r="B78" s="38">
        <v>45399</v>
      </c>
      <c r="C78" s="39">
        <v>0.6875</v>
      </c>
      <c r="D78" s="37">
        <v>113710</v>
      </c>
      <c r="E78" s="37">
        <v>18123</v>
      </c>
      <c r="F78" s="38">
        <v>45399</v>
      </c>
      <c r="G78" s="39">
        <v>0.6875</v>
      </c>
      <c r="H78" s="40" t="s">
        <v>185</v>
      </c>
      <c r="I78" s="37" t="s">
        <v>78</v>
      </c>
      <c r="J78" s="40" t="s">
        <v>207</v>
      </c>
      <c r="K78" s="37">
        <v>10</v>
      </c>
    </row>
    <row r="79" spans="1:11" ht="38.5" hidden="1" thickBot="1">
      <c r="A79" s="83">
        <v>937460</v>
      </c>
      <c r="B79" s="38">
        <v>45414</v>
      </c>
      <c r="C79" s="39">
        <v>0.62847222222222221</v>
      </c>
      <c r="D79" s="37">
        <v>113821</v>
      </c>
      <c r="E79" s="37">
        <v>18148</v>
      </c>
      <c r="F79" s="38">
        <v>45414</v>
      </c>
      <c r="G79" s="39">
        <v>0.67777777777777781</v>
      </c>
      <c r="H79" s="45" t="s">
        <v>51</v>
      </c>
      <c r="I79" s="37" t="s">
        <v>78</v>
      </c>
      <c r="J79" s="40" t="s">
        <v>112</v>
      </c>
      <c r="K79" s="37">
        <v>16</v>
      </c>
    </row>
    <row r="80" spans="1:11" ht="35" hidden="1" thickBot="1">
      <c r="A80" s="89">
        <v>937410</v>
      </c>
      <c r="B80" s="38">
        <v>45414</v>
      </c>
      <c r="C80" s="39">
        <v>0.59513888888888888</v>
      </c>
      <c r="D80" s="37">
        <v>113826</v>
      </c>
      <c r="E80" s="37">
        <v>18152</v>
      </c>
      <c r="F80" s="38">
        <v>45415</v>
      </c>
      <c r="G80" s="39">
        <v>0.34305555555555556</v>
      </c>
      <c r="H80" s="45" t="s">
        <v>30</v>
      </c>
      <c r="I80" s="37" t="s">
        <v>175</v>
      </c>
      <c r="J80" s="40" t="s">
        <v>212</v>
      </c>
      <c r="K80" s="37">
        <v>3</v>
      </c>
    </row>
    <row r="81" spans="1:11" ht="76" hidden="1" thickBot="1">
      <c r="A81" s="83" t="s">
        <v>228</v>
      </c>
      <c r="B81" s="38">
        <v>45414</v>
      </c>
      <c r="C81" s="39">
        <v>0.61319444444444449</v>
      </c>
      <c r="D81" s="37">
        <v>113827</v>
      </c>
      <c r="E81" s="37">
        <v>18187</v>
      </c>
      <c r="F81" s="38">
        <v>45415</v>
      </c>
      <c r="G81" s="39">
        <v>0.34305555555555556</v>
      </c>
      <c r="H81" s="45" t="s">
        <v>193</v>
      </c>
      <c r="I81" s="37" t="s">
        <v>76</v>
      </c>
      <c r="J81" s="40" t="s">
        <v>151</v>
      </c>
      <c r="K81" s="37">
        <v>4</v>
      </c>
    </row>
    <row r="82" spans="1:11" ht="76" hidden="1" thickBot="1">
      <c r="A82" s="83" t="s">
        <v>228</v>
      </c>
      <c r="B82" s="38">
        <v>45414</v>
      </c>
      <c r="C82" s="39">
        <v>0.61319444444444449</v>
      </c>
      <c r="D82" s="37">
        <v>113827</v>
      </c>
      <c r="E82" s="37">
        <v>18187</v>
      </c>
      <c r="F82" s="38">
        <v>45415</v>
      </c>
      <c r="G82" s="39">
        <v>0.34305555555555556</v>
      </c>
      <c r="H82" s="45" t="s">
        <v>193</v>
      </c>
      <c r="I82" s="37" t="s">
        <v>76</v>
      </c>
      <c r="J82" s="40" t="s">
        <v>145</v>
      </c>
      <c r="K82" s="37">
        <v>40</v>
      </c>
    </row>
    <row r="83" spans="1:11" ht="23.5" hidden="1" thickBot="1">
      <c r="A83" s="83">
        <v>937478</v>
      </c>
      <c r="B83" s="38">
        <v>45414</v>
      </c>
      <c r="C83" s="39">
        <v>0.62916666666666665</v>
      </c>
      <c r="D83" s="37">
        <v>113822</v>
      </c>
      <c r="E83" s="37">
        <v>18158</v>
      </c>
      <c r="F83" s="38">
        <v>45414</v>
      </c>
      <c r="G83" s="39">
        <v>0.68541666666666667</v>
      </c>
      <c r="H83" s="45" t="s">
        <v>38</v>
      </c>
      <c r="I83" s="37" t="s">
        <v>78</v>
      </c>
      <c r="J83" s="40" t="s">
        <v>113</v>
      </c>
      <c r="K83" s="37">
        <v>1</v>
      </c>
    </row>
    <row r="84" spans="1:11" ht="23.5" hidden="1" thickBot="1">
      <c r="A84" s="83">
        <v>937556</v>
      </c>
      <c r="B84" s="38">
        <v>45414</v>
      </c>
      <c r="C84" s="39">
        <v>0.66805555555555551</v>
      </c>
      <c r="D84" s="37">
        <v>113823</v>
      </c>
      <c r="E84" s="37">
        <v>18183</v>
      </c>
      <c r="F84" s="38">
        <v>45414</v>
      </c>
      <c r="G84" s="39">
        <v>0.68680555555555556</v>
      </c>
      <c r="H84" s="45" t="s">
        <v>38</v>
      </c>
      <c r="I84" s="37" t="s">
        <v>142</v>
      </c>
      <c r="J84" s="40" t="s">
        <v>113</v>
      </c>
      <c r="K84" s="37">
        <v>15</v>
      </c>
    </row>
    <row r="85" spans="1:11" ht="23.5" hidden="1" thickBot="1">
      <c r="A85" s="83">
        <v>538</v>
      </c>
      <c r="B85" s="38">
        <v>45414</v>
      </c>
      <c r="C85" s="39">
        <v>0.65138888888888891</v>
      </c>
      <c r="D85" s="37">
        <v>113828</v>
      </c>
      <c r="E85" s="37">
        <v>18146</v>
      </c>
      <c r="F85" s="38">
        <v>45415</v>
      </c>
      <c r="G85" s="39">
        <v>0.34375</v>
      </c>
      <c r="H85" s="45" t="s">
        <v>163</v>
      </c>
      <c r="I85" s="37" t="s">
        <v>80</v>
      </c>
      <c r="J85" s="40" t="s">
        <v>158</v>
      </c>
      <c r="K85" s="37">
        <v>5</v>
      </c>
    </row>
    <row r="86" spans="1:11" ht="35" hidden="1" thickBot="1">
      <c r="A86" s="83">
        <v>538</v>
      </c>
      <c r="B86" s="38">
        <v>45414</v>
      </c>
      <c r="C86" s="39">
        <v>0.65138888888888891</v>
      </c>
      <c r="D86" s="37">
        <v>113828</v>
      </c>
      <c r="E86" s="37">
        <v>18146</v>
      </c>
      <c r="F86" s="38">
        <v>45415</v>
      </c>
      <c r="G86" s="39">
        <v>0.34375</v>
      </c>
      <c r="H86" s="45" t="s">
        <v>163</v>
      </c>
      <c r="I86" s="37" t="s">
        <v>80</v>
      </c>
      <c r="J86" s="40" t="s">
        <v>207</v>
      </c>
      <c r="K86" s="37">
        <v>100</v>
      </c>
    </row>
    <row r="87" spans="1:11" ht="23.5" hidden="1" thickBot="1">
      <c r="A87" s="83">
        <v>538</v>
      </c>
      <c r="B87" s="38">
        <v>45414</v>
      </c>
      <c r="C87" s="39">
        <v>0.65138888888888891</v>
      </c>
      <c r="D87" s="37">
        <v>113828</v>
      </c>
      <c r="E87" s="37">
        <v>18146</v>
      </c>
      <c r="F87" s="38">
        <v>45415</v>
      </c>
      <c r="G87" s="39">
        <v>0.34375</v>
      </c>
      <c r="H87" s="45" t="s">
        <v>163</v>
      </c>
      <c r="I87" s="37" t="s">
        <v>80</v>
      </c>
      <c r="J87" s="40" t="s">
        <v>221</v>
      </c>
      <c r="K87" s="37">
        <v>20</v>
      </c>
    </row>
    <row r="88" spans="1:11" ht="51" hidden="1" thickBot="1">
      <c r="A88" s="90" t="s">
        <v>229</v>
      </c>
      <c r="B88" s="38">
        <v>45414</v>
      </c>
      <c r="C88" s="39">
        <v>0.65</v>
      </c>
      <c r="D88" s="37">
        <v>113824</v>
      </c>
      <c r="E88" s="37">
        <v>18151</v>
      </c>
      <c r="F88" s="38">
        <v>45414</v>
      </c>
      <c r="G88" s="39">
        <v>0.69305555555555554</v>
      </c>
      <c r="H88" s="45" t="s">
        <v>12</v>
      </c>
      <c r="I88" s="37" t="s">
        <v>176</v>
      </c>
      <c r="J88" s="40" t="s">
        <v>230</v>
      </c>
      <c r="K88" s="37">
        <v>15</v>
      </c>
    </row>
    <row r="89" spans="1:11" ht="51" hidden="1" thickBot="1">
      <c r="A89" s="90" t="s">
        <v>229</v>
      </c>
      <c r="B89" s="38">
        <v>45414</v>
      </c>
      <c r="C89" s="39">
        <v>0.65</v>
      </c>
      <c r="D89" s="37">
        <v>113824</v>
      </c>
      <c r="E89" s="37">
        <v>18151</v>
      </c>
      <c r="F89" s="38">
        <v>45414</v>
      </c>
      <c r="G89" s="39">
        <v>0.69305555555555554</v>
      </c>
      <c r="H89" s="45" t="s">
        <v>12</v>
      </c>
      <c r="I89" s="37" t="s">
        <v>176</v>
      </c>
      <c r="J89" s="40" t="s">
        <v>202</v>
      </c>
      <c r="K89" s="37">
        <v>1</v>
      </c>
    </row>
    <row r="90" spans="1:11" ht="38.5" hidden="1" thickBot="1">
      <c r="A90" s="91">
        <v>68000</v>
      </c>
      <c r="B90" s="38">
        <v>45414</v>
      </c>
      <c r="C90" s="39">
        <v>0.58402777777777781</v>
      </c>
      <c r="D90" s="37">
        <v>113829</v>
      </c>
      <c r="E90" s="37">
        <v>18179</v>
      </c>
      <c r="F90" s="38">
        <v>45415</v>
      </c>
      <c r="G90" s="39">
        <v>0.36249999999999999</v>
      </c>
      <c r="H90" s="45" t="s">
        <v>231</v>
      </c>
      <c r="I90" s="37" t="s">
        <v>142</v>
      </c>
      <c r="J90" s="40" t="s">
        <v>207</v>
      </c>
      <c r="K90" s="37">
        <v>223</v>
      </c>
    </row>
    <row r="91" spans="1:11" ht="38.5" hidden="1" thickBot="1">
      <c r="A91" s="91">
        <v>68000</v>
      </c>
      <c r="B91" s="38">
        <v>45414</v>
      </c>
      <c r="C91" s="39">
        <v>0.58402777777777781</v>
      </c>
      <c r="D91" s="37">
        <v>113829</v>
      </c>
      <c r="E91" s="37">
        <v>18179</v>
      </c>
      <c r="F91" s="38">
        <v>45415</v>
      </c>
      <c r="G91" s="39">
        <v>0.36249999999999999</v>
      </c>
      <c r="H91" s="45" t="s">
        <v>231</v>
      </c>
      <c r="I91" s="37" t="s">
        <v>142</v>
      </c>
      <c r="J91" s="40" t="s">
        <v>230</v>
      </c>
      <c r="K91" s="37">
        <v>2560</v>
      </c>
    </row>
    <row r="92" spans="1:11" ht="38.5" hidden="1" thickBot="1">
      <c r="A92" s="91">
        <v>68000</v>
      </c>
      <c r="B92" s="38">
        <v>45414</v>
      </c>
      <c r="C92" s="39">
        <v>0.58402777777777781</v>
      </c>
      <c r="D92" s="37">
        <v>113829</v>
      </c>
      <c r="E92" s="37">
        <v>18179</v>
      </c>
      <c r="F92" s="38">
        <v>45415</v>
      </c>
      <c r="G92" s="39">
        <v>0.36249999999999999</v>
      </c>
      <c r="H92" s="45" t="s">
        <v>231</v>
      </c>
      <c r="I92" s="37" t="s">
        <v>142</v>
      </c>
      <c r="J92" s="40" t="s">
        <v>232</v>
      </c>
      <c r="K92" s="37">
        <v>410</v>
      </c>
    </row>
    <row r="93" spans="1:11" ht="38.5" hidden="1" thickBot="1">
      <c r="A93" s="91">
        <v>68000</v>
      </c>
      <c r="B93" s="38">
        <v>45414</v>
      </c>
      <c r="C93" s="39">
        <v>0.58402777777777781</v>
      </c>
      <c r="D93" s="37">
        <v>113829</v>
      </c>
      <c r="E93" s="37">
        <v>18179</v>
      </c>
      <c r="F93" s="38">
        <v>45415</v>
      </c>
      <c r="G93" s="39">
        <v>0.36249999999999999</v>
      </c>
      <c r="H93" s="45" t="s">
        <v>231</v>
      </c>
      <c r="I93" s="37" t="s">
        <v>142</v>
      </c>
      <c r="J93" s="40" t="s">
        <v>206</v>
      </c>
      <c r="K93" s="37">
        <v>88</v>
      </c>
    </row>
    <row r="94" spans="1:11" ht="38.5" hidden="1" thickBot="1">
      <c r="A94" s="77">
        <v>68000</v>
      </c>
      <c r="B94" s="52">
        <v>45414</v>
      </c>
      <c r="C94" s="53">
        <v>0.58402777777777781</v>
      </c>
      <c r="D94" s="54">
        <v>113829</v>
      </c>
      <c r="E94" s="54">
        <v>18206</v>
      </c>
      <c r="F94" s="52">
        <v>45415</v>
      </c>
      <c r="G94" s="53">
        <v>0.36249999999999999</v>
      </c>
      <c r="H94" s="55" t="s">
        <v>231</v>
      </c>
      <c r="I94" s="54" t="s">
        <v>142</v>
      </c>
      <c r="J94" s="56" t="s">
        <v>206</v>
      </c>
      <c r="K94" s="54">
        <v>122</v>
      </c>
    </row>
    <row r="95" spans="1:11" ht="38.5" hidden="1" thickBot="1">
      <c r="A95" s="91">
        <v>68000</v>
      </c>
      <c r="B95" s="38">
        <v>45414</v>
      </c>
      <c r="C95" s="39">
        <v>0.58402777777777781</v>
      </c>
      <c r="D95" s="37">
        <v>113829</v>
      </c>
      <c r="E95" s="37">
        <v>18179</v>
      </c>
      <c r="F95" s="38">
        <v>45415</v>
      </c>
      <c r="G95" s="39">
        <v>0.36249999999999999</v>
      </c>
      <c r="H95" s="45" t="s">
        <v>231</v>
      </c>
      <c r="I95" s="37" t="s">
        <v>142</v>
      </c>
      <c r="J95" s="40" t="s">
        <v>202</v>
      </c>
      <c r="K95" s="37">
        <v>60</v>
      </c>
    </row>
    <row r="96" spans="1:11" ht="46.5" hidden="1" thickBot="1">
      <c r="A96" s="91">
        <v>68013</v>
      </c>
      <c r="B96" s="38">
        <v>45414</v>
      </c>
      <c r="C96" s="39">
        <v>0.58402777777777781</v>
      </c>
      <c r="D96" s="37">
        <v>113830</v>
      </c>
      <c r="E96" s="37">
        <v>18180</v>
      </c>
      <c r="F96" s="38">
        <v>45415</v>
      </c>
      <c r="G96" s="39">
        <v>0.36249999999999999</v>
      </c>
      <c r="H96" s="45" t="s">
        <v>231</v>
      </c>
      <c r="I96" s="37" t="s">
        <v>142</v>
      </c>
      <c r="J96" s="40" t="s">
        <v>145</v>
      </c>
      <c r="K96" s="37">
        <v>40</v>
      </c>
    </row>
    <row r="97" spans="1:11" ht="76" hidden="1" thickBot="1">
      <c r="A97" s="83" t="s">
        <v>233</v>
      </c>
      <c r="B97" s="38">
        <v>45414</v>
      </c>
      <c r="C97" s="39">
        <v>0.69305555555555554</v>
      </c>
      <c r="D97" s="37">
        <v>113825</v>
      </c>
      <c r="E97" s="37">
        <v>18147</v>
      </c>
      <c r="F97" s="38">
        <v>45415</v>
      </c>
      <c r="G97" s="39">
        <v>0.3263888888888889</v>
      </c>
      <c r="H97" s="45" t="s">
        <v>234</v>
      </c>
      <c r="I97" s="37" t="s">
        <v>235</v>
      </c>
      <c r="J97" s="40" t="s">
        <v>207</v>
      </c>
      <c r="K97" s="37">
        <v>30</v>
      </c>
    </row>
    <row r="98" spans="1:11" ht="23.5" hidden="1" thickBot="1">
      <c r="A98" s="89">
        <v>937669</v>
      </c>
      <c r="B98" s="38">
        <v>45414</v>
      </c>
      <c r="C98" s="39">
        <v>0.71388888888888891</v>
      </c>
      <c r="D98" s="37">
        <v>113831</v>
      </c>
      <c r="E98" s="37">
        <v>18157</v>
      </c>
      <c r="F98" s="38">
        <v>45415</v>
      </c>
      <c r="G98" s="39">
        <v>0.36319444444444443</v>
      </c>
      <c r="H98" s="45" t="s">
        <v>38</v>
      </c>
      <c r="I98" s="37" t="s">
        <v>85</v>
      </c>
      <c r="J98" s="40" t="s">
        <v>113</v>
      </c>
      <c r="K98" s="37">
        <v>4</v>
      </c>
    </row>
    <row r="99" spans="1:11" ht="35" hidden="1" thickBot="1">
      <c r="A99" s="83">
        <v>937723</v>
      </c>
      <c r="B99" s="38">
        <v>45414</v>
      </c>
      <c r="C99" s="39">
        <v>0.74305555555555558</v>
      </c>
      <c r="D99" s="37">
        <v>113832</v>
      </c>
      <c r="E99" s="37">
        <v>18209</v>
      </c>
      <c r="F99" s="38">
        <v>45415</v>
      </c>
      <c r="G99" s="39">
        <v>0.36319444444444443</v>
      </c>
      <c r="H99" s="45" t="s">
        <v>38</v>
      </c>
      <c r="I99" s="37" t="s">
        <v>141</v>
      </c>
      <c r="J99" s="40" t="s">
        <v>212</v>
      </c>
      <c r="K99" s="37">
        <v>2</v>
      </c>
    </row>
    <row r="100" spans="1:11" ht="23.5" hidden="1" thickBot="1">
      <c r="A100" s="89">
        <v>937723</v>
      </c>
      <c r="B100" s="38">
        <v>45414</v>
      </c>
      <c r="C100" s="39">
        <v>0.74305555555555558</v>
      </c>
      <c r="D100" s="37">
        <v>113832</v>
      </c>
      <c r="E100" s="37">
        <v>18209</v>
      </c>
      <c r="F100" s="38">
        <v>45415</v>
      </c>
      <c r="G100" s="39">
        <v>0.36319444444444443</v>
      </c>
      <c r="H100" s="45" t="s">
        <v>38</v>
      </c>
      <c r="I100" s="37" t="s">
        <v>141</v>
      </c>
      <c r="J100" s="40" t="s">
        <v>113</v>
      </c>
      <c r="K100" s="37">
        <v>4</v>
      </c>
    </row>
    <row r="101" spans="1:11" ht="51" hidden="1" thickBot="1">
      <c r="A101" s="83">
        <v>317249</v>
      </c>
      <c r="B101" s="38">
        <v>45415</v>
      </c>
      <c r="C101" s="39">
        <v>0.35486111111111113</v>
      </c>
      <c r="D101" s="37">
        <v>113833</v>
      </c>
      <c r="E101" s="37">
        <v>18161</v>
      </c>
      <c r="F101" s="38">
        <v>45415</v>
      </c>
      <c r="G101" s="39">
        <v>0.51875000000000004</v>
      </c>
      <c r="H101" s="45" t="s">
        <v>179</v>
      </c>
      <c r="I101" s="37" t="s">
        <v>78</v>
      </c>
      <c r="J101" s="40" t="s">
        <v>226</v>
      </c>
      <c r="K101" s="37">
        <v>7</v>
      </c>
    </row>
    <row r="102" spans="1:11" ht="51" hidden="1" thickBot="1">
      <c r="A102" s="83" t="s">
        <v>236</v>
      </c>
      <c r="B102" s="38">
        <v>45415</v>
      </c>
      <c r="C102" s="39">
        <v>0.44374999999999998</v>
      </c>
      <c r="D102" s="37">
        <v>113834</v>
      </c>
      <c r="E102" s="37">
        <v>18159</v>
      </c>
      <c r="F102" s="38">
        <v>45415</v>
      </c>
      <c r="G102" s="39">
        <v>0.51875000000000004</v>
      </c>
      <c r="H102" s="45" t="s">
        <v>237</v>
      </c>
      <c r="I102" s="37" t="s">
        <v>150</v>
      </c>
      <c r="J102" s="40" t="s">
        <v>214</v>
      </c>
      <c r="K102" s="37">
        <v>20</v>
      </c>
    </row>
    <row r="103" spans="1:11" ht="51" hidden="1" thickBot="1">
      <c r="A103" s="83" t="s">
        <v>238</v>
      </c>
      <c r="B103" s="38">
        <v>45415</v>
      </c>
      <c r="C103" s="39">
        <v>0.50555555555555554</v>
      </c>
      <c r="D103" s="37">
        <v>113835</v>
      </c>
      <c r="E103" s="37">
        <v>18200</v>
      </c>
      <c r="F103" s="38">
        <v>45415</v>
      </c>
      <c r="G103" s="39">
        <v>0.51944444444444449</v>
      </c>
      <c r="H103" s="45" t="s">
        <v>237</v>
      </c>
      <c r="I103" s="37" t="s">
        <v>150</v>
      </c>
      <c r="J103" s="40" t="s">
        <v>115</v>
      </c>
      <c r="K103" s="37">
        <v>4</v>
      </c>
    </row>
    <row r="104" spans="1:11" ht="51" hidden="1" thickBot="1">
      <c r="A104" s="83" t="s">
        <v>238</v>
      </c>
      <c r="B104" s="38">
        <v>45415</v>
      </c>
      <c r="C104" s="39">
        <v>0.50555555555555554</v>
      </c>
      <c r="D104" s="37">
        <v>113835</v>
      </c>
      <c r="E104" s="37">
        <v>18200</v>
      </c>
      <c r="F104" s="38">
        <v>45415</v>
      </c>
      <c r="G104" s="39">
        <v>0.51944444444444449</v>
      </c>
      <c r="H104" s="45" t="s">
        <v>237</v>
      </c>
      <c r="I104" s="37" t="s">
        <v>150</v>
      </c>
      <c r="J104" s="40" t="s">
        <v>136</v>
      </c>
      <c r="K104" s="37">
        <v>4</v>
      </c>
    </row>
    <row r="105" spans="1:11" ht="23.5" hidden="1" thickBot="1">
      <c r="A105" s="83">
        <v>4500069455</v>
      </c>
      <c r="B105" s="38">
        <v>45415</v>
      </c>
      <c r="C105" s="39">
        <v>0.5</v>
      </c>
      <c r="D105" s="37">
        <v>113836</v>
      </c>
      <c r="E105" s="37">
        <v>18166</v>
      </c>
      <c r="F105" s="38">
        <v>45415</v>
      </c>
      <c r="G105" s="39">
        <v>0.6118055555555556</v>
      </c>
      <c r="H105" s="45" t="s">
        <v>57</v>
      </c>
      <c r="I105" s="37" t="s">
        <v>83</v>
      </c>
      <c r="J105" s="40" t="s">
        <v>111</v>
      </c>
      <c r="K105" s="37">
        <v>20</v>
      </c>
    </row>
    <row r="106" spans="1:11" ht="23.5" hidden="1" thickBot="1">
      <c r="A106" s="83">
        <v>4500069455</v>
      </c>
      <c r="B106" s="38">
        <v>45415</v>
      </c>
      <c r="C106" s="39">
        <v>0.5</v>
      </c>
      <c r="D106" s="37">
        <v>113836</v>
      </c>
      <c r="E106" s="37">
        <v>18166</v>
      </c>
      <c r="F106" s="38">
        <v>45415</v>
      </c>
      <c r="G106" s="39">
        <v>0.6118055555555556</v>
      </c>
      <c r="H106" s="45" t="s">
        <v>57</v>
      </c>
      <c r="I106" s="37" t="s">
        <v>83</v>
      </c>
      <c r="J106" s="40" t="s">
        <v>218</v>
      </c>
      <c r="K106" s="37">
        <v>5</v>
      </c>
    </row>
    <row r="107" spans="1:11" ht="51" hidden="1" thickBot="1">
      <c r="A107" s="83" t="s">
        <v>239</v>
      </c>
      <c r="B107" s="38">
        <v>45415</v>
      </c>
      <c r="C107" s="39">
        <v>0.59027777777777779</v>
      </c>
      <c r="D107" s="37">
        <v>113837</v>
      </c>
      <c r="E107" s="37">
        <v>18160</v>
      </c>
      <c r="F107" s="38">
        <v>45415</v>
      </c>
      <c r="G107" s="39">
        <v>0.6118055555555556</v>
      </c>
      <c r="H107" s="45" t="s">
        <v>237</v>
      </c>
      <c r="I107" s="37" t="s">
        <v>240</v>
      </c>
      <c r="J107" s="40" t="s">
        <v>230</v>
      </c>
      <c r="K107" s="37">
        <v>120</v>
      </c>
    </row>
    <row r="108" spans="1:11" ht="23.5" hidden="1" thickBot="1">
      <c r="A108" s="83">
        <v>549</v>
      </c>
      <c r="B108" s="38">
        <v>45415</v>
      </c>
      <c r="C108" s="39">
        <v>0.6791666666666667</v>
      </c>
      <c r="D108" s="37">
        <v>113843</v>
      </c>
      <c r="E108" s="37">
        <v>18177</v>
      </c>
      <c r="F108" s="42">
        <v>45418</v>
      </c>
      <c r="G108" s="39">
        <v>0.41805555555555557</v>
      </c>
      <c r="H108" s="45" t="s">
        <v>163</v>
      </c>
      <c r="I108" s="37" t="s">
        <v>80</v>
      </c>
      <c r="J108" s="40" t="s">
        <v>166</v>
      </c>
      <c r="K108" s="37">
        <v>30</v>
      </c>
    </row>
    <row r="109" spans="1:11" ht="23.5" hidden="1" thickBot="1">
      <c r="A109" s="83">
        <v>549</v>
      </c>
      <c r="B109" s="38">
        <v>45415</v>
      </c>
      <c r="C109" s="39">
        <v>0.6791666666666667</v>
      </c>
      <c r="D109" s="37">
        <v>113843</v>
      </c>
      <c r="E109" s="37">
        <v>18177</v>
      </c>
      <c r="F109" s="42">
        <v>45418</v>
      </c>
      <c r="G109" s="39">
        <v>0.41805555555555557</v>
      </c>
      <c r="H109" s="45" t="s">
        <v>163</v>
      </c>
      <c r="I109" s="37" t="s">
        <v>80</v>
      </c>
      <c r="J109" s="40" t="s">
        <v>112</v>
      </c>
      <c r="K109" s="37">
        <v>30</v>
      </c>
    </row>
    <row r="110" spans="1:11" ht="51" hidden="1" thickBot="1">
      <c r="A110" s="75" t="s">
        <v>241</v>
      </c>
      <c r="B110" s="58">
        <v>45415</v>
      </c>
      <c r="C110" s="59">
        <v>0.68333333333333335</v>
      </c>
      <c r="D110" s="60"/>
      <c r="E110" s="57" t="s">
        <v>109</v>
      </c>
      <c r="F110" s="60"/>
      <c r="G110" s="60"/>
      <c r="H110" s="61" t="s">
        <v>148</v>
      </c>
      <c r="I110" s="57" t="s">
        <v>242</v>
      </c>
      <c r="J110" s="62" t="s">
        <v>207</v>
      </c>
      <c r="K110" s="57">
        <v>10</v>
      </c>
    </row>
    <row r="111" spans="1:11" ht="24" thickBot="1">
      <c r="A111" s="92">
        <v>4</v>
      </c>
      <c r="B111" s="38">
        <v>45415</v>
      </c>
      <c r="C111" s="46">
        <v>0.6958333333333333</v>
      </c>
      <c r="D111" s="37">
        <v>113844</v>
      </c>
      <c r="E111" s="37">
        <v>18342</v>
      </c>
      <c r="F111" s="42">
        <v>45418</v>
      </c>
      <c r="G111" s="39">
        <v>0.41805555555555557</v>
      </c>
      <c r="H111" s="45" t="s">
        <v>219</v>
      </c>
      <c r="I111" s="47" t="s">
        <v>78</v>
      </c>
      <c r="J111" s="49" t="s">
        <v>194</v>
      </c>
      <c r="K111" s="47">
        <v>20</v>
      </c>
    </row>
    <row r="112" spans="1:11" ht="26" hidden="1" thickBot="1">
      <c r="A112" s="83">
        <v>662</v>
      </c>
      <c r="B112" s="38">
        <v>45415</v>
      </c>
      <c r="C112" s="39">
        <v>0.7</v>
      </c>
      <c r="D112" s="37">
        <v>113839</v>
      </c>
      <c r="E112" s="37">
        <v>18176</v>
      </c>
      <c r="F112" s="42">
        <v>45418</v>
      </c>
      <c r="G112" s="39">
        <v>0.38263888888888886</v>
      </c>
      <c r="H112" s="45" t="s">
        <v>172</v>
      </c>
      <c r="I112" s="47" t="s">
        <v>75</v>
      </c>
      <c r="J112" s="40" t="s">
        <v>158</v>
      </c>
      <c r="K112" s="37">
        <v>4</v>
      </c>
    </row>
    <row r="113" spans="1:11" ht="51" hidden="1" thickBot="1">
      <c r="A113" s="83" t="s">
        <v>243</v>
      </c>
      <c r="B113" s="38">
        <v>45415</v>
      </c>
      <c r="C113" s="39">
        <v>0.77847222222222223</v>
      </c>
      <c r="D113" s="37">
        <v>113840</v>
      </c>
      <c r="E113" s="37">
        <v>18172</v>
      </c>
      <c r="F113" s="42">
        <v>45418</v>
      </c>
      <c r="G113" s="39">
        <v>0.40208333333333335</v>
      </c>
      <c r="H113" s="45" t="s">
        <v>12</v>
      </c>
      <c r="I113" s="47" t="s">
        <v>176</v>
      </c>
      <c r="J113" s="40" t="s">
        <v>207</v>
      </c>
      <c r="K113" s="37">
        <v>5</v>
      </c>
    </row>
    <row r="114" spans="1:11" ht="76" hidden="1" thickBot="1">
      <c r="A114" s="83" t="s">
        <v>244</v>
      </c>
      <c r="B114" s="38">
        <v>45416</v>
      </c>
      <c r="C114" s="39">
        <v>0.375</v>
      </c>
      <c r="D114" s="37">
        <v>113845</v>
      </c>
      <c r="E114" s="37">
        <v>18198</v>
      </c>
      <c r="F114" s="42">
        <v>45418</v>
      </c>
      <c r="G114" s="39">
        <v>0.41944444444444445</v>
      </c>
      <c r="H114" s="45" t="s">
        <v>193</v>
      </c>
      <c r="I114" s="47" t="s">
        <v>76</v>
      </c>
      <c r="J114" s="40" t="s">
        <v>153</v>
      </c>
      <c r="K114" s="37">
        <v>12</v>
      </c>
    </row>
    <row r="115" spans="1:11" ht="38.5" hidden="1" thickBot="1">
      <c r="A115" s="83">
        <v>4500064740</v>
      </c>
      <c r="B115" s="38">
        <v>45417</v>
      </c>
      <c r="C115" s="39">
        <v>0.75486111111111109</v>
      </c>
      <c r="D115" s="37">
        <v>113841</v>
      </c>
      <c r="E115" s="37">
        <v>18171</v>
      </c>
      <c r="F115" s="42">
        <v>45418</v>
      </c>
      <c r="G115" s="39">
        <v>0.40625</v>
      </c>
      <c r="H115" s="45" t="s">
        <v>181</v>
      </c>
      <c r="I115" s="47" t="s">
        <v>164</v>
      </c>
      <c r="J115" s="40" t="s">
        <v>230</v>
      </c>
      <c r="K115" s="37">
        <v>560</v>
      </c>
    </row>
    <row r="116" spans="1:11" ht="38.5" thickBot="1">
      <c r="A116" s="76">
        <v>5</v>
      </c>
      <c r="B116" s="64">
        <v>45418</v>
      </c>
      <c r="C116" s="65">
        <v>0.30694444444444446</v>
      </c>
      <c r="D116" s="66">
        <v>113857</v>
      </c>
      <c r="E116" s="66">
        <v>18186</v>
      </c>
      <c r="F116" s="67">
        <v>45419</v>
      </c>
      <c r="G116" s="65">
        <v>0.51597222222222228</v>
      </c>
      <c r="H116" s="68" t="s">
        <v>18</v>
      </c>
      <c r="I116" s="69" t="s">
        <v>77</v>
      </c>
      <c r="J116" s="70" t="s">
        <v>111</v>
      </c>
      <c r="K116" s="66">
        <v>20</v>
      </c>
    </row>
    <row r="117" spans="1:11" ht="23.5" hidden="1" thickBot="1">
      <c r="A117" s="83">
        <v>4500119910</v>
      </c>
      <c r="B117" s="38">
        <v>45418</v>
      </c>
      <c r="C117" s="39">
        <v>0.35486111111111113</v>
      </c>
      <c r="D117" s="37">
        <v>113842</v>
      </c>
      <c r="E117" s="37">
        <v>18169</v>
      </c>
      <c r="F117" s="42">
        <v>45418</v>
      </c>
      <c r="G117" s="39">
        <v>0.40972222222222221</v>
      </c>
      <c r="H117" s="45" t="s">
        <v>6</v>
      </c>
      <c r="I117" s="47" t="s">
        <v>85</v>
      </c>
      <c r="J117" s="40" t="s">
        <v>220</v>
      </c>
      <c r="K117" s="37">
        <v>3</v>
      </c>
    </row>
    <row r="118" spans="1:11" ht="23.5" hidden="1" thickBot="1">
      <c r="A118" s="83">
        <v>4500119910</v>
      </c>
      <c r="B118" s="38">
        <v>45418</v>
      </c>
      <c r="C118" s="39">
        <v>0.35486111111111113</v>
      </c>
      <c r="D118" s="37">
        <v>113842</v>
      </c>
      <c r="E118" s="37">
        <v>18169</v>
      </c>
      <c r="F118" s="42">
        <v>45418</v>
      </c>
      <c r="G118" s="39">
        <v>0.40972222222222221</v>
      </c>
      <c r="H118" s="45" t="s">
        <v>6</v>
      </c>
      <c r="I118" s="47" t="s">
        <v>85</v>
      </c>
      <c r="J118" s="40" t="s">
        <v>112</v>
      </c>
      <c r="K118" s="37">
        <v>4</v>
      </c>
    </row>
    <row r="119" spans="1:11" ht="35" hidden="1" thickBot="1">
      <c r="A119" s="83" t="s">
        <v>245</v>
      </c>
      <c r="B119" s="38">
        <v>45418</v>
      </c>
      <c r="C119" s="39">
        <v>0.39513888888888887</v>
      </c>
      <c r="D119" s="37">
        <v>113846</v>
      </c>
      <c r="E119" s="37">
        <v>18174</v>
      </c>
      <c r="F119" s="42">
        <v>45418</v>
      </c>
      <c r="G119" s="39">
        <v>0.4201388888888889</v>
      </c>
      <c r="H119" s="45" t="s">
        <v>160</v>
      </c>
      <c r="I119" s="37" t="s">
        <v>80</v>
      </c>
      <c r="J119" s="40" t="s">
        <v>207</v>
      </c>
      <c r="K119" s="37">
        <v>6</v>
      </c>
    </row>
    <row r="120" spans="1:11" ht="35" hidden="1" thickBot="1">
      <c r="A120" s="83">
        <v>939058</v>
      </c>
      <c r="B120" s="38">
        <v>45418</v>
      </c>
      <c r="C120" s="39">
        <v>0.40763888888888888</v>
      </c>
      <c r="D120" s="37">
        <v>113847</v>
      </c>
      <c r="E120" s="37">
        <v>18201</v>
      </c>
      <c r="F120" s="42">
        <v>45418</v>
      </c>
      <c r="G120" s="39">
        <v>0.48749999999999999</v>
      </c>
      <c r="H120" s="45" t="s">
        <v>38</v>
      </c>
      <c r="I120" s="37" t="s">
        <v>141</v>
      </c>
      <c r="J120" s="40" t="s">
        <v>212</v>
      </c>
      <c r="K120" s="37">
        <v>2</v>
      </c>
    </row>
    <row r="121" spans="1:11" ht="35" hidden="1" thickBot="1">
      <c r="A121" s="83">
        <v>939058</v>
      </c>
      <c r="B121" s="38">
        <v>45418</v>
      </c>
      <c r="C121" s="39">
        <v>0.40763888888888888</v>
      </c>
      <c r="D121" s="37">
        <v>113847</v>
      </c>
      <c r="E121" s="37">
        <v>18201</v>
      </c>
      <c r="F121" s="42">
        <v>45418</v>
      </c>
      <c r="G121" s="39">
        <v>0.48749999999999999</v>
      </c>
      <c r="H121" s="45" t="s">
        <v>38</v>
      </c>
      <c r="I121" s="37" t="s">
        <v>141</v>
      </c>
      <c r="J121" s="40" t="s">
        <v>143</v>
      </c>
      <c r="K121" s="37">
        <v>3</v>
      </c>
    </row>
    <row r="122" spans="1:11" ht="23.5" hidden="1" thickBot="1">
      <c r="A122" s="89">
        <v>939107</v>
      </c>
      <c r="B122" s="38">
        <v>45418</v>
      </c>
      <c r="C122" s="39">
        <v>0.44027777777777777</v>
      </c>
      <c r="D122" s="37">
        <v>113848</v>
      </c>
      <c r="E122" s="37">
        <v>18181</v>
      </c>
      <c r="F122" s="42">
        <v>45418</v>
      </c>
      <c r="G122" s="39">
        <v>0.48888888888888887</v>
      </c>
      <c r="H122" s="45" t="s">
        <v>38</v>
      </c>
      <c r="I122" s="37" t="s">
        <v>142</v>
      </c>
      <c r="J122" s="40" t="s">
        <v>140</v>
      </c>
      <c r="K122" s="37">
        <v>7</v>
      </c>
    </row>
    <row r="123" spans="1:11" ht="38.5" thickBot="1">
      <c r="A123" s="92">
        <v>6</v>
      </c>
      <c r="B123" s="38">
        <v>45418</v>
      </c>
      <c r="C123" s="39">
        <v>0.46458333333333335</v>
      </c>
      <c r="D123" s="37">
        <v>113849</v>
      </c>
      <c r="E123" s="37">
        <v>18170</v>
      </c>
      <c r="F123" s="42">
        <v>45418</v>
      </c>
      <c r="G123" s="39">
        <v>0.48888888888888887</v>
      </c>
      <c r="H123" s="45" t="s">
        <v>152</v>
      </c>
      <c r="I123" s="37" t="s">
        <v>75</v>
      </c>
      <c r="J123" s="40" t="s">
        <v>111</v>
      </c>
      <c r="K123" s="37">
        <v>1</v>
      </c>
    </row>
    <row r="124" spans="1:11" ht="38.5" hidden="1" thickBot="1">
      <c r="A124" s="83" t="s">
        <v>251</v>
      </c>
      <c r="B124" s="38">
        <v>45418</v>
      </c>
      <c r="C124" s="39">
        <v>0.46597222222222223</v>
      </c>
      <c r="D124" s="37">
        <v>113850</v>
      </c>
      <c r="E124" s="37">
        <v>18168</v>
      </c>
      <c r="F124" s="42">
        <v>45418</v>
      </c>
      <c r="G124" s="39">
        <v>0.48958333333333331</v>
      </c>
      <c r="H124" s="45" t="s">
        <v>119</v>
      </c>
      <c r="I124" s="37" t="s">
        <v>246</v>
      </c>
      <c r="J124" s="40" t="s">
        <v>226</v>
      </c>
      <c r="K124" s="37">
        <v>2</v>
      </c>
    </row>
    <row r="125" spans="1:11" ht="35" hidden="1" thickBot="1">
      <c r="A125" s="83" t="s">
        <v>247</v>
      </c>
      <c r="B125" s="38">
        <v>45418</v>
      </c>
      <c r="C125" s="39">
        <v>0.46736111111111112</v>
      </c>
      <c r="D125" s="37">
        <v>113851</v>
      </c>
      <c r="E125" s="37">
        <v>18173</v>
      </c>
      <c r="F125" s="42">
        <v>45418</v>
      </c>
      <c r="G125" s="39">
        <v>0.58819444444444446</v>
      </c>
      <c r="H125" s="40" t="s">
        <v>252</v>
      </c>
      <c r="I125" s="37" t="s">
        <v>86</v>
      </c>
      <c r="J125" s="40" t="s">
        <v>206</v>
      </c>
      <c r="K125" s="37">
        <v>40</v>
      </c>
    </row>
    <row r="126" spans="1:11" ht="38.5" thickBot="1">
      <c r="A126" s="93">
        <v>7</v>
      </c>
      <c r="B126" s="38">
        <v>45418</v>
      </c>
      <c r="C126" s="39">
        <v>0.55625000000000002</v>
      </c>
      <c r="D126" s="37">
        <v>113852</v>
      </c>
      <c r="E126" s="37">
        <v>18178</v>
      </c>
      <c r="F126" s="38">
        <v>45418</v>
      </c>
      <c r="G126" s="39">
        <v>0.59375</v>
      </c>
      <c r="H126" s="45" t="s">
        <v>146</v>
      </c>
      <c r="I126" s="37" t="s">
        <v>147</v>
      </c>
      <c r="J126" s="40" t="s">
        <v>202</v>
      </c>
      <c r="K126" s="37">
        <v>4</v>
      </c>
    </row>
    <row r="127" spans="1:11" ht="76" hidden="1" thickBot="1">
      <c r="A127" s="83" t="s">
        <v>248</v>
      </c>
      <c r="B127" s="38">
        <v>45418</v>
      </c>
      <c r="C127" s="39">
        <v>0.57013888888888886</v>
      </c>
      <c r="D127" s="37">
        <v>113855</v>
      </c>
      <c r="E127" s="37">
        <v>18196</v>
      </c>
      <c r="F127" s="38">
        <v>45419</v>
      </c>
      <c r="G127" s="39">
        <v>0.51458333333333328</v>
      </c>
      <c r="H127" s="45" t="s">
        <v>193</v>
      </c>
      <c r="I127" s="37" t="s">
        <v>141</v>
      </c>
      <c r="J127" s="40" t="s">
        <v>153</v>
      </c>
      <c r="K127" s="37">
        <v>8</v>
      </c>
    </row>
    <row r="128" spans="1:11" ht="76" hidden="1" thickBot="1">
      <c r="A128" s="83" t="s">
        <v>248</v>
      </c>
      <c r="B128" s="38">
        <v>45418</v>
      </c>
      <c r="C128" s="39">
        <v>0.57013888888888886</v>
      </c>
      <c r="D128" s="37">
        <v>113855</v>
      </c>
      <c r="E128" s="37">
        <v>18196</v>
      </c>
      <c r="F128" s="38">
        <v>45419</v>
      </c>
      <c r="G128" s="39">
        <v>0.51458333333333328</v>
      </c>
      <c r="H128" s="45" t="s">
        <v>193</v>
      </c>
      <c r="I128" s="37" t="s">
        <v>141</v>
      </c>
      <c r="J128" s="40" t="s">
        <v>194</v>
      </c>
      <c r="K128" s="37">
        <v>14</v>
      </c>
    </row>
    <row r="129" spans="1:11" ht="76" hidden="1" thickBot="1">
      <c r="A129" s="83" t="s">
        <v>249</v>
      </c>
      <c r="B129" s="38">
        <v>45418</v>
      </c>
      <c r="C129" s="39">
        <v>0.59027777777777779</v>
      </c>
      <c r="D129" s="37">
        <v>113856</v>
      </c>
      <c r="E129" s="37">
        <v>18199</v>
      </c>
      <c r="F129" s="38">
        <v>45419</v>
      </c>
      <c r="G129" s="39">
        <v>0.51527777777777772</v>
      </c>
      <c r="H129" s="45" t="s">
        <v>193</v>
      </c>
      <c r="I129" s="37" t="s">
        <v>79</v>
      </c>
      <c r="J129" s="40" t="s">
        <v>145</v>
      </c>
      <c r="K129" s="37">
        <v>40</v>
      </c>
    </row>
    <row r="130" spans="1:11" ht="76" hidden="1" thickBot="1">
      <c r="A130" s="83" t="s">
        <v>249</v>
      </c>
      <c r="B130" s="38">
        <v>45418</v>
      </c>
      <c r="C130" s="39">
        <v>0.59027777777777779</v>
      </c>
      <c r="D130" s="37">
        <v>113856</v>
      </c>
      <c r="E130" s="37">
        <v>18199</v>
      </c>
      <c r="F130" s="38">
        <v>45419</v>
      </c>
      <c r="G130" s="39">
        <v>0.51527777777777772</v>
      </c>
      <c r="H130" s="45" t="s">
        <v>193</v>
      </c>
      <c r="I130" s="37" t="s">
        <v>79</v>
      </c>
      <c r="J130" s="40" t="s">
        <v>153</v>
      </c>
      <c r="K130" s="37">
        <v>4</v>
      </c>
    </row>
    <row r="131" spans="1:11" ht="46.5" thickBot="1">
      <c r="A131" s="86">
        <v>8</v>
      </c>
      <c r="B131" s="38">
        <v>45418</v>
      </c>
      <c r="C131" s="41"/>
      <c r="D131" s="37">
        <v>113853</v>
      </c>
      <c r="E131" s="37">
        <v>18187</v>
      </c>
      <c r="F131" s="38">
        <v>45418</v>
      </c>
      <c r="G131" s="39">
        <v>0.63888888888888884</v>
      </c>
      <c r="H131" s="45" t="s">
        <v>182</v>
      </c>
      <c r="I131" s="37" t="s">
        <v>250</v>
      </c>
      <c r="J131" s="40" t="s">
        <v>145</v>
      </c>
      <c r="K131" s="37">
        <v>1</v>
      </c>
    </row>
    <row r="132" spans="1:11" ht="35" thickBot="1">
      <c r="A132" s="86">
        <v>8</v>
      </c>
      <c r="B132" s="38">
        <v>45418</v>
      </c>
      <c r="C132" s="41"/>
      <c r="D132" s="37">
        <v>113853</v>
      </c>
      <c r="E132" s="37">
        <v>18187</v>
      </c>
      <c r="F132" s="38">
        <v>45418</v>
      </c>
      <c r="G132" s="39">
        <v>0.63888888888888884</v>
      </c>
      <c r="H132" s="45" t="s">
        <v>182</v>
      </c>
      <c r="I132" s="37" t="s">
        <v>250</v>
      </c>
      <c r="J132" s="40" t="s">
        <v>143</v>
      </c>
      <c r="K132" s="37">
        <v>1</v>
      </c>
    </row>
    <row r="133" spans="1:11" ht="35" thickBot="1">
      <c r="A133" s="86">
        <v>8</v>
      </c>
      <c r="B133" s="38">
        <v>45418</v>
      </c>
      <c r="C133" s="41"/>
      <c r="D133" s="37">
        <v>113853</v>
      </c>
      <c r="E133" s="37">
        <v>18187</v>
      </c>
      <c r="F133" s="38">
        <v>45418</v>
      </c>
      <c r="G133" s="39">
        <v>0.63888888888888884</v>
      </c>
      <c r="H133" s="45" t="s">
        <v>182</v>
      </c>
      <c r="I133" s="37" t="s">
        <v>250</v>
      </c>
      <c r="J133" s="40" t="s">
        <v>226</v>
      </c>
      <c r="K133" s="37">
        <v>1</v>
      </c>
    </row>
    <row r="134" spans="1:11" ht="51" hidden="1" thickBot="1">
      <c r="A134" s="83">
        <v>317249</v>
      </c>
      <c r="B134" s="38">
        <v>45419</v>
      </c>
      <c r="C134" s="39">
        <v>0.48194444444444445</v>
      </c>
      <c r="D134" s="37">
        <v>113858</v>
      </c>
      <c r="E134" s="37">
        <v>18188</v>
      </c>
      <c r="F134" s="38">
        <v>45419</v>
      </c>
      <c r="G134" s="39">
        <v>0.56597222222222221</v>
      </c>
      <c r="H134" s="45" t="s">
        <v>179</v>
      </c>
      <c r="I134" s="37" t="s">
        <v>78</v>
      </c>
      <c r="J134" s="40" t="s">
        <v>226</v>
      </c>
      <c r="K134" s="37">
        <v>7</v>
      </c>
    </row>
    <row r="135" spans="1:11" ht="35" hidden="1" thickBot="1">
      <c r="A135" s="83">
        <v>4500069546</v>
      </c>
      <c r="B135" s="38">
        <v>45418</v>
      </c>
      <c r="C135" s="39">
        <v>0.65972222222222221</v>
      </c>
      <c r="D135" s="37">
        <v>113859</v>
      </c>
      <c r="E135" s="37">
        <v>18191</v>
      </c>
      <c r="F135" s="38">
        <v>45419</v>
      </c>
      <c r="G135" s="39">
        <v>0.55069444444444449</v>
      </c>
      <c r="H135" s="45" t="s">
        <v>57</v>
      </c>
      <c r="I135" s="37" t="s">
        <v>80</v>
      </c>
      <c r="J135" s="40" t="s">
        <v>136</v>
      </c>
      <c r="K135" s="37">
        <v>8</v>
      </c>
    </row>
    <row r="136" spans="1:11" ht="23.5" hidden="1" thickBot="1">
      <c r="A136" s="83">
        <v>4500069546</v>
      </c>
      <c r="B136" s="38">
        <v>45418</v>
      </c>
      <c r="C136" s="39">
        <v>0.65972222222222221</v>
      </c>
      <c r="D136" s="37">
        <v>113859</v>
      </c>
      <c r="E136" s="37">
        <v>18191</v>
      </c>
      <c r="F136" s="38">
        <v>45419</v>
      </c>
      <c r="G136" s="39">
        <v>0.55069444444444449</v>
      </c>
      <c r="H136" s="45" t="s">
        <v>57</v>
      </c>
      <c r="I136" s="37" t="s">
        <v>80</v>
      </c>
      <c r="J136" s="40" t="s">
        <v>110</v>
      </c>
      <c r="K136" s="37">
        <v>60</v>
      </c>
    </row>
    <row r="137" spans="1:11" ht="38.5" hidden="1" thickBot="1">
      <c r="A137" s="83" t="s">
        <v>253</v>
      </c>
      <c r="B137" s="38">
        <v>45418</v>
      </c>
      <c r="C137" s="39">
        <v>0.69861111111111107</v>
      </c>
      <c r="D137" s="37">
        <v>113860</v>
      </c>
      <c r="E137" s="37">
        <v>18190</v>
      </c>
      <c r="F137" s="38">
        <v>45419</v>
      </c>
      <c r="G137" s="39">
        <v>0.56944444444444442</v>
      </c>
      <c r="H137" s="45" t="s">
        <v>54</v>
      </c>
      <c r="I137" s="37" t="s">
        <v>75</v>
      </c>
      <c r="J137" s="40" t="s">
        <v>215</v>
      </c>
      <c r="K137" s="37">
        <v>15</v>
      </c>
    </row>
    <row r="138" spans="1:11" ht="38.5" hidden="1" thickBot="1">
      <c r="A138" s="83" t="s">
        <v>253</v>
      </c>
      <c r="B138" s="38">
        <v>45418</v>
      </c>
      <c r="C138" s="39">
        <v>0.69861111111111107</v>
      </c>
      <c r="D138" s="37">
        <v>113860</v>
      </c>
      <c r="E138" s="37">
        <v>18190</v>
      </c>
      <c r="F138" s="38">
        <v>45419</v>
      </c>
      <c r="G138" s="39">
        <v>0.56944444444444442</v>
      </c>
      <c r="H138" s="45" t="s">
        <v>54</v>
      </c>
      <c r="I138" s="37" t="s">
        <v>75</v>
      </c>
      <c r="J138" s="40" t="s">
        <v>218</v>
      </c>
      <c r="K138" s="37">
        <v>2</v>
      </c>
    </row>
    <row r="139" spans="1:11" ht="38.5" hidden="1" thickBot="1">
      <c r="A139" s="83" t="s">
        <v>253</v>
      </c>
      <c r="B139" s="38">
        <v>45418</v>
      </c>
      <c r="C139" s="39">
        <v>0.69861111111111107</v>
      </c>
      <c r="D139" s="37">
        <v>113860</v>
      </c>
      <c r="E139" s="37">
        <v>18190</v>
      </c>
      <c r="F139" s="38">
        <v>45419</v>
      </c>
      <c r="G139" s="39">
        <v>0.56944444444444442</v>
      </c>
      <c r="H139" s="45" t="s">
        <v>54</v>
      </c>
      <c r="I139" s="37" t="s">
        <v>75</v>
      </c>
      <c r="J139" s="40" t="s">
        <v>136</v>
      </c>
      <c r="K139" s="37">
        <v>1</v>
      </c>
    </row>
    <row r="140" spans="1:11" ht="38.5" hidden="1" thickBot="1">
      <c r="A140" s="83" t="s">
        <v>253</v>
      </c>
      <c r="B140" s="38">
        <v>45418</v>
      </c>
      <c r="C140" s="39">
        <v>0.69861111111111107</v>
      </c>
      <c r="D140" s="37">
        <v>113860</v>
      </c>
      <c r="E140" s="37">
        <v>18190</v>
      </c>
      <c r="F140" s="38">
        <v>45419</v>
      </c>
      <c r="G140" s="39">
        <v>0.56944444444444442</v>
      </c>
      <c r="H140" s="45" t="s">
        <v>54</v>
      </c>
      <c r="I140" s="37" t="s">
        <v>75</v>
      </c>
      <c r="J140" s="40" t="s">
        <v>214</v>
      </c>
      <c r="K140" s="37">
        <v>4</v>
      </c>
    </row>
    <row r="141" spans="1:11" ht="13.5" hidden="1" thickBot="1">
      <c r="A141" s="87">
        <v>5032</v>
      </c>
      <c r="B141" s="38">
        <v>45419</v>
      </c>
      <c r="C141" s="39">
        <v>0.3347222222222222</v>
      </c>
      <c r="D141" s="37">
        <v>113863</v>
      </c>
      <c r="E141" s="37">
        <v>18296</v>
      </c>
      <c r="F141" s="38">
        <v>45419</v>
      </c>
      <c r="G141" s="39">
        <v>0.61458333333333337</v>
      </c>
      <c r="H141" s="45" t="s">
        <v>219</v>
      </c>
      <c r="I141" s="37" t="s">
        <v>81</v>
      </c>
      <c r="J141" s="40" t="s">
        <v>189</v>
      </c>
      <c r="K141" s="37">
        <v>3</v>
      </c>
    </row>
    <row r="142" spans="1:11" ht="38.5" thickBot="1">
      <c r="A142" s="86">
        <v>9</v>
      </c>
      <c r="B142" s="38">
        <v>45419</v>
      </c>
      <c r="C142" s="39">
        <v>0.34861111111111109</v>
      </c>
      <c r="D142" s="37">
        <v>113864</v>
      </c>
      <c r="E142" s="37">
        <v>18211</v>
      </c>
      <c r="F142" s="38">
        <v>45419</v>
      </c>
      <c r="G142" s="39">
        <v>0.61527777777777781</v>
      </c>
      <c r="H142" s="45" t="s">
        <v>149</v>
      </c>
      <c r="I142" s="37" t="s">
        <v>82</v>
      </c>
      <c r="J142" s="40" t="s">
        <v>134</v>
      </c>
      <c r="K142" s="37">
        <v>4</v>
      </c>
    </row>
    <row r="143" spans="1:11" ht="38.5" hidden="1" thickBot="1">
      <c r="A143" s="83" t="s">
        <v>318</v>
      </c>
      <c r="B143" s="38">
        <v>45419</v>
      </c>
      <c r="C143" s="39">
        <v>0.36944444444444446</v>
      </c>
      <c r="D143" s="37">
        <v>113990</v>
      </c>
      <c r="E143" s="37">
        <v>18327</v>
      </c>
      <c r="F143" s="38">
        <v>45419</v>
      </c>
      <c r="G143" s="39">
        <v>0.5756944444444444</v>
      </c>
      <c r="H143" s="45" t="s">
        <v>319</v>
      </c>
      <c r="I143" s="37" t="s">
        <v>78</v>
      </c>
      <c r="J143" s="40" t="s">
        <v>112</v>
      </c>
      <c r="K143" s="37">
        <v>10</v>
      </c>
    </row>
    <row r="144" spans="1:11" ht="26.5" hidden="1" thickBot="1">
      <c r="A144" s="89">
        <v>940071</v>
      </c>
      <c r="B144" s="38">
        <v>45419</v>
      </c>
      <c r="C144" s="39">
        <v>0.39097222222222222</v>
      </c>
      <c r="D144" s="37">
        <v>113865</v>
      </c>
      <c r="E144" s="37">
        <v>18208</v>
      </c>
      <c r="F144" s="38">
        <v>45419</v>
      </c>
      <c r="G144" s="39">
        <v>0.61527777777777781</v>
      </c>
      <c r="H144" s="45" t="s">
        <v>30</v>
      </c>
      <c r="I144" s="37" t="s">
        <v>79</v>
      </c>
      <c r="J144" s="40" t="s">
        <v>206</v>
      </c>
      <c r="K144" s="37">
        <v>29</v>
      </c>
    </row>
    <row r="145" spans="1:11" ht="51" hidden="1" thickBot="1">
      <c r="A145" s="90" t="s">
        <v>254</v>
      </c>
      <c r="B145" s="38">
        <v>45419</v>
      </c>
      <c r="C145" s="39">
        <v>0.56041666666666667</v>
      </c>
      <c r="D145" s="37">
        <v>113862</v>
      </c>
      <c r="E145" s="37">
        <v>18185</v>
      </c>
      <c r="F145" s="38">
        <v>45419</v>
      </c>
      <c r="G145" s="39">
        <v>0.58194444444444449</v>
      </c>
      <c r="H145" s="45" t="s">
        <v>12</v>
      </c>
      <c r="I145" s="37" t="s">
        <v>176</v>
      </c>
      <c r="J145" s="40" t="s">
        <v>230</v>
      </c>
      <c r="K145" s="37">
        <v>20</v>
      </c>
    </row>
    <row r="146" spans="1:11" ht="51" hidden="1" thickBot="1">
      <c r="A146" s="83">
        <v>320</v>
      </c>
      <c r="B146" s="38">
        <v>45419</v>
      </c>
      <c r="C146" s="39">
        <v>0.32777777777777778</v>
      </c>
      <c r="D146" s="37">
        <v>113866</v>
      </c>
      <c r="E146" s="37">
        <v>18189</v>
      </c>
      <c r="F146" s="38">
        <v>45419</v>
      </c>
      <c r="G146" s="39">
        <v>0.61597222222222225</v>
      </c>
      <c r="H146" s="45" t="s">
        <v>53</v>
      </c>
      <c r="I146" s="37" t="s">
        <v>255</v>
      </c>
      <c r="J146" s="40" t="s">
        <v>226</v>
      </c>
      <c r="K146" s="37">
        <v>1</v>
      </c>
    </row>
    <row r="147" spans="1:11" ht="51" hidden="1" thickBot="1">
      <c r="A147" s="83">
        <v>320</v>
      </c>
      <c r="B147" s="38">
        <v>45419</v>
      </c>
      <c r="C147" s="39">
        <v>0.32777777777777778</v>
      </c>
      <c r="D147" s="37">
        <v>113866</v>
      </c>
      <c r="E147" s="37">
        <v>18189</v>
      </c>
      <c r="F147" s="38">
        <v>45419</v>
      </c>
      <c r="G147" s="39">
        <v>0.61597222222222225</v>
      </c>
      <c r="H147" s="45" t="s">
        <v>53</v>
      </c>
      <c r="I147" s="37" t="s">
        <v>255</v>
      </c>
      <c r="J147" s="40" t="s">
        <v>120</v>
      </c>
      <c r="K147" s="37">
        <v>6</v>
      </c>
    </row>
    <row r="148" spans="1:11" ht="51" hidden="1" thickBot="1">
      <c r="A148" s="83">
        <v>320</v>
      </c>
      <c r="B148" s="38">
        <v>45419</v>
      </c>
      <c r="C148" s="39">
        <v>0.32777777777777778</v>
      </c>
      <c r="D148" s="37">
        <v>113866</v>
      </c>
      <c r="E148" s="37">
        <v>18189</v>
      </c>
      <c r="F148" s="38">
        <v>45419</v>
      </c>
      <c r="G148" s="39">
        <v>0.61597222222222225</v>
      </c>
      <c r="H148" s="45" t="s">
        <v>53</v>
      </c>
      <c r="I148" s="37" t="s">
        <v>255</v>
      </c>
      <c r="J148" s="40" t="s">
        <v>206</v>
      </c>
      <c r="K148" s="37">
        <v>10</v>
      </c>
    </row>
    <row r="149" spans="1:11" ht="51" hidden="1" thickBot="1">
      <c r="A149" s="83">
        <v>320</v>
      </c>
      <c r="B149" s="38">
        <v>45419</v>
      </c>
      <c r="C149" s="39">
        <v>0.32777777777777778</v>
      </c>
      <c r="D149" s="37">
        <v>113866</v>
      </c>
      <c r="E149" s="37">
        <v>18189</v>
      </c>
      <c r="F149" s="38">
        <v>45419</v>
      </c>
      <c r="G149" s="39">
        <v>0.61597222222222225</v>
      </c>
      <c r="H149" s="45" t="s">
        <v>53</v>
      </c>
      <c r="I149" s="37" t="s">
        <v>255</v>
      </c>
      <c r="J149" s="40" t="s">
        <v>111</v>
      </c>
      <c r="K149" s="37">
        <v>12</v>
      </c>
    </row>
    <row r="150" spans="1:11" ht="51" hidden="1" thickBot="1">
      <c r="A150" s="83">
        <v>320</v>
      </c>
      <c r="B150" s="38">
        <v>45419</v>
      </c>
      <c r="C150" s="39">
        <v>0.32777777777777778</v>
      </c>
      <c r="D150" s="37">
        <v>113866</v>
      </c>
      <c r="E150" s="37">
        <v>18189</v>
      </c>
      <c r="F150" s="38">
        <v>45419</v>
      </c>
      <c r="G150" s="39">
        <v>0.61597222222222225</v>
      </c>
      <c r="H150" s="45" t="s">
        <v>53</v>
      </c>
      <c r="I150" s="37" t="s">
        <v>255</v>
      </c>
      <c r="J150" s="40" t="s">
        <v>136</v>
      </c>
      <c r="K150" s="37">
        <v>1</v>
      </c>
    </row>
    <row r="151" spans="1:11" ht="38.5" thickBot="1">
      <c r="A151" s="86">
        <v>10</v>
      </c>
      <c r="B151" s="38">
        <v>45419</v>
      </c>
      <c r="C151" s="39">
        <v>0.75694444444444442</v>
      </c>
      <c r="D151" s="37">
        <v>113867</v>
      </c>
      <c r="E151" s="37">
        <v>18192</v>
      </c>
      <c r="F151" s="38">
        <v>45420</v>
      </c>
      <c r="G151" s="39">
        <v>0.52430555555555558</v>
      </c>
      <c r="H151" s="71" t="s">
        <v>45</v>
      </c>
      <c r="I151" s="45" t="s">
        <v>78</v>
      </c>
      <c r="J151" s="40" t="s">
        <v>221</v>
      </c>
      <c r="K151" s="37">
        <v>3</v>
      </c>
    </row>
    <row r="152" spans="1:11" ht="26.5" hidden="1" thickBot="1">
      <c r="A152" s="89">
        <v>940903</v>
      </c>
      <c r="B152" s="38">
        <v>45419</v>
      </c>
      <c r="C152" s="39">
        <v>0.76111111111111107</v>
      </c>
      <c r="D152" s="37">
        <v>113876</v>
      </c>
      <c r="E152" s="37">
        <v>18227</v>
      </c>
      <c r="F152" s="38">
        <v>45420</v>
      </c>
      <c r="G152" s="39">
        <v>0.52708333333333335</v>
      </c>
      <c r="H152" s="45" t="s">
        <v>30</v>
      </c>
      <c r="I152" s="37" t="s">
        <v>80</v>
      </c>
      <c r="J152" s="40" t="s">
        <v>113</v>
      </c>
      <c r="K152" s="37">
        <v>7</v>
      </c>
    </row>
    <row r="153" spans="1:11" ht="23.5" hidden="1" thickBot="1">
      <c r="A153" s="83">
        <v>4500069587</v>
      </c>
      <c r="B153" s="38">
        <v>45419</v>
      </c>
      <c r="C153" s="39">
        <v>0.76458333333333328</v>
      </c>
      <c r="D153" s="37">
        <v>113875</v>
      </c>
      <c r="E153" s="37">
        <v>18243</v>
      </c>
      <c r="F153" s="38">
        <v>45420</v>
      </c>
      <c r="G153" s="39">
        <v>0.52708333333333335</v>
      </c>
      <c r="H153" s="45" t="s">
        <v>57</v>
      </c>
      <c r="I153" s="37" t="s">
        <v>83</v>
      </c>
      <c r="J153" s="40" t="s">
        <v>215</v>
      </c>
      <c r="K153" s="37">
        <v>40</v>
      </c>
    </row>
    <row r="154" spans="1:11" ht="13.5" hidden="1" thickBot="1">
      <c r="A154" s="83">
        <v>4500069587</v>
      </c>
      <c r="B154" s="38">
        <v>45419</v>
      </c>
      <c r="C154" s="39">
        <v>0.76458333333333328</v>
      </c>
      <c r="D154" s="37">
        <v>113875</v>
      </c>
      <c r="E154" s="37">
        <v>18243</v>
      </c>
      <c r="F154" s="38">
        <v>45420</v>
      </c>
      <c r="G154" s="39">
        <v>0.52708333333333335</v>
      </c>
      <c r="H154" s="45" t="s">
        <v>57</v>
      </c>
      <c r="I154" s="37" t="s">
        <v>83</v>
      </c>
      <c r="J154" s="40" t="s">
        <v>134</v>
      </c>
      <c r="K154" s="37">
        <v>40</v>
      </c>
    </row>
    <row r="155" spans="1:11" ht="23.5" hidden="1" thickBot="1">
      <c r="A155" s="83">
        <v>4500069587</v>
      </c>
      <c r="B155" s="38">
        <v>45419</v>
      </c>
      <c r="C155" s="39">
        <v>0.76458333333333328</v>
      </c>
      <c r="D155" s="37">
        <v>113875</v>
      </c>
      <c r="E155" s="37">
        <v>18194</v>
      </c>
      <c r="F155" s="38">
        <v>45420</v>
      </c>
      <c r="G155" s="39">
        <v>0.52708333333333335</v>
      </c>
      <c r="H155" s="45" t="s">
        <v>57</v>
      </c>
      <c r="I155" s="37" t="s">
        <v>83</v>
      </c>
      <c r="J155" s="40" t="s">
        <v>110</v>
      </c>
      <c r="K155" s="37">
        <v>120</v>
      </c>
    </row>
    <row r="156" spans="1:11" ht="23.5" hidden="1" thickBot="1">
      <c r="A156" s="83">
        <v>4500069587</v>
      </c>
      <c r="B156" s="38">
        <v>45419</v>
      </c>
      <c r="C156" s="39">
        <v>0.76458333333333328</v>
      </c>
      <c r="D156" s="37">
        <v>113875</v>
      </c>
      <c r="E156" s="37">
        <v>18243</v>
      </c>
      <c r="F156" s="38">
        <v>45420</v>
      </c>
      <c r="G156" s="39">
        <v>0.52708333333333335</v>
      </c>
      <c r="H156" s="45" t="s">
        <v>57</v>
      </c>
      <c r="I156" s="37" t="s">
        <v>83</v>
      </c>
      <c r="J156" s="40" t="s">
        <v>113</v>
      </c>
      <c r="K156" s="37">
        <v>20</v>
      </c>
    </row>
    <row r="157" spans="1:11" ht="35" hidden="1" thickBot="1">
      <c r="A157" s="83">
        <v>4500069587</v>
      </c>
      <c r="B157" s="38">
        <v>45419</v>
      </c>
      <c r="C157" s="39">
        <v>0.76458333333333328</v>
      </c>
      <c r="D157" s="37">
        <v>113875</v>
      </c>
      <c r="E157" s="37">
        <v>18243</v>
      </c>
      <c r="F157" s="38">
        <v>45420</v>
      </c>
      <c r="G157" s="39">
        <v>0.52708333333333335</v>
      </c>
      <c r="H157" s="45" t="s">
        <v>57</v>
      </c>
      <c r="I157" s="37" t="s">
        <v>83</v>
      </c>
      <c r="J157" s="40" t="s">
        <v>156</v>
      </c>
      <c r="K157" s="37">
        <v>80</v>
      </c>
    </row>
    <row r="158" spans="1:11" ht="23.5" hidden="1" thickBot="1">
      <c r="A158" s="83">
        <v>4500069587</v>
      </c>
      <c r="B158" s="38">
        <v>45419</v>
      </c>
      <c r="C158" s="39">
        <v>0.76458333333333328</v>
      </c>
      <c r="D158" s="37">
        <v>113875</v>
      </c>
      <c r="E158" s="37">
        <v>18243</v>
      </c>
      <c r="F158" s="38">
        <v>45420</v>
      </c>
      <c r="G158" s="39">
        <v>0.52708333333333335</v>
      </c>
      <c r="H158" s="45" t="s">
        <v>57</v>
      </c>
      <c r="I158" s="37" t="s">
        <v>83</v>
      </c>
      <c r="J158" s="40" t="s">
        <v>206</v>
      </c>
      <c r="K158" s="37">
        <v>200</v>
      </c>
    </row>
    <row r="159" spans="1:11" ht="23.5" hidden="1" thickBot="1">
      <c r="A159" s="83">
        <v>4500069587</v>
      </c>
      <c r="B159" s="38">
        <v>45419</v>
      </c>
      <c r="C159" s="39">
        <v>0.76458333333333328</v>
      </c>
      <c r="D159" s="37">
        <v>113875</v>
      </c>
      <c r="E159" s="37">
        <v>18194</v>
      </c>
      <c r="F159" s="38">
        <v>45420</v>
      </c>
      <c r="G159" s="39">
        <v>0.52708333333333335</v>
      </c>
      <c r="H159" s="45" t="s">
        <v>57</v>
      </c>
      <c r="I159" s="37" t="s">
        <v>83</v>
      </c>
      <c r="J159" s="40" t="s">
        <v>118</v>
      </c>
      <c r="K159" s="37">
        <v>20</v>
      </c>
    </row>
    <row r="160" spans="1:11" ht="23.5" hidden="1" thickBot="1">
      <c r="A160" s="83">
        <v>4500069587</v>
      </c>
      <c r="B160" s="38">
        <v>45419</v>
      </c>
      <c r="C160" s="39">
        <v>0.76458333333333328</v>
      </c>
      <c r="D160" s="37">
        <v>113875</v>
      </c>
      <c r="E160" s="37">
        <v>18243</v>
      </c>
      <c r="F160" s="38">
        <v>45420</v>
      </c>
      <c r="G160" s="39">
        <v>0.52708333333333335</v>
      </c>
      <c r="H160" s="45" t="s">
        <v>57</v>
      </c>
      <c r="I160" s="37" t="s">
        <v>83</v>
      </c>
      <c r="J160" s="40" t="s">
        <v>115</v>
      </c>
      <c r="K160" s="37">
        <v>100</v>
      </c>
    </row>
    <row r="161" spans="1:11" ht="23.5" hidden="1" thickBot="1">
      <c r="A161" s="83">
        <v>4500069587</v>
      </c>
      <c r="B161" s="38">
        <v>45419</v>
      </c>
      <c r="C161" s="39">
        <v>0.76458333333333328</v>
      </c>
      <c r="D161" s="37">
        <v>113875</v>
      </c>
      <c r="E161" s="37">
        <v>18194</v>
      </c>
      <c r="F161" s="38">
        <v>45420</v>
      </c>
      <c r="G161" s="39">
        <v>0.52708333333333335</v>
      </c>
      <c r="H161" s="45" t="s">
        <v>57</v>
      </c>
      <c r="I161" s="37" t="s">
        <v>83</v>
      </c>
      <c r="J161" s="40" t="s">
        <v>220</v>
      </c>
      <c r="K161" s="37">
        <v>60</v>
      </c>
    </row>
    <row r="162" spans="1:11" ht="23.5" hidden="1" thickBot="1">
      <c r="A162" s="83">
        <v>4500069587</v>
      </c>
      <c r="B162" s="38">
        <v>45419</v>
      </c>
      <c r="C162" s="39">
        <v>0.76458333333333328</v>
      </c>
      <c r="D162" s="37">
        <v>113875</v>
      </c>
      <c r="E162" s="37">
        <v>18194</v>
      </c>
      <c r="F162" s="38">
        <v>45420</v>
      </c>
      <c r="G162" s="39">
        <v>0.52708333333333335</v>
      </c>
      <c r="H162" s="45" t="s">
        <v>57</v>
      </c>
      <c r="I162" s="37" t="s">
        <v>83</v>
      </c>
      <c r="J162" s="40" t="s">
        <v>118</v>
      </c>
      <c r="K162" s="37">
        <v>80</v>
      </c>
    </row>
    <row r="163" spans="1:11" ht="23.5" hidden="1" thickBot="1">
      <c r="A163" s="83">
        <v>4500069587</v>
      </c>
      <c r="B163" s="38">
        <v>45419</v>
      </c>
      <c r="C163" s="39">
        <v>0.76458333333333328</v>
      </c>
      <c r="D163" s="37">
        <v>113875</v>
      </c>
      <c r="E163" s="37">
        <v>18243</v>
      </c>
      <c r="F163" s="38">
        <v>45420</v>
      </c>
      <c r="G163" s="39">
        <v>0.52708333333333335</v>
      </c>
      <c r="H163" s="45" t="s">
        <v>57</v>
      </c>
      <c r="I163" s="37" t="s">
        <v>83</v>
      </c>
      <c r="J163" s="40" t="s">
        <v>165</v>
      </c>
      <c r="K163" s="37">
        <v>100</v>
      </c>
    </row>
    <row r="164" spans="1:11" ht="23.5" hidden="1" thickBot="1">
      <c r="A164" s="83">
        <v>4500069587</v>
      </c>
      <c r="B164" s="38">
        <v>45419</v>
      </c>
      <c r="C164" s="39">
        <v>0.76458333333333328</v>
      </c>
      <c r="D164" s="37">
        <v>113875</v>
      </c>
      <c r="E164" s="37">
        <v>18243</v>
      </c>
      <c r="F164" s="38">
        <v>45420</v>
      </c>
      <c r="G164" s="39">
        <v>0.52708333333333335</v>
      </c>
      <c r="H164" s="45" t="s">
        <v>57</v>
      </c>
      <c r="I164" s="37" t="s">
        <v>83</v>
      </c>
      <c r="J164" s="40" t="s">
        <v>111</v>
      </c>
      <c r="K164" s="37">
        <v>28</v>
      </c>
    </row>
    <row r="165" spans="1:11" ht="23.5" hidden="1" thickBot="1">
      <c r="A165" s="83">
        <v>4500069587</v>
      </c>
      <c r="B165" s="38">
        <v>45419</v>
      </c>
      <c r="C165" s="39">
        <v>0.76458333333333328</v>
      </c>
      <c r="D165" s="37">
        <v>113875</v>
      </c>
      <c r="E165" s="37">
        <v>18243</v>
      </c>
      <c r="F165" s="38">
        <v>45420</v>
      </c>
      <c r="G165" s="39">
        <v>0.52708333333333335</v>
      </c>
      <c r="H165" s="45" t="s">
        <v>57</v>
      </c>
      <c r="I165" s="37" t="s">
        <v>83</v>
      </c>
      <c r="J165" s="40" t="s">
        <v>194</v>
      </c>
      <c r="K165" s="37">
        <v>40</v>
      </c>
    </row>
    <row r="166" spans="1:11" ht="26" hidden="1" thickBot="1">
      <c r="A166" s="83">
        <v>940954</v>
      </c>
      <c r="B166" s="38">
        <v>45419</v>
      </c>
      <c r="C166" s="39">
        <v>0.9291666666666667</v>
      </c>
      <c r="D166" s="37">
        <v>113874</v>
      </c>
      <c r="E166" s="37">
        <v>18226</v>
      </c>
      <c r="F166" s="38">
        <v>45420</v>
      </c>
      <c r="G166" s="39">
        <v>0.52708333333333335</v>
      </c>
      <c r="H166" s="45" t="s">
        <v>30</v>
      </c>
      <c r="I166" s="37" t="s">
        <v>80</v>
      </c>
      <c r="J166" s="40" t="s">
        <v>113</v>
      </c>
      <c r="K166" s="37">
        <v>7</v>
      </c>
    </row>
    <row r="167" spans="1:11" ht="26" hidden="1" thickBot="1">
      <c r="A167" s="83">
        <v>941055</v>
      </c>
      <c r="B167" s="38">
        <v>45420</v>
      </c>
      <c r="C167" s="39">
        <v>0.42152777777777778</v>
      </c>
      <c r="D167" s="37">
        <v>113873</v>
      </c>
      <c r="E167" s="37">
        <v>18218</v>
      </c>
      <c r="F167" s="38">
        <v>45420</v>
      </c>
      <c r="G167" s="39">
        <v>0.52708333333333335</v>
      </c>
      <c r="H167" s="45" t="s">
        <v>30</v>
      </c>
      <c r="I167" s="37" t="s">
        <v>79</v>
      </c>
      <c r="J167" s="40" t="s">
        <v>116</v>
      </c>
      <c r="K167" s="37">
        <v>2</v>
      </c>
    </row>
    <row r="168" spans="1:11" ht="23.5" hidden="1" thickBot="1">
      <c r="A168" s="83">
        <v>570</v>
      </c>
      <c r="B168" s="38">
        <v>45420</v>
      </c>
      <c r="C168" s="39">
        <v>0.48194444444444445</v>
      </c>
      <c r="D168" s="37">
        <v>113872</v>
      </c>
      <c r="E168" s="37">
        <v>18193</v>
      </c>
      <c r="F168" s="38">
        <v>45420</v>
      </c>
      <c r="G168" s="39">
        <v>0.52708333333333335</v>
      </c>
      <c r="H168" s="45" t="s">
        <v>163</v>
      </c>
      <c r="I168" s="37" t="s">
        <v>80</v>
      </c>
      <c r="J168" s="40" t="s">
        <v>256</v>
      </c>
      <c r="K168" s="37">
        <v>40</v>
      </c>
    </row>
    <row r="169" spans="1:11" ht="35" hidden="1" thickBot="1">
      <c r="A169" s="83">
        <v>570</v>
      </c>
      <c r="B169" s="38">
        <v>45420</v>
      </c>
      <c r="C169" s="39">
        <v>0.48194444444444445</v>
      </c>
      <c r="D169" s="37">
        <v>113872</v>
      </c>
      <c r="E169" s="37">
        <v>18193</v>
      </c>
      <c r="F169" s="38">
        <v>45420</v>
      </c>
      <c r="G169" s="39">
        <v>0.52708333333333335</v>
      </c>
      <c r="H169" s="45" t="s">
        <v>163</v>
      </c>
      <c r="I169" s="37" t="s">
        <v>80</v>
      </c>
      <c r="J169" s="40" t="s">
        <v>230</v>
      </c>
      <c r="K169" s="37">
        <v>60</v>
      </c>
    </row>
    <row r="170" spans="1:11" ht="23.5" hidden="1" thickBot="1">
      <c r="A170" s="89">
        <v>941150</v>
      </c>
      <c r="B170" s="38">
        <v>45420</v>
      </c>
      <c r="C170" s="39">
        <v>0.49027777777777776</v>
      </c>
      <c r="D170" s="37">
        <v>113871</v>
      </c>
      <c r="E170" s="37">
        <v>18220</v>
      </c>
      <c r="F170" s="38">
        <v>45420</v>
      </c>
      <c r="G170" s="39">
        <v>0.52708333333333335</v>
      </c>
      <c r="H170" s="45" t="s">
        <v>38</v>
      </c>
      <c r="I170" s="37" t="s">
        <v>141</v>
      </c>
      <c r="J170" s="40" t="s">
        <v>116</v>
      </c>
      <c r="K170" s="37">
        <v>3</v>
      </c>
    </row>
    <row r="171" spans="1:11" ht="23.5" hidden="1" thickBot="1">
      <c r="A171" s="89">
        <v>941151</v>
      </c>
      <c r="B171" s="38">
        <v>45420</v>
      </c>
      <c r="C171" s="39">
        <v>0.49027777777777776</v>
      </c>
      <c r="D171" s="37">
        <v>113870</v>
      </c>
      <c r="E171" s="37">
        <v>18259</v>
      </c>
      <c r="F171" s="38">
        <v>45420</v>
      </c>
      <c r="G171" s="39">
        <v>0.52708333333333335</v>
      </c>
      <c r="H171" s="45" t="s">
        <v>38</v>
      </c>
      <c r="I171" s="37" t="s">
        <v>142</v>
      </c>
      <c r="J171" s="40" t="s">
        <v>113</v>
      </c>
      <c r="K171" s="37">
        <v>12</v>
      </c>
    </row>
    <row r="172" spans="1:11" ht="38.5" thickBot="1">
      <c r="A172" s="86">
        <v>10</v>
      </c>
      <c r="B172" s="38">
        <v>45420</v>
      </c>
      <c r="C172" s="39">
        <v>0.50208333333333333</v>
      </c>
      <c r="D172" s="37">
        <v>113869</v>
      </c>
      <c r="E172" s="37">
        <v>18192</v>
      </c>
      <c r="F172" s="38">
        <v>45420</v>
      </c>
      <c r="G172" s="39">
        <v>0.52708333333333335</v>
      </c>
      <c r="H172" s="45" t="s">
        <v>45</v>
      </c>
      <c r="I172" s="37" t="s">
        <v>78</v>
      </c>
      <c r="J172" s="40" t="s">
        <v>166</v>
      </c>
      <c r="K172" s="37">
        <v>9</v>
      </c>
    </row>
    <row r="173" spans="1:11" ht="38.5" thickBot="1">
      <c r="A173" s="86">
        <v>10</v>
      </c>
      <c r="B173" s="38">
        <v>45420</v>
      </c>
      <c r="C173" s="39">
        <v>0.50208333333333333</v>
      </c>
      <c r="D173" s="37">
        <v>113869</v>
      </c>
      <c r="E173" s="37">
        <v>18192</v>
      </c>
      <c r="F173" s="38">
        <v>45420</v>
      </c>
      <c r="G173" s="39">
        <v>0.52708333333333335</v>
      </c>
      <c r="H173" s="45" t="s">
        <v>45</v>
      </c>
      <c r="I173" s="37" t="s">
        <v>78</v>
      </c>
      <c r="J173" s="40" t="s">
        <v>232</v>
      </c>
      <c r="K173" s="37">
        <v>11</v>
      </c>
    </row>
    <row r="174" spans="1:11" ht="23.5" hidden="1" thickBot="1">
      <c r="A174" s="83" t="s">
        <v>257</v>
      </c>
      <c r="B174" s="38">
        <v>45420</v>
      </c>
      <c r="C174" s="39">
        <v>0.50972222222222219</v>
      </c>
      <c r="D174" s="37">
        <v>113868</v>
      </c>
      <c r="E174" s="37">
        <v>18212</v>
      </c>
      <c r="F174" s="38">
        <v>45420</v>
      </c>
      <c r="G174" s="39">
        <v>0.52500000000000002</v>
      </c>
      <c r="H174" s="45" t="s">
        <v>114</v>
      </c>
      <c r="I174" s="37" t="s">
        <v>176</v>
      </c>
      <c r="J174" s="40" t="s">
        <v>134</v>
      </c>
      <c r="K174" s="37">
        <v>4</v>
      </c>
    </row>
    <row r="175" spans="1:11" ht="23.5" hidden="1" thickBot="1">
      <c r="A175" s="83" t="s">
        <v>257</v>
      </c>
      <c r="B175" s="38">
        <v>45420</v>
      </c>
      <c r="C175" s="39">
        <v>0.50972222222222219</v>
      </c>
      <c r="D175" s="37">
        <v>113868</v>
      </c>
      <c r="E175" s="37">
        <v>18212</v>
      </c>
      <c r="F175" s="38">
        <v>45420</v>
      </c>
      <c r="G175" s="39">
        <v>0.52500000000000002</v>
      </c>
      <c r="H175" s="45" t="s">
        <v>114</v>
      </c>
      <c r="I175" s="37" t="s">
        <v>176</v>
      </c>
      <c r="J175" s="40" t="s">
        <v>115</v>
      </c>
      <c r="K175" s="37">
        <v>8</v>
      </c>
    </row>
    <row r="176" spans="1:11" ht="23.5" hidden="1" thickBot="1">
      <c r="A176" s="83">
        <v>4500119651</v>
      </c>
      <c r="B176" s="38">
        <v>45411</v>
      </c>
      <c r="C176" s="39">
        <v>0.49166666666666664</v>
      </c>
      <c r="D176" s="37">
        <v>113797</v>
      </c>
      <c r="E176" s="37">
        <v>18184</v>
      </c>
      <c r="F176" s="38">
        <v>45412</v>
      </c>
      <c r="G176" s="39">
        <v>0.375</v>
      </c>
      <c r="H176" s="45" t="s">
        <v>6</v>
      </c>
      <c r="I176" s="37" t="s">
        <v>85</v>
      </c>
      <c r="J176" s="40" t="s">
        <v>220</v>
      </c>
      <c r="K176" s="37">
        <v>3</v>
      </c>
    </row>
    <row r="177" spans="1:11" ht="38.5" thickBot="1">
      <c r="A177" s="86">
        <v>10</v>
      </c>
      <c r="B177" s="38">
        <v>45420</v>
      </c>
      <c r="C177" s="39">
        <v>0.58333333333333337</v>
      </c>
      <c r="D177" s="37">
        <v>113877</v>
      </c>
      <c r="E177" s="37">
        <v>18195</v>
      </c>
      <c r="F177" s="38">
        <v>45420</v>
      </c>
      <c r="G177" s="39">
        <v>0.60763888888888884</v>
      </c>
      <c r="H177" s="45" t="s">
        <v>45</v>
      </c>
      <c r="I177" s="37" t="s">
        <v>78</v>
      </c>
      <c r="J177" s="40" t="s">
        <v>112</v>
      </c>
      <c r="K177" s="37">
        <v>1</v>
      </c>
    </row>
    <row r="178" spans="1:11" ht="23.5" hidden="1" thickBot="1">
      <c r="A178" s="83">
        <v>4500069616</v>
      </c>
      <c r="B178" s="38">
        <v>45420</v>
      </c>
      <c r="C178" s="39">
        <v>0.68055555555555558</v>
      </c>
      <c r="D178" s="37">
        <v>113878</v>
      </c>
      <c r="E178" s="37">
        <v>18242</v>
      </c>
      <c r="F178" s="38">
        <v>45421</v>
      </c>
      <c r="G178" s="39">
        <v>0.50069444444444444</v>
      </c>
      <c r="H178" s="45" t="s">
        <v>57</v>
      </c>
      <c r="I178" s="37" t="s">
        <v>83</v>
      </c>
      <c r="J178" s="40" t="s">
        <v>218</v>
      </c>
      <c r="K178" s="37">
        <v>10</v>
      </c>
    </row>
    <row r="179" spans="1:11" ht="23.5" hidden="1" thickBot="1">
      <c r="A179" s="83">
        <v>4500069616</v>
      </c>
      <c r="B179" s="38">
        <v>45420</v>
      </c>
      <c r="C179" s="39">
        <v>0.68055555555555558</v>
      </c>
      <c r="D179" s="37">
        <v>113878</v>
      </c>
      <c r="E179" s="37">
        <v>18242</v>
      </c>
      <c r="F179" s="38">
        <v>45421</v>
      </c>
      <c r="G179" s="39">
        <v>0.50069444444444444</v>
      </c>
      <c r="H179" s="45" t="s">
        <v>57</v>
      </c>
      <c r="I179" s="37" t="s">
        <v>83</v>
      </c>
      <c r="J179" s="40" t="s">
        <v>151</v>
      </c>
      <c r="K179" s="37">
        <v>16</v>
      </c>
    </row>
    <row r="180" spans="1:11" ht="35" hidden="1" thickBot="1">
      <c r="A180" s="83">
        <v>4500069616</v>
      </c>
      <c r="B180" s="38">
        <v>45420</v>
      </c>
      <c r="C180" s="39">
        <v>0.68055555555555558</v>
      </c>
      <c r="D180" s="37">
        <v>113878</v>
      </c>
      <c r="E180" s="37">
        <v>18242</v>
      </c>
      <c r="F180" s="38">
        <v>45421</v>
      </c>
      <c r="G180" s="39">
        <v>0.50069444444444444</v>
      </c>
      <c r="H180" s="45" t="s">
        <v>57</v>
      </c>
      <c r="I180" s="37" t="s">
        <v>83</v>
      </c>
      <c r="J180" s="40" t="s">
        <v>143</v>
      </c>
      <c r="K180" s="37">
        <v>14</v>
      </c>
    </row>
    <row r="181" spans="1:11" ht="23.5" hidden="1" thickBot="1">
      <c r="A181" s="51">
        <v>941584</v>
      </c>
      <c r="B181" s="38">
        <v>45420</v>
      </c>
      <c r="C181" s="39">
        <v>0.74097222222222225</v>
      </c>
      <c r="D181" s="37">
        <v>113879</v>
      </c>
      <c r="E181" s="37">
        <v>18221</v>
      </c>
      <c r="F181" s="38">
        <v>45421</v>
      </c>
      <c r="G181" s="39">
        <v>0.50069444444444444</v>
      </c>
      <c r="H181" s="45" t="s">
        <v>38</v>
      </c>
      <c r="I181" s="37" t="s">
        <v>85</v>
      </c>
      <c r="J181" s="40" t="s">
        <v>116</v>
      </c>
      <c r="K181" s="37">
        <v>1</v>
      </c>
    </row>
    <row r="182" spans="1:11" ht="35" thickBot="1">
      <c r="A182" s="86">
        <v>11</v>
      </c>
      <c r="B182" s="38">
        <v>45421</v>
      </c>
      <c r="C182" s="39">
        <v>0.25694444444444442</v>
      </c>
      <c r="D182" s="37">
        <v>113880</v>
      </c>
      <c r="E182" s="37">
        <v>18342</v>
      </c>
      <c r="F182" s="38">
        <v>45421</v>
      </c>
      <c r="G182" s="39">
        <v>0.50069444444444444</v>
      </c>
      <c r="H182" s="45" t="s">
        <v>219</v>
      </c>
      <c r="I182" s="37" t="s">
        <v>78</v>
      </c>
      <c r="J182" s="40" t="s">
        <v>214</v>
      </c>
      <c r="K182" s="37">
        <v>1</v>
      </c>
    </row>
    <row r="183" spans="1:11" ht="23.5" hidden="1" thickBot="1">
      <c r="A183" s="72">
        <v>941974</v>
      </c>
      <c r="B183" s="52">
        <v>45421</v>
      </c>
      <c r="C183" s="53">
        <v>0.4284722222222222</v>
      </c>
      <c r="D183" s="54">
        <v>113881</v>
      </c>
      <c r="E183" s="54">
        <v>18219</v>
      </c>
      <c r="F183" s="52">
        <v>45421</v>
      </c>
      <c r="G183" s="53">
        <v>0.50069444444444444</v>
      </c>
      <c r="H183" s="55" t="s">
        <v>38</v>
      </c>
      <c r="I183" s="54" t="s">
        <v>142</v>
      </c>
      <c r="J183" s="56" t="s">
        <v>116</v>
      </c>
      <c r="K183" s="54">
        <v>4</v>
      </c>
    </row>
    <row r="184" spans="1:11" ht="26" thickBot="1">
      <c r="A184" s="86">
        <v>12</v>
      </c>
      <c r="B184" s="38">
        <v>45421</v>
      </c>
      <c r="C184" s="39">
        <v>0.49375000000000002</v>
      </c>
      <c r="D184" s="37">
        <v>113882</v>
      </c>
      <c r="E184" s="37">
        <v>18207</v>
      </c>
      <c r="F184" s="38">
        <v>45421</v>
      </c>
      <c r="G184" s="39">
        <v>0.50069444444444444</v>
      </c>
      <c r="H184" s="45" t="s">
        <v>30</v>
      </c>
      <c r="I184" s="37" t="s">
        <v>79</v>
      </c>
      <c r="J184" s="40" t="s">
        <v>161</v>
      </c>
      <c r="K184" s="37">
        <v>3</v>
      </c>
    </row>
    <row r="185" spans="1:11" ht="26" thickBot="1">
      <c r="A185" s="86">
        <v>12</v>
      </c>
      <c r="B185" s="38">
        <v>45421</v>
      </c>
      <c r="C185" s="39">
        <v>0.49375000000000002</v>
      </c>
      <c r="D185" s="37">
        <v>113882</v>
      </c>
      <c r="E185" s="37">
        <v>18207</v>
      </c>
      <c r="F185" s="38">
        <v>45421</v>
      </c>
      <c r="G185" s="39">
        <v>0.50069444444444444</v>
      </c>
      <c r="H185" s="45" t="s">
        <v>30</v>
      </c>
      <c r="I185" s="37" t="s">
        <v>79</v>
      </c>
      <c r="J185" s="40" t="s">
        <v>111</v>
      </c>
      <c r="K185" s="37">
        <v>2</v>
      </c>
    </row>
    <row r="186" spans="1:11" ht="35" hidden="1" thickBot="1">
      <c r="A186" s="83">
        <v>104</v>
      </c>
      <c r="B186" s="38">
        <v>45421</v>
      </c>
      <c r="C186" s="39">
        <v>0.47013888888888888</v>
      </c>
      <c r="D186" s="37">
        <v>113883</v>
      </c>
      <c r="E186" s="37">
        <v>18363</v>
      </c>
      <c r="F186" s="38">
        <v>45421</v>
      </c>
      <c r="G186" s="39">
        <v>0.50069444444444444</v>
      </c>
      <c r="H186" s="45" t="s">
        <v>258</v>
      </c>
      <c r="I186" s="37" t="s">
        <v>78</v>
      </c>
      <c r="J186" s="40" t="s">
        <v>207</v>
      </c>
      <c r="K186" s="37">
        <v>6</v>
      </c>
    </row>
    <row r="187" spans="1:11" ht="35" hidden="1" thickBot="1">
      <c r="A187" s="83">
        <v>104</v>
      </c>
      <c r="B187" s="38">
        <v>45421</v>
      </c>
      <c r="C187" s="39">
        <v>0.47013888888888888</v>
      </c>
      <c r="D187" s="37">
        <v>113883</v>
      </c>
      <c r="E187" s="37">
        <v>18363</v>
      </c>
      <c r="F187" s="38">
        <v>45421</v>
      </c>
      <c r="G187" s="39">
        <v>0.50069444444444444</v>
      </c>
      <c r="H187" s="45" t="s">
        <v>258</v>
      </c>
      <c r="I187" s="37" t="s">
        <v>78</v>
      </c>
      <c r="J187" s="40" t="s">
        <v>230</v>
      </c>
      <c r="K187" s="37">
        <v>3</v>
      </c>
    </row>
    <row r="188" spans="1:11" ht="35" hidden="1" thickBot="1">
      <c r="A188" s="51">
        <v>942360</v>
      </c>
      <c r="B188" s="38">
        <v>45421</v>
      </c>
      <c r="C188" s="39">
        <v>0.65694444444444444</v>
      </c>
      <c r="D188" s="37">
        <v>113887</v>
      </c>
      <c r="E188" s="37">
        <v>18228</v>
      </c>
      <c r="F188" s="38">
        <v>45422</v>
      </c>
      <c r="G188" s="39">
        <v>0.45694444444444443</v>
      </c>
      <c r="H188" s="45" t="s">
        <v>30</v>
      </c>
      <c r="I188" s="37" t="s">
        <v>84</v>
      </c>
      <c r="J188" s="40" t="s">
        <v>143</v>
      </c>
      <c r="K188" s="37">
        <v>20</v>
      </c>
    </row>
    <row r="189" spans="1:11" ht="76" hidden="1" thickBot="1">
      <c r="A189" s="83" t="s">
        <v>259</v>
      </c>
      <c r="B189" s="38">
        <v>45421</v>
      </c>
      <c r="C189" s="39">
        <v>0.68125000000000002</v>
      </c>
      <c r="D189" s="37">
        <v>113888</v>
      </c>
      <c r="E189" s="37">
        <v>18239</v>
      </c>
      <c r="F189" s="38">
        <v>45422</v>
      </c>
      <c r="G189" s="39">
        <v>0.45763888888888887</v>
      </c>
      <c r="H189" s="45" t="s">
        <v>193</v>
      </c>
      <c r="I189" s="37" t="s">
        <v>141</v>
      </c>
      <c r="J189" s="40" t="s">
        <v>153</v>
      </c>
      <c r="K189" s="37">
        <v>6</v>
      </c>
    </row>
    <row r="190" spans="1:11" ht="76" hidden="1" thickBot="1">
      <c r="A190" s="83" t="s">
        <v>259</v>
      </c>
      <c r="B190" s="38">
        <v>45421</v>
      </c>
      <c r="C190" s="39">
        <v>0.68125000000000002</v>
      </c>
      <c r="D190" s="37">
        <v>113888</v>
      </c>
      <c r="E190" s="37">
        <v>18239</v>
      </c>
      <c r="F190" s="38">
        <v>45422</v>
      </c>
      <c r="G190" s="39">
        <v>0.45763888888888887</v>
      </c>
      <c r="H190" s="45" t="s">
        <v>193</v>
      </c>
      <c r="I190" s="37" t="s">
        <v>141</v>
      </c>
      <c r="J190" s="40" t="s">
        <v>145</v>
      </c>
      <c r="K190" s="37">
        <v>28</v>
      </c>
    </row>
    <row r="191" spans="1:11" ht="76" hidden="1" thickBot="1">
      <c r="A191" s="83" t="s">
        <v>259</v>
      </c>
      <c r="B191" s="38">
        <v>45421</v>
      </c>
      <c r="C191" s="39">
        <v>0.68125000000000002</v>
      </c>
      <c r="D191" s="37">
        <v>113888</v>
      </c>
      <c r="E191" s="37">
        <v>18239</v>
      </c>
      <c r="F191" s="38">
        <v>45422</v>
      </c>
      <c r="G191" s="39">
        <v>0.45763888888888887</v>
      </c>
      <c r="H191" s="45" t="s">
        <v>193</v>
      </c>
      <c r="I191" s="37" t="s">
        <v>141</v>
      </c>
      <c r="J191" s="40" t="s">
        <v>194</v>
      </c>
      <c r="K191" s="37">
        <v>8</v>
      </c>
    </row>
    <row r="192" spans="1:11" ht="51" hidden="1" thickBot="1">
      <c r="A192" s="83" t="s">
        <v>260</v>
      </c>
      <c r="B192" s="38">
        <v>45421</v>
      </c>
      <c r="C192" s="39">
        <v>0.6479166666666667</v>
      </c>
      <c r="D192" s="37">
        <v>113884</v>
      </c>
      <c r="E192" s="37">
        <v>18223</v>
      </c>
      <c r="F192" s="38">
        <v>45422</v>
      </c>
      <c r="G192" s="39">
        <v>0.34375</v>
      </c>
      <c r="H192" s="45" t="s">
        <v>169</v>
      </c>
      <c r="I192" s="37" t="s">
        <v>170</v>
      </c>
      <c r="J192" s="40" t="s">
        <v>140</v>
      </c>
      <c r="K192" s="37">
        <v>10</v>
      </c>
    </row>
    <row r="193" spans="1:11" ht="51" hidden="1" thickBot="1">
      <c r="A193" s="83" t="s">
        <v>260</v>
      </c>
      <c r="B193" s="38">
        <v>45421</v>
      </c>
      <c r="C193" s="39">
        <v>0.6479166666666667</v>
      </c>
      <c r="D193" s="37">
        <v>113884</v>
      </c>
      <c r="E193" s="37">
        <v>18223</v>
      </c>
      <c r="F193" s="38">
        <v>45422</v>
      </c>
      <c r="G193" s="39">
        <v>0.34375</v>
      </c>
      <c r="H193" s="45" t="s">
        <v>169</v>
      </c>
      <c r="I193" s="37" t="s">
        <v>170</v>
      </c>
      <c r="J193" s="40" t="s">
        <v>111</v>
      </c>
      <c r="K193" s="37">
        <v>1</v>
      </c>
    </row>
    <row r="194" spans="1:11" ht="38.5" hidden="1" thickBot="1">
      <c r="A194" s="83">
        <v>135</v>
      </c>
      <c r="B194" s="38">
        <v>45422</v>
      </c>
      <c r="C194" s="39">
        <v>0.36805555555555558</v>
      </c>
      <c r="D194" s="37">
        <v>113889</v>
      </c>
      <c r="E194" s="37">
        <v>18241</v>
      </c>
      <c r="F194" s="38">
        <v>45422</v>
      </c>
      <c r="G194" s="39">
        <v>0.45833333333333331</v>
      </c>
      <c r="H194" s="45" t="s">
        <v>173</v>
      </c>
      <c r="I194" s="37" t="s">
        <v>80</v>
      </c>
      <c r="J194" s="40" t="s">
        <v>112</v>
      </c>
      <c r="K194" s="37">
        <v>7</v>
      </c>
    </row>
    <row r="195" spans="1:11" ht="38.5" hidden="1" thickBot="1">
      <c r="A195" s="83">
        <v>135</v>
      </c>
      <c r="B195" s="38">
        <v>45422</v>
      </c>
      <c r="C195" s="39">
        <v>0.36805555555555558</v>
      </c>
      <c r="D195" s="37">
        <v>113889</v>
      </c>
      <c r="E195" s="37">
        <v>18241</v>
      </c>
      <c r="F195" s="38">
        <v>45422</v>
      </c>
      <c r="G195" s="39">
        <v>0.45833333333333331</v>
      </c>
      <c r="H195" s="45" t="s">
        <v>173</v>
      </c>
      <c r="I195" s="37" t="s">
        <v>80</v>
      </c>
      <c r="J195" s="40" t="s">
        <v>194</v>
      </c>
      <c r="K195" s="37">
        <v>1</v>
      </c>
    </row>
    <row r="196" spans="1:11" ht="38.5" hidden="1" thickBot="1">
      <c r="A196" s="83">
        <v>135</v>
      </c>
      <c r="B196" s="38">
        <v>45422</v>
      </c>
      <c r="C196" s="39">
        <v>0.36805555555555558</v>
      </c>
      <c r="D196" s="37">
        <v>113889</v>
      </c>
      <c r="E196" s="37">
        <v>18241</v>
      </c>
      <c r="F196" s="38">
        <v>45422</v>
      </c>
      <c r="G196" s="39">
        <v>0.45833333333333331</v>
      </c>
      <c r="H196" s="45" t="s">
        <v>173</v>
      </c>
      <c r="I196" s="37" t="s">
        <v>80</v>
      </c>
      <c r="J196" s="40" t="s">
        <v>261</v>
      </c>
      <c r="K196" s="37">
        <v>35</v>
      </c>
    </row>
    <row r="197" spans="1:11" ht="38.5" hidden="1" thickBot="1">
      <c r="A197" s="78" t="s">
        <v>262</v>
      </c>
      <c r="B197" s="94">
        <v>45421</v>
      </c>
      <c r="C197" s="95">
        <v>0.92083333333333328</v>
      </c>
      <c r="D197" s="79">
        <v>113886</v>
      </c>
      <c r="E197" s="79">
        <v>18256</v>
      </c>
      <c r="F197" s="94">
        <v>45422</v>
      </c>
      <c r="G197" s="95">
        <v>0.40416666666666667</v>
      </c>
      <c r="H197" s="96" t="s">
        <v>31</v>
      </c>
      <c r="I197" s="79" t="s">
        <v>82</v>
      </c>
      <c r="J197" s="97" t="s">
        <v>112</v>
      </c>
      <c r="K197" s="79">
        <v>160</v>
      </c>
    </row>
    <row r="198" spans="1:11" ht="38.5" hidden="1" thickBot="1">
      <c r="A198" s="78" t="s">
        <v>262</v>
      </c>
      <c r="B198" s="94">
        <v>45421</v>
      </c>
      <c r="C198" s="95">
        <v>0.92083333333333328</v>
      </c>
      <c r="D198" s="79">
        <v>113886</v>
      </c>
      <c r="E198" s="79">
        <v>18256</v>
      </c>
      <c r="F198" s="94">
        <v>45422</v>
      </c>
      <c r="G198" s="95">
        <v>0.40416666666666667</v>
      </c>
      <c r="H198" s="96" t="s">
        <v>31</v>
      </c>
      <c r="I198" s="79" t="s">
        <v>82</v>
      </c>
      <c r="J198" s="97" t="s">
        <v>209</v>
      </c>
      <c r="K198" s="79">
        <v>20</v>
      </c>
    </row>
    <row r="199" spans="1:11" ht="38.5" hidden="1" thickBot="1">
      <c r="A199" s="78" t="s">
        <v>262</v>
      </c>
      <c r="B199" s="94">
        <v>45421</v>
      </c>
      <c r="C199" s="95">
        <v>0.92083333333333328</v>
      </c>
      <c r="D199" s="79">
        <v>113886</v>
      </c>
      <c r="E199" s="79">
        <v>18256</v>
      </c>
      <c r="F199" s="94">
        <v>45422</v>
      </c>
      <c r="G199" s="95">
        <v>0.40416666666666667</v>
      </c>
      <c r="H199" s="96" t="s">
        <v>31</v>
      </c>
      <c r="I199" s="79" t="s">
        <v>82</v>
      </c>
      <c r="J199" s="97" t="s">
        <v>263</v>
      </c>
      <c r="K199" s="79">
        <v>3</v>
      </c>
    </row>
    <row r="200" spans="1:11" ht="38.5" hidden="1" thickBot="1">
      <c r="A200" s="78" t="s">
        <v>262</v>
      </c>
      <c r="B200" s="94">
        <v>45421</v>
      </c>
      <c r="C200" s="95">
        <v>0.92083333333333328</v>
      </c>
      <c r="D200" s="79">
        <v>113886</v>
      </c>
      <c r="E200" s="79">
        <v>18256</v>
      </c>
      <c r="F200" s="94">
        <v>45422</v>
      </c>
      <c r="G200" s="95">
        <v>0.40416666666666667</v>
      </c>
      <c r="H200" s="96" t="s">
        <v>31</v>
      </c>
      <c r="I200" s="79" t="s">
        <v>82</v>
      </c>
      <c r="J200" s="97" t="s">
        <v>115</v>
      </c>
      <c r="K200" s="79">
        <v>16</v>
      </c>
    </row>
    <row r="201" spans="1:11" ht="38.5" hidden="1" thickBot="1">
      <c r="A201" s="78" t="s">
        <v>262</v>
      </c>
      <c r="B201" s="94">
        <v>45421</v>
      </c>
      <c r="C201" s="95">
        <v>0.92083333333333328</v>
      </c>
      <c r="D201" s="79">
        <v>113886</v>
      </c>
      <c r="E201" s="79">
        <v>18256</v>
      </c>
      <c r="F201" s="94">
        <v>45422</v>
      </c>
      <c r="G201" s="95">
        <v>0.40416666666666667</v>
      </c>
      <c r="H201" s="96" t="s">
        <v>31</v>
      </c>
      <c r="I201" s="79" t="s">
        <v>82</v>
      </c>
      <c r="J201" s="97" t="s">
        <v>110</v>
      </c>
      <c r="K201" s="79">
        <v>100</v>
      </c>
    </row>
    <row r="202" spans="1:11" ht="46.5" hidden="1" thickBot="1">
      <c r="A202" s="83">
        <v>4500120228</v>
      </c>
      <c r="B202" s="38">
        <v>45422</v>
      </c>
      <c r="C202" s="39">
        <v>0.40972222222222221</v>
      </c>
      <c r="D202" s="37">
        <v>113890</v>
      </c>
      <c r="E202" s="37">
        <v>18215</v>
      </c>
      <c r="F202" s="38">
        <v>45422</v>
      </c>
      <c r="G202" s="39">
        <v>0.58263888888888893</v>
      </c>
      <c r="H202" s="45" t="s">
        <v>6</v>
      </c>
      <c r="I202" s="37" t="s">
        <v>85</v>
      </c>
      <c r="J202" s="40" t="s">
        <v>145</v>
      </c>
      <c r="K202" s="37">
        <v>24</v>
      </c>
    </row>
    <row r="203" spans="1:11" ht="76" hidden="1" thickBot="1">
      <c r="A203" s="83" t="s">
        <v>264</v>
      </c>
      <c r="B203" s="38">
        <v>45422</v>
      </c>
      <c r="C203" s="39">
        <v>0.51041666666666663</v>
      </c>
      <c r="D203" s="37">
        <v>113892</v>
      </c>
      <c r="E203" s="37">
        <v>18222</v>
      </c>
      <c r="F203" s="38">
        <v>45422</v>
      </c>
      <c r="G203" s="39">
        <v>0.58611111111111114</v>
      </c>
      <c r="H203" s="45" t="s">
        <v>234</v>
      </c>
      <c r="I203" s="37" t="s">
        <v>235</v>
      </c>
      <c r="J203" s="40" t="s">
        <v>207</v>
      </c>
      <c r="K203" s="37">
        <v>24</v>
      </c>
    </row>
    <row r="204" spans="1:11" ht="51" hidden="1" thickBot="1">
      <c r="A204" s="83" t="s">
        <v>265</v>
      </c>
      <c r="B204" s="38">
        <v>45422</v>
      </c>
      <c r="C204" s="39">
        <v>0.53888888888888886</v>
      </c>
      <c r="D204" s="37">
        <v>113891</v>
      </c>
      <c r="E204" s="37">
        <v>18216</v>
      </c>
      <c r="F204" s="38">
        <v>45422</v>
      </c>
      <c r="G204" s="39">
        <v>0.58263888888888893</v>
      </c>
      <c r="H204" s="45" t="s">
        <v>12</v>
      </c>
      <c r="I204" s="37" t="s">
        <v>176</v>
      </c>
      <c r="J204" s="40" t="s">
        <v>230</v>
      </c>
      <c r="K204" s="37">
        <v>15</v>
      </c>
    </row>
    <row r="205" spans="1:11" ht="76" hidden="1" thickBot="1">
      <c r="A205" s="83" t="s">
        <v>266</v>
      </c>
      <c r="B205" s="38">
        <v>45422</v>
      </c>
      <c r="C205" s="39">
        <v>0.62013888888888891</v>
      </c>
      <c r="D205" s="37">
        <v>113896</v>
      </c>
      <c r="E205" s="37">
        <v>18249</v>
      </c>
      <c r="F205" s="38">
        <v>45422</v>
      </c>
      <c r="G205" s="39">
        <v>0.42708333333333331</v>
      </c>
      <c r="H205" s="45" t="s">
        <v>193</v>
      </c>
      <c r="I205" s="37" t="s">
        <v>76</v>
      </c>
      <c r="J205" s="40" t="s">
        <v>263</v>
      </c>
      <c r="K205" s="37">
        <v>1</v>
      </c>
    </row>
    <row r="206" spans="1:11" ht="76" hidden="1" thickBot="1">
      <c r="A206" s="83" t="s">
        <v>266</v>
      </c>
      <c r="B206" s="38">
        <v>45422</v>
      </c>
      <c r="C206" s="39">
        <v>0.62013888888888891</v>
      </c>
      <c r="D206" s="37">
        <v>113896</v>
      </c>
      <c r="E206" s="37">
        <v>18249</v>
      </c>
      <c r="F206" s="38">
        <v>45422</v>
      </c>
      <c r="G206" s="39">
        <v>0.42708333333333331</v>
      </c>
      <c r="H206" s="45" t="s">
        <v>193</v>
      </c>
      <c r="I206" s="37" t="s">
        <v>76</v>
      </c>
      <c r="J206" s="40" t="s">
        <v>151</v>
      </c>
      <c r="K206" s="37">
        <v>7</v>
      </c>
    </row>
    <row r="207" spans="1:11" ht="76" hidden="1" thickBot="1">
      <c r="A207" s="83" t="s">
        <v>266</v>
      </c>
      <c r="B207" s="38">
        <v>45422</v>
      </c>
      <c r="C207" s="39">
        <v>0.62013888888888891</v>
      </c>
      <c r="D207" s="37">
        <v>113896</v>
      </c>
      <c r="E207" s="37">
        <v>18249</v>
      </c>
      <c r="F207" s="38">
        <v>45422</v>
      </c>
      <c r="G207" s="39">
        <v>0.42708333333333331</v>
      </c>
      <c r="H207" s="45" t="s">
        <v>193</v>
      </c>
      <c r="I207" s="37" t="s">
        <v>76</v>
      </c>
      <c r="J207" s="40" t="s">
        <v>145</v>
      </c>
      <c r="K207" s="37">
        <v>60</v>
      </c>
    </row>
    <row r="208" spans="1:11" ht="76" hidden="1" thickBot="1">
      <c r="A208" s="83" t="s">
        <v>266</v>
      </c>
      <c r="B208" s="38">
        <v>45422</v>
      </c>
      <c r="C208" s="39">
        <v>0.62013888888888891</v>
      </c>
      <c r="D208" s="37">
        <v>113896</v>
      </c>
      <c r="E208" s="37">
        <v>18249</v>
      </c>
      <c r="F208" s="38">
        <v>45422</v>
      </c>
      <c r="G208" s="39">
        <v>0.42708333333333331</v>
      </c>
      <c r="H208" s="45" t="s">
        <v>193</v>
      </c>
      <c r="I208" s="37" t="s">
        <v>76</v>
      </c>
      <c r="J208" s="40" t="s">
        <v>194</v>
      </c>
      <c r="K208" s="37">
        <v>24</v>
      </c>
    </row>
    <row r="209" spans="1:11" ht="46.5" hidden="1" thickBot="1">
      <c r="A209" s="91">
        <v>68551</v>
      </c>
      <c r="B209" s="38">
        <v>45422</v>
      </c>
      <c r="C209" s="39">
        <v>0.66736111111111107</v>
      </c>
      <c r="D209" s="37">
        <v>113897</v>
      </c>
      <c r="E209" s="37">
        <v>18238</v>
      </c>
      <c r="F209" s="38">
        <v>45422</v>
      </c>
      <c r="G209" s="39">
        <v>0.42708333333333331</v>
      </c>
      <c r="H209" s="45" t="s">
        <v>231</v>
      </c>
      <c r="I209" s="37" t="s">
        <v>142</v>
      </c>
      <c r="J209" s="40" t="s">
        <v>145</v>
      </c>
      <c r="K209" s="37">
        <v>40</v>
      </c>
    </row>
    <row r="210" spans="1:11" ht="38.5" thickBot="1">
      <c r="A210" s="86">
        <v>14</v>
      </c>
      <c r="B210" s="38">
        <v>45422</v>
      </c>
      <c r="C210" s="39">
        <v>0.72361111111111109</v>
      </c>
      <c r="D210" s="37">
        <v>113899</v>
      </c>
      <c r="E210" s="37">
        <v>18230</v>
      </c>
      <c r="F210" s="38">
        <v>45422</v>
      </c>
      <c r="G210" s="39">
        <v>0.42708333333333331</v>
      </c>
      <c r="H210" s="45" t="s">
        <v>152</v>
      </c>
      <c r="I210" s="37" t="s">
        <v>75</v>
      </c>
      <c r="J210" s="40" t="s">
        <v>151</v>
      </c>
      <c r="K210" s="37">
        <v>6</v>
      </c>
    </row>
    <row r="211" spans="1:11" ht="38.5" hidden="1" thickBot="1">
      <c r="A211" s="83">
        <v>4500309792</v>
      </c>
      <c r="B211" s="38">
        <v>45422</v>
      </c>
      <c r="C211" s="39">
        <v>0.74722222222222223</v>
      </c>
      <c r="D211" s="37">
        <v>113894</v>
      </c>
      <c r="E211" s="37">
        <v>18231</v>
      </c>
      <c r="F211" s="38">
        <v>45426</v>
      </c>
      <c r="G211" s="39">
        <v>0.37708333333333333</v>
      </c>
      <c r="H211" s="45" t="s">
        <v>186</v>
      </c>
      <c r="I211" s="37" t="s">
        <v>187</v>
      </c>
      <c r="J211" s="40" t="s">
        <v>112</v>
      </c>
      <c r="K211" s="37">
        <v>8</v>
      </c>
    </row>
    <row r="212" spans="1:11" ht="26.5" hidden="1" thickBot="1">
      <c r="A212" s="51">
        <v>943326</v>
      </c>
      <c r="B212" s="38">
        <v>45422</v>
      </c>
      <c r="C212" s="39">
        <v>0.81388888888888888</v>
      </c>
      <c r="D212" s="37">
        <v>113900</v>
      </c>
      <c r="E212" s="37">
        <v>18229</v>
      </c>
      <c r="F212" s="38">
        <v>45426</v>
      </c>
      <c r="G212" s="39">
        <v>0.43333333333333335</v>
      </c>
      <c r="H212" s="45" t="s">
        <v>30</v>
      </c>
      <c r="I212" s="37" t="s">
        <v>80</v>
      </c>
      <c r="J212" s="40" t="s">
        <v>140</v>
      </c>
      <c r="K212" s="37">
        <v>15</v>
      </c>
    </row>
    <row r="213" spans="1:11" ht="51" hidden="1" thickBot="1">
      <c r="A213" s="83" t="s">
        <v>267</v>
      </c>
      <c r="B213" s="38">
        <v>45425</v>
      </c>
      <c r="C213" s="39">
        <v>0.41736111111111113</v>
      </c>
      <c r="D213" s="37">
        <v>113895</v>
      </c>
      <c r="E213" s="37">
        <v>18233</v>
      </c>
      <c r="F213" s="38">
        <v>45426</v>
      </c>
      <c r="G213" s="39">
        <v>0.38124999999999998</v>
      </c>
      <c r="H213" s="45" t="s">
        <v>169</v>
      </c>
      <c r="I213" s="37" t="s">
        <v>170</v>
      </c>
      <c r="J213" s="40" t="s">
        <v>140</v>
      </c>
      <c r="K213" s="37">
        <v>13</v>
      </c>
    </row>
    <row r="214" spans="1:11" ht="51" hidden="1" thickBot="1">
      <c r="A214" s="83" t="s">
        <v>267</v>
      </c>
      <c r="B214" s="38">
        <v>45425</v>
      </c>
      <c r="C214" s="39">
        <v>0.41736111111111113</v>
      </c>
      <c r="D214" s="37">
        <v>113895</v>
      </c>
      <c r="E214" s="37">
        <v>18233</v>
      </c>
      <c r="F214" s="38">
        <v>45426</v>
      </c>
      <c r="G214" s="39">
        <v>0.38124999999999998</v>
      </c>
      <c r="H214" s="45" t="s">
        <v>169</v>
      </c>
      <c r="I214" s="37" t="s">
        <v>170</v>
      </c>
      <c r="J214" s="40" t="s">
        <v>111</v>
      </c>
      <c r="K214" s="37">
        <v>4</v>
      </c>
    </row>
    <row r="215" spans="1:11" ht="38.5" thickBot="1">
      <c r="A215" s="86">
        <v>13</v>
      </c>
      <c r="B215" s="38">
        <v>45426</v>
      </c>
      <c r="C215" s="39">
        <v>0.37013888888888891</v>
      </c>
      <c r="D215" s="37">
        <v>113908</v>
      </c>
      <c r="E215" s="37">
        <v>18234</v>
      </c>
      <c r="F215" s="38">
        <v>45426</v>
      </c>
      <c r="G215" s="39">
        <v>0.6381944444444444</v>
      </c>
      <c r="H215" s="45" t="s">
        <v>45</v>
      </c>
      <c r="I215" s="37" t="s">
        <v>78</v>
      </c>
      <c r="J215" s="40" t="s">
        <v>166</v>
      </c>
      <c r="K215" s="37">
        <v>31</v>
      </c>
    </row>
    <row r="216" spans="1:11" ht="38.5" thickBot="1">
      <c r="A216" s="86">
        <v>13</v>
      </c>
      <c r="B216" s="38">
        <v>45426</v>
      </c>
      <c r="C216" s="39">
        <v>0.37013888888888891</v>
      </c>
      <c r="D216" s="37">
        <v>113908</v>
      </c>
      <c r="E216" s="37">
        <v>18234</v>
      </c>
      <c r="F216" s="38">
        <v>45426</v>
      </c>
      <c r="G216" s="39">
        <v>0.6381944444444444</v>
      </c>
      <c r="H216" s="45" t="s">
        <v>45</v>
      </c>
      <c r="I216" s="37" t="s">
        <v>78</v>
      </c>
      <c r="J216" s="40" t="s">
        <v>232</v>
      </c>
      <c r="K216" s="37">
        <v>38</v>
      </c>
    </row>
    <row r="217" spans="1:11" ht="46.5" thickBot="1">
      <c r="A217" s="86">
        <v>15</v>
      </c>
      <c r="B217" s="38">
        <v>45426</v>
      </c>
      <c r="C217" s="39">
        <v>0.44374999999999998</v>
      </c>
      <c r="D217" s="37">
        <v>113904</v>
      </c>
      <c r="E217" s="37">
        <v>18266</v>
      </c>
      <c r="F217" s="38">
        <v>45426</v>
      </c>
      <c r="G217" s="39">
        <v>0.5180555555555556</v>
      </c>
      <c r="H217" s="45" t="s">
        <v>268</v>
      </c>
      <c r="I217" s="37" t="s">
        <v>176</v>
      </c>
      <c r="J217" s="40" t="s">
        <v>145</v>
      </c>
      <c r="K217" s="37">
        <v>20</v>
      </c>
    </row>
    <row r="218" spans="1:11" ht="38.5" hidden="1" thickBot="1">
      <c r="A218" s="83" t="s">
        <v>269</v>
      </c>
      <c r="B218" s="38">
        <v>45426</v>
      </c>
      <c r="C218" s="39">
        <v>0.45763888888888887</v>
      </c>
      <c r="D218" s="37">
        <v>113902</v>
      </c>
      <c r="E218" s="37">
        <v>18235</v>
      </c>
      <c r="F218" s="38">
        <v>45426</v>
      </c>
      <c r="G218" s="39">
        <v>0.51249999999999996</v>
      </c>
      <c r="H218" s="45" t="s">
        <v>54</v>
      </c>
      <c r="I218" s="37" t="s">
        <v>75</v>
      </c>
      <c r="J218" s="40" t="s">
        <v>221</v>
      </c>
      <c r="K218" s="37">
        <v>20</v>
      </c>
    </row>
    <row r="219" spans="1:11" ht="38.5" hidden="1" thickBot="1">
      <c r="A219" s="83" t="s">
        <v>269</v>
      </c>
      <c r="B219" s="38">
        <v>45426</v>
      </c>
      <c r="C219" s="39">
        <v>0.45763888888888887</v>
      </c>
      <c r="D219" s="37">
        <v>113902</v>
      </c>
      <c r="E219" s="37">
        <v>18235</v>
      </c>
      <c r="F219" s="38">
        <v>45426</v>
      </c>
      <c r="G219" s="39">
        <v>0.51249999999999996</v>
      </c>
      <c r="H219" s="45" t="s">
        <v>54</v>
      </c>
      <c r="I219" s="37" t="s">
        <v>75</v>
      </c>
      <c r="J219" s="40" t="s">
        <v>113</v>
      </c>
      <c r="K219" s="37">
        <v>3</v>
      </c>
    </row>
    <row r="220" spans="1:11" ht="38.5" hidden="1" thickBot="1">
      <c r="A220" s="83" t="s">
        <v>269</v>
      </c>
      <c r="B220" s="38">
        <v>45426</v>
      </c>
      <c r="C220" s="39">
        <v>0.45763888888888887</v>
      </c>
      <c r="D220" s="37">
        <v>113902</v>
      </c>
      <c r="E220" s="37">
        <v>18235</v>
      </c>
      <c r="F220" s="38">
        <v>45426</v>
      </c>
      <c r="G220" s="39">
        <v>0.51249999999999996</v>
      </c>
      <c r="H220" s="45" t="s">
        <v>54</v>
      </c>
      <c r="I220" s="37" t="s">
        <v>75</v>
      </c>
      <c r="J220" s="40" t="s">
        <v>194</v>
      </c>
      <c r="K220" s="37">
        <v>5</v>
      </c>
    </row>
    <row r="221" spans="1:11" ht="38.5" hidden="1" thickBot="1">
      <c r="A221" s="83" t="s">
        <v>269</v>
      </c>
      <c r="B221" s="38">
        <v>45426</v>
      </c>
      <c r="C221" s="39">
        <v>0.45763888888888887</v>
      </c>
      <c r="D221" s="37">
        <v>113902</v>
      </c>
      <c r="E221" s="37">
        <v>18235</v>
      </c>
      <c r="F221" s="38">
        <v>45426</v>
      </c>
      <c r="G221" s="39">
        <v>0.51249999999999996</v>
      </c>
      <c r="H221" s="45" t="s">
        <v>54</v>
      </c>
      <c r="I221" s="37" t="s">
        <v>75</v>
      </c>
      <c r="J221" s="40" t="s">
        <v>112</v>
      </c>
      <c r="K221" s="37">
        <v>20</v>
      </c>
    </row>
    <row r="222" spans="1:11" ht="76" hidden="1" thickBot="1">
      <c r="A222" s="83" t="s">
        <v>270</v>
      </c>
      <c r="B222" s="38">
        <v>45426</v>
      </c>
      <c r="C222" s="39">
        <v>0.49444444444444446</v>
      </c>
      <c r="D222" s="37">
        <v>113905</v>
      </c>
      <c r="E222" s="37">
        <v>18248</v>
      </c>
      <c r="F222" s="38">
        <v>45426</v>
      </c>
      <c r="G222" s="39">
        <v>0.51875000000000004</v>
      </c>
      <c r="H222" s="45" t="s">
        <v>193</v>
      </c>
      <c r="I222" s="37" t="s">
        <v>76</v>
      </c>
      <c r="J222" s="40" t="s">
        <v>158</v>
      </c>
      <c r="K222" s="37">
        <v>1</v>
      </c>
    </row>
    <row r="223" spans="1:11" ht="38.5" hidden="1" thickBot="1">
      <c r="A223" s="78" t="s">
        <v>320</v>
      </c>
      <c r="B223" s="94">
        <v>45426</v>
      </c>
      <c r="C223" s="95">
        <v>0.36249999999999999</v>
      </c>
      <c r="D223" s="79">
        <v>113903</v>
      </c>
      <c r="E223" s="79">
        <v>18322</v>
      </c>
      <c r="F223" s="94">
        <v>45426</v>
      </c>
      <c r="G223" s="95">
        <v>0.51666666666666672</v>
      </c>
      <c r="H223" s="96" t="s">
        <v>319</v>
      </c>
      <c r="I223" s="79" t="s">
        <v>271</v>
      </c>
      <c r="J223" s="97" t="s">
        <v>112</v>
      </c>
      <c r="K223" s="79">
        <v>80</v>
      </c>
    </row>
    <row r="224" spans="1:11" ht="35" thickBot="1">
      <c r="A224" s="86">
        <v>16</v>
      </c>
      <c r="B224" s="38">
        <v>45426</v>
      </c>
      <c r="C224" s="39">
        <v>0.51111111111111107</v>
      </c>
      <c r="D224" s="37">
        <v>113906</v>
      </c>
      <c r="E224" s="37">
        <v>18270</v>
      </c>
      <c r="F224" s="38">
        <v>45426</v>
      </c>
      <c r="G224" s="39">
        <v>0.59791666666666665</v>
      </c>
      <c r="H224" s="45" t="s">
        <v>177</v>
      </c>
      <c r="I224" s="37" t="s">
        <v>139</v>
      </c>
      <c r="J224" s="40" t="s">
        <v>226</v>
      </c>
      <c r="K224" s="37">
        <v>2</v>
      </c>
    </row>
    <row r="225" spans="1:11" ht="76" hidden="1" thickBot="1">
      <c r="A225" s="83" t="s">
        <v>272</v>
      </c>
      <c r="B225" s="38">
        <v>45426</v>
      </c>
      <c r="C225" s="39">
        <v>0.58888888888888891</v>
      </c>
      <c r="D225" s="37">
        <v>113907</v>
      </c>
      <c r="E225" s="37">
        <v>18244</v>
      </c>
      <c r="F225" s="38">
        <v>45426</v>
      </c>
      <c r="G225" s="39">
        <v>0.60347222222222219</v>
      </c>
      <c r="H225" s="45" t="s">
        <v>193</v>
      </c>
      <c r="I225" s="37" t="s">
        <v>141</v>
      </c>
      <c r="J225" s="40" t="s">
        <v>113</v>
      </c>
      <c r="K225" s="37">
        <v>15</v>
      </c>
    </row>
    <row r="226" spans="1:11" ht="38.5" thickBot="1">
      <c r="A226" s="86">
        <v>17</v>
      </c>
      <c r="B226" s="38">
        <v>45426</v>
      </c>
      <c r="C226" s="39">
        <v>0.64513888888888893</v>
      </c>
      <c r="D226" s="37">
        <v>113909</v>
      </c>
      <c r="E226" s="37">
        <v>18234</v>
      </c>
      <c r="F226" s="38">
        <v>45426</v>
      </c>
      <c r="G226" s="39">
        <v>0.66041666666666665</v>
      </c>
      <c r="H226" s="45" t="s">
        <v>45</v>
      </c>
      <c r="I226" s="37" t="s">
        <v>78</v>
      </c>
      <c r="J226" s="40" t="s">
        <v>166</v>
      </c>
      <c r="K226" s="37">
        <v>12</v>
      </c>
    </row>
    <row r="227" spans="1:11" ht="38.5" thickBot="1">
      <c r="A227" s="86">
        <v>18</v>
      </c>
      <c r="B227" s="38">
        <v>45426</v>
      </c>
      <c r="C227" s="39">
        <v>0.64513888888888893</v>
      </c>
      <c r="D227" s="37">
        <v>113909</v>
      </c>
      <c r="E227" s="37">
        <v>18234</v>
      </c>
      <c r="F227" s="38">
        <v>45426</v>
      </c>
      <c r="G227" s="39">
        <v>0.66041666666666665</v>
      </c>
      <c r="H227" s="45" t="s">
        <v>45</v>
      </c>
      <c r="I227" s="37" t="s">
        <v>78</v>
      </c>
      <c r="J227" s="40" t="s">
        <v>232</v>
      </c>
      <c r="K227" s="37">
        <v>8</v>
      </c>
    </row>
    <row r="228" spans="1:11" ht="46.5" hidden="1" thickBot="1">
      <c r="A228" s="83">
        <v>4500309919</v>
      </c>
      <c r="B228" s="38">
        <v>45426</v>
      </c>
      <c r="C228" s="39">
        <v>0.66805555555555551</v>
      </c>
      <c r="D228" s="37">
        <v>113910</v>
      </c>
      <c r="E228" s="37">
        <v>18328</v>
      </c>
      <c r="F228" s="38">
        <v>45427</v>
      </c>
      <c r="G228" s="39">
        <v>0.38263888888888886</v>
      </c>
      <c r="H228" s="45" t="s">
        <v>159</v>
      </c>
      <c r="I228" s="37" t="s">
        <v>142</v>
      </c>
      <c r="J228" s="40" t="s">
        <v>145</v>
      </c>
      <c r="K228" s="37">
        <v>40</v>
      </c>
    </row>
    <row r="229" spans="1:11" ht="26" hidden="1" thickBot="1">
      <c r="A229" s="75">
        <v>944280</v>
      </c>
      <c r="B229" s="58">
        <v>45426</v>
      </c>
      <c r="C229" s="59">
        <v>0.71875</v>
      </c>
      <c r="D229" s="57">
        <v>113914</v>
      </c>
      <c r="E229" s="57">
        <v>18251</v>
      </c>
      <c r="F229" s="58">
        <v>45427</v>
      </c>
      <c r="G229" s="59">
        <v>0.48194444444444445</v>
      </c>
      <c r="H229" s="61" t="s">
        <v>30</v>
      </c>
      <c r="I229" s="57" t="s">
        <v>84</v>
      </c>
      <c r="J229" s="62" t="s">
        <v>116</v>
      </c>
      <c r="K229" s="57">
        <v>1</v>
      </c>
    </row>
    <row r="230" spans="1:11" ht="38.5" hidden="1" thickBot="1">
      <c r="A230" s="83" t="s">
        <v>273</v>
      </c>
      <c r="B230" s="38">
        <v>45426</v>
      </c>
      <c r="C230" s="39">
        <v>0.74722222222222223</v>
      </c>
      <c r="D230" s="37">
        <v>113915</v>
      </c>
      <c r="E230" s="37">
        <v>18245</v>
      </c>
      <c r="F230" s="38">
        <v>45427</v>
      </c>
      <c r="G230" s="39">
        <v>0.48194444444444445</v>
      </c>
      <c r="H230" s="45" t="s">
        <v>119</v>
      </c>
      <c r="I230" s="37" t="s">
        <v>246</v>
      </c>
      <c r="J230" s="40" t="s">
        <v>226</v>
      </c>
      <c r="K230" s="37">
        <v>4</v>
      </c>
    </row>
    <row r="231" spans="1:11" ht="38.5" hidden="1" thickBot="1">
      <c r="A231" s="83" t="s">
        <v>273</v>
      </c>
      <c r="B231" s="38">
        <v>45426</v>
      </c>
      <c r="C231" s="39">
        <v>0.74722222222222223</v>
      </c>
      <c r="D231" s="37">
        <v>113915</v>
      </c>
      <c r="E231" s="37">
        <v>18245</v>
      </c>
      <c r="F231" s="38">
        <v>45427</v>
      </c>
      <c r="G231" s="39">
        <v>0.48194444444444445</v>
      </c>
      <c r="H231" s="45" t="s">
        <v>119</v>
      </c>
      <c r="I231" s="37" t="s">
        <v>246</v>
      </c>
      <c r="J231" s="40" t="s">
        <v>153</v>
      </c>
      <c r="K231" s="37">
        <v>4</v>
      </c>
    </row>
    <row r="232" spans="1:11" ht="38.5" hidden="1" thickBot="1">
      <c r="A232" s="83" t="s">
        <v>274</v>
      </c>
      <c r="B232" s="38">
        <v>45426</v>
      </c>
      <c r="C232" s="39">
        <v>0.74722222222222223</v>
      </c>
      <c r="D232" s="37">
        <v>113911</v>
      </c>
      <c r="E232" s="37">
        <v>18263</v>
      </c>
      <c r="F232" s="38">
        <v>45427</v>
      </c>
      <c r="G232" s="39">
        <v>0.38819444444444445</v>
      </c>
      <c r="H232" s="45" t="s">
        <v>183</v>
      </c>
      <c r="I232" s="37" t="s">
        <v>82</v>
      </c>
      <c r="J232" s="40" t="s">
        <v>194</v>
      </c>
      <c r="K232" s="37">
        <v>6</v>
      </c>
    </row>
    <row r="233" spans="1:11" ht="46.5" hidden="1" thickBot="1">
      <c r="A233" s="83" t="s">
        <v>275</v>
      </c>
      <c r="B233" s="38">
        <v>45426</v>
      </c>
      <c r="C233" s="39">
        <v>0.77569444444444446</v>
      </c>
      <c r="D233" s="37">
        <v>113916</v>
      </c>
      <c r="E233" s="37">
        <v>18246</v>
      </c>
      <c r="F233" s="38">
        <v>45427</v>
      </c>
      <c r="G233" s="39">
        <v>0.4826388888888889</v>
      </c>
      <c r="H233" s="45" t="s">
        <v>119</v>
      </c>
      <c r="I233" s="37" t="s">
        <v>246</v>
      </c>
      <c r="J233" s="40" t="s">
        <v>145</v>
      </c>
      <c r="K233" s="37">
        <v>10</v>
      </c>
    </row>
    <row r="234" spans="1:11" ht="46.5" hidden="1" thickBot="1">
      <c r="A234" s="83" t="s">
        <v>276</v>
      </c>
      <c r="B234" s="38">
        <v>45427</v>
      </c>
      <c r="C234" s="39">
        <v>0.30208333333333331</v>
      </c>
      <c r="D234" s="37">
        <v>113912</v>
      </c>
      <c r="E234" s="37">
        <v>18247</v>
      </c>
      <c r="F234" s="38">
        <v>45427</v>
      </c>
      <c r="G234" s="39">
        <v>0.39444444444444443</v>
      </c>
      <c r="H234" s="45" t="s">
        <v>144</v>
      </c>
      <c r="I234" s="37" t="s">
        <v>88</v>
      </c>
      <c r="J234" s="40" t="s">
        <v>145</v>
      </c>
      <c r="K234" s="37">
        <v>8</v>
      </c>
    </row>
    <row r="235" spans="1:11" ht="76" hidden="1" thickBot="1">
      <c r="A235" s="83" t="s">
        <v>277</v>
      </c>
      <c r="B235" s="38">
        <v>45427</v>
      </c>
      <c r="C235" s="39">
        <v>0.31736111111111109</v>
      </c>
      <c r="D235" s="37">
        <v>113924</v>
      </c>
      <c r="E235" s="37">
        <v>18250</v>
      </c>
      <c r="F235" s="38">
        <v>45427</v>
      </c>
      <c r="G235" s="39">
        <v>0.58333333333333337</v>
      </c>
      <c r="H235" s="45" t="s">
        <v>193</v>
      </c>
      <c r="I235" s="37" t="s">
        <v>79</v>
      </c>
      <c r="J235" s="40" t="s">
        <v>153</v>
      </c>
      <c r="K235" s="37">
        <v>4</v>
      </c>
    </row>
    <row r="236" spans="1:11" ht="23.5" hidden="1" thickBot="1">
      <c r="A236" s="83">
        <v>944590</v>
      </c>
      <c r="B236" s="38">
        <v>45427</v>
      </c>
      <c r="C236" s="39">
        <v>0.32361111111111113</v>
      </c>
      <c r="D236" s="37">
        <v>113923</v>
      </c>
      <c r="E236" s="37">
        <v>18258</v>
      </c>
      <c r="F236" s="38">
        <v>45427</v>
      </c>
      <c r="G236" s="39">
        <v>0.59305555555555556</v>
      </c>
      <c r="H236" s="40" t="s">
        <v>38</v>
      </c>
      <c r="I236" s="37" t="s">
        <v>82</v>
      </c>
      <c r="J236" s="40" t="s">
        <v>116</v>
      </c>
      <c r="K236" s="37">
        <v>4</v>
      </c>
    </row>
    <row r="237" spans="1:11" ht="23.5" hidden="1" thickBot="1">
      <c r="A237" s="83">
        <v>607</v>
      </c>
      <c r="B237" s="38">
        <v>45427</v>
      </c>
      <c r="C237" s="39">
        <v>0.35069444444444442</v>
      </c>
      <c r="D237" s="37">
        <v>113922</v>
      </c>
      <c r="E237" s="37">
        <v>18262</v>
      </c>
      <c r="F237" s="38">
        <v>45427</v>
      </c>
      <c r="G237" s="39">
        <v>0.59305555555555556</v>
      </c>
      <c r="H237" s="40" t="s">
        <v>163</v>
      </c>
      <c r="I237" s="37" t="s">
        <v>83</v>
      </c>
      <c r="J237" s="40" t="s">
        <v>151</v>
      </c>
      <c r="K237" s="37">
        <v>3</v>
      </c>
    </row>
    <row r="238" spans="1:11" ht="23.5" hidden="1" thickBot="1">
      <c r="A238" s="83">
        <v>944666</v>
      </c>
      <c r="B238" s="38">
        <v>45427</v>
      </c>
      <c r="C238" s="39">
        <v>0.36875000000000002</v>
      </c>
      <c r="D238" s="37">
        <v>113921</v>
      </c>
      <c r="E238" s="37">
        <v>18255</v>
      </c>
      <c r="F238" s="38">
        <v>45427</v>
      </c>
      <c r="G238" s="39">
        <v>0.59305555555555556</v>
      </c>
      <c r="H238" s="40" t="s">
        <v>30</v>
      </c>
      <c r="I238" s="37" t="s">
        <v>79</v>
      </c>
      <c r="J238" s="40" t="s">
        <v>112</v>
      </c>
      <c r="K238" s="37">
        <v>12</v>
      </c>
    </row>
    <row r="239" spans="1:11" ht="23.5" hidden="1" thickBot="1">
      <c r="A239" s="83">
        <v>944666</v>
      </c>
      <c r="B239" s="38">
        <v>45427</v>
      </c>
      <c r="C239" s="39">
        <v>0.36875000000000002</v>
      </c>
      <c r="D239" s="37">
        <v>113921</v>
      </c>
      <c r="E239" s="37">
        <v>18255</v>
      </c>
      <c r="F239" s="38">
        <v>45427</v>
      </c>
      <c r="G239" s="39">
        <v>0.59305555555555556</v>
      </c>
      <c r="H239" s="40" t="s">
        <v>30</v>
      </c>
      <c r="I239" s="37" t="s">
        <v>79</v>
      </c>
      <c r="J239" s="40" t="s">
        <v>113</v>
      </c>
      <c r="K239" s="37">
        <v>5</v>
      </c>
    </row>
    <row r="240" spans="1:11" ht="23.5" hidden="1" thickBot="1">
      <c r="A240" s="83">
        <v>944673</v>
      </c>
      <c r="B240" s="38">
        <v>45427</v>
      </c>
      <c r="C240" s="39">
        <v>0.37638888888888888</v>
      </c>
      <c r="D240" s="37">
        <v>113920</v>
      </c>
      <c r="E240" s="37">
        <v>18254</v>
      </c>
      <c r="F240" s="38">
        <v>45427</v>
      </c>
      <c r="G240" s="39">
        <v>0.59305555555555556</v>
      </c>
      <c r="H240" s="40" t="s">
        <v>30</v>
      </c>
      <c r="I240" s="37" t="s">
        <v>79</v>
      </c>
      <c r="J240" s="40" t="s">
        <v>112</v>
      </c>
      <c r="K240" s="37">
        <v>8</v>
      </c>
    </row>
    <row r="241" spans="1:11" ht="23.5" hidden="1" thickBot="1">
      <c r="A241" s="83">
        <v>4500069720</v>
      </c>
      <c r="B241" s="38">
        <v>45427</v>
      </c>
      <c r="C241" s="39">
        <v>0.38263888888888886</v>
      </c>
      <c r="D241" s="37">
        <v>113919</v>
      </c>
      <c r="E241" s="37">
        <v>18267</v>
      </c>
      <c r="F241" s="38">
        <v>45427</v>
      </c>
      <c r="G241" s="39">
        <v>0.59305555555555556</v>
      </c>
      <c r="H241" s="40" t="s">
        <v>57</v>
      </c>
      <c r="I241" s="37" t="s">
        <v>80</v>
      </c>
      <c r="J241" s="40" t="s">
        <v>194</v>
      </c>
      <c r="K241" s="37">
        <v>4</v>
      </c>
    </row>
    <row r="242" spans="1:11" ht="23.5" hidden="1" thickBot="1">
      <c r="A242" s="83">
        <v>4500069720</v>
      </c>
      <c r="B242" s="38">
        <v>45427</v>
      </c>
      <c r="C242" s="39">
        <v>0.38263888888888886</v>
      </c>
      <c r="D242" s="37">
        <v>113919</v>
      </c>
      <c r="E242" s="37">
        <v>18267</v>
      </c>
      <c r="F242" s="38">
        <v>45427</v>
      </c>
      <c r="G242" s="39">
        <v>0.59305555555555556</v>
      </c>
      <c r="H242" s="40" t="s">
        <v>57</v>
      </c>
      <c r="I242" s="37" t="s">
        <v>80</v>
      </c>
      <c r="J242" s="40" t="s">
        <v>115</v>
      </c>
      <c r="K242" s="37">
        <v>20</v>
      </c>
    </row>
    <row r="243" spans="1:11" ht="23.5" hidden="1" thickBot="1">
      <c r="A243" s="83">
        <v>4500069720</v>
      </c>
      <c r="B243" s="38">
        <v>45427</v>
      </c>
      <c r="C243" s="39">
        <v>0.38263888888888886</v>
      </c>
      <c r="D243" s="37">
        <v>113919</v>
      </c>
      <c r="E243" s="37">
        <v>18267</v>
      </c>
      <c r="F243" s="38">
        <v>45427</v>
      </c>
      <c r="G243" s="39">
        <v>0.59305555555555556</v>
      </c>
      <c r="H243" s="40" t="s">
        <v>57</v>
      </c>
      <c r="I243" s="37" t="s">
        <v>80</v>
      </c>
      <c r="J243" s="40" t="s">
        <v>209</v>
      </c>
      <c r="K243" s="37">
        <v>8</v>
      </c>
    </row>
    <row r="244" spans="1:11" ht="35" hidden="1" thickBot="1">
      <c r="A244" s="83">
        <v>4500069720</v>
      </c>
      <c r="B244" s="38">
        <v>45427</v>
      </c>
      <c r="C244" s="39">
        <v>0.38263888888888886</v>
      </c>
      <c r="D244" s="37">
        <v>113919</v>
      </c>
      <c r="E244" s="37">
        <v>18267</v>
      </c>
      <c r="F244" s="38">
        <v>45427</v>
      </c>
      <c r="G244" s="39">
        <v>0.59305555555555556</v>
      </c>
      <c r="H244" s="40" t="s">
        <v>57</v>
      </c>
      <c r="I244" s="37" t="s">
        <v>80</v>
      </c>
      <c r="J244" s="40" t="s">
        <v>136</v>
      </c>
      <c r="K244" s="37">
        <v>16</v>
      </c>
    </row>
    <row r="245" spans="1:11" ht="23.5" hidden="1" thickBot="1">
      <c r="A245" s="83">
        <v>4500069720</v>
      </c>
      <c r="B245" s="38">
        <v>45427</v>
      </c>
      <c r="C245" s="39">
        <v>0.38263888888888886</v>
      </c>
      <c r="D245" s="37">
        <v>113919</v>
      </c>
      <c r="E245" s="37">
        <v>18267</v>
      </c>
      <c r="F245" s="38">
        <v>45427</v>
      </c>
      <c r="G245" s="39">
        <v>0.59305555555555556</v>
      </c>
      <c r="H245" s="40" t="s">
        <v>57</v>
      </c>
      <c r="I245" s="37" t="s">
        <v>80</v>
      </c>
      <c r="J245" s="40" t="s">
        <v>220</v>
      </c>
      <c r="K245" s="37">
        <v>8</v>
      </c>
    </row>
    <row r="246" spans="1:11" ht="23.5" hidden="1" thickBot="1">
      <c r="A246" s="83">
        <v>4500069720</v>
      </c>
      <c r="B246" s="38">
        <v>45427</v>
      </c>
      <c r="C246" s="39">
        <v>0.38263888888888886</v>
      </c>
      <c r="D246" s="37">
        <v>113919</v>
      </c>
      <c r="E246" s="37">
        <v>18267</v>
      </c>
      <c r="F246" s="38">
        <v>45427</v>
      </c>
      <c r="G246" s="39">
        <v>0.59305555555555556</v>
      </c>
      <c r="H246" s="40" t="s">
        <v>57</v>
      </c>
      <c r="I246" s="37" t="s">
        <v>80</v>
      </c>
      <c r="J246" s="40" t="s">
        <v>118</v>
      </c>
      <c r="K246" s="37">
        <v>20</v>
      </c>
    </row>
    <row r="247" spans="1:11" ht="23.5" hidden="1" thickBot="1">
      <c r="A247" s="83">
        <v>4500069720</v>
      </c>
      <c r="B247" s="38">
        <v>45427</v>
      </c>
      <c r="C247" s="39">
        <v>0.38263888888888886</v>
      </c>
      <c r="D247" s="37">
        <v>113919</v>
      </c>
      <c r="E247" s="37">
        <v>18267</v>
      </c>
      <c r="F247" s="38">
        <v>45427</v>
      </c>
      <c r="G247" s="39">
        <v>0.59305555555555556</v>
      </c>
      <c r="H247" s="40" t="s">
        <v>57</v>
      </c>
      <c r="I247" s="37" t="s">
        <v>80</v>
      </c>
      <c r="J247" s="40" t="s">
        <v>111</v>
      </c>
      <c r="K247" s="37">
        <v>28</v>
      </c>
    </row>
    <row r="248" spans="1:11" ht="23.5" hidden="1" thickBot="1">
      <c r="A248" s="83">
        <v>4500069720</v>
      </c>
      <c r="B248" s="38">
        <v>45427</v>
      </c>
      <c r="C248" s="39">
        <v>0.38263888888888886</v>
      </c>
      <c r="D248" s="37">
        <v>113919</v>
      </c>
      <c r="E248" s="37">
        <v>18267</v>
      </c>
      <c r="F248" s="38">
        <v>45427</v>
      </c>
      <c r="G248" s="39">
        <v>0.59305555555555556</v>
      </c>
      <c r="H248" s="40" t="s">
        <v>57</v>
      </c>
      <c r="I248" s="37" t="s">
        <v>80</v>
      </c>
      <c r="J248" s="40" t="s">
        <v>110</v>
      </c>
      <c r="K248" s="37">
        <v>80</v>
      </c>
    </row>
    <row r="249" spans="1:11" ht="46.5" hidden="1" thickBot="1">
      <c r="A249" s="83" t="s">
        <v>278</v>
      </c>
      <c r="B249" s="38">
        <v>45427</v>
      </c>
      <c r="C249" s="39">
        <v>0.43819444444444444</v>
      </c>
      <c r="D249" s="37">
        <v>113913</v>
      </c>
      <c r="E249" s="37">
        <v>18264</v>
      </c>
      <c r="F249" s="38">
        <v>45427</v>
      </c>
      <c r="G249" s="39">
        <v>0.48194444444444445</v>
      </c>
      <c r="H249" s="40" t="s">
        <v>167</v>
      </c>
      <c r="I249" s="37" t="s">
        <v>168</v>
      </c>
      <c r="J249" s="40" t="s">
        <v>145</v>
      </c>
      <c r="K249" s="37">
        <v>16</v>
      </c>
    </row>
    <row r="250" spans="1:11" ht="23.5" hidden="1" thickBot="1">
      <c r="A250" s="83">
        <v>944930</v>
      </c>
      <c r="B250" s="38">
        <v>45427</v>
      </c>
      <c r="C250" s="39">
        <v>0.48125000000000001</v>
      </c>
      <c r="D250" s="37">
        <v>113918</v>
      </c>
      <c r="E250" s="37">
        <v>18252</v>
      </c>
      <c r="F250" s="38">
        <v>45427</v>
      </c>
      <c r="G250" s="39">
        <v>0.59305555555555556</v>
      </c>
      <c r="H250" s="40" t="s">
        <v>30</v>
      </c>
      <c r="I250" s="37" t="s">
        <v>84</v>
      </c>
      <c r="J250" s="40" t="s">
        <v>140</v>
      </c>
      <c r="K250" s="37">
        <v>12</v>
      </c>
    </row>
    <row r="251" spans="1:11" ht="23.5" hidden="1" thickBot="1">
      <c r="A251" s="83">
        <v>105</v>
      </c>
      <c r="B251" s="38">
        <v>45427</v>
      </c>
      <c r="C251" s="39">
        <v>0.49236111111111114</v>
      </c>
      <c r="D251" s="37">
        <v>113917</v>
      </c>
      <c r="E251" s="37">
        <v>18358</v>
      </c>
      <c r="F251" s="38">
        <v>45427</v>
      </c>
      <c r="G251" s="39">
        <v>0.59305555555555556</v>
      </c>
      <c r="H251" s="40" t="s">
        <v>258</v>
      </c>
      <c r="I251" s="37" t="s">
        <v>78</v>
      </c>
      <c r="J251" s="40" t="s">
        <v>112</v>
      </c>
      <c r="K251" s="37">
        <v>1</v>
      </c>
    </row>
    <row r="252" spans="1:11" ht="23.5" hidden="1" thickBot="1">
      <c r="A252" s="83">
        <v>49539</v>
      </c>
      <c r="B252" s="38">
        <v>45427</v>
      </c>
      <c r="C252" s="39">
        <v>0.55069444444444449</v>
      </c>
      <c r="D252" s="37">
        <v>113926</v>
      </c>
      <c r="E252" s="37">
        <v>18336</v>
      </c>
      <c r="F252" s="38">
        <v>45427</v>
      </c>
      <c r="G252" s="39">
        <v>0.59722222222222221</v>
      </c>
      <c r="H252" s="40" t="s">
        <v>157</v>
      </c>
      <c r="I252" s="37" t="s">
        <v>78</v>
      </c>
      <c r="J252" s="40" t="s">
        <v>189</v>
      </c>
      <c r="K252" s="37">
        <v>27</v>
      </c>
    </row>
    <row r="253" spans="1:11" ht="23.5" thickBot="1">
      <c r="A253" s="86">
        <v>18</v>
      </c>
      <c r="B253" s="38">
        <v>45427</v>
      </c>
      <c r="C253" s="39">
        <v>0.55208333333333337</v>
      </c>
      <c r="D253" s="37">
        <v>113925</v>
      </c>
      <c r="E253" s="37">
        <v>18261</v>
      </c>
      <c r="F253" s="38">
        <v>45427</v>
      </c>
      <c r="G253" s="39">
        <v>0.60069444444444442</v>
      </c>
      <c r="H253" s="40" t="s">
        <v>210</v>
      </c>
      <c r="I253" s="37" t="s">
        <v>78</v>
      </c>
      <c r="J253" s="40" t="s">
        <v>221</v>
      </c>
      <c r="K253" s="37">
        <v>10</v>
      </c>
    </row>
    <row r="254" spans="1:11" ht="23.5" hidden="1" thickBot="1">
      <c r="A254" s="83">
        <v>4500069748</v>
      </c>
      <c r="B254" s="38">
        <v>45427</v>
      </c>
      <c r="C254" s="39">
        <v>0.68055555555555558</v>
      </c>
      <c r="D254" s="37">
        <v>113927</v>
      </c>
      <c r="E254" s="37">
        <v>18268</v>
      </c>
      <c r="F254" s="38">
        <v>45427</v>
      </c>
      <c r="G254" s="39">
        <v>0.70486111111111116</v>
      </c>
      <c r="H254" s="40" t="s">
        <v>57</v>
      </c>
      <c r="I254" s="37" t="s">
        <v>83</v>
      </c>
      <c r="J254" s="40" t="s">
        <v>110</v>
      </c>
      <c r="K254" s="37">
        <v>100</v>
      </c>
    </row>
    <row r="255" spans="1:11" ht="23.5" hidden="1" thickBot="1">
      <c r="A255" s="83">
        <v>4500069748</v>
      </c>
      <c r="B255" s="38">
        <v>45427</v>
      </c>
      <c r="C255" s="39">
        <v>0.68055555555555558</v>
      </c>
      <c r="D255" s="37">
        <v>113927</v>
      </c>
      <c r="E255" s="37">
        <v>18268</v>
      </c>
      <c r="F255" s="38">
        <v>45427</v>
      </c>
      <c r="G255" s="39">
        <v>0.70486111111111116</v>
      </c>
      <c r="H255" s="40" t="s">
        <v>57</v>
      </c>
      <c r="I255" s="37" t="s">
        <v>83</v>
      </c>
      <c r="J255" s="40" t="s">
        <v>209</v>
      </c>
      <c r="K255" s="37">
        <v>16</v>
      </c>
    </row>
    <row r="256" spans="1:11" ht="23.5" hidden="1" thickBot="1">
      <c r="A256" s="83">
        <v>4500069748</v>
      </c>
      <c r="B256" s="38">
        <v>45427</v>
      </c>
      <c r="C256" s="39">
        <v>0.68055555555555558</v>
      </c>
      <c r="D256" s="37">
        <v>113927</v>
      </c>
      <c r="E256" s="37">
        <v>18268</v>
      </c>
      <c r="F256" s="38">
        <v>45427</v>
      </c>
      <c r="G256" s="39">
        <v>0.70486111111111116</v>
      </c>
      <c r="H256" s="40" t="s">
        <v>57</v>
      </c>
      <c r="I256" s="37" t="s">
        <v>83</v>
      </c>
      <c r="J256" s="40" t="s">
        <v>215</v>
      </c>
      <c r="K256" s="37">
        <v>32</v>
      </c>
    </row>
    <row r="257" spans="1:11" ht="23.5" hidden="1" thickBot="1">
      <c r="A257" s="83">
        <v>4500069748</v>
      </c>
      <c r="B257" s="38">
        <v>45427</v>
      </c>
      <c r="C257" s="39">
        <v>0.68055555555555558</v>
      </c>
      <c r="D257" s="37">
        <v>113927</v>
      </c>
      <c r="E257" s="37">
        <v>18268</v>
      </c>
      <c r="F257" s="38">
        <v>45427</v>
      </c>
      <c r="G257" s="39">
        <v>0.70486111111111116</v>
      </c>
      <c r="H257" s="40" t="s">
        <v>57</v>
      </c>
      <c r="I257" s="37" t="s">
        <v>83</v>
      </c>
      <c r="J257" s="40" t="s">
        <v>151</v>
      </c>
      <c r="K257" s="37">
        <v>20</v>
      </c>
    </row>
    <row r="258" spans="1:11" ht="23.5" hidden="1" thickBot="1">
      <c r="A258" s="83">
        <v>4500069748</v>
      </c>
      <c r="B258" s="38">
        <v>45427</v>
      </c>
      <c r="C258" s="39">
        <v>0.68055555555555558</v>
      </c>
      <c r="D258" s="37">
        <v>113927</v>
      </c>
      <c r="E258" s="37">
        <v>18268</v>
      </c>
      <c r="F258" s="38">
        <v>45427</v>
      </c>
      <c r="G258" s="39">
        <v>0.70486111111111116</v>
      </c>
      <c r="H258" s="40" t="s">
        <v>57</v>
      </c>
      <c r="I258" s="37" t="s">
        <v>83</v>
      </c>
      <c r="J258" s="40" t="s">
        <v>140</v>
      </c>
      <c r="K258" s="37">
        <v>70</v>
      </c>
    </row>
    <row r="259" spans="1:11" ht="23.5" hidden="1" thickBot="1">
      <c r="A259" s="83">
        <v>4500069748</v>
      </c>
      <c r="B259" s="38">
        <v>45427</v>
      </c>
      <c r="C259" s="39">
        <v>0.68055555555555558</v>
      </c>
      <c r="D259" s="37">
        <v>113927</v>
      </c>
      <c r="E259" s="37">
        <v>18268</v>
      </c>
      <c r="F259" s="38">
        <v>45427</v>
      </c>
      <c r="G259" s="39">
        <v>0.70486111111111116</v>
      </c>
      <c r="H259" s="40" t="s">
        <v>57</v>
      </c>
      <c r="I259" s="37" t="s">
        <v>83</v>
      </c>
      <c r="J259" s="40" t="s">
        <v>118</v>
      </c>
      <c r="K259" s="37">
        <v>80</v>
      </c>
    </row>
    <row r="260" spans="1:11" ht="23.5" hidden="1" thickBot="1">
      <c r="A260" s="83">
        <v>4500069748</v>
      </c>
      <c r="B260" s="38">
        <v>45427</v>
      </c>
      <c r="C260" s="39">
        <v>0.68055555555555558</v>
      </c>
      <c r="D260" s="37">
        <v>113927</v>
      </c>
      <c r="E260" s="37">
        <v>18268</v>
      </c>
      <c r="F260" s="38">
        <v>45427</v>
      </c>
      <c r="G260" s="39">
        <v>0.70486111111111116</v>
      </c>
      <c r="H260" s="40" t="s">
        <v>57</v>
      </c>
      <c r="I260" s="37" t="s">
        <v>83</v>
      </c>
      <c r="J260" s="40" t="s">
        <v>115</v>
      </c>
      <c r="K260" s="37">
        <v>40</v>
      </c>
    </row>
    <row r="261" spans="1:11" ht="23.5" hidden="1" thickBot="1">
      <c r="A261" s="83">
        <v>4500069748</v>
      </c>
      <c r="B261" s="38">
        <v>45427</v>
      </c>
      <c r="C261" s="39">
        <v>0.68055555555555558</v>
      </c>
      <c r="D261" s="37">
        <v>113927</v>
      </c>
      <c r="E261" s="37">
        <v>18268</v>
      </c>
      <c r="F261" s="38">
        <v>45427</v>
      </c>
      <c r="G261" s="39">
        <v>0.70486111111111116</v>
      </c>
      <c r="H261" s="40" t="s">
        <v>57</v>
      </c>
      <c r="I261" s="37" t="s">
        <v>83</v>
      </c>
      <c r="J261" s="40" t="s">
        <v>111</v>
      </c>
      <c r="K261" s="37">
        <v>8</v>
      </c>
    </row>
    <row r="262" spans="1:11" ht="23.5" hidden="1" thickBot="1">
      <c r="A262" s="83">
        <v>4500069748</v>
      </c>
      <c r="B262" s="38">
        <v>45427</v>
      </c>
      <c r="C262" s="39">
        <v>0.68055555555555558</v>
      </c>
      <c r="D262" s="37">
        <v>113927</v>
      </c>
      <c r="E262" s="37">
        <v>18268</v>
      </c>
      <c r="F262" s="38">
        <v>45427</v>
      </c>
      <c r="G262" s="39">
        <v>0.70486111111111116</v>
      </c>
      <c r="H262" s="40" t="s">
        <v>57</v>
      </c>
      <c r="I262" s="37" t="s">
        <v>83</v>
      </c>
      <c r="J262" s="40" t="s">
        <v>194</v>
      </c>
      <c r="K262" s="37">
        <v>60</v>
      </c>
    </row>
    <row r="263" spans="1:11" ht="23.5" hidden="1" thickBot="1">
      <c r="A263" s="83">
        <v>4500069750</v>
      </c>
      <c r="B263" s="38">
        <v>45427</v>
      </c>
      <c r="C263" s="39">
        <v>0.68055555555555558</v>
      </c>
      <c r="D263" s="37">
        <v>113929</v>
      </c>
      <c r="E263" s="37">
        <v>18287</v>
      </c>
      <c r="F263" s="38">
        <v>45428</v>
      </c>
      <c r="G263" s="39">
        <v>0.40069444444444446</v>
      </c>
      <c r="H263" s="40" t="s">
        <v>57</v>
      </c>
      <c r="I263" s="37" t="s">
        <v>83</v>
      </c>
      <c r="J263" s="40" t="s">
        <v>110</v>
      </c>
      <c r="K263" s="37">
        <v>80</v>
      </c>
    </row>
    <row r="264" spans="1:11" ht="23.5" hidden="1" thickBot="1">
      <c r="A264" s="83">
        <v>4500069750</v>
      </c>
      <c r="B264" s="38">
        <v>45427</v>
      </c>
      <c r="C264" s="39">
        <v>0.68055555555555558</v>
      </c>
      <c r="D264" s="37">
        <v>113929</v>
      </c>
      <c r="E264" s="37">
        <v>18287</v>
      </c>
      <c r="F264" s="38">
        <v>45428</v>
      </c>
      <c r="G264" s="39">
        <v>0.40069444444444446</v>
      </c>
      <c r="H264" s="40" t="s">
        <v>57</v>
      </c>
      <c r="I264" s="37" t="s">
        <v>83</v>
      </c>
      <c r="J264" s="40" t="s">
        <v>118</v>
      </c>
      <c r="K264" s="37">
        <v>80</v>
      </c>
    </row>
    <row r="265" spans="1:11" ht="23.5" hidden="1" thickBot="1">
      <c r="A265" s="83">
        <v>4500069750</v>
      </c>
      <c r="B265" s="38">
        <v>45427</v>
      </c>
      <c r="C265" s="39">
        <v>0.68055555555555558</v>
      </c>
      <c r="D265" s="37">
        <v>113929</v>
      </c>
      <c r="E265" s="37">
        <v>18287</v>
      </c>
      <c r="F265" s="38">
        <v>45428</v>
      </c>
      <c r="G265" s="39">
        <v>0.40069444444444446</v>
      </c>
      <c r="H265" s="40" t="s">
        <v>57</v>
      </c>
      <c r="I265" s="37" t="s">
        <v>83</v>
      </c>
      <c r="J265" s="40" t="s">
        <v>115</v>
      </c>
      <c r="K265" s="37">
        <v>40</v>
      </c>
    </row>
    <row r="266" spans="1:11" ht="23.5" hidden="1" thickBot="1">
      <c r="A266" s="83">
        <v>4500069750</v>
      </c>
      <c r="B266" s="38">
        <v>45427</v>
      </c>
      <c r="C266" s="39">
        <v>0.68055555555555558</v>
      </c>
      <c r="D266" s="37">
        <v>113929</v>
      </c>
      <c r="E266" s="37">
        <v>18287</v>
      </c>
      <c r="F266" s="38">
        <v>45428</v>
      </c>
      <c r="G266" s="39">
        <v>0.40069444444444446</v>
      </c>
      <c r="H266" s="40" t="s">
        <v>57</v>
      </c>
      <c r="I266" s="37" t="s">
        <v>83</v>
      </c>
      <c r="J266" s="40" t="s">
        <v>209</v>
      </c>
      <c r="K266" s="37">
        <v>16</v>
      </c>
    </row>
    <row r="267" spans="1:11" ht="23.5" hidden="1" thickBot="1">
      <c r="A267" s="83">
        <v>4500069750</v>
      </c>
      <c r="B267" s="38">
        <v>45427</v>
      </c>
      <c r="C267" s="39">
        <v>0.68055555555555558</v>
      </c>
      <c r="D267" s="37">
        <v>113929</v>
      </c>
      <c r="E267" s="37">
        <v>18287</v>
      </c>
      <c r="F267" s="38">
        <v>45428</v>
      </c>
      <c r="G267" s="39">
        <v>0.40069444444444446</v>
      </c>
      <c r="H267" s="40" t="s">
        <v>57</v>
      </c>
      <c r="I267" s="37" t="s">
        <v>83</v>
      </c>
      <c r="J267" s="40" t="s">
        <v>111</v>
      </c>
      <c r="K267" s="37">
        <v>12</v>
      </c>
    </row>
    <row r="268" spans="1:11" ht="13.5" hidden="1" thickBot="1">
      <c r="A268" s="83">
        <v>4500069750</v>
      </c>
      <c r="B268" s="38">
        <v>45427</v>
      </c>
      <c r="C268" s="39">
        <v>0.68055555555555558</v>
      </c>
      <c r="D268" s="37">
        <v>113929</v>
      </c>
      <c r="E268" s="37">
        <v>18287</v>
      </c>
      <c r="F268" s="38">
        <v>45428</v>
      </c>
      <c r="G268" s="39">
        <v>0.40069444444444446</v>
      </c>
      <c r="H268" s="40" t="s">
        <v>57</v>
      </c>
      <c r="I268" s="37" t="s">
        <v>83</v>
      </c>
      <c r="J268" s="40" t="s">
        <v>134</v>
      </c>
      <c r="K268" s="37">
        <v>8</v>
      </c>
    </row>
    <row r="269" spans="1:11" ht="35" hidden="1" thickBot="1">
      <c r="A269" s="83">
        <v>4500069750</v>
      </c>
      <c r="B269" s="38">
        <v>45427</v>
      </c>
      <c r="C269" s="39">
        <v>0.68055555555555558</v>
      </c>
      <c r="D269" s="37">
        <v>113929</v>
      </c>
      <c r="E269" s="37">
        <v>18287</v>
      </c>
      <c r="F269" s="38">
        <v>45428</v>
      </c>
      <c r="G269" s="39">
        <v>0.40069444444444446</v>
      </c>
      <c r="H269" s="40" t="s">
        <v>57</v>
      </c>
      <c r="I269" s="37" t="s">
        <v>83</v>
      </c>
      <c r="J269" s="40" t="s">
        <v>143</v>
      </c>
      <c r="K269" s="37">
        <v>8</v>
      </c>
    </row>
    <row r="270" spans="1:11" ht="23.5" hidden="1" thickBot="1">
      <c r="A270" s="83">
        <v>4500069750</v>
      </c>
      <c r="B270" s="38">
        <v>45427</v>
      </c>
      <c r="C270" s="39">
        <v>0.68055555555555558</v>
      </c>
      <c r="D270" s="37">
        <v>113929</v>
      </c>
      <c r="E270" s="37">
        <v>18287</v>
      </c>
      <c r="F270" s="38">
        <v>45428</v>
      </c>
      <c r="G270" s="39">
        <v>0.40069444444444446</v>
      </c>
      <c r="H270" s="40" t="s">
        <v>57</v>
      </c>
      <c r="I270" s="37" t="s">
        <v>83</v>
      </c>
      <c r="J270" s="40" t="s">
        <v>194</v>
      </c>
      <c r="K270" s="37">
        <v>20</v>
      </c>
    </row>
    <row r="271" spans="1:11" ht="35" hidden="1" thickBot="1">
      <c r="A271" s="83">
        <v>4500069750</v>
      </c>
      <c r="B271" s="38">
        <v>45427</v>
      </c>
      <c r="C271" s="39">
        <v>0.68055555555555558</v>
      </c>
      <c r="D271" s="37">
        <v>113929</v>
      </c>
      <c r="E271" s="37">
        <v>18287</v>
      </c>
      <c r="F271" s="38">
        <v>45428</v>
      </c>
      <c r="G271" s="39">
        <v>0.40069444444444446</v>
      </c>
      <c r="H271" s="40" t="s">
        <v>57</v>
      </c>
      <c r="I271" s="37" t="s">
        <v>83</v>
      </c>
      <c r="J271" s="40" t="s">
        <v>156</v>
      </c>
      <c r="K271" s="37">
        <v>40</v>
      </c>
    </row>
    <row r="272" spans="1:11" ht="23.5" hidden="1" thickBot="1">
      <c r="A272" s="83">
        <v>4500069752</v>
      </c>
      <c r="B272" s="38">
        <v>45427</v>
      </c>
      <c r="C272" s="39">
        <v>0.70138888888888884</v>
      </c>
      <c r="D272" s="37">
        <v>113930</v>
      </c>
      <c r="E272" s="37">
        <v>18269</v>
      </c>
      <c r="F272" s="38">
        <v>45428</v>
      </c>
      <c r="G272" s="39">
        <v>0.40069444444444446</v>
      </c>
      <c r="H272" s="40" t="s">
        <v>57</v>
      </c>
      <c r="I272" s="37" t="s">
        <v>83</v>
      </c>
      <c r="J272" s="40" t="s">
        <v>279</v>
      </c>
      <c r="K272" s="37">
        <v>250</v>
      </c>
    </row>
    <row r="273" spans="1:11" ht="46.5" hidden="1" thickBot="1">
      <c r="A273" s="83" t="s">
        <v>280</v>
      </c>
      <c r="B273" s="38">
        <v>45427</v>
      </c>
      <c r="C273" s="39">
        <v>0.72916666666666663</v>
      </c>
      <c r="D273" s="37">
        <v>113933</v>
      </c>
      <c r="E273" s="37">
        <v>18257</v>
      </c>
      <c r="F273" s="38">
        <v>45428</v>
      </c>
      <c r="G273" s="39">
        <v>0.55694444444444446</v>
      </c>
      <c r="H273" s="40" t="s">
        <v>237</v>
      </c>
      <c r="I273" s="37" t="s">
        <v>150</v>
      </c>
      <c r="J273" s="40" t="s">
        <v>214</v>
      </c>
      <c r="K273" s="37">
        <v>60</v>
      </c>
    </row>
    <row r="274" spans="1:11" ht="46.5" hidden="1" thickBot="1">
      <c r="A274" s="83" t="s">
        <v>280</v>
      </c>
      <c r="B274" s="38">
        <v>45427</v>
      </c>
      <c r="C274" s="39">
        <v>0.72916666666666663</v>
      </c>
      <c r="D274" s="37">
        <v>113933</v>
      </c>
      <c r="E274" s="37">
        <v>18257</v>
      </c>
      <c r="F274" s="38">
        <v>45428</v>
      </c>
      <c r="G274" s="39">
        <v>0.55694444444444446</v>
      </c>
      <c r="H274" s="40" t="s">
        <v>237</v>
      </c>
      <c r="I274" s="37" t="s">
        <v>150</v>
      </c>
      <c r="J274" s="40" t="s">
        <v>115</v>
      </c>
      <c r="K274" s="37">
        <v>12</v>
      </c>
    </row>
    <row r="275" spans="1:11" ht="23.5" hidden="1" thickBot="1">
      <c r="A275" s="98">
        <v>5502351549</v>
      </c>
      <c r="B275" s="99">
        <v>45428</v>
      </c>
      <c r="C275" s="100">
        <v>0.43055555555555558</v>
      </c>
      <c r="D275" s="101">
        <v>113932</v>
      </c>
      <c r="E275" s="101">
        <v>18314</v>
      </c>
      <c r="F275" s="99">
        <v>45428</v>
      </c>
      <c r="G275" s="100">
        <v>0.47916666666666669</v>
      </c>
      <c r="H275" s="102" t="s">
        <v>52</v>
      </c>
      <c r="I275" s="101" t="s">
        <v>78</v>
      </c>
      <c r="J275" s="102" t="s">
        <v>281</v>
      </c>
      <c r="K275" s="101">
        <v>24</v>
      </c>
    </row>
    <row r="276" spans="1:11" ht="46.5" hidden="1" thickBot="1">
      <c r="A276" s="83" t="s">
        <v>282</v>
      </c>
      <c r="B276" s="38">
        <v>45428</v>
      </c>
      <c r="C276" s="39">
        <v>0.50694444444444442</v>
      </c>
      <c r="D276" s="37">
        <v>113934</v>
      </c>
      <c r="E276" s="37">
        <v>18265</v>
      </c>
      <c r="F276" s="38">
        <v>45428</v>
      </c>
      <c r="G276" s="39">
        <v>0.60416666666666663</v>
      </c>
      <c r="H276" s="40" t="s">
        <v>167</v>
      </c>
      <c r="I276" s="37" t="s">
        <v>168</v>
      </c>
      <c r="J276" s="40" t="s">
        <v>145</v>
      </c>
      <c r="K276" s="37">
        <v>12</v>
      </c>
    </row>
    <row r="277" spans="1:11" ht="23.5" hidden="1" thickBot="1">
      <c r="A277" s="51">
        <v>945661</v>
      </c>
      <c r="B277" s="38">
        <v>45428</v>
      </c>
      <c r="C277" s="39">
        <v>0.52222222222222225</v>
      </c>
      <c r="D277" s="37">
        <v>113935</v>
      </c>
      <c r="E277" s="37">
        <v>18305</v>
      </c>
      <c r="F277" s="38">
        <v>45428</v>
      </c>
      <c r="G277" s="39">
        <v>0.60416666666666663</v>
      </c>
      <c r="H277" s="40" t="s">
        <v>38</v>
      </c>
      <c r="I277" s="37" t="s">
        <v>141</v>
      </c>
      <c r="J277" s="40" t="s">
        <v>206</v>
      </c>
      <c r="K277" s="37">
        <v>40</v>
      </c>
    </row>
    <row r="278" spans="1:11" ht="35" hidden="1" thickBot="1">
      <c r="A278" s="75">
        <v>945796</v>
      </c>
      <c r="B278" s="58">
        <v>45428</v>
      </c>
      <c r="C278" s="59">
        <v>0.59027777777777779</v>
      </c>
      <c r="D278" s="57">
        <v>113936</v>
      </c>
      <c r="E278" s="57">
        <v>18260</v>
      </c>
      <c r="F278" s="58">
        <v>45428</v>
      </c>
      <c r="G278" s="59">
        <v>0.62222222222222223</v>
      </c>
      <c r="H278" s="62" t="s">
        <v>38</v>
      </c>
      <c r="I278" s="57" t="s">
        <v>85</v>
      </c>
      <c r="J278" s="62" t="s">
        <v>226</v>
      </c>
      <c r="K278" s="57">
        <v>1</v>
      </c>
    </row>
    <row r="279" spans="1:11" ht="35" hidden="1" thickBot="1">
      <c r="A279" s="51">
        <v>945779</v>
      </c>
      <c r="B279" s="38">
        <v>45428</v>
      </c>
      <c r="C279" s="39">
        <v>0.59652777777777777</v>
      </c>
      <c r="D279" s="37">
        <v>113939</v>
      </c>
      <c r="E279" s="37">
        <v>18281</v>
      </c>
      <c r="F279" s="38">
        <v>45429</v>
      </c>
      <c r="G279" s="39">
        <v>0.47499999999999998</v>
      </c>
      <c r="H279" s="40" t="s">
        <v>38</v>
      </c>
      <c r="I279" s="37" t="s">
        <v>78</v>
      </c>
      <c r="J279" s="40" t="s">
        <v>212</v>
      </c>
      <c r="K279" s="37">
        <v>3</v>
      </c>
    </row>
    <row r="280" spans="1:11" ht="35" hidden="1" thickBot="1">
      <c r="A280" s="83">
        <v>945880</v>
      </c>
      <c r="B280" s="38">
        <v>45428</v>
      </c>
      <c r="C280" s="39">
        <v>0.65972222222222221</v>
      </c>
      <c r="D280" s="37">
        <v>113940</v>
      </c>
      <c r="E280" s="37">
        <v>18279</v>
      </c>
      <c r="F280" s="38">
        <v>45429</v>
      </c>
      <c r="G280" s="39">
        <v>0.47499999999999998</v>
      </c>
      <c r="H280" s="40" t="s">
        <v>30</v>
      </c>
      <c r="I280" s="37" t="s">
        <v>79</v>
      </c>
      <c r="J280" s="40" t="s">
        <v>143</v>
      </c>
      <c r="K280" s="37">
        <v>2</v>
      </c>
    </row>
    <row r="281" spans="1:11" ht="23.5" hidden="1" thickBot="1">
      <c r="A281" s="51">
        <v>945880</v>
      </c>
      <c r="B281" s="38">
        <v>45428</v>
      </c>
      <c r="C281" s="39">
        <v>0.65972222222222221</v>
      </c>
      <c r="D281" s="37">
        <v>113940</v>
      </c>
      <c r="E281" s="37">
        <v>18279</v>
      </c>
      <c r="F281" s="38">
        <v>45429</v>
      </c>
      <c r="G281" s="39">
        <v>0.47499999999999998</v>
      </c>
      <c r="H281" s="40" t="s">
        <v>30</v>
      </c>
      <c r="I281" s="37" t="s">
        <v>79</v>
      </c>
      <c r="J281" s="40" t="s">
        <v>112</v>
      </c>
      <c r="K281" s="37">
        <v>16</v>
      </c>
    </row>
    <row r="282" spans="1:11" ht="23.5" hidden="1" thickBot="1">
      <c r="A282" s="83">
        <v>4500069801</v>
      </c>
      <c r="B282" s="38">
        <v>45428</v>
      </c>
      <c r="C282" s="39">
        <v>0.70833333333333337</v>
      </c>
      <c r="D282" s="37">
        <v>113941</v>
      </c>
      <c r="E282" s="37">
        <v>18285</v>
      </c>
      <c r="F282" s="38">
        <v>45429</v>
      </c>
      <c r="G282" s="39">
        <v>0.47499999999999998</v>
      </c>
      <c r="H282" s="40" t="s">
        <v>57</v>
      </c>
      <c r="I282" s="37" t="s">
        <v>83</v>
      </c>
      <c r="J282" s="40" t="s">
        <v>220</v>
      </c>
      <c r="K282" s="37">
        <v>40</v>
      </c>
    </row>
    <row r="283" spans="1:11" ht="35" thickBot="1">
      <c r="A283" s="86">
        <v>19</v>
      </c>
      <c r="B283" s="38">
        <v>45428</v>
      </c>
      <c r="C283" s="39">
        <v>0.76597222222222228</v>
      </c>
      <c r="D283" s="37">
        <v>113942</v>
      </c>
      <c r="E283" s="37">
        <v>18273</v>
      </c>
      <c r="F283" s="38">
        <v>45429</v>
      </c>
      <c r="G283" s="39">
        <v>0.47499999999999998</v>
      </c>
      <c r="H283" s="40" t="s">
        <v>152</v>
      </c>
      <c r="I283" s="37" t="s">
        <v>75</v>
      </c>
      <c r="J283" s="40" t="s">
        <v>143</v>
      </c>
      <c r="K283" s="37">
        <v>4</v>
      </c>
    </row>
    <row r="284" spans="1:11" ht="35" hidden="1" thickBot="1">
      <c r="A284" s="83" t="s">
        <v>283</v>
      </c>
      <c r="B284" s="38">
        <v>45429</v>
      </c>
      <c r="C284" s="39">
        <v>0.31458333333333333</v>
      </c>
      <c r="D284" s="37">
        <v>113937</v>
      </c>
      <c r="E284" s="37">
        <v>18276</v>
      </c>
      <c r="F284" s="38">
        <v>45429</v>
      </c>
      <c r="G284" s="39">
        <v>0.33680555555555558</v>
      </c>
      <c r="H284" s="40" t="s">
        <v>160</v>
      </c>
      <c r="I284" s="37" t="s">
        <v>80</v>
      </c>
      <c r="J284" s="40" t="s">
        <v>207</v>
      </c>
      <c r="K284" s="37">
        <v>10</v>
      </c>
    </row>
    <row r="285" spans="1:11" ht="35" hidden="1" thickBot="1">
      <c r="A285" s="83" t="s">
        <v>284</v>
      </c>
      <c r="B285" s="38">
        <v>45429</v>
      </c>
      <c r="C285" s="39">
        <v>0.39305555555555555</v>
      </c>
      <c r="D285" s="37">
        <v>113938</v>
      </c>
      <c r="E285" s="37">
        <v>18275</v>
      </c>
      <c r="F285" s="38">
        <v>45429</v>
      </c>
      <c r="G285" s="39">
        <v>0.40347222222222223</v>
      </c>
      <c r="H285" s="40" t="s">
        <v>252</v>
      </c>
      <c r="I285" s="37" t="s">
        <v>86</v>
      </c>
      <c r="J285" s="40" t="s">
        <v>151</v>
      </c>
      <c r="K285" s="37">
        <v>1</v>
      </c>
    </row>
    <row r="286" spans="1:11" ht="35" hidden="1" thickBot="1">
      <c r="A286" s="83" t="s">
        <v>284</v>
      </c>
      <c r="B286" s="38">
        <v>45429</v>
      </c>
      <c r="C286" s="39">
        <v>0.39305555555555555</v>
      </c>
      <c r="D286" s="37">
        <v>113938</v>
      </c>
      <c r="E286" s="37">
        <v>18275</v>
      </c>
      <c r="F286" s="38">
        <v>45429</v>
      </c>
      <c r="G286" s="39">
        <v>0.40347222222222223</v>
      </c>
      <c r="H286" s="40" t="s">
        <v>252</v>
      </c>
      <c r="I286" s="37" t="s">
        <v>86</v>
      </c>
      <c r="J286" s="40" t="s">
        <v>202</v>
      </c>
      <c r="K286" s="37">
        <v>10</v>
      </c>
    </row>
    <row r="287" spans="1:11" ht="35" hidden="1" thickBot="1">
      <c r="A287" s="83" t="s">
        <v>284</v>
      </c>
      <c r="B287" s="38">
        <v>45429</v>
      </c>
      <c r="C287" s="39">
        <v>0.39305555555555555</v>
      </c>
      <c r="D287" s="37">
        <v>113938</v>
      </c>
      <c r="E287" s="37">
        <v>18275</v>
      </c>
      <c r="F287" s="38">
        <v>45429</v>
      </c>
      <c r="G287" s="39">
        <v>0.40347222222222223</v>
      </c>
      <c r="H287" s="40" t="s">
        <v>252</v>
      </c>
      <c r="I287" s="37" t="s">
        <v>86</v>
      </c>
      <c r="J287" s="40" t="s">
        <v>121</v>
      </c>
      <c r="K287" s="37">
        <v>2</v>
      </c>
    </row>
    <row r="288" spans="1:11" ht="35" hidden="1" thickBot="1">
      <c r="A288" s="83" t="s">
        <v>284</v>
      </c>
      <c r="B288" s="38">
        <v>45429</v>
      </c>
      <c r="C288" s="39">
        <v>0.39305555555555555</v>
      </c>
      <c r="D288" s="37">
        <v>113938</v>
      </c>
      <c r="E288" s="37">
        <v>18275</v>
      </c>
      <c r="F288" s="38">
        <v>45429</v>
      </c>
      <c r="G288" s="39">
        <v>0.40347222222222223</v>
      </c>
      <c r="H288" s="40" t="s">
        <v>252</v>
      </c>
      <c r="I288" s="37" t="s">
        <v>86</v>
      </c>
      <c r="J288" s="40" t="s">
        <v>230</v>
      </c>
      <c r="K288" s="37">
        <v>40</v>
      </c>
    </row>
    <row r="289" spans="1:11" ht="35" hidden="1" thickBot="1">
      <c r="A289" s="74">
        <v>21217</v>
      </c>
      <c r="B289" s="64">
        <v>45429</v>
      </c>
      <c r="C289" s="65">
        <v>0.35833333333333334</v>
      </c>
      <c r="D289" s="66">
        <v>113952</v>
      </c>
      <c r="E289" s="66">
        <v>18277</v>
      </c>
      <c r="F289" s="64">
        <v>45429</v>
      </c>
      <c r="G289" s="65">
        <v>0.65277777777777779</v>
      </c>
      <c r="H289" s="70" t="s">
        <v>148</v>
      </c>
      <c r="I289" s="66" t="s">
        <v>285</v>
      </c>
      <c r="J289" s="70" t="s">
        <v>221</v>
      </c>
      <c r="K289" s="66">
        <v>25</v>
      </c>
    </row>
    <row r="290" spans="1:11" ht="23.5" hidden="1" thickBot="1">
      <c r="A290" s="83">
        <v>106</v>
      </c>
      <c r="B290" s="38">
        <v>45429</v>
      </c>
      <c r="C290" s="39">
        <v>0.46111111111111114</v>
      </c>
      <c r="D290" s="37">
        <v>113948</v>
      </c>
      <c r="E290" s="37">
        <v>18359</v>
      </c>
      <c r="F290" s="38">
        <v>45429</v>
      </c>
      <c r="G290" s="39">
        <v>0.58194444444444449</v>
      </c>
      <c r="H290" s="40" t="s">
        <v>294</v>
      </c>
      <c r="I290" s="37" t="s">
        <v>78</v>
      </c>
      <c r="J290" s="40" t="s">
        <v>189</v>
      </c>
      <c r="K290" s="37">
        <v>2</v>
      </c>
    </row>
    <row r="291" spans="1:11" ht="46.5" hidden="1" thickBot="1">
      <c r="A291" s="83" t="s">
        <v>286</v>
      </c>
      <c r="B291" s="38">
        <v>45429</v>
      </c>
      <c r="C291" s="39">
        <v>0.46111111111111114</v>
      </c>
      <c r="D291" s="37">
        <v>113945</v>
      </c>
      <c r="E291" s="37">
        <v>18274</v>
      </c>
      <c r="F291" s="38">
        <v>45429</v>
      </c>
      <c r="G291" s="39">
        <v>0.58194444444444449</v>
      </c>
      <c r="H291" s="40" t="s">
        <v>12</v>
      </c>
      <c r="I291" s="37" t="s">
        <v>176</v>
      </c>
      <c r="J291" s="40" t="s">
        <v>230</v>
      </c>
      <c r="K291" s="37">
        <v>10</v>
      </c>
    </row>
    <row r="292" spans="1:11" ht="46.5" hidden="1" thickBot="1">
      <c r="A292" s="83" t="s">
        <v>286</v>
      </c>
      <c r="B292" s="38">
        <v>45429</v>
      </c>
      <c r="C292" s="39">
        <v>0.46111111111111114</v>
      </c>
      <c r="D292" s="37">
        <v>113945</v>
      </c>
      <c r="E292" s="37">
        <v>18274</v>
      </c>
      <c r="F292" s="38">
        <v>45429</v>
      </c>
      <c r="G292" s="39">
        <v>0.58194444444444449</v>
      </c>
      <c r="H292" s="40" t="s">
        <v>12</v>
      </c>
      <c r="I292" s="37" t="s">
        <v>176</v>
      </c>
      <c r="J292" s="40" t="s">
        <v>207</v>
      </c>
      <c r="K292" s="37">
        <v>10</v>
      </c>
    </row>
    <row r="293" spans="1:11" ht="23.5" hidden="1" thickBot="1">
      <c r="A293" s="83">
        <v>946469</v>
      </c>
      <c r="B293" s="38">
        <v>45429</v>
      </c>
      <c r="C293" s="39">
        <v>0.46944444444444444</v>
      </c>
      <c r="D293" s="37">
        <v>113946</v>
      </c>
      <c r="E293" s="37">
        <v>18292</v>
      </c>
      <c r="F293" s="38">
        <v>45429</v>
      </c>
      <c r="G293" s="39">
        <v>0.58194444444444449</v>
      </c>
      <c r="H293" s="40" t="s">
        <v>38</v>
      </c>
      <c r="I293" s="37" t="s">
        <v>85</v>
      </c>
      <c r="J293" s="40" t="s">
        <v>113</v>
      </c>
      <c r="K293" s="37">
        <v>4</v>
      </c>
    </row>
    <row r="294" spans="1:11" ht="23.5" thickBot="1">
      <c r="A294" s="86">
        <v>20</v>
      </c>
      <c r="B294" s="38">
        <v>45429</v>
      </c>
      <c r="C294" s="39">
        <v>0.47430555555555554</v>
      </c>
      <c r="D294" s="37">
        <v>113943</v>
      </c>
      <c r="E294" s="37">
        <v>18284</v>
      </c>
      <c r="F294" s="38">
        <v>45429</v>
      </c>
      <c r="G294" s="39">
        <v>0.47708333333333336</v>
      </c>
      <c r="H294" s="40" t="s">
        <v>287</v>
      </c>
      <c r="I294" s="37" t="s">
        <v>288</v>
      </c>
      <c r="J294" s="40" t="s">
        <v>189</v>
      </c>
      <c r="K294" s="37">
        <v>12</v>
      </c>
    </row>
    <row r="295" spans="1:11" ht="23.5" hidden="1" thickBot="1">
      <c r="A295" s="83">
        <v>631</v>
      </c>
      <c r="B295" s="38">
        <v>45429</v>
      </c>
      <c r="C295" s="39">
        <v>0.49652777777777779</v>
      </c>
      <c r="D295" s="37">
        <v>113947</v>
      </c>
      <c r="E295" s="37">
        <v>18283</v>
      </c>
      <c r="F295" s="38">
        <v>45429</v>
      </c>
      <c r="G295" s="39">
        <v>0.58194444444444449</v>
      </c>
      <c r="H295" s="40" t="s">
        <v>163</v>
      </c>
      <c r="I295" s="37" t="s">
        <v>80</v>
      </c>
      <c r="J295" s="40" t="s">
        <v>151</v>
      </c>
      <c r="K295" s="37">
        <v>1</v>
      </c>
    </row>
    <row r="296" spans="1:11" ht="35" thickBot="1">
      <c r="A296" s="86">
        <v>21</v>
      </c>
      <c r="B296" s="38">
        <v>45429</v>
      </c>
      <c r="C296" s="39">
        <v>0.54166666666666663</v>
      </c>
      <c r="D296" s="37">
        <v>113944</v>
      </c>
      <c r="E296" s="37">
        <v>18278</v>
      </c>
      <c r="F296" s="38">
        <v>45429</v>
      </c>
      <c r="G296" s="39">
        <v>0.58194444444444449</v>
      </c>
      <c r="H296" s="40" t="s">
        <v>184</v>
      </c>
      <c r="I296" s="37" t="s">
        <v>142</v>
      </c>
      <c r="J296" s="40" t="s">
        <v>171</v>
      </c>
      <c r="K296" s="37">
        <v>8</v>
      </c>
    </row>
    <row r="297" spans="1:11" ht="46.5" thickBot="1">
      <c r="A297" s="86">
        <v>22</v>
      </c>
      <c r="B297" s="38">
        <v>45429</v>
      </c>
      <c r="C297" s="39">
        <v>0.54166666666666663</v>
      </c>
      <c r="D297" s="37">
        <v>113944</v>
      </c>
      <c r="E297" s="37">
        <v>18278</v>
      </c>
      <c r="F297" s="38">
        <v>45429</v>
      </c>
      <c r="G297" s="39">
        <v>0.58194444444444449</v>
      </c>
      <c r="H297" s="40" t="s">
        <v>184</v>
      </c>
      <c r="I297" s="37" t="s">
        <v>142</v>
      </c>
      <c r="J297" s="40" t="s">
        <v>145</v>
      </c>
      <c r="K297" s="37">
        <v>5</v>
      </c>
    </row>
    <row r="298" spans="1:11" ht="35" hidden="1" thickBot="1">
      <c r="A298" s="83" t="s">
        <v>289</v>
      </c>
      <c r="B298" s="38">
        <v>45429</v>
      </c>
      <c r="C298" s="39">
        <v>0.59097222222222223</v>
      </c>
      <c r="D298" s="37">
        <v>113949</v>
      </c>
      <c r="E298" s="37">
        <v>18271</v>
      </c>
      <c r="F298" s="38">
        <v>45429</v>
      </c>
      <c r="G298" s="39">
        <v>0.60347222222222219</v>
      </c>
      <c r="H298" s="40" t="s">
        <v>119</v>
      </c>
      <c r="I298" s="37" t="s">
        <v>176</v>
      </c>
      <c r="J298" s="40" t="s">
        <v>206</v>
      </c>
      <c r="K298" s="37">
        <v>60</v>
      </c>
    </row>
    <row r="299" spans="1:11" ht="35" hidden="1" thickBot="1">
      <c r="A299" s="83" t="s">
        <v>289</v>
      </c>
      <c r="B299" s="38">
        <v>45429</v>
      </c>
      <c r="C299" s="39">
        <v>0.59861111111111109</v>
      </c>
      <c r="D299" s="37">
        <v>113949</v>
      </c>
      <c r="E299" s="37">
        <v>18271</v>
      </c>
      <c r="F299" s="38">
        <v>45429</v>
      </c>
      <c r="G299" s="39">
        <v>0.60347222222222219</v>
      </c>
      <c r="H299" s="40" t="s">
        <v>119</v>
      </c>
      <c r="I299" s="37" t="s">
        <v>176</v>
      </c>
      <c r="J299" s="40" t="s">
        <v>112</v>
      </c>
      <c r="K299" s="37">
        <v>4</v>
      </c>
    </row>
    <row r="300" spans="1:11" ht="35" hidden="1" thickBot="1">
      <c r="A300" s="83" t="s">
        <v>289</v>
      </c>
      <c r="B300" s="38">
        <v>45429</v>
      </c>
      <c r="C300" s="39">
        <v>0.59861111111111109</v>
      </c>
      <c r="D300" s="37">
        <v>113949</v>
      </c>
      <c r="E300" s="37">
        <v>18271</v>
      </c>
      <c r="F300" s="38">
        <v>45429</v>
      </c>
      <c r="G300" s="39">
        <v>0.60347222222222219</v>
      </c>
      <c r="H300" s="40" t="s">
        <v>119</v>
      </c>
      <c r="I300" s="37" t="s">
        <v>176</v>
      </c>
      <c r="J300" s="40" t="s">
        <v>261</v>
      </c>
      <c r="K300" s="37">
        <v>20</v>
      </c>
    </row>
    <row r="301" spans="1:11" ht="23.5" hidden="1" thickBot="1">
      <c r="A301" s="51">
        <v>946629</v>
      </c>
      <c r="B301" s="38">
        <v>45429</v>
      </c>
      <c r="C301" s="39">
        <v>0.59375</v>
      </c>
      <c r="D301" s="37">
        <v>113950</v>
      </c>
      <c r="E301" s="37">
        <v>18280</v>
      </c>
      <c r="F301" s="38">
        <v>45429</v>
      </c>
      <c r="G301" s="39">
        <v>0.60347222222222219</v>
      </c>
      <c r="H301" s="40" t="s">
        <v>30</v>
      </c>
      <c r="I301" s="37" t="s">
        <v>79</v>
      </c>
      <c r="J301" s="40" t="s">
        <v>111</v>
      </c>
      <c r="K301" s="37">
        <v>4</v>
      </c>
    </row>
    <row r="302" spans="1:11" ht="35" hidden="1" thickBot="1">
      <c r="A302" s="83">
        <v>633</v>
      </c>
      <c r="B302" s="38">
        <v>45429</v>
      </c>
      <c r="C302" s="39">
        <v>0.6</v>
      </c>
      <c r="D302" s="37">
        <v>113951</v>
      </c>
      <c r="E302" s="37">
        <v>18282</v>
      </c>
      <c r="F302" s="38">
        <v>45429</v>
      </c>
      <c r="G302" s="39">
        <v>0.60347222222222219</v>
      </c>
      <c r="H302" s="40" t="s">
        <v>163</v>
      </c>
      <c r="I302" s="37" t="s">
        <v>80</v>
      </c>
      <c r="J302" s="40" t="s">
        <v>230</v>
      </c>
      <c r="K302" s="37">
        <v>100</v>
      </c>
    </row>
    <row r="303" spans="1:11" ht="23.5" hidden="1" thickBot="1">
      <c r="A303" s="83">
        <v>633</v>
      </c>
      <c r="B303" s="38">
        <v>45429</v>
      </c>
      <c r="C303" s="39">
        <v>0.6</v>
      </c>
      <c r="D303" s="37">
        <v>113951</v>
      </c>
      <c r="E303" s="37">
        <v>18282</v>
      </c>
      <c r="F303" s="38">
        <v>45429</v>
      </c>
      <c r="G303" s="39">
        <v>0.60347222222222219</v>
      </c>
      <c r="H303" s="40" t="s">
        <v>163</v>
      </c>
      <c r="I303" s="37" t="s">
        <v>80</v>
      </c>
      <c r="J303" s="40" t="s">
        <v>151</v>
      </c>
      <c r="K303" s="37">
        <v>1</v>
      </c>
    </row>
    <row r="304" spans="1:11" ht="23.5" hidden="1" thickBot="1">
      <c r="A304" s="83">
        <v>633</v>
      </c>
      <c r="B304" s="38">
        <v>45429</v>
      </c>
      <c r="C304" s="39">
        <v>0.6</v>
      </c>
      <c r="D304" s="37">
        <v>113951</v>
      </c>
      <c r="E304" s="37">
        <v>18282</v>
      </c>
      <c r="F304" s="38">
        <v>45429</v>
      </c>
      <c r="G304" s="39">
        <v>0.60347222222222219</v>
      </c>
      <c r="H304" s="40" t="s">
        <v>163</v>
      </c>
      <c r="I304" s="37" t="s">
        <v>80</v>
      </c>
      <c r="J304" s="40" t="s">
        <v>158</v>
      </c>
      <c r="K304" s="37">
        <v>16</v>
      </c>
    </row>
    <row r="305" spans="1:11" ht="23.5" hidden="1" thickBot="1">
      <c r="A305" s="83">
        <v>633</v>
      </c>
      <c r="B305" s="38">
        <v>45429</v>
      </c>
      <c r="C305" s="39">
        <v>0.6</v>
      </c>
      <c r="D305" s="37">
        <v>113951</v>
      </c>
      <c r="E305" s="37">
        <v>18282</v>
      </c>
      <c r="F305" s="38">
        <v>45429</v>
      </c>
      <c r="G305" s="39">
        <v>0.60347222222222219</v>
      </c>
      <c r="H305" s="40" t="s">
        <v>163</v>
      </c>
      <c r="I305" s="37" t="s">
        <v>80</v>
      </c>
      <c r="J305" s="40" t="s">
        <v>112</v>
      </c>
      <c r="K305" s="37">
        <v>20</v>
      </c>
    </row>
    <row r="306" spans="1:11" ht="69.5" hidden="1" thickBot="1">
      <c r="A306" s="83" t="s">
        <v>290</v>
      </c>
      <c r="B306" s="38">
        <v>45429</v>
      </c>
      <c r="C306" s="39">
        <v>0.62152777777777779</v>
      </c>
      <c r="D306" s="37">
        <v>113961</v>
      </c>
      <c r="E306" s="37">
        <v>18291</v>
      </c>
      <c r="F306" s="38">
        <v>45432</v>
      </c>
      <c r="G306" s="39">
        <v>0.48680555555555555</v>
      </c>
      <c r="H306" s="40" t="s">
        <v>193</v>
      </c>
      <c r="I306" s="37" t="s">
        <v>79</v>
      </c>
      <c r="J306" s="40" t="s">
        <v>153</v>
      </c>
      <c r="K306" s="37">
        <v>8</v>
      </c>
    </row>
    <row r="307" spans="1:11" ht="69.5" hidden="1" thickBot="1">
      <c r="A307" s="83" t="s">
        <v>291</v>
      </c>
      <c r="B307" s="38">
        <v>45429</v>
      </c>
      <c r="C307" s="39">
        <v>0.6381944444444444</v>
      </c>
      <c r="D307" s="37">
        <v>113960</v>
      </c>
      <c r="E307" s="37">
        <v>18297</v>
      </c>
      <c r="F307" s="38">
        <v>45432</v>
      </c>
      <c r="G307" s="39">
        <v>0.48680555555555555</v>
      </c>
      <c r="H307" s="40" t="s">
        <v>193</v>
      </c>
      <c r="I307" s="37" t="s">
        <v>76</v>
      </c>
      <c r="J307" s="40" t="s">
        <v>113</v>
      </c>
      <c r="K307" s="37">
        <v>2</v>
      </c>
    </row>
    <row r="308" spans="1:11" ht="69.5" hidden="1" thickBot="1">
      <c r="A308" s="83" t="s">
        <v>291</v>
      </c>
      <c r="B308" s="38">
        <v>45429</v>
      </c>
      <c r="C308" s="39">
        <v>0.6381944444444444</v>
      </c>
      <c r="D308" s="37">
        <v>113960</v>
      </c>
      <c r="E308" s="37">
        <v>18297</v>
      </c>
      <c r="F308" s="38">
        <v>45432</v>
      </c>
      <c r="G308" s="39">
        <v>0.48680555555555555</v>
      </c>
      <c r="H308" s="40" t="s">
        <v>193</v>
      </c>
      <c r="I308" s="37" t="s">
        <v>76</v>
      </c>
      <c r="J308" s="40" t="s">
        <v>153</v>
      </c>
      <c r="K308" s="37">
        <v>20</v>
      </c>
    </row>
    <row r="309" spans="1:11" ht="69.5" hidden="1" thickBot="1">
      <c r="A309" s="83" t="s">
        <v>291</v>
      </c>
      <c r="B309" s="38">
        <v>45429</v>
      </c>
      <c r="C309" s="39">
        <v>0.6381944444444444</v>
      </c>
      <c r="D309" s="37">
        <v>113960</v>
      </c>
      <c r="E309" s="37">
        <v>18297</v>
      </c>
      <c r="F309" s="38">
        <v>45432</v>
      </c>
      <c r="G309" s="39">
        <v>0.48680555555555555</v>
      </c>
      <c r="H309" s="40" t="s">
        <v>193</v>
      </c>
      <c r="I309" s="37" t="s">
        <v>76</v>
      </c>
      <c r="J309" s="40" t="s">
        <v>263</v>
      </c>
      <c r="K309" s="37">
        <v>1</v>
      </c>
    </row>
    <row r="310" spans="1:11" ht="69.5" hidden="1" thickBot="1">
      <c r="A310" s="83" t="s">
        <v>291</v>
      </c>
      <c r="B310" s="38">
        <v>45429</v>
      </c>
      <c r="C310" s="39">
        <v>0.6381944444444444</v>
      </c>
      <c r="D310" s="37">
        <v>113960</v>
      </c>
      <c r="E310" s="37">
        <v>18297</v>
      </c>
      <c r="F310" s="38">
        <v>45432</v>
      </c>
      <c r="G310" s="39">
        <v>0.48680555555555555</v>
      </c>
      <c r="H310" s="40" t="s">
        <v>193</v>
      </c>
      <c r="I310" s="37" t="s">
        <v>76</v>
      </c>
      <c r="J310" s="40" t="s">
        <v>194</v>
      </c>
      <c r="K310" s="37">
        <v>20</v>
      </c>
    </row>
    <row r="311" spans="1:11" ht="35" hidden="1" thickBot="1">
      <c r="A311" s="83" t="s">
        <v>292</v>
      </c>
      <c r="B311" s="38">
        <v>45429</v>
      </c>
      <c r="C311" s="39">
        <v>0.69374999999999998</v>
      </c>
      <c r="D311" s="37">
        <v>113959</v>
      </c>
      <c r="E311" s="37">
        <v>18289</v>
      </c>
      <c r="F311" s="38">
        <v>45432</v>
      </c>
      <c r="G311" s="39">
        <v>0.48680555555555555</v>
      </c>
      <c r="H311" s="40" t="s">
        <v>119</v>
      </c>
      <c r="I311" s="37" t="s">
        <v>246</v>
      </c>
      <c r="J311" s="40" t="s">
        <v>153</v>
      </c>
      <c r="K311" s="37">
        <v>8</v>
      </c>
    </row>
    <row r="312" spans="1:11" ht="35" hidden="1" thickBot="1">
      <c r="A312" s="83" t="s">
        <v>292</v>
      </c>
      <c r="B312" s="38">
        <v>45429</v>
      </c>
      <c r="C312" s="39">
        <v>0.69374999999999998</v>
      </c>
      <c r="D312" s="37">
        <v>113959</v>
      </c>
      <c r="E312" s="37">
        <v>18289</v>
      </c>
      <c r="F312" s="38">
        <v>45432</v>
      </c>
      <c r="G312" s="39">
        <v>0.48680555555555555</v>
      </c>
      <c r="H312" s="40" t="s">
        <v>119</v>
      </c>
      <c r="I312" s="37" t="s">
        <v>246</v>
      </c>
      <c r="J312" s="40" t="s">
        <v>220</v>
      </c>
      <c r="K312" s="37">
        <v>8</v>
      </c>
    </row>
    <row r="313" spans="1:11" ht="35" hidden="1" thickBot="1">
      <c r="A313" s="83" t="s">
        <v>292</v>
      </c>
      <c r="B313" s="38">
        <v>45429</v>
      </c>
      <c r="C313" s="39">
        <v>0.69374999999999998</v>
      </c>
      <c r="D313" s="37">
        <v>113959</v>
      </c>
      <c r="E313" s="37" t="s">
        <v>321</v>
      </c>
      <c r="F313" s="38">
        <v>45432</v>
      </c>
      <c r="G313" s="39">
        <v>0.48680555555555555</v>
      </c>
      <c r="H313" s="40" t="s">
        <v>119</v>
      </c>
      <c r="I313" s="37" t="s">
        <v>246</v>
      </c>
      <c r="J313" s="40" t="s">
        <v>226</v>
      </c>
      <c r="K313" s="37">
        <v>4</v>
      </c>
    </row>
    <row r="314" spans="1:11" ht="46.5" hidden="1" thickBot="1">
      <c r="A314" s="83" t="s">
        <v>292</v>
      </c>
      <c r="B314" s="38">
        <v>45429</v>
      </c>
      <c r="C314" s="39">
        <v>0.69374999999999998</v>
      </c>
      <c r="D314" s="37">
        <v>113959</v>
      </c>
      <c r="E314" s="37">
        <v>18289</v>
      </c>
      <c r="F314" s="38">
        <v>45432</v>
      </c>
      <c r="G314" s="39">
        <v>0.48680555555555555</v>
      </c>
      <c r="H314" s="40" t="s">
        <v>119</v>
      </c>
      <c r="I314" s="37" t="s">
        <v>246</v>
      </c>
      <c r="J314" s="40" t="s">
        <v>145</v>
      </c>
      <c r="K314" s="37">
        <v>8</v>
      </c>
    </row>
    <row r="315" spans="1:11" ht="23.5" hidden="1" thickBot="1">
      <c r="A315" s="83">
        <v>4500067176</v>
      </c>
      <c r="B315" s="38">
        <v>45429</v>
      </c>
      <c r="C315" s="39">
        <v>0.70763888888888893</v>
      </c>
      <c r="D315" s="37">
        <v>113954</v>
      </c>
      <c r="E315" s="37">
        <v>18290</v>
      </c>
      <c r="F315" s="38">
        <v>45432</v>
      </c>
      <c r="G315" s="39">
        <v>0.3888888888888889</v>
      </c>
      <c r="H315" s="40" t="s">
        <v>181</v>
      </c>
      <c r="I315" s="37" t="s">
        <v>293</v>
      </c>
      <c r="J315" s="40" t="s">
        <v>209</v>
      </c>
      <c r="K315" s="37">
        <v>30</v>
      </c>
    </row>
    <row r="316" spans="1:11" ht="35" hidden="1" thickBot="1">
      <c r="A316" s="83">
        <v>947055</v>
      </c>
      <c r="B316" s="38">
        <v>45432</v>
      </c>
      <c r="C316" s="39">
        <v>0.3034722222222222</v>
      </c>
      <c r="D316" s="37">
        <v>113958</v>
      </c>
      <c r="E316" s="37">
        <v>18288</v>
      </c>
      <c r="F316" s="38">
        <v>45432</v>
      </c>
      <c r="G316" s="39">
        <v>0.48680555555555555</v>
      </c>
      <c r="H316" s="40" t="s">
        <v>30</v>
      </c>
      <c r="I316" s="37" t="s">
        <v>80</v>
      </c>
      <c r="J316" s="40" t="s">
        <v>212</v>
      </c>
      <c r="K316" s="37">
        <v>4</v>
      </c>
    </row>
    <row r="317" spans="1:11" ht="23.5" hidden="1" thickBot="1">
      <c r="A317" s="83">
        <v>5502346404</v>
      </c>
      <c r="B317" s="38">
        <v>45432</v>
      </c>
      <c r="C317" s="39">
        <v>0.37916666666666665</v>
      </c>
      <c r="D317" s="37">
        <v>113957</v>
      </c>
      <c r="E317" s="37">
        <v>18298</v>
      </c>
      <c r="F317" s="38">
        <v>45432</v>
      </c>
      <c r="G317" s="39">
        <v>0.48055555555555557</v>
      </c>
      <c r="H317" s="40" t="s">
        <v>52</v>
      </c>
      <c r="I317" s="37" t="s">
        <v>135</v>
      </c>
      <c r="J317" s="40" t="s">
        <v>194</v>
      </c>
      <c r="K317" s="37">
        <v>200</v>
      </c>
    </row>
    <row r="318" spans="1:11" ht="35" hidden="1" thickBot="1">
      <c r="A318" s="83">
        <v>107</v>
      </c>
      <c r="B318" s="38">
        <v>45432</v>
      </c>
      <c r="C318" s="39">
        <v>0.41180555555555554</v>
      </c>
      <c r="D318" s="37">
        <v>113956</v>
      </c>
      <c r="E318" s="37">
        <v>18360</v>
      </c>
      <c r="F318" s="38">
        <v>45432</v>
      </c>
      <c r="G318" s="39">
        <v>0.48055555555555557</v>
      </c>
      <c r="H318" s="40" t="s">
        <v>294</v>
      </c>
      <c r="I318" s="37" t="s">
        <v>78</v>
      </c>
      <c r="J318" s="40" t="s">
        <v>230</v>
      </c>
      <c r="K318" s="37">
        <v>15</v>
      </c>
    </row>
    <row r="319" spans="1:11" ht="23.5" hidden="1" thickBot="1">
      <c r="A319" s="83">
        <v>107</v>
      </c>
      <c r="B319" s="38">
        <v>45432</v>
      </c>
      <c r="C319" s="39">
        <v>0.41180555555555554</v>
      </c>
      <c r="D319" s="37">
        <v>113956</v>
      </c>
      <c r="E319" s="37">
        <v>18360</v>
      </c>
      <c r="F319" s="38">
        <v>45432</v>
      </c>
      <c r="G319" s="39">
        <v>0.48055555555555557</v>
      </c>
      <c r="H319" s="40" t="s">
        <v>294</v>
      </c>
      <c r="I319" s="37" t="s">
        <v>78</v>
      </c>
      <c r="J319" s="40" t="s">
        <v>295</v>
      </c>
      <c r="K319" s="37">
        <v>2</v>
      </c>
    </row>
    <row r="320" spans="1:11" ht="23.5" thickBot="1">
      <c r="A320" s="76">
        <v>23</v>
      </c>
      <c r="B320" s="64">
        <v>45432</v>
      </c>
      <c r="C320" s="65">
        <v>0.3972222222222222</v>
      </c>
      <c r="D320" s="66">
        <v>113984</v>
      </c>
      <c r="E320" s="66">
        <v>18323</v>
      </c>
      <c r="F320" s="64">
        <v>45434</v>
      </c>
      <c r="G320" s="65">
        <v>0.5180555555555556</v>
      </c>
      <c r="H320" s="70" t="s">
        <v>18</v>
      </c>
      <c r="I320" s="66" t="s">
        <v>77</v>
      </c>
      <c r="J320" s="70" t="s">
        <v>111</v>
      </c>
      <c r="K320" s="66">
        <v>20</v>
      </c>
    </row>
    <row r="321" spans="1:11" ht="23.5" hidden="1" thickBot="1">
      <c r="A321" s="83" t="s">
        <v>322</v>
      </c>
      <c r="B321" s="38">
        <v>45432</v>
      </c>
      <c r="C321" s="39">
        <v>0.40208333333333335</v>
      </c>
      <c r="D321" s="37">
        <v>113955</v>
      </c>
      <c r="E321" s="37">
        <v>18335</v>
      </c>
      <c r="F321" s="38">
        <v>45432</v>
      </c>
      <c r="G321" s="39">
        <v>0.47986111111111113</v>
      </c>
      <c r="H321" s="40" t="s">
        <v>296</v>
      </c>
      <c r="I321" s="37" t="s">
        <v>141</v>
      </c>
      <c r="J321" s="40" t="s">
        <v>220</v>
      </c>
      <c r="K321" s="37">
        <v>12</v>
      </c>
    </row>
    <row r="322" spans="1:11" ht="46.5" hidden="1" thickBot="1">
      <c r="A322" s="83" t="s">
        <v>297</v>
      </c>
      <c r="B322" s="38">
        <v>45432</v>
      </c>
      <c r="C322" s="39">
        <v>0.4236111111111111</v>
      </c>
      <c r="D322" s="37">
        <v>113964</v>
      </c>
      <c r="E322" s="37">
        <v>18293</v>
      </c>
      <c r="F322" s="38">
        <v>45432</v>
      </c>
      <c r="G322" s="39">
        <v>0.49444444444444446</v>
      </c>
      <c r="H322" s="40" t="s">
        <v>169</v>
      </c>
      <c r="I322" s="37" t="s">
        <v>147</v>
      </c>
      <c r="J322" s="40" t="s">
        <v>194</v>
      </c>
      <c r="K322" s="37">
        <v>12</v>
      </c>
    </row>
    <row r="323" spans="1:11" ht="13.5" hidden="1" thickBot="1">
      <c r="A323" s="83">
        <v>5158</v>
      </c>
      <c r="B323" s="38">
        <v>45432</v>
      </c>
      <c r="C323" s="39">
        <v>0.4465277777777778</v>
      </c>
      <c r="D323" s="37">
        <v>113963</v>
      </c>
      <c r="E323" s="37">
        <v>18295</v>
      </c>
      <c r="F323" s="38">
        <v>45432</v>
      </c>
      <c r="G323" s="39">
        <v>0.49444444444444446</v>
      </c>
      <c r="H323" s="40" t="s">
        <v>219</v>
      </c>
      <c r="I323" s="37" t="s">
        <v>81</v>
      </c>
      <c r="J323" s="40" t="s">
        <v>189</v>
      </c>
      <c r="K323" s="37">
        <v>84</v>
      </c>
    </row>
    <row r="324" spans="1:11" ht="35" thickBot="1">
      <c r="A324" s="86">
        <v>24</v>
      </c>
      <c r="B324" s="38">
        <v>45426</v>
      </c>
      <c r="C324" s="39">
        <v>0.64513888888888893</v>
      </c>
      <c r="D324" s="37">
        <v>113909</v>
      </c>
      <c r="E324" s="41"/>
      <c r="F324" s="38">
        <v>45426</v>
      </c>
      <c r="G324" s="39">
        <v>0.66041666666666665</v>
      </c>
      <c r="H324" s="40" t="s">
        <v>45</v>
      </c>
      <c r="I324" s="37" t="s">
        <v>78</v>
      </c>
      <c r="J324" s="40" t="s">
        <v>232</v>
      </c>
      <c r="K324" s="37">
        <v>9</v>
      </c>
    </row>
    <row r="325" spans="1:11" ht="35" thickBot="1">
      <c r="A325" s="86">
        <v>24</v>
      </c>
      <c r="B325" s="38">
        <v>45432</v>
      </c>
      <c r="C325" s="39">
        <v>0.44791666666666669</v>
      </c>
      <c r="D325" s="37">
        <v>113962</v>
      </c>
      <c r="E325" s="37">
        <v>18383</v>
      </c>
      <c r="F325" s="38">
        <v>45432</v>
      </c>
      <c r="G325" s="39">
        <v>0.49444444444444446</v>
      </c>
      <c r="H325" s="40" t="s">
        <v>45</v>
      </c>
      <c r="I325" s="37" t="s">
        <v>78</v>
      </c>
      <c r="J325" s="40" t="s">
        <v>188</v>
      </c>
      <c r="K325" s="37">
        <v>14</v>
      </c>
    </row>
    <row r="326" spans="1:11" ht="23.5" hidden="1" thickBot="1">
      <c r="A326" s="83">
        <v>947933</v>
      </c>
      <c r="B326" s="38">
        <v>45432</v>
      </c>
      <c r="C326" s="39">
        <v>0.51527777777777772</v>
      </c>
      <c r="D326" s="37">
        <v>113969</v>
      </c>
      <c r="E326" s="37">
        <v>18304</v>
      </c>
      <c r="F326" s="38">
        <v>45432</v>
      </c>
      <c r="G326" s="39">
        <v>0.62708333333333333</v>
      </c>
      <c r="H326" s="40" t="s">
        <v>30</v>
      </c>
      <c r="I326" s="37" t="s">
        <v>80</v>
      </c>
      <c r="J326" s="40" t="s">
        <v>140</v>
      </c>
      <c r="K326" s="37">
        <v>10</v>
      </c>
    </row>
    <row r="327" spans="1:11" ht="35" hidden="1" thickBot="1">
      <c r="A327" s="83" t="s">
        <v>298</v>
      </c>
      <c r="B327" s="38">
        <v>45432</v>
      </c>
      <c r="C327" s="39">
        <v>0.60624999999999996</v>
      </c>
      <c r="D327" s="37">
        <v>113968</v>
      </c>
      <c r="E327" s="37">
        <v>18294</v>
      </c>
      <c r="F327" s="38">
        <v>45432</v>
      </c>
      <c r="G327" s="39">
        <v>0.62708333333333333</v>
      </c>
      <c r="H327" s="40" t="s">
        <v>323</v>
      </c>
      <c r="I327" s="37" t="s">
        <v>170</v>
      </c>
      <c r="J327" s="40" t="s">
        <v>221</v>
      </c>
      <c r="K327" s="37">
        <v>53</v>
      </c>
    </row>
    <row r="328" spans="1:11" ht="35" hidden="1" thickBot="1">
      <c r="A328" s="83">
        <v>108</v>
      </c>
      <c r="B328" s="38">
        <v>45432</v>
      </c>
      <c r="C328" s="39">
        <v>0.66319444444444442</v>
      </c>
      <c r="D328" s="37">
        <v>113969</v>
      </c>
      <c r="E328" s="37">
        <v>18362</v>
      </c>
      <c r="F328" s="38">
        <v>45433</v>
      </c>
      <c r="G328" s="39">
        <v>0.43333333333333335</v>
      </c>
      <c r="H328" s="40" t="s">
        <v>294</v>
      </c>
      <c r="I328" s="37" t="s">
        <v>78</v>
      </c>
      <c r="J328" s="40" t="s">
        <v>207</v>
      </c>
      <c r="K328" s="37">
        <v>20</v>
      </c>
    </row>
    <row r="329" spans="1:11" ht="23.5" hidden="1" thickBot="1">
      <c r="A329" s="83">
        <v>4500069852</v>
      </c>
      <c r="B329" s="38">
        <v>45432</v>
      </c>
      <c r="C329" s="39">
        <v>0.52083333333333337</v>
      </c>
      <c r="D329" s="37">
        <v>113970</v>
      </c>
      <c r="E329" s="37">
        <v>18324</v>
      </c>
      <c r="F329" s="38">
        <v>45433</v>
      </c>
      <c r="G329" s="39">
        <v>0.43333333333333335</v>
      </c>
      <c r="H329" s="40" t="s">
        <v>57</v>
      </c>
      <c r="I329" s="37" t="s">
        <v>80</v>
      </c>
      <c r="J329" s="40" t="s">
        <v>165</v>
      </c>
      <c r="K329" s="37">
        <v>100</v>
      </c>
    </row>
    <row r="330" spans="1:11" ht="35" hidden="1" thickBot="1">
      <c r="A330" s="83">
        <v>4500069852</v>
      </c>
      <c r="B330" s="38">
        <v>45432</v>
      </c>
      <c r="C330" s="39">
        <v>0.52083333333333337</v>
      </c>
      <c r="D330" s="37">
        <v>113970</v>
      </c>
      <c r="E330" s="37">
        <v>18324</v>
      </c>
      <c r="F330" s="38">
        <v>45433</v>
      </c>
      <c r="G330" s="39">
        <v>0.43333333333333335</v>
      </c>
      <c r="H330" s="40" t="s">
        <v>57</v>
      </c>
      <c r="I330" s="37" t="s">
        <v>80</v>
      </c>
      <c r="J330" s="40" t="s">
        <v>156</v>
      </c>
      <c r="K330" s="37">
        <v>40</v>
      </c>
    </row>
    <row r="331" spans="1:11" ht="23.5" hidden="1" thickBot="1">
      <c r="A331" s="83">
        <v>4500069852</v>
      </c>
      <c r="B331" s="38">
        <v>45432</v>
      </c>
      <c r="C331" s="39">
        <v>0.52083333333333337</v>
      </c>
      <c r="D331" s="37">
        <v>113970</v>
      </c>
      <c r="E331" s="37">
        <v>18324</v>
      </c>
      <c r="F331" s="38">
        <v>45433</v>
      </c>
      <c r="G331" s="39">
        <v>0.43333333333333335</v>
      </c>
      <c r="H331" s="40" t="s">
        <v>57</v>
      </c>
      <c r="I331" s="37" t="s">
        <v>80</v>
      </c>
      <c r="J331" s="40" t="s">
        <v>115</v>
      </c>
      <c r="K331" s="37">
        <v>20</v>
      </c>
    </row>
    <row r="332" spans="1:11" ht="23.5" hidden="1" thickBot="1">
      <c r="A332" s="83">
        <v>4500069852</v>
      </c>
      <c r="B332" s="38">
        <v>45432</v>
      </c>
      <c r="C332" s="39">
        <v>0.52083333333333337</v>
      </c>
      <c r="D332" s="37">
        <v>113970</v>
      </c>
      <c r="E332" s="37">
        <v>18324</v>
      </c>
      <c r="F332" s="38">
        <v>45433</v>
      </c>
      <c r="G332" s="39">
        <v>0.43333333333333335</v>
      </c>
      <c r="H332" s="40" t="s">
        <v>57</v>
      </c>
      <c r="I332" s="37" t="s">
        <v>80</v>
      </c>
      <c r="J332" s="40" t="s">
        <v>209</v>
      </c>
      <c r="K332" s="37">
        <v>4</v>
      </c>
    </row>
    <row r="333" spans="1:11" ht="23.5" hidden="1" thickBot="1">
      <c r="A333" s="83">
        <v>4500069852</v>
      </c>
      <c r="B333" s="38">
        <v>45432</v>
      </c>
      <c r="C333" s="39">
        <v>0.52083333333333337</v>
      </c>
      <c r="D333" s="37">
        <v>113970</v>
      </c>
      <c r="E333" s="37">
        <v>18324</v>
      </c>
      <c r="F333" s="38">
        <v>45433</v>
      </c>
      <c r="G333" s="39">
        <v>0.43333333333333335</v>
      </c>
      <c r="H333" s="40" t="s">
        <v>57</v>
      </c>
      <c r="I333" s="37" t="s">
        <v>80</v>
      </c>
      <c r="J333" s="40" t="s">
        <v>220</v>
      </c>
      <c r="K333" s="37">
        <v>20</v>
      </c>
    </row>
    <row r="334" spans="1:11" ht="23.5" hidden="1" thickBot="1">
      <c r="A334" s="83">
        <v>4500069852</v>
      </c>
      <c r="B334" s="38">
        <v>45432</v>
      </c>
      <c r="C334" s="39">
        <v>0.52083333333333337</v>
      </c>
      <c r="D334" s="37">
        <v>113970</v>
      </c>
      <c r="E334" s="37">
        <v>18324</v>
      </c>
      <c r="F334" s="38">
        <v>45433</v>
      </c>
      <c r="G334" s="39">
        <v>0.43333333333333335</v>
      </c>
      <c r="H334" s="40" t="s">
        <v>57</v>
      </c>
      <c r="I334" s="37" t="s">
        <v>80</v>
      </c>
      <c r="J334" s="40" t="s">
        <v>118</v>
      </c>
      <c r="K334" s="37">
        <v>12</v>
      </c>
    </row>
    <row r="335" spans="1:11" ht="23.5" hidden="1" thickBot="1">
      <c r="A335" s="83">
        <v>4500069852</v>
      </c>
      <c r="B335" s="38">
        <v>45432</v>
      </c>
      <c r="C335" s="39">
        <v>0.52083333333333337</v>
      </c>
      <c r="D335" s="37">
        <v>113970</v>
      </c>
      <c r="E335" s="37">
        <v>18324</v>
      </c>
      <c r="F335" s="38">
        <v>45433</v>
      </c>
      <c r="G335" s="39">
        <v>0.43333333333333335</v>
      </c>
      <c r="H335" s="40" t="s">
        <v>57</v>
      </c>
      <c r="I335" s="37" t="s">
        <v>80</v>
      </c>
      <c r="J335" s="40" t="s">
        <v>162</v>
      </c>
      <c r="K335" s="37">
        <v>4</v>
      </c>
    </row>
    <row r="336" spans="1:11" ht="23.5" hidden="1" thickBot="1">
      <c r="A336" s="83">
        <v>4500069852</v>
      </c>
      <c r="B336" s="38">
        <v>45432</v>
      </c>
      <c r="C336" s="39">
        <v>0.52083333333333337</v>
      </c>
      <c r="D336" s="37">
        <v>113970</v>
      </c>
      <c r="E336" s="37">
        <v>18324</v>
      </c>
      <c r="F336" s="38">
        <v>45433</v>
      </c>
      <c r="G336" s="39">
        <v>0.43333333333333335</v>
      </c>
      <c r="H336" s="40" t="s">
        <v>57</v>
      </c>
      <c r="I336" s="37" t="s">
        <v>80</v>
      </c>
      <c r="J336" s="40" t="s">
        <v>111</v>
      </c>
      <c r="K336" s="37">
        <v>12</v>
      </c>
    </row>
    <row r="337" spans="1:11" ht="23.5" hidden="1" thickBot="1">
      <c r="A337" s="83">
        <v>4500069852</v>
      </c>
      <c r="B337" s="38">
        <v>45432</v>
      </c>
      <c r="C337" s="39">
        <v>0.52083333333333337</v>
      </c>
      <c r="D337" s="37">
        <v>113970</v>
      </c>
      <c r="E337" s="37">
        <v>18324</v>
      </c>
      <c r="F337" s="38">
        <v>45433</v>
      </c>
      <c r="G337" s="39">
        <v>0.43333333333333335</v>
      </c>
      <c r="H337" s="40" t="s">
        <v>57</v>
      </c>
      <c r="I337" s="37" t="s">
        <v>80</v>
      </c>
      <c r="J337" s="40" t="s">
        <v>110</v>
      </c>
      <c r="K337" s="37">
        <v>80</v>
      </c>
    </row>
    <row r="338" spans="1:11" ht="23.5" hidden="1" thickBot="1">
      <c r="A338" s="83">
        <v>49685</v>
      </c>
      <c r="B338" s="38">
        <v>45432</v>
      </c>
      <c r="C338" s="39">
        <v>0.62291666666666667</v>
      </c>
      <c r="D338" s="37">
        <v>113971</v>
      </c>
      <c r="E338" s="37">
        <v>18337</v>
      </c>
      <c r="F338" s="38">
        <v>45433</v>
      </c>
      <c r="G338" s="39">
        <v>0.43333333333333335</v>
      </c>
      <c r="H338" s="40" t="s">
        <v>157</v>
      </c>
      <c r="I338" s="37" t="s">
        <v>78</v>
      </c>
      <c r="J338" s="40" t="s">
        <v>215</v>
      </c>
      <c r="K338" s="37">
        <v>28</v>
      </c>
    </row>
    <row r="339" spans="1:11" ht="23.5" hidden="1" thickBot="1">
      <c r="A339" s="83">
        <v>948280</v>
      </c>
      <c r="B339" s="38">
        <v>45432</v>
      </c>
      <c r="C339" s="39">
        <v>0.65694444444444444</v>
      </c>
      <c r="D339" s="37">
        <v>113972</v>
      </c>
      <c r="E339" s="37">
        <v>18306</v>
      </c>
      <c r="F339" s="38">
        <v>45433</v>
      </c>
      <c r="G339" s="39">
        <v>0.43333333333333335</v>
      </c>
      <c r="H339" s="40" t="s">
        <v>38</v>
      </c>
      <c r="I339" s="37" t="s">
        <v>142</v>
      </c>
      <c r="J339" s="40" t="s">
        <v>113</v>
      </c>
      <c r="K339" s="37">
        <v>10</v>
      </c>
    </row>
    <row r="340" spans="1:11" ht="23.5" hidden="1" thickBot="1">
      <c r="A340" s="91">
        <v>68867</v>
      </c>
      <c r="B340" s="38">
        <v>45432</v>
      </c>
      <c r="C340" s="39">
        <v>0.65763888888888888</v>
      </c>
      <c r="D340" s="37">
        <v>113973</v>
      </c>
      <c r="E340" s="37">
        <v>18302</v>
      </c>
      <c r="F340" s="38">
        <v>45433</v>
      </c>
      <c r="G340" s="39">
        <v>0.43333333333333335</v>
      </c>
      <c r="H340" s="40" t="s">
        <v>231</v>
      </c>
      <c r="I340" s="37" t="s">
        <v>142</v>
      </c>
      <c r="J340" s="40" t="s">
        <v>221</v>
      </c>
      <c r="K340" s="37">
        <v>50</v>
      </c>
    </row>
    <row r="341" spans="1:11" ht="46.5" hidden="1" thickBot="1">
      <c r="A341" s="91">
        <v>68866</v>
      </c>
      <c r="B341" s="38">
        <v>45432</v>
      </c>
      <c r="C341" s="39">
        <v>0.65763888888888888</v>
      </c>
      <c r="D341" s="37">
        <v>113974</v>
      </c>
      <c r="E341" s="37">
        <v>18301</v>
      </c>
      <c r="F341" s="38">
        <v>45433</v>
      </c>
      <c r="G341" s="39">
        <v>0.43333333333333335</v>
      </c>
      <c r="H341" s="40" t="s">
        <v>231</v>
      </c>
      <c r="I341" s="37" t="s">
        <v>142</v>
      </c>
      <c r="J341" s="40" t="s">
        <v>145</v>
      </c>
      <c r="K341" s="37">
        <v>40</v>
      </c>
    </row>
    <row r="342" spans="1:11" ht="23.5" hidden="1" thickBot="1">
      <c r="A342" s="83" t="s">
        <v>324</v>
      </c>
      <c r="B342" s="38">
        <v>45432</v>
      </c>
      <c r="C342" s="39">
        <v>0.69652777777777775</v>
      </c>
      <c r="D342" s="37">
        <v>113975</v>
      </c>
      <c r="E342" s="37">
        <v>18300</v>
      </c>
      <c r="F342" s="38">
        <v>45433</v>
      </c>
      <c r="G342" s="39">
        <v>0.43333333333333335</v>
      </c>
      <c r="H342" s="40" t="s">
        <v>144</v>
      </c>
      <c r="I342" s="37" t="s">
        <v>88</v>
      </c>
      <c r="J342" s="40" t="s">
        <v>218</v>
      </c>
      <c r="K342" s="37">
        <v>10</v>
      </c>
    </row>
    <row r="343" spans="1:11" ht="69.5" hidden="1" thickBot="1">
      <c r="A343" s="83" t="s">
        <v>325</v>
      </c>
      <c r="B343" s="38">
        <v>45433</v>
      </c>
      <c r="C343" s="39">
        <v>0.3215277777777778</v>
      </c>
      <c r="D343" s="37">
        <v>113976</v>
      </c>
      <c r="E343" s="37">
        <v>18303</v>
      </c>
      <c r="F343" s="38">
        <v>45433</v>
      </c>
      <c r="G343" s="39">
        <v>0.43333333333333335</v>
      </c>
      <c r="H343" s="40" t="s">
        <v>193</v>
      </c>
      <c r="I343" s="37" t="s">
        <v>79</v>
      </c>
      <c r="J343" s="40" t="s">
        <v>151</v>
      </c>
      <c r="K343" s="37">
        <v>8</v>
      </c>
    </row>
    <row r="344" spans="1:11" ht="69.5" hidden="1" thickBot="1">
      <c r="A344" s="83" t="s">
        <v>325</v>
      </c>
      <c r="B344" s="38">
        <v>45433</v>
      </c>
      <c r="C344" s="39">
        <v>0.3215277777777778</v>
      </c>
      <c r="D344" s="37">
        <v>113976</v>
      </c>
      <c r="E344" s="37">
        <v>18303</v>
      </c>
      <c r="F344" s="38">
        <v>45433</v>
      </c>
      <c r="G344" s="39">
        <v>0.43333333333333335</v>
      </c>
      <c r="H344" s="40" t="s">
        <v>193</v>
      </c>
      <c r="I344" s="37" t="s">
        <v>79</v>
      </c>
      <c r="J344" s="40" t="s">
        <v>145</v>
      </c>
      <c r="K344" s="37">
        <v>40</v>
      </c>
    </row>
    <row r="345" spans="1:11" ht="69.5" hidden="1" thickBot="1">
      <c r="A345" s="83" t="s">
        <v>325</v>
      </c>
      <c r="B345" s="38">
        <v>45433</v>
      </c>
      <c r="C345" s="39">
        <v>0.3215277777777778</v>
      </c>
      <c r="D345" s="37">
        <v>113976</v>
      </c>
      <c r="E345" s="37">
        <v>18303</v>
      </c>
      <c r="F345" s="38">
        <v>45433</v>
      </c>
      <c r="G345" s="39">
        <v>0.43333333333333335</v>
      </c>
      <c r="H345" s="40" t="s">
        <v>193</v>
      </c>
      <c r="I345" s="37" t="s">
        <v>79</v>
      </c>
      <c r="J345" s="40" t="s">
        <v>194</v>
      </c>
      <c r="K345" s="37">
        <v>12</v>
      </c>
    </row>
    <row r="346" spans="1:11" ht="23.5" hidden="1" thickBot="1">
      <c r="A346" s="83">
        <v>4500069876</v>
      </c>
      <c r="B346" s="38">
        <v>45433</v>
      </c>
      <c r="C346" s="39">
        <v>0.36805555555555558</v>
      </c>
      <c r="D346" s="37">
        <v>113977</v>
      </c>
      <c r="E346" s="37">
        <v>18308</v>
      </c>
      <c r="F346" s="38">
        <v>45433</v>
      </c>
      <c r="G346" s="39">
        <v>0.43333333333333335</v>
      </c>
      <c r="H346" s="40" t="s">
        <v>57</v>
      </c>
      <c r="I346" s="37" t="s">
        <v>83</v>
      </c>
      <c r="J346" s="40" t="s">
        <v>140</v>
      </c>
      <c r="K346" s="37">
        <v>300</v>
      </c>
    </row>
    <row r="347" spans="1:11" ht="23.5" hidden="1" thickBot="1">
      <c r="A347" s="83">
        <v>4500069876</v>
      </c>
      <c r="B347" s="38">
        <v>45433</v>
      </c>
      <c r="C347" s="39">
        <v>0.36805555555555558</v>
      </c>
      <c r="D347" s="37">
        <v>113977</v>
      </c>
      <c r="E347" s="37">
        <v>18308</v>
      </c>
      <c r="F347" s="38">
        <v>45433</v>
      </c>
      <c r="G347" s="39">
        <v>0.43333333333333335</v>
      </c>
      <c r="H347" s="40" t="s">
        <v>57</v>
      </c>
      <c r="I347" s="37" t="s">
        <v>83</v>
      </c>
      <c r="J347" s="40" t="s">
        <v>113</v>
      </c>
      <c r="K347" s="37">
        <v>28</v>
      </c>
    </row>
    <row r="348" spans="1:11" ht="13.5" hidden="1" thickBot="1">
      <c r="A348" s="83">
        <v>4500069876</v>
      </c>
      <c r="B348" s="38">
        <v>45433</v>
      </c>
      <c r="C348" s="39">
        <v>0.36805555555555558</v>
      </c>
      <c r="D348" s="37">
        <v>113977</v>
      </c>
      <c r="E348" s="37">
        <v>18308</v>
      </c>
      <c r="F348" s="38">
        <v>45433</v>
      </c>
      <c r="G348" s="39">
        <v>0.43333333333333335</v>
      </c>
      <c r="H348" s="40" t="s">
        <v>57</v>
      </c>
      <c r="I348" s="37" t="s">
        <v>83</v>
      </c>
      <c r="J348" s="40" t="s">
        <v>134</v>
      </c>
      <c r="K348" s="37">
        <v>28</v>
      </c>
    </row>
    <row r="349" spans="1:11" ht="23.5" hidden="1" thickBot="1">
      <c r="A349" s="83">
        <v>4500069876</v>
      </c>
      <c r="B349" s="38">
        <v>45433</v>
      </c>
      <c r="C349" s="39">
        <v>0.36805555555555558</v>
      </c>
      <c r="D349" s="37">
        <v>113977</v>
      </c>
      <c r="E349" s="37">
        <v>18308</v>
      </c>
      <c r="F349" s="38">
        <v>45433</v>
      </c>
      <c r="G349" s="39">
        <v>0.43333333333333335</v>
      </c>
      <c r="H349" s="40" t="s">
        <v>57</v>
      </c>
      <c r="I349" s="37" t="s">
        <v>83</v>
      </c>
      <c r="J349" s="40" t="s">
        <v>209</v>
      </c>
      <c r="K349" s="37">
        <v>28</v>
      </c>
    </row>
    <row r="350" spans="1:11" ht="23.5" hidden="1" thickBot="1">
      <c r="A350" s="83">
        <v>4500069876</v>
      </c>
      <c r="B350" s="38">
        <v>45433</v>
      </c>
      <c r="C350" s="39">
        <v>0.36805555555555558</v>
      </c>
      <c r="D350" s="37">
        <v>113977</v>
      </c>
      <c r="E350" s="37">
        <v>18308</v>
      </c>
      <c r="F350" s="38">
        <v>45433</v>
      </c>
      <c r="G350" s="39">
        <v>0.43333333333333335</v>
      </c>
      <c r="H350" s="40" t="s">
        <v>57</v>
      </c>
      <c r="I350" s="37" t="s">
        <v>83</v>
      </c>
      <c r="J350" s="40" t="s">
        <v>115</v>
      </c>
      <c r="K350" s="37">
        <v>120</v>
      </c>
    </row>
    <row r="351" spans="1:11" ht="23.5" hidden="1" thickBot="1">
      <c r="A351" s="83">
        <v>4500069876</v>
      </c>
      <c r="B351" s="38">
        <v>45433</v>
      </c>
      <c r="C351" s="39">
        <v>0.36805555555555558</v>
      </c>
      <c r="D351" s="37">
        <v>113977</v>
      </c>
      <c r="E351" s="37">
        <v>18308</v>
      </c>
      <c r="F351" s="38">
        <v>45433</v>
      </c>
      <c r="G351" s="39">
        <v>0.43333333333333335</v>
      </c>
      <c r="H351" s="40" t="s">
        <v>57</v>
      </c>
      <c r="I351" s="37" t="s">
        <v>83</v>
      </c>
      <c r="J351" s="40" t="s">
        <v>151</v>
      </c>
      <c r="K351" s="37">
        <v>24</v>
      </c>
    </row>
    <row r="352" spans="1:11" ht="23.5" hidden="1" thickBot="1">
      <c r="A352" s="83">
        <v>4500069876</v>
      </c>
      <c r="B352" s="38">
        <v>45433</v>
      </c>
      <c r="C352" s="39">
        <v>0.36805555555555558</v>
      </c>
      <c r="D352" s="37">
        <v>113977</v>
      </c>
      <c r="E352" s="37">
        <v>18308</v>
      </c>
      <c r="F352" s="38">
        <v>45433</v>
      </c>
      <c r="G352" s="39">
        <v>0.43333333333333335</v>
      </c>
      <c r="H352" s="40" t="s">
        <v>57</v>
      </c>
      <c r="I352" s="37" t="s">
        <v>83</v>
      </c>
      <c r="J352" s="40" t="s">
        <v>206</v>
      </c>
      <c r="K352" s="37">
        <v>200</v>
      </c>
    </row>
    <row r="353" spans="1:11" ht="23.5" hidden="1" thickBot="1">
      <c r="A353" s="83">
        <v>4500069876</v>
      </c>
      <c r="B353" s="38">
        <v>45433</v>
      </c>
      <c r="C353" s="39">
        <v>0.36805555555555558</v>
      </c>
      <c r="D353" s="37">
        <v>113977</v>
      </c>
      <c r="E353" s="37">
        <v>18308</v>
      </c>
      <c r="F353" s="38">
        <v>45433</v>
      </c>
      <c r="G353" s="39">
        <v>0.43333333333333335</v>
      </c>
      <c r="H353" s="40" t="s">
        <v>57</v>
      </c>
      <c r="I353" s="37" t="s">
        <v>83</v>
      </c>
      <c r="J353" s="40" t="s">
        <v>218</v>
      </c>
      <c r="K353" s="37">
        <v>10</v>
      </c>
    </row>
    <row r="354" spans="1:11" ht="23.5" hidden="1" thickBot="1">
      <c r="A354" s="83">
        <v>4500069876</v>
      </c>
      <c r="B354" s="38">
        <v>45433</v>
      </c>
      <c r="C354" s="39">
        <v>0.36805555555555558</v>
      </c>
      <c r="D354" s="37">
        <v>113977</v>
      </c>
      <c r="E354" s="37">
        <v>18308</v>
      </c>
      <c r="F354" s="38">
        <v>45433</v>
      </c>
      <c r="G354" s="39">
        <v>0.43333333333333335</v>
      </c>
      <c r="H354" s="40" t="s">
        <v>57</v>
      </c>
      <c r="I354" s="37" t="s">
        <v>83</v>
      </c>
      <c r="J354" s="40" t="s">
        <v>279</v>
      </c>
      <c r="K354" s="37">
        <v>150</v>
      </c>
    </row>
    <row r="355" spans="1:11" ht="35" thickBot="1">
      <c r="A355" s="86">
        <v>25</v>
      </c>
      <c r="B355" s="38">
        <v>45433</v>
      </c>
      <c r="C355" s="39">
        <v>0.38194444444444442</v>
      </c>
      <c r="D355" s="37">
        <v>113979</v>
      </c>
      <c r="E355" s="37">
        <v>18299</v>
      </c>
      <c r="F355" s="38">
        <v>45433</v>
      </c>
      <c r="G355" s="39">
        <v>0.4826388888888889</v>
      </c>
      <c r="H355" s="40" t="s">
        <v>152</v>
      </c>
      <c r="I355" s="37" t="s">
        <v>75</v>
      </c>
      <c r="J355" s="40" t="s">
        <v>151</v>
      </c>
      <c r="K355" s="37">
        <v>6</v>
      </c>
    </row>
    <row r="356" spans="1:11" ht="23.5" hidden="1" thickBot="1">
      <c r="A356" s="83" t="s">
        <v>326</v>
      </c>
      <c r="B356" s="38">
        <v>45433</v>
      </c>
      <c r="C356" s="39">
        <v>0.40902777777777777</v>
      </c>
      <c r="D356" s="37">
        <v>113978</v>
      </c>
      <c r="E356" s="37">
        <v>18307</v>
      </c>
      <c r="F356" s="38">
        <v>45433</v>
      </c>
      <c r="G356" s="39">
        <v>0.43333333333333335</v>
      </c>
      <c r="H356" s="40" t="s">
        <v>54</v>
      </c>
      <c r="I356" s="37" t="s">
        <v>75</v>
      </c>
      <c r="J356" s="40" t="s">
        <v>215</v>
      </c>
      <c r="K356" s="37">
        <v>10</v>
      </c>
    </row>
    <row r="357" spans="1:11" ht="35" thickBot="1">
      <c r="A357" s="86">
        <v>26</v>
      </c>
      <c r="B357" s="38">
        <v>45433</v>
      </c>
      <c r="C357" s="39">
        <v>0.45208333333333334</v>
      </c>
      <c r="D357" s="37">
        <v>113980</v>
      </c>
      <c r="E357" s="37">
        <v>18309</v>
      </c>
      <c r="F357" s="38">
        <v>45433</v>
      </c>
      <c r="G357" s="39">
        <v>0.6</v>
      </c>
      <c r="H357" s="40" t="s">
        <v>327</v>
      </c>
      <c r="I357" s="37" t="s">
        <v>178</v>
      </c>
      <c r="J357" s="40" t="s">
        <v>207</v>
      </c>
      <c r="K357" s="37">
        <v>30</v>
      </c>
    </row>
    <row r="358" spans="1:11" ht="24" hidden="1" thickBot="1">
      <c r="A358" s="47" t="s">
        <v>328</v>
      </c>
      <c r="B358" s="38">
        <v>45433</v>
      </c>
      <c r="C358" s="39">
        <v>0.61527777777777781</v>
      </c>
      <c r="D358" s="37">
        <v>113981</v>
      </c>
      <c r="E358" s="37">
        <v>18311</v>
      </c>
      <c r="F358" s="38">
        <v>45433</v>
      </c>
      <c r="G358" s="39">
        <v>0.61944444444444446</v>
      </c>
      <c r="H358" s="40" t="s">
        <v>44</v>
      </c>
      <c r="I358" s="37" t="s">
        <v>137</v>
      </c>
      <c r="J358" s="40" t="s">
        <v>194</v>
      </c>
      <c r="K358" s="37">
        <v>12</v>
      </c>
    </row>
    <row r="359" spans="1:11" ht="69.5" hidden="1" thickBot="1">
      <c r="A359" s="83" t="s">
        <v>329</v>
      </c>
      <c r="B359" s="38">
        <v>45433</v>
      </c>
      <c r="C359" s="39">
        <v>0.69027777777777777</v>
      </c>
      <c r="D359" s="37">
        <v>113985</v>
      </c>
      <c r="E359" s="37">
        <v>18318</v>
      </c>
      <c r="F359" s="38">
        <v>45434</v>
      </c>
      <c r="G359" s="39">
        <v>0.51875000000000004</v>
      </c>
      <c r="H359" s="40" t="s">
        <v>193</v>
      </c>
      <c r="I359" s="37" t="s">
        <v>141</v>
      </c>
      <c r="J359" s="40" t="s">
        <v>151</v>
      </c>
      <c r="K359" s="37">
        <v>4</v>
      </c>
    </row>
    <row r="360" spans="1:11" ht="35" hidden="1" thickBot="1">
      <c r="A360" s="83" t="s">
        <v>330</v>
      </c>
      <c r="B360" s="38">
        <v>45433</v>
      </c>
      <c r="C360" s="39">
        <v>0.72083333333333333</v>
      </c>
      <c r="D360" s="37">
        <v>113986</v>
      </c>
      <c r="E360" s="37">
        <v>18315</v>
      </c>
      <c r="F360" s="38">
        <v>45434</v>
      </c>
      <c r="G360" s="39">
        <v>0.51944444444444449</v>
      </c>
      <c r="H360" s="40" t="s">
        <v>323</v>
      </c>
      <c r="I360" s="37" t="s">
        <v>78</v>
      </c>
      <c r="J360" s="40" t="s">
        <v>194</v>
      </c>
      <c r="K360" s="37">
        <v>100</v>
      </c>
    </row>
    <row r="361" spans="1:11" ht="35" hidden="1" thickBot="1">
      <c r="A361" s="83">
        <v>949357</v>
      </c>
      <c r="B361" s="38">
        <v>45433</v>
      </c>
      <c r="C361" s="39">
        <v>0.73055555555555551</v>
      </c>
      <c r="D361" s="37">
        <v>113982</v>
      </c>
      <c r="E361" s="37">
        <v>18344</v>
      </c>
      <c r="F361" s="38">
        <v>45434</v>
      </c>
      <c r="G361" s="39">
        <v>0.50555555555555554</v>
      </c>
      <c r="H361" s="40" t="s">
        <v>51</v>
      </c>
      <c r="I361" s="37" t="s">
        <v>331</v>
      </c>
      <c r="J361" s="40" t="s">
        <v>230</v>
      </c>
      <c r="K361" s="37">
        <v>160</v>
      </c>
    </row>
    <row r="362" spans="1:11" ht="23.5" hidden="1" thickBot="1">
      <c r="A362" s="74" t="s">
        <v>332</v>
      </c>
      <c r="B362" s="64">
        <v>45433</v>
      </c>
      <c r="C362" s="65">
        <v>0.73958333333333337</v>
      </c>
      <c r="D362" s="66">
        <v>113999</v>
      </c>
      <c r="E362" s="66">
        <v>18339</v>
      </c>
      <c r="F362" s="64">
        <v>45436</v>
      </c>
      <c r="G362" s="65">
        <v>0.63888888888888884</v>
      </c>
      <c r="H362" s="70" t="s">
        <v>114</v>
      </c>
      <c r="I362" s="66" t="s">
        <v>333</v>
      </c>
      <c r="J362" s="70" t="s">
        <v>115</v>
      </c>
      <c r="K362" s="66">
        <v>10</v>
      </c>
    </row>
    <row r="363" spans="1:11" ht="23.5" hidden="1" thickBot="1">
      <c r="A363" s="74" t="s">
        <v>332</v>
      </c>
      <c r="B363" s="64">
        <v>45433</v>
      </c>
      <c r="C363" s="65">
        <v>0.73958333333333337</v>
      </c>
      <c r="D363" s="66">
        <v>113999</v>
      </c>
      <c r="E363" s="66">
        <v>18339</v>
      </c>
      <c r="F363" s="64">
        <v>45436</v>
      </c>
      <c r="G363" s="65">
        <v>0.63888888888888884</v>
      </c>
      <c r="H363" s="70" t="s">
        <v>114</v>
      </c>
      <c r="I363" s="66" t="s">
        <v>333</v>
      </c>
      <c r="J363" s="70" t="s">
        <v>194</v>
      </c>
      <c r="K363" s="66">
        <v>2</v>
      </c>
    </row>
    <row r="364" spans="1:11" ht="23.5" hidden="1" thickBot="1">
      <c r="A364" s="74" t="s">
        <v>332</v>
      </c>
      <c r="B364" s="64">
        <v>45433</v>
      </c>
      <c r="C364" s="65">
        <v>0.73958333333333337</v>
      </c>
      <c r="D364" s="66">
        <v>113999</v>
      </c>
      <c r="E364" s="66">
        <v>18339</v>
      </c>
      <c r="F364" s="64">
        <v>45436</v>
      </c>
      <c r="G364" s="65">
        <v>0.63888888888888884</v>
      </c>
      <c r="H364" s="70" t="s">
        <v>114</v>
      </c>
      <c r="I364" s="66" t="s">
        <v>333</v>
      </c>
      <c r="J364" s="70" t="s">
        <v>111</v>
      </c>
      <c r="K364" s="66">
        <v>4</v>
      </c>
    </row>
    <row r="365" spans="1:11" ht="23.5" hidden="1" thickBot="1">
      <c r="A365" s="74" t="s">
        <v>332</v>
      </c>
      <c r="B365" s="64">
        <v>45433</v>
      </c>
      <c r="C365" s="65">
        <v>0.73958333333333337</v>
      </c>
      <c r="D365" s="66">
        <v>113999</v>
      </c>
      <c r="E365" s="66">
        <v>18339</v>
      </c>
      <c r="F365" s="64">
        <v>45436</v>
      </c>
      <c r="G365" s="65">
        <v>0.63888888888888884</v>
      </c>
      <c r="H365" s="70" t="s">
        <v>114</v>
      </c>
      <c r="I365" s="66" t="s">
        <v>333</v>
      </c>
      <c r="J365" s="70" t="s">
        <v>218</v>
      </c>
      <c r="K365" s="66">
        <v>1</v>
      </c>
    </row>
    <row r="366" spans="1:11" ht="46.5" hidden="1" thickBot="1">
      <c r="A366" s="83" t="s">
        <v>334</v>
      </c>
      <c r="B366" s="38">
        <v>45434</v>
      </c>
      <c r="C366" s="39">
        <v>0.41597222222222224</v>
      </c>
      <c r="D366" s="37">
        <v>113983</v>
      </c>
      <c r="E366" s="37">
        <v>18320</v>
      </c>
      <c r="F366" s="38">
        <v>45434</v>
      </c>
      <c r="G366" s="39">
        <v>0.51666666666666672</v>
      </c>
      <c r="H366" s="40" t="s">
        <v>169</v>
      </c>
      <c r="I366" s="37" t="s">
        <v>170</v>
      </c>
      <c r="J366" s="40" t="s">
        <v>112</v>
      </c>
      <c r="K366" s="37">
        <v>20</v>
      </c>
    </row>
    <row r="367" spans="1:11" ht="23.5" hidden="1" thickBot="1">
      <c r="A367" s="83" t="s">
        <v>335</v>
      </c>
      <c r="B367" s="38">
        <v>45434</v>
      </c>
      <c r="C367" s="39">
        <v>0.46180555555555558</v>
      </c>
      <c r="D367" s="37">
        <v>113987</v>
      </c>
      <c r="E367" s="37">
        <v>18317</v>
      </c>
      <c r="F367" s="38">
        <v>45434</v>
      </c>
      <c r="G367" s="39">
        <v>0.53402777777777777</v>
      </c>
      <c r="H367" s="40" t="s">
        <v>144</v>
      </c>
      <c r="I367" s="37" t="s">
        <v>88</v>
      </c>
      <c r="J367" s="40" t="s">
        <v>151</v>
      </c>
      <c r="K367" s="37">
        <v>2</v>
      </c>
    </row>
    <row r="368" spans="1:11" ht="23.5" thickBot="1">
      <c r="A368" s="86">
        <v>27</v>
      </c>
      <c r="B368" s="41"/>
      <c r="C368" s="41"/>
      <c r="D368" s="37">
        <v>113988</v>
      </c>
      <c r="E368" s="37">
        <v>18325</v>
      </c>
      <c r="F368" s="38">
        <v>45434</v>
      </c>
      <c r="G368" s="39">
        <v>0.64583333333333337</v>
      </c>
      <c r="H368" s="40" t="s">
        <v>336</v>
      </c>
      <c r="I368" s="37" t="s">
        <v>80</v>
      </c>
      <c r="J368" s="40" t="s">
        <v>161</v>
      </c>
      <c r="K368" s="37">
        <v>6</v>
      </c>
    </row>
    <row r="369" spans="1:11" ht="23.5" hidden="1" thickBot="1">
      <c r="A369" s="83" t="s">
        <v>337</v>
      </c>
      <c r="B369" s="38">
        <v>45434</v>
      </c>
      <c r="C369" s="39">
        <v>0.66874999999999996</v>
      </c>
      <c r="D369" s="37">
        <v>113989</v>
      </c>
      <c r="E369" s="37">
        <v>18333</v>
      </c>
      <c r="F369" s="38">
        <v>45434</v>
      </c>
      <c r="G369" s="39">
        <v>0.68055555555555558</v>
      </c>
      <c r="H369" s="40" t="s">
        <v>160</v>
      </c>
      <c r="I369" s="37" t="s">
        <v>80</v>
      </c>
      <c r="J369" s="40" t="s">
        <v>189</v>
      </c>
      <c r="K369" s="37">
        <v>24</v>
      </c>
    </row>
    <row r="370" spans="1:11" ht="35" hidden="1" thickBot="1">
      <c r="A370" s="83" t="s">
        <v>338</v>
      </c>
      <c r="B370" s="38">
        <v>45429</v>
      </c>
      <c r="C370" s="39">
        <v>0.6430555555555556</v>
      </c>
      <c r="D370" s="37">
        <v>113992</v>
      </c>
      <c r="E370" s="37">
        <v>18330</v>
      </c>
      <c r="F370" s="38">
        <v>45435</v>
      </c>
      <c r="G370" s="39">
        <v>0.37986111111111109</v>
      </c>
      <c r="H370" s="40" t="s">
        <v>252</v>
      </c>
      <c r="I370" s="37" t="s">
        <v>114</v>
      </c>
      <c r="J370" s="40" t="s">
        <v>111</v>
      </c>
      <c r="K370" s="37">
        <v>8</v>
      </c>
    </row>
    <row r="371" spans="1:11" ht="35" hidden="1" thickBot="1">
      <c r="A371" s="83" t="s">
        <v>338</v>
      </c>
      <c r="B371" s="38">
        <v>45429</v>
      </c>
      <c r="C371" s="39">
        <v>0.6430555555555556</v>
      </c>
      <c r="D371" s="37">
        <v>113992</v>
      </c>
      <c r="E371" s="37">
        <v>18330</v>
      </c>
      <c r="F371" s="38">
        <v>45435</v>
      </c>
      <c r="G371" s="39">
        <v>0.37986111111111109</v>
      </c>
      <c r="H371" s="40" t="s">
        <v>252</v>
      </c>
      <c r="I371" s="37" t="s">
        <v>114</v>
      </c>
      <c r="J371" s="40" t="s">
        <v>115</v>
      </c>
      <c r="K371" s="37">
        <v>1</v>
      </c>
    </row>
    <row r="372" spans="1:11" ht="35" hidden="1" thickBot="1">
      <c r="A372" s="51">
        <v>950011</v>
      </c>
      <c r="B372" s="38">
        <v>45434</v>
      </c>
      <c r="C372" s="39">
        <v>0.55347222222222225</v>
      </c>
      <c r="D372" s="37">
        <v>113991</v>
      </c>
      <c r="E372" s="37">
        <v>18345</v>
      </c>
      <c r="F372" s="38">
        <v>45435</v>
      </c>
      <c r="G372" s="39">
        <v>0.37222222222222223</v>
      </c>
      <c r="H372" s="40" t="s">
        <v>51</v>
      </c>
      <c r="I372" s="37" t="s">
        <v>78</v>
      </c>
      <c r="J372" s="40" t="s">
        <v>207</v>
      </c>
      <c r="K372" s="37">
        <v>20</v>
      </c>
    </row>
    <row r="373" spans="1:11" ht="23.5" hidden="1" thickBot="1">
      <c r="A373" s="83">
        <v>4500069918</v>
      </c>
      <c r="B373" s="38">
        <v>45434</v>
      </c>
      <c r="C373" s="39">
        <v>0.57638888888888884</v>
      </c>
      <c r="D373" s="37">
        <v>113992</v>
      </c>
      <c r="E373" s="37">
        <v>18340</v>
      </c>
      <c r="F373" s="38">
        <v>45435</v>
      </c>
      <c r="G373" s="39">
        <v>0.37986111111111109</v>
      </c>
      <c r="H373" s="40" t="s">
        <v>57</v>
      </c>
      <c r="I373" s="37" t="s">
        <v>83</v>
      </c>
      <c r="J373" s="40" t="s">
        <v>161</v>
      </c>
      <c r="K373" s="37">
        <v>70</v>
      </c>
    </row>
    <row r="374" spans="1:11" ht="23.5" hidden="1" thickBot="1">
      <c r="A374" s="83">
        <v>4500069918</v>
      </c>
      <c r="B374" s="38">
        <v>45434</v>
      </c>
      <c r="C374" s="39">
        <v>0.57638888888888884</v>
      </c>
      <c r="D374" s="37">
        <v>113992</v>
      </c>
      <c r="E374" s="37">
        <v>18340</v>
      </c>
      <c r="F374" s="38">
        <v>45435</v>
      </c>
      <c r="G374" s="39">
        <v>0.37986111111111109</v>
      </c>
      <c r="H374" s="40" t="s">
        <v>57</v>
      </c>
      <c r="I374" s="37" t="s">
        <v>83</v>
      </c>
      <c r="J374" s="40" t="s">
        <v>110</v>
      </c>
      <c r="K374" s="37">
        <v>120</v>
      </c>
    </row>
    <row r="375" spans="1:11" ht="23.5" hidden="1" thickBot="1">
      <c r="A375" s="83">
        <v>4500069918</v>
      </c>
      <c r="B375" s="38">
        <v>45434</v>
      </c>
      <c r="C375" s="39">
        <v>0.57638888888888884</v>
      </c>
      <c r="D375" s="37">
        <v>113992</v>
      </c>
      <c r="E375" s="37">
        <v>18340</v>
      </c>
      <c r="F375" s="38">
        <v>45435</v>
      </c>
      <c r="G375" s="39">
        <v>0.37986111111111109</v>
      </c>
      <c r="H375" s="40" t="s">
        <v>57</v>
      </c>
      <c r="I375" s="37" t="s">
        <v>83</v>
      </c>
      <c r="J375" s="40" t="s">
        <v>220</v>
      </c>
      <c r="K375" s="37">
        <v>80</v>
      </c>
    </row>
    <row r="376" spans="1:11" ht="23.5" hidden="1" thickBot="1">
      <c r="A376" s="83">
        <v>4500069918</v>
      </c>
      <c r="B376" s="38">
        <v>45434</v>
      </c>
      <c r="C376" s="39">
        <v>0.57638888888888884</v>
      </c>
      <c r="D376" s="37">
        <v>113992</v>
      </c>
      <c r="E376" s="37">
        <v>18340</v>
      </c>
      <c r="F376" s="38">
        <v>45435</v>
      </c>
      <c r="G376" s="39">
        <v>0.37986111111111109</v>
      </c>
      <c r="H376" s="40" t="s">
        <v>57</v>
      </c>
      <c r="I376" s="37" t="s">
        <v>83</v>
      </c>
      <c r="J376" s="40" t="s">
        <v>118</v>
      </c>
      <c r="K376" s="37">
        <v>16</v>
      </c>
    </row>
    <row r="377" spans="1:11" ht="35" hidden="1" thickBot="1">
      <c r="A377" s="83">
        <v>4500069918</v>
      </c>
      <c r="B377" s="38">
        <v>45434</v>
      </c>
      <c r="C377" s="39">
        <v>0.57638888888888884</v>
      </c>
      <c r="D377" s="37">
        <v>113992</v>
      </c>
      <c r="E377" s="37">
        <v>18340</v>
      </c>
      <c r="F377" s="38">
        <v>45435</v>
      </c>
      <c r="G377" s="39">
        <v>0.37986111111111109</v>
      </c>
      <c r="H377" s="40" t="s">
        <v>57</v>
      </c>
      <c r="I377" s="37" t="s">
        <v>83</v>
      </c>
      <c r="J377" s="40" t="s">
        <v>339</v>
      </c>
      <c r="K377" s="37">
        <v>4</v>
      </c>
    </row>
    <row r="378" spans="1:11" ht="23.5" hidden="1" thickBot="1">
      <c r="A378" s="83">
        <v>4500069918</v>
      </c>
      <c r="B378" s="38">
        <v>45434</v>
      </c>
      <c r="C378" s="39">
        <v>0.57638888888888884</v>
      </c>
      <c r="D378" s="37">
        <v>113992</v>
      </c>
      <c r="E378" s="37">
        <v>18340</v>
      </c>
      <c r="F378" s="38">
        <v>45435</v>
      </c>
      <c r="G378" s="39">
        <v>0.37986111111111109</v>
      </c>
      <c r="H378" s="40" t="s">
        <v>57</v>
      </c>
      <c r="I378" s="37" t="s">
        <v>83</v>
      </c>
      <c r="J378" s="40" t="s">
        <v>118</v>
      </c>
      <c r="K378" s="37">
        <v>80</v>
      </c>
    </row>
    <row r="379" spans="1:11" ht="23.5" hidden="1" thickBot="1">
      <c r="A379" s="83">
        <v>4500069918</v>
      </c>
      <c r="B379" s="38">
        <v>45434</v>
      </c>
      <c r="C379" s="39">
        <v>0.57638888888888884</v>
      </c>
      <c r="D379" s="37">
        <v>113992</v>
      </c>
      <c r="E379" s="37">
        <v>18340</v>
      </c>
      <c r="F379" s="38">
        <v>45435</v>
      </c>
      <c r="G379" s="39">
        <v>0.37986111111111109</v>
      </c>
      <c r="H379" s="40" t="s">
        <v>57</v>
      </c>
      <c r="I379" s="37" t="s">
        <v>83</v>
      </c>
      <c r="J379" s="40" t="s">
        <v>194</v>
      </c>
      <c r="K379" s="37">
        <v>20</v>
      </c>
    </row>
    <row r="380" spans="1:11" ht="35" hidden="1" thickBot="1">
      <c r="A380" s="83">
        <v>4500069918</v>
      </c>
      <c r="B380" s="38">
        <v>45434</v>
      </c>
      <c r="C380" s="39">
        <v>0.57638888888888884</v>
      </c>
      <c r="D380" s="37">
        <v>113992</v>
      </c>
      <c r="E380" s="37">
        <v>18340</v>
      </c>
      <c r="F380" s="38">
        <v>45435</v>
      </c>
      <c r="G380" s="39">
        <v>0.37986111111111109</v>
      </c>
      <c r="H380" s="40" t="s">
        <v>57</v>
      </c>
      <c r="I380" s="37" t="s">
        <v>83</v>
      </c>
      <c r="J380" s="40" t="s">
        <v>156</v>
      </c>
      <c r="K380" s="37">
        <v>40</v>
      </c>
    </row>
    <row r="381" spans="1:11" ht="35" hidden="1" thickBot="1">
      <c r="A381" s="83" t="s">
        <v>340</v>
      </c>
      <c r="B381" s="38">
        <v>45429</v>
      </c>
      <c r="C381" s="39">
        <v>0.6430555555555556</v>
      </c>
      <c r="D381" s="37">
        <v>113994</v>
      </c>
      <c r="E381" s="37">
        <v>18332</v>
      </c>
      <c r="F381" s="38">
        <v>45435</v>
      </c>
      <c r="G381" s="39">
        <v>0.46250000000000002</v>
      </c>
      <c r="H381" s="40" t="s">
        <v>252</v>
      </c>
      <c r="I381" s="37" t="s">
        <v>114</v>
      </c>
      <c r="J381" s="40" t="s">
        <v>111</v>
      </c>
      <c r="K381" s="37">
        <v>8</v>
      </c>
    </row>
    <row r="382" spans="1:11" ht="69.5" hidden="1" thickBot="1">
      <c r="A382" s="83" t="s">
        <v>341</v>
      </c>
      <c r="B382" s="38">
        <v>45434</v>
      </c>
      <c r="C382" s="39">
        <v>0.65625</v>
      </c>
      <c r="D382" s="37">
        <v>113997</v>
      </c>
      <c r="E382" s="37">
        <v>18367</v>
      </c>
      <c r="F382" s="38">
        <v>45435</v>
      </c>
      <c r="G382" s="39">
        <v>0.46250000000000002</v>
      </c>
      <c r="H382" s="40" t="s">
        <v>193</v>
      </c>
      <c r="I382" s="37" t="s">
        <v>76</v>
      </c>
      <c r="J382" s="40" t="s">
        <v>113</v>
      </c>
      <c r="K382" s="37">
        <v>2</v>
      </c>
    </row>
    <row r="383" spans="1:11" ht="69.5" hidden="1" thickBot="1">
      <c r="A383" s="83" t="s">
        <v>341</v>
      </c>
      <c r="B383" s="38">
        <v>45434</v>
      </c>
      <c r="C383" s="39">
        <v>0.65625</v>
      </c>
      <c r="D383" s="37">
        <v>113997</v>
      </c>
      <c r="E383" s="37">
        <v>18367</v>
      </c>
      <c r="F383" s="38">
        <v>45435</v>
      </c>
      <c r="G383" s="39">
        <v>0.46250000000000002</v>
      </c>
      <c r="H383" s="40" t="s">
        <v>193</v>
      </c>
      <c r="I383" s="37" t="s">
        <v>76</v>
      </c>
      <c r="J383" s="40" t="s">
        <v>112</v>
      </c>
      <c r="K383" s="37">
        <v>1</v>
      </c>
    </row>
    <row r="384" spans="1:11" ht="69.5" hidden="1" thickBot="1">
      <c r="A384" s="83" t="s">
        <v>341</v>
      </c>
      <c r="B384" s="38">
        <v>45434</v>
      </c>
      <c r="C384" s="39">
        <v>0.65625</v>
      </c>
      <c r="D384" s="37">
        <v>113997</v>
      </c>
      <c r="E384" s="37">
        <v>18367</v>
      </c>
      <c r="F384" s="38">
        <v>45435</v>
      </c>
      <c r="G384" s="39">
        <v>0.46250000000000002</v>
      </c>
      <c r="H384" s="40" t="s">
        <v>193</v>
      </c>
      <c r="I384" s="37" t="s">
        <v>76</v>
      </c>
      <c r="J384" s="40" t="s">
        <v>145</v>
      </c>
      <c r="K384" s="37">
        <v>40</v>
      </c>
    </row>
    <row r="385" spans="1:11" ht="23.5" hidden="1" thickBot="1">
      <c r="A385" s="83">
        <v>671</v>
      </c>
      <c r="B385" s="38">
        <v>45435</v>
      </c>
      <c r="C385" s="39">
        <v>0.3576388888888889</v>
      </c>
      <c r="D385" s="37">
        <v>113996</v>
      </c>
      <c r="E385" s="37">
        <v>18334</v>
      </c>
      <c r="F385" s="38">
        <v>45435</v>
      </c>
      <c r="G385" s="39">
        <v>0.46250000000000002</v>
      </c>
      <c r="H385" s="40" t="s">
        <v>163</v>
      </c>
      <c r="I385" s="37" t="s">
        <v>80</v>
      </c>
      <c r="J385" s="40" t="s">
        <v>151</v>
      </c>
      <c r="K385" s="37">
        <v>2</v>
      </c>
    </row>
    <row r="386" spans="1:11" ht="23.5" hidden="1" thickBot="1">
      <c r="A386" s="83">
        <v>671</v>
      </c>
      <c r="B386" s="38">
        <v>45435</v>
      </c>
      <c r="C386" s="39">
        <v>0.3576388888888889</v>
      </c>
      <c r="D386" s="37">
        <v>113996</v>
      </c>
      <c r="E386" s="37">
        <v>18334</v>
      </c>
      <c r="F386" s="38">
        <v>45435</v>
      </c>
      <c r="G386" s="39">
        <v>0.46250000000000002</v>
      </c>
      <c r="H386" s="40" t="s">
        <v>163</v>
      </c>
      <c r="I386" s="37" t="s">
        <v>80</v>
      </c>
      <c r="J386" s="40" t="s">
        <v>166</v>
      </c>
      <c r="K386" s="37">
        <v>15</v>
      </c>
    </row>
    <row r="387" spans="1:11" ht="35" hidden="1" thickBot="1">
      <c r="A387" s="83" t="s">
        <v>342</v>
      </c>
      <c r="B387" s="38">
        <v>45435</v>
      </c>
      <c r="C387" s="39">
        <v>0.44444444444444442</v>
      </c>
      <c r="D387" s="37">
        <v>113995</v>
      </c>
      <c r="E387" s="37">
        <v>18338</v>
      </c>
      <c r="F387" s="38">
        <v>45435</v>
      </c>
      <c r="G387" s="39">
        <v>0.46250000000000002</v>
      </c>
      <c r="H387" s="40" t="s">
        <v>252</v>
      </c>
      <c r="I387" s="37" t="s">
        <v>150</v>
      </c>
      <c r="J387" s="40" t="s">
        <v>120</v>
      </c>
      <c r="K387" s="37">
        <v>6</v>
      </c>
    </row>
    <row r="388" spans="1:11" ht="35" hidden="1" thickBot="1">
      <c r="A388" s="83" t="s">
        <v>342</v>
      </c>
      <c r="B388" s="38">
        <v>45435</v>
      </c>
      <c r="C388" s="39">
        <v>0.44444444444444442</v>
      </c>
      <c r="D388" s="37">
        <v>113995</v>
      </c>
      <c r="E388" s="37">
        <v>18338</v>
      </c>
      <c r="F388" s="38">
        <v>45435</v>
      </c>
      <c r="G388" s="39">
        <v>0.46250000000000002</v>
      </c>
      <c r="H388" s="40" t="s">
        <v>252</v>
      </c>
      <c r="I388" s="37" t="s">
        <v>150</v>
      </c>
      <c r="J388" s="40" t="s">
        <v>111</v>
      </c>
      <c r="K388" s="37">
        <v>1</v>
      </c>
    </row>
    <row r="389" spans="1:11" ht="23.5" hidden="1" thickBot="1">
      <c r="A389" s="83">
        <v>950769</v>
      </c>
      <c r="B389" s="38">
        <v>45435</v>
      </c>
      <c r="C389" s="39">
        <v>0.46527777777777779</v>
      </c>
      <c r="D389" s="37">
        <v>113998</v>
      </c>
      <c r="E389" s="37">
        <v>18346</v>
      </c>
      <c r="F389" s="38">
        <v>45435</v>
      </c>
      <c r="G389" s="39">
        <v>0.46250000000000002</v>
      </c>
      <c r="H389" s="40" t="s">
        <v>51</v>
      </c>
      <c r="I389" s="37" t="s">
        <v>343</v>
      </c>
      <c r="J389" s="40" t="s">
        <v>189</v>
      </c>
      <c r="K389" s="37">
        <v>84</v>
      </c>
    </row>
    <row r="390" spans="1:11" ht="35" hidden="1" thickBot="1">
      <c r="A390" s="83">
        <v>950769</v>
      </c>
      <c r="B390" s="38">
        <v>45435</v>
      </c>
      <c r="C390" s="39">
        <v>0.46527777777777779</v>
      </c>
      <c r="D390" s="37">
        <v>113998</v>
      </c>
      <c r="E390" s="37">
        <v>18346</v>
      </c>
      <c r="F390" s="38">
        <v>45435</v>
      </c>
      <c r="G390" s="39">
        <v>0.46250000000000002</v>
      </c>
      <c r="H390" s="40" t="s">
        <v>51</v>
      </c>
      <c r="I390" s="37" t="s">
        <v>343</v>
      </c>
      <c r="J390" s="40" t="s">
        <v>207</v>
      </c>
      <c r="K390" s="37">
        <v>80</v>
      </c>
    </row>
    <row r="391" spans="1:11" ht="23.5" hidden="1" thickBot="1">
      <c r="A391" s="83">
        <v>951278</v>
      </c>
      <c r="B391" s="38">
        <v>45435</v>
      </c>
      <c r="C391" s="39">
        <v>0.74097222222222225</v>
      </c>
      <c r="D391" s="37">
        <v>114000</v>
      </c>
      <c r="E391" s="37">
        <v>18348</v>
      </c>
      <c r="F391" s="38">
        <v>45436</v>
      </c>
      <c r="G391" s="39">
        <v>0.35416666666666669</v>
      </c>
      <c r="H391" s="40" t="s">
        <v>38</v>
      </c>
      <c r="I391" s="37" t="s">
        <v>141</v>
      </c>
      <c r="J391" s="40" t="s">
        <v>113</v>
      </c>
      <c r="K391" s="37">
        <v>6</v>
      </c>
    </row>
    <row r="392" spans="1:11" ht="23.5" hidden="1" thickBot="1">
      <c r="A392" s="83">
        <v>951277</v>
      </c>
      <c r="B392" s="38">
        <v>45435</v>
      </c>
      <c r="C392" s="39">
        <v>0.74097222222222225</v>
      </c>
      <c r="D392" s="37">
        <v>114001</v>
      </c>
      <c r="E392" s="37">
        <v>18341</v>
      </c>
      <c r="F392" s="38">
        <v>45436</v>
      </c>
      <c r="G392" s="39">
        <v>0.35416666666666669</v>
      </c>
      <c r="H392" s="40" t="s">
        <v>38</v>
      </c>
      <c r="I392" s="37" t="s">
        <v>141</v>
      </c>
      <c r="J392" s="40" t="s">
        <v>161</v>
      </c>
      <c r="K392" s="37">
        <v>5</v>
      </c>
    </row>
    <row r="393" spans="1:11" ht="23.5" hidden="1" thickBot="1">
      <c r="A393" s="83">
        <v>951550</v>
      </c>
      <c r="B393" s="38">
        <v>45436</v>
      </c>
      <c r="C393" s="39">
        <v>0.34513888888888888</v>
      </c>
      <c r="D393" s="37">
        <v>114007</v>
      </c>
      <c r="E393" s="37">
        <v>18349</v>
      </c>
      <c r="F393" s="38">
        <v>45436</v>
      </c>
      <c r="G393" s="39">
        <v>0.3923611111111111</v>
      </c>
      <c r="H393" s="40" t="s">
        <v>38</v>
      </c>
      <c r="I393" s="37" t="s">
        <v>142</v>
      </c>
      <c r="J393" s="40" t="s">
        <v>140</v>
      </c>
      <c r="K393" s="37">
        <v>5</v>
      </c>
    </row>
    <row r="394" spans="1:11" ht="69.5" hidden="1" thickBot="1">
      <c r="A394" s="83" t="s">
        <v>344</v>
      </c>
      <c r="B394" s="38">
        <v>45435</v>
      </c>
      <c r="C394" s="39">
        <v>0.625</v>
      </c>
      <c r="D394" s="37">
        <v>114008</v>
      </c>
      <c r="E394" s="37">
        <v>18351</v>
      </c>
      <c r="F394" s="38">
        <v>45436</v>
      </c>
      <c r="G394" s="39">
        <v>0.39374999999999999</v>
      </c>
      <c r="H394" s="40" t="s">
        <v>193</v>
      </c>
      <c r="I394" s="37" t="s">
        <v>79</v>
      </c>
      <c r="J394" s="40" t="s">
        <v>194</v>
      </c>
      <c r="K394" s="37">
        <v>10</v>
      </c>
    </row>
    <row r="395" spans="1:11" ht="23.5" hidden="1" thickBot="1">
      <c r="A395" s="83">
        <v>4500120640</v>
      </c>
      <c r="B395" s="38">
        <v>45436</v>
      </c>
      <c r="C395" s="39">
        <v>0.36805555555555558</v>
      </c>
      <c r="D395" s="37">
        <v>114006</v>
      </c>
      <c r="E395" s="37">
        <v>18347</v>
      </c>
      <c r="F395" s="38">
        <v>45436</v>
      </c>
      <c r="G395" s="39">
        <v>0.37083333333333335</v>
      </c>
      <c r="H395" s="40" t="s">
        <v>6</v>
      </c>
      <c r="I395" s="37" t="s">
        <v>85</v>
      </c>
      <c r="J395" s="40" t="s">
        <v>206</v>
      </c>
      <c r="K395" s="37">
        <v>10</v>
      </c>
    </row>
    <row r="396" spans="1:11" ht="46.5" hidden="1" thickBot="1">
      <c r="A396" s="83">
        <v>4500120640</v>
      </c>
      <c r="B396" s="38">
        <v>45436</v>
      </c>
      <c r="C396" s="39">
        <v>0.36805555555555558</v>
      </c>
      <c r="D396" s="37">
        <v>114006</v>
      </c>
      <c r="E396" s="37">
        <v>18347</v>
      </c>
      <c r="F396" s="38">
        <v>45436</v>
      </c>
      <c r="G396" s="39">
        <v>0.37083333333333335</v>
      </c>
      <c r="H396" s="40" t="s">
        <v>6</v>
      </c>
      <c r="I396" s="37" t="s">
        <v>85</v>
      </c>
      <c r="J396" s="40" t="s">
        <v>145</v>
      </c>
      <c r="K396" s="37">
        <v>20</v>
      </c>
    </row>
    <row r="397" spans="1:11" ht="23.5" thickBot="1">
      <c r="A397" s="76">
        <v>28</v>
      </c>
      <c r="B397" s="64">
        <v>45436</v>
      </c>
      <c r="C397" s="65">
        <v>0.40208333333333335</v>
      </c>
      <c r="D397" s="63"/>
      <c r="E397" s="63"/>
      <c r="F397" s="63"/>
      <c r="G397" s="63"/>
      <c r="H397" s="70" t="s">
        <v>345</v>
      </c>
      <c r="I397" s="66" t="s">
        <v>170</v>
      </c>
      <c r="J397" s="70" t="s">
        <v>221</v>
      </c>
      <c r="K397" s="66">
        <v>25</v>
      </c>
    </row>
    <row r="398" spans="1:11" ht="23.5" hidden="1" thickBot="1">
      <c r="A398" s="83">
        <v>4500069963</v>
      </c>
      <c r="B398" s="38">
        <v>45436</v>
      </c>
      <c r="C398" s="39">
        <v>0.40347222222222223</v>
      </c>
      <c r="D398" s="37">
        <v>114010</v>
      </c>
      <c r="E398" s="37">
        <v>18365</v>
      </c>
      <c r="F398" s="38">
        <v>45436</v>
      </c>
      <c r="G398" s="39">
        <v>0.59722222222222221</v>
      </c>
      <c r="H398" s="40" t="s">
        <v>57</v>
      </c>
      <c r="I398" s="37" t="s">
        <v>83</v>
      </c>
      <c r="J398" s="40" t="s">
        <v>140</v>
      </c>
      <c r="K398" s="37">
        <v>300</v>
      </c>
    </row>
    <row r="399" spans="1:11" ht="23.5" hidden="1" thickBot="1">
      <c r="A399" s="83">
        <v>4500069963</v>
      </c>
      <c r="B399" s="38">
        <v>45436</v>
      </c>
      <c r="C399" s="39">
        <v>0.40347222222222223</v>
      </c>
      <c r="D399" s="37">
        <v>114010</v>
      </c>
      <c r="E399" s="37">
        <v>18365</v>
      </c>
      <c r="F399" s="38">
        <v>45436</v>
      </c>
      <c r="G399" s="39">
        <v>0.59722222222222221</v>
      </c>
      <c r="H399" s="40" t="s">
        <v>57</v>
      </c>
      <c r="I399" s="37" t="s">
        <v>83</v>
      </c>
      <c r="J399" s="40" t="s">
        <v>116</v>
      </c>
      <c r="K399" s="37">
        <v>120</v>
      </c>
    </row>
    <row r="400" spans="1:11" ht="23.5" hidden="1" thickBot="1">
      <c r="A400" s="83">
        <v>4500069963</v>
      </c>
      <c r="B400" s="38">
        <v>45436</v>
      </c>
      <c r="C400" s="39">
        <v>0.40347222222222223</v>
      </c>
      <c r="D400" s="37">
        <v>114010</v>
      </c>
      <c r="E400" s="37">
        <v>18365</v>
      </c>
      <c r="F400" s="38">
        <v>45436</v>
      </c>
      <c r="G400" s="39">
        <v>0.59722222222222221</v>
      </c>
      <c r="H400" s="40" t="s">
        <v>57</v>
      </c>
      <c r="I400" s="37" t="s">
        <v>83</v>
      </c>
      <c r="J400" s="40" t="s">
        <v>115</v>
      </c>
      <c r="K400" s="37">
        <v>40</v>
      </c>
    </row>
    <row r="401" spans="1:11" ht="23.5" hidden="1" thickBot="1">
      <c r="A401" s="103">
        <v>4500069963</v>
      </c>
      <c r="B401" s="104">
        <v>45436</v>
      </c>
      <c r="C401" s="105">
        <v>0.40347222222222223</v>
      </c>
      <c r="D401" s="106">
        <v>114010</v>
      </c>
      <c r="E401" s="106">
        <v>18387</v>
      </c>
      <c r="F401" s="104">
        <v>45436</v>
      </c>
      <c r="G401" s="105">
        <v>0.59722222222222221</v>
      </c>
      <c r="H401" s="107" t="s">
        <v>57</v>
      </c>
      <c r="I401" s="106" t="s">
        <v>83</v>
      </c>
      <c r="J401" s="107" t="s">
        <v>115</v>
      </c>
      <c r="K401" s="106">
        <v>40</v>
      </c>
    </row>
    <row r="402" spans="1:11" ht="23.5" hidden="1" thickBot="1">
      <c r="A402" s="83">
        <v>4500069963</v>
      </c>
      <c r="B402" s="38">
        <v>45436</v>
      </c>
      <c r="C402" s="39">
        <v>0.40347222222222223</v>
      </c>
      <c r="D402" s="37">
        <v>114010</v>
      </c>
      <c r="E402" s="37">
        <v>18365</v>
      </c>
      <c r="F402" s="38">
        <v>45436</v>
      </c>
      <c r="G402" s="39">
        <v>0.59722222222222221</v>
      </c>
      <c r="H402" s="40" t="s">
        <v>57</v>
      </c>
      <c r="I402" s="37" t="s">
        <v>83</v>
      </c>
      <c r="J402" s="40" t="s">
        <v>209</v>
      </c>
      <c r="K402" s="37">
        <v>12</v>
      </c>
    </row>
    <row r="403" spans="1:11" ht="23.5" hidden="1" thickBot="1">
      <c r="A403" s="83">
        <v>4500069963</v>
      </c>
      <c r="B403" s="38">
        <v>45436</v>
      </c>
      <c r="C403" s="39">
        <v>0.40347222222222223</v>
      </c>
      <c r="D403" s="37">
        <v>114010</v>
      </c>
      <c r="E403" s="37">
        <v>18365</v>
      </c>
      <c r="F403" s="38">
        <v>45436</v>
      </c>
      <c r="G403" s="39">
        <v>0.59722222222222221</v>
      </c>
      <c r="H403" s="40" t="s">
        <v>57</v>
      </c>
      <c r="I403" s="37" t="s">
        <v>83</v>
      </c>
      <c r="J403" s="40" t="s">
        <v>206</v>
      </c>
      <c r="K403" s="37">
        <v>200</v>
      </c>
    </row>
    <row r="404" spans="1:11" ht="23.5" hidden="1" thickBot="1">
      <c r="A404" s="83">
        <v>4500069963</v>
      </c>
      <c r="B404" s="38">
        <v>45436</v>
      </c>
      <c r="C404" s="39">
        <v>0.40347222222222223</v>
      </c>
      <c r="D404" s="37">
        <v>114010</v>
      </c>
      <c r="E404" s="37">
        <v>18365</v>
      </c>
      <c r="F404" s="38">
        <v>45436</v>
      </c>
      <c r="G404" s="39">
        <v>0.59722222222222221</v>
      </c>
      <c r="H404" s="40" t="s">
        <v>57</v>
      </c>
      <c r="I404" s="37" t="s">
        <v>83</v>
      </c>
      <c r="J404" s="40" t="s">
        <v>194</v>
      </c>
      <c r="K404" s="37">
        <v>40</v>
      </c>
    </row>
    <row r="405" spans="1:11" ht="23.5" hidden="1" thickBot="1">
      <c r="A405" s="83">
        <v>4500069963</v>
      </c>
      <c r="B405" s="38">
        <v>45436</v>
      </c>
      <c r="C405" s="39">
        <v>0.40347222222222223</v>
      </c>
      <c r="D405" s="37">
        <v>114010</v>
      </c>
      <c r="E405" s="37">
        <v>18365</v>
      </c>
      <c r="F405" s="38">
        <v>45436</v>
      </c>
      <c r="G405" s="39">
        <v>0.59722222222222221</v>
      </c>
      <c r="H405" s="40" t="s">
        <v>57</v>
      </c>
      <c r="I405" s="37" t="s">
        <v>83</v>
      </c>
      <c r="J405" s="40" t="s">
        <v>118</v>
      </c>
      <c r="K405" s="37">
        <v>80</v>
      </c>
    </row>
    <row r="406" spans="1:11" ht="23.5" hidden="1" thickBot="1">
      <c r="A406" s="83">
        <v>4500069963</v>
      </c>
      <c r="B406" s="38">
        <v>45436</v>
      </c>
      <c r="C406" s="39">
        <v>0.40347222222222223</v>
      </c>
      <c r="D406" s="37">
        <v>114010</v>
      </c>
      <c r="E406" s="37">
        <v>18365</v>
      </c>
      <c r="F406" s="38">
        <v>45436</v>
      </c>
      <c r="G406" s="39">
        <v>0.59722222222222221</v>
      </c>
      <c r="H406" s="40" t="s">
        <v>57</v>
      </c>
      <c r="I406" s="37" t="s">
        <v>83</v>
      </c>
      <c r="J406" s="40" t="s">
        <v>151</v>
      </c>
      <c r="K406" s="37">
        <v>12</v>
      </c>
    </row>
    <row r="407" spans="1:11" ht="35" hidden="1" thickBot="1">
      <c r="A407" s="83">
        <v>951721</v>
      </c>
      <c r="B407" s="38">
        <v>45436</v>
      </c>
      <c r="C407" s="39">
        <v>0.44861111111111113</v>
      </c>
      <c r="D407" s="37">
        <v>114011</v>
      </c>
      <c r="E407" s="37">
        <v>18350</v>
      </c>
      <c r="F407" s="38">
        <v>45436</v>
      </c>
      <c r="G407" s="39">
        <v>0.59722222222222221</v>
      </c>
      <c r="H407" s="40" t="s">
        <v>38</v>
      </c>
      <c r="I407" s="37" t="s">
        <v>78</v>
      </c>
      <c r="J407" s="40" t="s">
        <v>212</v>
      </c>
      <c r="K407" s="37">
        <v>2</v>
      </c>
    </row>
    <row r="408" spans="1:11" ht="23.5" hidden="1" thickBot="1">
      <c r="A408" s="83" t="s">
        <v>346</v>
      </c>
      <c r="B408" s="38">
        <v>45436</v>
      </c>
      <c r="C408" s="39">
        <v>0.45</v>
      </c>
      <c r="D408" s="37">
        <v>114009</v>
      </c>
      <c r="E408" s="37">
        <v>18343</v>
      </c>
      <c r="F408" s="38">
        <v>45436</v>
      </c>
      <c r="G408" s="39">
        <v>0.52430555555555558</v>
      </c>
      <c r="H408" s="40" t="s">
        <v>347</v>
      </c>
      <c r="I408" s="37" t="s">
        <v>333</v>
      </c>
      <c r="J408" s="40" t="s">
        <v>189</v>
      </c>
      <c r="K408" s="37">
        <v>200</v>
      </c>
    </row>
    <row r="409" spans="1:11" ht="23.5" hidden="1" thickBot="1">
      <c r="A409" s="83">
        <v>41440</v>
      </c>
      <c r="B409" s="38">
        <v>45436</v>
      </c>
      <c r="C409" s="39">
        <v>0.59097222222222223</v>
      </c>
      <c r="D409" s="37">
        <v>114013</v>
      </c>
      <c r="E409" s="37">
        <v>18352</v>
      </c>
      <c r="F409" s="38">
        <v>45436</v>
      </c>
      <c r="G409" s="39">
        <v>0.625</v>
      </c>
      <c r="H409" s="40" t="s">
        <v>348</v>
      </c>
      <c r="I409" s="37" t="s">
        <v>82</v>
      </c>
      <c r="J409" s="40" t="s">
        <v>206</v>
      </c>
      <c r="K409" s="37">
        <v>24</v>
      </c>
    </row>
    <row r="410" spans="1:11" ht="35" hidden="1" thickBot="1">
      <c r="A410" s="83">
        <v>41440</v>
      </c>
      <c r="B410" s="38">
        <v>45436</v>
      </c>
      <c r="C410" s="39">
        <v>0.59097222222222223</v>
      </c>
      <c r="D410" s="37">
        <v>114013</v>
      </c>
      <c r="E410" s="37">
        <v>18352</v>
      </c>
      <c r="F410" s="38">
        <v>45436</v>
      </c>
      <c r="G410" s="39">
        <v>0.625</v>
      </c>
      <c r="H410" s="40" t="s">
        <v>348</v>
      </c>
      <c r="I410" s="37" t="s">
        <v>82</v>
      </c>
      <c r="J410" s="40" t="s">
        <v>230</v>
      </c>
      <c r="K410" s="37">
        <v>30</v>
      </c>
    </row>
    <row r="411" spans="1:11" ht="35" hidden="1" thickBot="1">
      <c r="A411" s="83">
        <v>41440</v>
      </c>
      <c r="B411" s="38">
        <v>45436</v>
      </c>
      <c r="C411" s="39">
        <v>0.59097222222222223</v>
      </c>
      <c r="D411" s="37">
        <v>114013</v>
      </c>
      <c r="E411" s="37">
        <v>18352</v>
      </c>
      <c r="F411" s="38">
        <v>45436</v>
      </c>
      <c r="G411" s="39">
        <v>0.625</v>
      </c>
      <c r="H411" s="40" t="s">
        <v>348</v>
      </c>
      <c r="I411" s="37" t="s">
        <v>82</v>
      </c>
      <c r="J411" s="40" t="s">
        <v>207</v>
      </c>
      <c r="K411" s="37">
        <v>60</v>
      </c>
    </row>
    <row r="412" spans="1:11" ht="23.5" hidden="1" thickBot="1">
      <c r="A412" s="83">
        <v>41440</v>
      </c>
      <c r="B412" s="38">
        <v>45436</v>
      </c>
      <c r="C412" s="39">
        <v>0.59097222222222223</v>
      </c>
      <c r="D412" s="37">
        <v>114013</v>
      </c>
      <c r="E412" s="37">
        <v>18352</v>
      </c>
      <c r="F412" s="38">
        <v>45436</v>
      </c>
      <c r="G412" s="39">
        <v>0.625</v>
      </c>
      <c r="H412" s="40" t="s">
        <v>348</v>
      </c>
      <c r="I412" s="37" t="s">
        <v>82</v>
      </c>
      <c r="J412" s="40" t="s">
        <v>295</v>
      </c>
      <c r="K412" s="37">
        <v>36</v>
      </c>
    </row>
    <row r="413" spans="1:11" ht="69.5" hidden="1" thickBot="1">
      <c r="A413" s="83" t="s">
        <v>349</v>
      </c>
      <c r="B413" s="38">
        <v>45436</v>
      </c>
      <c r="C413" s="39">
        <v>0.52777777777777779</v>
      </c>
      <c r="D413" s="37">
        <v>114014</v>
      </c>
      <c r="E413" s="37">
        <v>18366</v>
      </c>
      <c r="F413" s="38">
        <v>45439</v>
      </c>
      <c r="G413" s="39">
        <v>0.60833333333333328</v>
      </c>
      <c r="H413" s="40" t="s">
        <v>193</v>
      </c>
      <c r="I413" s="37" t="s">
        <v>76</v>
      </c>
      <c r="J413" s="40" t="s">
        <v>112</v>
      </c>
      <c r="K413" s="37">
        <v>2</v>
      </c>
    </row>
    <row r="414" spans="1:11" ht="69.5" hidden="1" thickBot="1">
      <c r="A414" s="83" t="s">
        <v>349</v>
      </c>
      <c r="B414" s="38">
        <v>45436</v>
      </c>
      <c r="C414" s="39">
        <v>0.52777777777777779</v>
      </c>
      <c r="D414" s="37">
        <v>114014</v>
      </c>
      <c r="E414" s="37">
        <v>18366</v>
      </c>
      <c r="F414" s="38">
        <v>45439</v>
      </c>
      <c r="G414" s="39">
        <v>0.60833333333333328</v>
      </c>
      <c r="H414" s="40" t="s">
        <v>193</v>
      </c>
      <c r="I414" s="37" t="s">
        <v>76</v>
      </c>
      <c r="J414" s="40" t="s">
        <v>194</v>
      </c>
      <c r="K414" s="37">
        <v>20</v>
      </c>
    </row>
    <row r="415" spans="1:11" ht="35" hidden="1" thickBot="1">
      <c r="A415" s="83" t="s">
        <v>350</v>
      </c>
      <c r="B415" s="38">
        <v>45436</v>
      </c>
      <c r="C415" s="39">
        <v>0.72361111111111109</v>
      </c>
      <c r="D415" s="37">
        <v>114015</v>
      </c>
      <c r="E415" s="37">
        <v>18368</v>
      </c>
      <c r="F415" s="38">
        <v>45439</v>
      </c>
      <c r="G415" s="39">
        <v>0.60833333333333328</v>
      </c>
      <c r="H415" s="40" t="s">
        <v>351</v>
      </c>
      <c r="I415" s="37" t="s">
        <v>235</v>
      </c>
      <c r="J415" s="40" t="s">
        <v>352</v>
      </c>
      <c r="K415" s="37">
        <v>94</v>
      </c>
    </row>
    <row r="416" spans="1:11" ht="23.5" hidden="1" thickBot="1">
      <c r="A416" s="91">
        <v>69199</v>
      </c>
      <c r="B416" s="38">
        <v>45439</v>
      </c>
      <c r="C416" s="39">
        <v>0.46319444444444446</v>
      </c>
      <c r="D416" s="37">
        <v>114019</v>
      </c>
      <c r="E416" s="37">
        <v>18369</v>
      </c>
      <c r="F416" s="38">
        <v>45439</v>
      </c>
      <c r="G416" s="39">
        <v>0.60833333333333328</v>
      </c>
      <c r="H416" s="40" t="s">
        <v>231</v>
      </c>
      <c r="I416" s="37" t="s">
        <v>142</v>
      </c>
      <c r="J416" s="40" t="s">
        <v>151</v>
      </c>
      <c r="K416" s="37">
        <v>4</v>
      </c>
    </row>
    <row r="417" spans="1:11" ht="23.5" hidden="1" thickBot="1">
      <c r="A417" s="83">
        <v>4500070015</v>
      </c>
      <c r="B417" s="38">
        <v>45439</v>
      </c>
      <c r="C417" s="39">
        <v>0.55625000000000002</v>
      </c>
      <c r="D417" s="37">
        <v>114018</v>
      </c>
      <c r="E417" s="37">
        <v>18377</v>
      </c>
      <c r="F417" s="38">
        <v>45439</v>
      </c>
      <c r="G417" s="39">
        <v>0.60833333333333328</v>
      </c>
      <c r="H417" s="40" t="s">
        <v>57</v>
      </c>
      <c r="I417" s="37" t="s">
        <v>80</v>
      </c>
      <c r="J417" s="40" t="s">
        <v>194</v>
      </c>
      <c r="K417" s="37">
        <v>8</v>
      </c>
    </row>
    <row r="418" spans="1:11" ht="23.5" hidden="1" thickBot="1">
      <c r="A418" s="83">
        <v>4500070015</v>
      </c>
      <c r="B418" s="38">
        <v>45439</v>
      </c>
      <c r="C418" s="39">
        <v>0.55625000000000002</v>
      </c>
      <c r="D418" s="37">
        <v>114018</v>
      </c>
      <c r="E418" s="37">
        <v>18377</v>
      </c>
      <c r="F418" s="38">
        <v>45439</v>
      </c>
      <c r="G418" s="39">
        <v>0.60833333333333328</v>
      </c>
      <c r="H418" s="40" t="s">
        <v>57</v>
      </c>
      <c r="I418" s="37" t="s">
        <v>80</v>
      </c>
      <c r="J418" s="40" t="s">
        <v>113</v>
      </c>
      <c r="K418" s="37">
        <v>4</v>
      </c>
    </row>
    <row r="419" spans="1:11" ht="23.5" hidden="1" thickBot="1">
      <c r="A419" s="103">
        <v>4500070015</v>
      </c>
      <c r="B419" s="104">
        <v>45439</v>
      </c>
      <c r="C419" s="105">
        <v>0.55625000000000002</v>
      </c>
      <c r="D419" s="106">
        <v>114018</v>
      </c>
      <c r="E419" s="106">
        <v>18385</v>
      </c>
      <c r="F419" s="104">
        <v>45439</v>
      </c>
      <c r="G419" s="105">
        <v>0.60833333333333328</v>
      </c>
      <c r="H419" s="107" t="s">
        <v>57</v>
      </c>
      <c r="I419" s="106" t="s">
        <v>80</v>
      </c>
      <c r="J419" s="107" t="s">
        <v>115</v>
      </c>
      <c r="K419" s="106">
        <v>40</v>
      </c>
    </row>
    <row r="420" spans="1:11" ht="23.5" hidden="1" thickBot="1">
      <c r="A420" s="83">
        <v>4500070015</v>
      </c>
      <c r="B420" s="38">
        <v>45439</v>
      </c>
      <c r="C420" s="39">
        <v>0.55625000000000002</v>
      </c>
      <c r="D420" s="37">
        <v>114018</v>
      </c>
      <c r="E420" s="37">
        <v>18377</v>
      </c>
      <c r="F420" s="38">
        <v>45439</v>
      </c>
      <c r="G420" s="39">
        <v>0.60833333333333328</v>
      </c>
      <c r="H420" s="40" t="s">
        <v>57</v>
      </c>
      <c r="I420" s="37" t="s">
        <v>80</v>
      </c>
      <c r="J420" s="40" t="s">
        <v>209</v>
      </c>
      <c r="K420" s="37">
        <v>8</v>
      </c>
    </row>
    <row r="421" spans="1:11" ht="35" hidden="1" thickBot="1">
      <c r="A421" s="83">
        <v>4500070015</v>
      </c>
      <c r="B421" s="38">
        <v>45439</v>
      </c>
      <c r="C421" s="39">
        <v>0.55625000000000002</v>
      </c>
      <c r="D421" s="37">
        <v>114018</v>
      </c>
      <c r="E421" s="37">
        <v>18377</v>
      </c>
      <c r="F421" s="38">
        <v>45439</v>
      </c>
      <c r="G421" s="39">
        <v>0.60833333333333328</v>
      </c>
      <c r="H421" s="40" t="s">
        <v>57</v>
      </c>
      <c r="I421" s="37" t="s">
        <v>80</v>
      </c>
      <c r="J421" s="40" t="s">
        <v>136</v>
      </c>
      <c r="K421" s="37">
        <v>8</v>
      </c>
    </row>
    <row r="422" spans="1:11" ht="23.5" hidden="1" thickBot="1">
      <c r="A422" s="83">
        <v>4500070015</v>
      </c>
      <c r="B422" s="38">
        <v>45439</v>
      </c>
      <c r="C422" s="39">
        <v>0.55625000000000002</v>
      </c>
      <c r="D422" s="37">
        <v>114018</v>
      </c>
      <c r="E422" s="37">
        <v>18377</v>
      </c>
      <c r="F422" s="38">
        <v>45439</v>
      </c>
      <c r="G422" s="39">
        <v>0.60833333333333328</v>
      </c>
      <c r="H422" s="40" t="s">
        <v>57</v>
      </c>
      <c r="I422" s="37" t="s">
        <v>80</v>
      </c>
      <c r="J422" s="40" t="s">
        <v>118</v>
      </c>
      <c r="K422" s="37">
        <v>16</v>
      </c>
    </row>
    <row r="423" spans="1:11" ht="23.5" hidden="1" thickBot="1">
      <c r="A423" s="91">
        <v>69225</v>
      </c>
      <c r="B423" s="38">
        <v>45439</v>
      </c>
      <c r="C423" s="39">
        <v>0.60416666666666663</v>
      </c>
      <c r="D423" s="37">
        <v>114019</v>
      </c>
      <c r="E423" s="37">
        <v>18370</v>
      </c>
      <c r="F423" s="38">
        <v>45439</v>
      </c>
      <c r="G423" s="39">
        <v>0.60833333333333328</v>
      </c>
      <c r="H423" s="40" t="s">
        <v>231</v>
      </c>
      <c r="I423" s="37" t="s">
        <v>142</v>
      </c>
      <c r="J423" s="40" t="s">
        <v>295</v>
      </c>
      <c r="K423" s="37">
        <v>7</v>
      </c>
    </row>
    <row r="424" spans="1:11" ht="23.5" hidden="1" thickBot="1">
      <c r="A424" s="91">
        <v>69225</v>
      </c>
      <c r="B424" s="38">
        <v>45439</v>
      </c>
      <c r="C424" s="39">
        <v>0.60416666666666663</v>
      </c>
      <c r="D424" s="37">
        <v>114019</v>
      </c>
      <c r="E424" s="37">
        <v>18370</v>
      </c>
      <c r="F424" s="38">
        <v>45439</v>
      </c>
      <c r="G424" s="39">
        <v>0.60833333333333328</v>
      </c>
      <c r="H424" s="40" t="s">
        <v>231</v>
      </c>
      <c r="I424" s="37" t="s">
        <v>142</v>
      </c>
      <c r="J424" s="40" t="s">
        <v>261</v>
      </c>
      <c r="K424" s="37">
        <v>7</v>
      </c>
    </row>
    <row r="425" spans="1:11" ht="23.5" hidden="1" thickBot="1">
      <c r="A425" s="83" t="s">
        <v>353</v>
      </c>
      <c r="B425" s="38">
        <v>45439</v>
      </c>
      <c r="C425" s="39">
        <v>0.67777777777777781</v>
      </c>
      <c r="D425" s="37">
        <v>114022</v>
      </c>
      <c r="E425" s="37">
        <v>18372</v>
      </c>
      <c r="F425" s="38">
        <v>45440</v>
      </c>
      <c r="G425" s="39">
        <v>0.37847222222222221</v>
      </c>
      <c r="H425" s="40" t="s">
        <v>54</v>
      </c>
      <c r="I425" s="37" t="s">
        <v>75</v>
      </c>
      <c r="J425" s="40" t="s">
        <v>112</v>
      </c>
      <c r="K425" s="37">
        <v>20</v>
      </c>
    </row>
    <row r="426" spans="1:11" ht="23.5" hidden="1" thickBot="1">
      <c r="A426" s="83" t="s">
        <v>353</v>
      </c>
      <c r="B426" s="38">
        <v>45439</v>
      </c>
      <c r="C426" s="39">
        <v>0.67777777777777781</v>
      </c>
      <c r="D426" s="37">
        <v>114022</v>
      </c>
      <c r="E426" s="37">
        <v>18372</v>
      </c>
      <c r="F426" s="38">
        <v>45440</v>
      </c>
      <c r="G426" s="39">
        <v>0.37847222222222221</v>
      </c>
      <c r="H426" s="40" t="s">
        <v>54</v>
      </c>
      <c r="I426" s="37" t="s">
        <v>75</v>
      </c>
      <c r="J426" s="40" t="s">
        <v>221</v>
      </c>
      <c r="K426" s="37">
        <v>20</v>
      </c>
    </row>
    <row r="427" spans="1:11" ht="23.5" hidden="1" thickBot="1">
      <c r="A427" s="83" t="s">
        <v>353</v>
      </c>
      <c r="B427" s="38">
        <v>45439</v>
      </c>
      <c r="C427" s="39">
        <v>0.67777777777777781</v>
      </c>
      <c r="D427" s="37">
        <v>114022</v>
      </c>
      <c r="E427" s="37">
        <v>18372</v>
      </c>
      <c r="F427" s="38">
        <v>45440</v>
      </c>
      <c r="G427" s="39">
        <v>0.37847222222222221</v>
      </c>
      <c r="H427" s="40" t="s">
        <v>54</v>
      </c>
      <c r="I427" s="37" t="s">
        <v>75</v>
      </c>
      <c r="J427" s="40" t="s">
        <v>215</v>
      </c>
      <c r="K427" s="37">
        <v>10</v>
      </c>
    </row>
    <row r="428" spans="1:11" ht="23.5" hidden="1" thickBot="1">
      <c r="A428" s="83" t="s">
        <v>353</v>
      </c>
      <c r="B428" s="38">
        <v>45439</v>
      </c>
      <c r="C428" s="39">
        <v>0.67777777777777781</v>
      </c>
      <c r="D428" s="37">
        <v>114022</v>
      </c>
      <c r="E428" s="37">
        <v>18372</v>
      </c>
      <c r="F428" s="38">
        <v>45440</v>
      </c>
      <c r="G428" s="39">
        <v>0.37847222222222221</v>
      </c>
      <c r="H428" s="40" t="s">
        <v>54</v>
      </c>
      <c r="I428" s="37" t="s">
        <v>75</v>
      </c>
      <c r="J428" s="40" t="s">
        <v>113</v>
      </c>
      <c r="K428" s="37">
        <v>2</v>
      </c>
    </row>
    <row r="429" spans="1:11" ht="23.5" hidden="1" thickBot="1">
      <c r="A429" s="83" t="s">
        <v>353</v>
      </c>
      <c r="B429" s="38">
        <v>45439</v>
      </c>
      <c r="C429" s="39">
        <v>0.67777777777777781</v>
      </c>
      <c r="D429" s="37">
        <v>114022</v>
      </c>
      <c r="E429" s="37">
        <v>18372</v>
      </c>
      <c r="F429" s="38">
        <v>45440</v>
      </c>
      <c r="G429" s="39">
        <v>0.37847222222222221</v>
      </c>
      <c r="H429" s="40" t="s">
        <v>54</v>
      </c>
      <c r="I429" s="37" t="s">
        <v>75</v>
      </c>
      <c r="J429" s="40" t="s">
        <v>153</v>
      </c>
      <c r="K429" s="37">
        <v>3</v>
      </c>
    </row>
    <row r="430" spans="1:11" ht="23.5" hidden="1" thickBot="1">
      <c r="A430" s="83" t="s">
        <v>353</v>
      </c>
      <c r="B430" s="38">
        <v>45439</v>
      </c>
      <c r="C430" s="39">
        <v>0.67777777777777781</v>
      </c>
      <c r="D430" s="37">
        <v>114022</v>
      </c>
      <c r="E430" s="37">
        <v>18372</v>
      </c>
      <c r="F430" s="38">
        <v>45440</v>
      </c>
      <c r="G430" s="39">
        <v>0.37847222222222221</v>
      </c>
      <c r="H430" s="40" t="s">
        <v>54</v>
      </c>
      <c r="I430" s="37" t="s">
        <v>75</v>
      </c>
      <c r="J430" s="40" t="s">
        <v>194</v>
      </c>
      <c r="K430" s="37">
        <v>10</v>
      </c>
    </row>
    <row r="431" spans="1:11" ht="35" hidden="1" thickBot="1">
      <c r="A431" s="83" t="s">
        <v>353</v>
      </c>
      <c r="B431" s="38">
        <v>45439</v>
      </c>
      <c r="C431" s="39">
        <v>0.67777777777777781</v>
      </c>
      <c r="D431" s="37">
        <v>114022</v>
      </c>
      <c r="E431" s="37">
        <v>18372</v>
      </c>
      <c r="F431" s="38">
        <v>45440</v>
      </c>
      <c r="G431" s="39">
        <v>0.37847222222222221</v>
      </c>
      <c r="H431" s="40" t="s">
        <v>54</v>
      </c>
      <c r="I431" s="37" t="s">
        <v>75</v>
      </c>
      <c r="J431" s="40" t="s">
        <v>214</v>
      </c>
      <c r="K431" s="37">
        <v>5</v>
      </c>
    </row>
    <row r="432" spans="1:11" ht="35" hidden="1" thickBot="1">
      <c r="A432" s="83">
        <v>4500070045</v>
      </c>
      <c r="B432" s="38">
        <v>45440</v>
      </c>
      <c r="C432" s="39">
        <v>0.38263888888888886</v>
      </c>
      <c r="D432" s="37">
        <v>114031</v>
      </c>
      <c r="E432" s="37">
        <v>18378</v>
      </c>
      <c r="F432" s="38">
        <v>45440</v>
      </c>
      <c r="G432" s="39">
        <v>0.39791666666666664</v>
      </c>
      <c r="H432" s="40" t="s">
        <v>57</v>
      </c>
      <c r="I432" s="37" t="s">
        <v>83</v>
      </c>
      <c r="J432" s="40" t="s">
        <v>143</v>
      </c>
      <c r="K432" s="37">
        <v>12</v>
      </c>
    </row>
    <row r="433" spans="1:11" ht="23.5" hidden="1" thickBot="1">
      <c r="A433" s="83">
        <v>4500070045</v>
      </c>
      <c r="B433" s="38">
        <v>45440</v>
      </c>
      <c r="C433" s="39">
        <v>0.38263888888888886</v>
      </c>
      <c r="D433" s="37">
        <v>114031</v>
      </c>
      <c r="E433" s="37">
        <v>18378</v>
      </c>
      <c r="F433" s="38">
        <v>45440</v>
      </c>
      <c r="G433" s="39">
        <v>0.39791666666666664</v>
      </c>
      <c r="H433" s="40" t="s">
        <v>57</v>
      </c>
      <c r="I433" s="37" t="s">
        <v>83</v>
      </c>
      <c r="J433" s="40" t="s">
        <v>111</v>
      </c>
      <c r="K433" s="37">
        <v>24</v>
      </c>
    </row>
    <row r="434" spans="1:11" ht="23.5" hidden="1" thickBot="1">
      <c r="A434" s="83">
        <v>4500070045</v>
      </c>
      <c r="B434" s="38">
        <v>45440</v>
      </c>
      <c r="C434" s="39">
        <v>0.38263888888888886</v>
      </c>
      <c r="D434" s="37">
        <v>114031</v>
      </c>
      <c r="E434" s="37">
        <v>18378</v>
      </c>
      <c r="F434" s="38">
        <v>45440</v>
      </c>
      <c r="G434" s="39">
        <v>0.39791666666666664</v>
      </c>
      <c r="H434" s="40" t="s">
        <v>57</v>
      </c>
      <c r="I434" s="37" t="s">
        <v>83</v>
      </c>
      <c r="J434" s="40" t="s">
        <v>116</v>
      </c>
      <c r="K434" s="37">
        <v>100</v>
      </c>
    </row>
    <row r="435" spans="1:11" ht="23.5" hidden="1" thickBot="1">
      <c r="A435" s="83">
        <v>4500070045</v>
      </c>
      <c r="B435" s="38">
        <v>45440</v>
      </c>
      <c r="C435" s="39">
        <v>0.38263888888888886</v>
      </c>
      <c r="D435" s="37">
        <v>114031</v>
      </c>
      <c r="E435" s="37">
        <v>18378</v>
      </c>
      <c r="F435" s="38">
        <v>45440</v>
      </c>
      <c r="G435" s="39">
        <v>0.39791666666666664</v>
      </c>
      <c r="H435" s="40" t="s">
        <v>57</v>
      </c>
      <c r="I435" s="37" t="s">
        <v>83</v>
      </c>
      <c r="J435" s="40" t="s">
        <v>220</v>
      </c>
      <c r="K435" s="37">
        <v>40</v>
      </c>
    </row>
    <row r="436" spans="1:11" ht="23.5" hidden="1" thickBot="1">
      <c r="A436" s="103">
        <v>4500070045</v>
      </c>
      <c r="B436" s="104">
        <v>45440</v>
      </c>
      <c r="C436" s="105">
        <v>0.38263888888888886</v>
      </c>
      <c r="D436" s="106">
        <v>114031</v>
      </c>
      <c r="E436" s="106">
        <v>18386</v>
      </c>
      <c r="F436" s="104">
        <v>45440</v>
      </c>
      <c r="G436" s="105">
        <v>0.39791666666666664</v>
      </c>
      <c r="H436" s="107" t="s">
        <v>57</v>
      </c>
      <c r="I436" s="106" t="s">
        <v>83</v>
      </c>
      <c r="J436" s="107" t="s">
        <v>115</v>
      </c>
      <c r="K436" s="106">
        <v>60</v>
      </c>
    </row>
    <row r="437" spans="1:11" ht="35" hidden="1" thickBot="1">
      <c r="A437" s="83">
        <v>4500070045</v>
      </c>
      <c r="B437" s="38">
        <v>45440</v>
      </c>
      <c r="C437" s="39">
        <v>0.38263888888888886</v>
      </c>
      <c r="D437" s="37">
        <v>114031</v>
      </c>
      <c r="E437" s="37">
        <v>18378</v>
      </c>
      <c r="F437" s="38">
        <v>45440</v>
      </c>
      <c r="G437" s="39">
        <v>0.39791666666666664</v>
      </c>
      <c r="H437" s="40" t="s">
        <v>57</v>
      </c>
      <c r="I437" s="37" t="s">
        <v>83</v>
      </c>
      <c r="J437" s="40" t="s">
        <v>136</v>
      </c>
      <c r="K437" s="37">
        <v>8</v>
      </c>
    </row>
    <row r="438" spans="1:11" ht="23.5" hidden="1" thickBot="1">
      <c r="A438" s="83">
        <v>4500070045</v>
      </c>
      <c r="B438" s="38">
        <v>45440</v>
      </c>
      <c r="C438" s="39">
        <v>0.38263888888888886</v>
      </c>
      <c r="D438" s="37">
        <v>114031</v>
      </c>
      <c r="E438" s="37">
        <v>18378</v>
      </c>
      <c r="F438" s="38">
        <v>45440</v>
      </c>
      <c r="G438" s="39">
        <v>0.39791666666666664</v>
      </c>
      <c r="H438" s="40" t="s">
        <v>57</v>
      </c>
      <c r="I438" s="37" t="s">
        <v>83</v>
      </c>
      <c r="J438" s="40" t="s">
        <v>209</v>
      </c>
      <c r="K438" s="37">
        <v>8</v>
      </c>
    </row>
    <row r="439" spans="1:11" ht="23.5" hidden="1" thickBot="1">
      <c r="A439" s="83">
        <v>4500070045</v>
      </c>
      <c r="B439" s="38">
        <v>45440</v>
      </c>
      <c r="C439" s="39">
        <v>0.38263888888888886</v>
      </c>
      <c r="D439" s="37">
        <v>114031</v>
      </c>
      <c r="E439" s="37">
        <v>18378</v>
      </c>
      <c r="F439" s="38">
        <v>45440</v>
      </c>
      <c r="G439" s="39">
        <v>0.39791666666666664</v>
      </c>
      <c r="H439" s="40" t="s">
        <v>57</v>
      </c>
      <c r="I439" s="37" t="s">
        <v>83</v>
      </c>
      <c r="J439" s="40" t="s">
        <v>118</v>
      </c>
      <c r="K439" s="37">
        <v>60</v>
      </c>
    </row>
    <row r="440" spans="1:11" ht="35" hidden="1" thickBot="1">
      <c r="A440" s="83" t="s">
        <v>354</v>
      </c>
      <c r="B440" s="38">
        <v>45440</v>
      </c>
      <c r="C440" s="39">
        <v>0.3840277777777778</v>
      </c>
      <c r="D440" s="37">
        <v>114032</v>
      </c>
      <c r="E440" s="37">
        <v>18373</v>
      </c>
      <c r="F440" s="38">
        <v>45440</v>
      </c>
      <c r="G440" s="39">
        <v>0.43194444444444446</v>
      </c>
      <c r="H440" s="40" t="s">
        <v>355</v>
      </c>
      <c r="I440" s="37" t="s">
        <v>86</v>
      </c>
      <c r="J440" s="40" t="s">
        <v>206</v>
      </c>
      <c r="K440" s="37">
        <v>40</v>
      </c>
    </row>
    <row r="441" spans="1:11" ht="35" hidden="1" thickBot="1">
      <c r="A441" s="83" t="s">
        <v>356</v>
      </c>
      <c r="B441" s="38">
        <v>45440</v>
      </c>
      <c r="C441" s="39">
        <v>0.42986111111111114</v>
      </c>
      <c r="D441" s="37">
        <v>114033</v>
      </c>
      <c r="E441" s="37">
        <v>18374</v>
      </c>
      <c r="F441" s="38">
        <v>45440</v>
      </c>
      <c r="G441" s="39">
        <v>0.43194444444444446</v>
      </c>
      <c r="H441" s="40" t="s">
        <v>355</v>
      </c>
      <c r="I441" s="37" t="s">
        <v>114</v>
      </c>
      <c r="J441" s="40" t="s">
        <v>120</v>
      </c>
      <c r="K441" s="37">
        <v>5</v>
      </c>
    </row>
    <row r="442" spans="1:11" ht="35" hidden="1" thickBot="1">
      <c r="A442" s="103" t="s">
        <v>356</v>
      </c>
      <c r="B442" s="104">
        <v>45440</v>
      </c>
      <c r="C442" s="105">
        <v>0.42986111111111114</v>
      </c>
      <c r="D442" s="106">
        <v>114033</v>
      </c>
      <c r="E442" s="106">
        <v>18374</v>
      </c>
      <c r="F442" s="104">
        <v>45440</v>
      </c>
      <c r="G442" s="105">
        <v>0.43194444444444446</v>
      </c>
      <c r="H442" s="107" t="s">
        <v>355</v>
      </c>
      <c r="I442" s="106" t="s">
        <v>114</v>
      </c>
      <c r="J442" s="107" t="s">
        <v>115</v>
      </c>
      <c r="K442" s="106">
        <v>2</v>
      </c>
    </row>
    <row r="443" spans="1:11" ht="35" hidden="1" thickBot="1">
      <c r="A443" s="83" t="s">
        <v>356</v>
      </c>
      <c r="B443" s="38">
        <v>45440</v>
      </c>
      <c r="C443" s="39">
        <v>0.42986111111111114</v>
      </c>
      <c r="D443" s="37">
        <v>114033</v>
      </c>
      <c r="E443" s="37">
        <v>18374</v>
      </c>
      <c r="F443" s="38">
        <v>45440</v>
      </c>
      <c r="G443" s="39">
        <v>0.43194444444444446</v>
      </c>
      <c r="H443" s="40" t="s">
        <v>355</v>
      </c>
      <c r="I443" s="37" t="s">
        <v>114</v>
      </c>
      <c r="J443" s="40" t="s">
        <v>111</v>
      </c>
      <c r="K443" s="37">
        <v>8</v>
      </c>
    </row>
    <row r="444" spans="1:11" ht="35" hidden="1" thickBot="1">
      <c r="A444" s="83" t="s">
        <v>356</v>
      </c>
      <c r="B444" s="38">
        <v>45440</v>
      </c>
      <c r="C444" s="39">
        <v>0.42986111111111114</v>
      </c>
      <c r="D444" s="37">
        <v>114033</v>
      </c>
      <c r="E444" s="37">
        <v>18374</v>
      </c>
      <c r="F444" s="38">
        <v>45440</v>
      </c>
      <c r="G444" s="39">
        <v>0.43194444444444446</v>
      </c>
      <c r="H444" s="40" t="s">
        <v>355</v>
      </c>
      <c r="I444" s="37" t="s">
        <v>114</v>
      </c>
      <c r="J444" s="40" t="s">
        <v>209</v>
      </c>
      <c r="K444" s="37">
        <v>1</v>
      </c>
    </row>
    <row r="445" spans="1:11" ht="46.5" hidden="1" thickBot="1">
      <c r="A445" s="83" t="s">
        <v>356</v>
      </c>
      <c r="B445" s="38">
        <v>45440</v>
      </c>
      <c r="C445" s="39">
        <v>0.42986111111111114</v>
      </c>
      <c r="D445" s="37">
        <v>114033</v>
      </c>
      <c r="E445" s="37">
        <v>18374</v>
      </c>
      <c r="F445" s="38">
        <v>45440</v>
      </c>
      <c r="G445" s="39">
        <v>0.43194444444444446</v>
      </c>
      <c r="H445" s="40" t="s">
        <v>355</v>
      </c>
      <c r="I445" s="37" t="s">
        <v>114</v>
      </c>
      <c r="J445" s="40" t="s">
        <v>145</v>
      </c>
      <c r="K445" s="37">
        <v>20</v>
      </c>
    </row>
    <row r="446" spans="1:11" ht="35" hidden="1" thickBot="1">
      <c r="A446" s="83" t="s">
        <v>356</v>
      </c>
      <c r="B446" s="38">
        <v>45440</v>
      </c>
      <c r="C446" s="39">
        <v>0.42986111111111114</v>
      </c>
      <c r="D446" s="37">
        <v>114033</v>
      </c>
      <c r="E446" s="37">
        <v>18374</v>
      </c>
      <c r="F446" s="38">
        <v>45440</v>
      </c>
      <c r="G446" s="39">
        <v>0.43194444444444446</v>
      </c>
      <c r="H446" s="40" t="s">
        <v>355</v>
      </c>
      <c r="I446" s="37" t="s">
        <v>114</v>
      </c>
      <c r="J446" s="40" t="s">
        <v>218</v>
      </c>
      <c r="K446" s="37">
        <v>5</v>
      </c>
    </row>
    <row r="447" spans="1:11" ht="35" hidden="1" thickBot="1">
      <c r="A447" s="83">
        <v>4631</v>
      </c>
      <c r="B447" s="38">
        <v>45370</v>
      </c>
      <c r="C447" s="39">
        <v>0.66597222222222219</v>
      </c>
      <c r="D447" s="37">
        <v>113528</v>
      </c>
      <c r="E447" s="37">
        <v>18357</v>
      </c>
      <c r="F447" s="38">
        <v>45371</v>
      </c>
      <c r="G447" s="39">
        <v>0.41041666666666665</v>
      </c>
      <c r="H447" s="40" t="s">
        <v>219</v>
      </c>
      <c r="I447" s="37" t="s">
        <v>81</v>
      </c>
      <c r="J447" s="40" t="s">
        <v>357</v>
      </c>
      <c r="K447" s="37">
        <v>31</v>
      </c>
    </row>
    <row r="448" spans="1:11" ht="35" hidden="1" thickBot="1">
      <c r="A448" s="83">
        <v>109</v>
      </c>
      <c r="B448" s="38">
        <v>45440</v>
      </c>
      <c r="C448" s="39">
        <v>0.5854166666666667</v>
      </c>
      <c r="D448" s="37">
        <v>114035</v>
      </c>
      <c r="E448" s="37">
        <v>18364</v>
      </c>
      <c r="F448" s="38">
        <v>45440</v>
      </c>
      <c r="G448" s="39">
        <v>0.60763888888888884</v>
      </c>
      <c r="H448" s="40" t="s">
        <v>294</v>
      </c>
      <c r="I448" s="37" t="s">
        <v>78</v>
      </c>
      <c r="J448" s="40" t="s">
        <v>207</v>
      </c>
      <c r="K448" s="37">
        <v>5</v>
      </c>
    </row>
    <row r="449" spans="1:11" ht="35" hidden="1" thickBot="1">
      <c r="A449" s="83">
        <v>955109</v>
      </c>
      <c r="B449" s="38">
        <v>45440</v>
      </c>
      <c r="C449" s="39">
        <v>0.63194444444444442</v>
      </c>
      <c r="D449" s="37">
        <v>114037</v>
      </c>
      <c r="E449" s="37">
        <v>18376</v>
      </c>
      <c r="F449" s="38">
        <v>45440</v>
      </c>
      <c r="G449" s="39">
        <v>0.63194444444444442</v>
      </c>
      <c r="H449" s="40" t="s">
        <v>51</v>
      </c>
      <c r="I449" s="37" t="s">
        <v>343</v>
      </c>
      <c r="J449" s="40" t="s">
        <v>357</v>
      </c>
      <c r="K449" s="37">
        <v>96</v>
      </c>
    </row>
    <row r="450" spans="1:11" ht="23.5" hidden="1" thickBot="1">
      <c r="A450" s="83">
        <v>110</v>
      </c>
      <c r="B450" s="38">
        <v>45440</v>
      </c>
      <c r="C450" s="39">
        <v>0.66666666666666663</v>
      </c>
      <c r="D450" s="37">
        <v>114038</v>
      </c>
      <c r="E450" s="37">
        <v>18375</v>
      </c>
      <c r="F450" s="38">
        <v>45440</v>
      </c>
      <c r="G450" s="39">
        <v>0.69722222222222219</v>
      </c>
      <c r="H450" s="40" t="s">
        <v>294</v>
      </c>
      <c r="I450" s="37" t="s">
        <v>78</v>
      </c>
      <c r="J450" s="40" t="s">
        <v>166</v>
      </c>
      <c r="K450" s="37">
        <v>1</v>
      </c>
    </row>
    <row r="451" spans="1:11" ht="51" hidden="1" thickBot="1">
      <c r="A451" s="83" t="s">
        <v>358</v>
      </c>
      <c r="B451" s="42">
        <v>45439</v>
      </c>
      <c r="C451" s="46">
        <v>0.40069444444444446</v>
      </c>
      <c r="D451" s="37">
        <v>114017</v>
      </c>
      <c r="E451" s="37">
        <v>18371</v>
      </c>
      <c r="F451" s="38">
        <v>45439</v>
      </c>
      <c r="G451" s="39">
        <v>0.57916666666666672</v>
      </c>
      <c r="H451" s="45" t="s">
        <v>359</v>
      </c>
      <c r="I451" s="47" t="s">
        <v>176</v>
      </c>
      <c r="J451" s="40" t="s">
        <v>360</v>
      </c>
      <c r="K451" s="37">
        <v>12</v>
      </c>
    </row>
    <row r="452" spans="1:11" ht="23.5" hidden="1" thickBot="1">
      <c r="A452" s="87">
        <v>4500070071</v>
      </c>
      <c r="B452" s="42">
        <v>45440</v>
      </c>
      <c r="C452" s="46">
        <v>0.70625000000000004</v>
      </c>
      <c r="D452" s="37">
        <v>114041</v>
      </c>
      <c r="E452" s="37">
        <v>18380</v>
      </c>
      <c r="F452" s="38">
        <v>45441</v>
      </c>
      <c r="G452" s="39">
        <v>0.53888888888888886</v>
      </c>
      <c r="H452" s="45" t="s">
        <v>57</v>
      </c>
      <c r="I452" s="47" t="s">
        <v>83</v>
      </c>
      <c r="J452" s="40" t="s">
        <v>361</v>
      </c>
      <c r="K452" s="37">
        <v>600</v>
      </c>
    </row>
    <row r="453" spans="1:11" ht="46.5" hidden="1" thickBot="1">
      <c r="A453" s="83">
        <v>4500070071</v>
      </c>
      <c r="B453" s="42">
        <v>45440</v>
      </c>
      <c r="C453" s="46">
        <v>0.70625000000000004</v>
      </c>
      <c r="D453" s="37">
        <v>114041</v>
      </c>
      <c r="E453" s="37">
        <v>18380</v>
      </c>
      <c r="F453" s="38">
        <v>45441</v>
      </c>
      <c r="G453" s="39">
        <v>0.53888888888888886</v>
      </c>
      <c r="H453" s="45" t="s">
        <v>57</v>
      </c>
      <c r="I453" s="47" t="s">
        <v>83</v>
      </c>
      <c r="J453" s="40" t="s">
        <v>362</v>
      </c>
      <c r="K453" s="37">
        <v>400</v>
      </c>
    </row>
    <row r="454" spans="1:11" ht="23.5" hidden="1" thickBot="1">
      <c r="A454" s="83">
        <v>4500070102</v>
      </c>
      <c r="B454" s="42">
        <v>45442</v>
      </c>
      <c r="C454" s="46">
        <v>0.41666666666666669</v>
      </c>
      <c r="D454" s="37">
        <v>114048</v>
      </c>
      <c r="E454" s="37">
        <v>18388</v>
      </c>
      <c r="F454" s="38">
        <v>45442</v>
      </c>
      <c r="G454" s="39">
        <v>0.42152777777777778</v>
      </c>
      <c r="H454" s="45" t="s">
        <v>57</v>
      </c>
      <c r="I454" s="47" t="s">
        <v>83</v>
      </c>
      <c r="J454" s="40" t="s">
        <v>110</v>
      </c>
      <c r="K454" s="37">
        <v>9</v>
      </c>
    </row>
    <row r="455" spans="1:11" ht="76" hidden="1" thickBot="1">
      <c r="A455" s="83" t="s">
        <v>363</v>
      </c>
      <c r="B455" s="42">
        <v>45442</v>
      </c>
      <c r="C455" s="46">
        <v>0.48749999999999999</v>
      </c>
      <c r="D455" s="37">
        <v>114056</v>
      </c>
      <c r="E455" s="37">
        <v>18392</v>
      </c>
      <c r="F455" s="38">
        <v>45442</v>
      </c>
      <c r="G455" s="39">
        <v>0.66319444444444442</v>
      </c>
      <c r="H455" s="45" t="s">
        <v>193</v>
      </c>
      <c r="I455" s="47" t="s">
        <v>141</v>
      </c>
      <c r="J455" s="40" t="s">
        <v>113</v>
      </c>
      <c r="K455" s="37">
        <v>15</v>
      </c>
    </row>
    <row r="456" spans="1:11" ht="76" hidden="1" thickBot="1">
      <c r="A456" s="83" t="s">
        <v>363</v>
      </c>
      <c r="B456" s="42">
        <v>45442</v>
      </c>
      <c r="C456" s="46">
        <v>0.48749999999999999</v>
      </c>
      <c r="D456" s="37">
        <v>114056</v>
      </c>
      <c r="E456" s="37">
        <v>18392</v>
      </c>
      <c r="F456" s="38">
        <v>45442</v>
      </c>
      <c r="G456" s="39">
        <v>0.66319444444444442</v>
      </c>
      <c r="H456" s="45" t="s">
        <v>193</v>
      </c>
      <c r="I456" s="47" t="s">
        <v>141</v>
      </c>
      <c r="J456" s="40" t="s">
        <v>145</v>
      </c>
      <c r="K456" s="37">
        <v>80</v>
      </c>
    </row>
    <row r="457" spans="1:11" ht="76" hidden="1" thickBot="1">
      <c r="A457" s="83" t="s">
        <v>364</v>
      </c>
      <c r="B457" s="42">
        <v>45442</v>
      </c>
      <c r="C457" s="46">
        <v>0.56388888888888888</v>
      </c>
      <c r="D457" s="37">
        <v>114055</v>
      </c>
      <c r="E457" s="37">
        <v>18391</v>
      </c>
      <c r="F457" s="38">
        <v>45442</v>
      </c>
      <c r="G457" s="39">
        <v>0.66249999999999998</v>
      </c>
      <c r="H457" s="45" t="s">
        <v>193</v>
      </c>
      <c r="I457" s="47" t="s">
        <v>141</v>
      </c>
      <c r="J457" s="40" t="s">
        <v>220</v>
      </c>
      <c r="K457" s="37">
        <v>4</v>
      </c>
    </row>
    <row r="458" spans="1:11" ht="26" hidden="1" thickBot="1">
      <c r="A458" s="83">
        <v>953474</v>
      </c>
      <c r="B458" s="38">
        <v>45439</v>
      </c>
      <c r="C458" s="39">
        <v>0.63680555555555551</v>
      </c>
      <c r="D458" s="37">
        <v>114027</v>
      </c>
      <c r="E458" s="37">
        <v>18390</v>
      </c>
      <c r="F458" s="38">
        <v>45440</v>
      </c>
      <c r="G458" s="39">
        <v>0.39305555555555555</v>
      </c>
      <c r="H458" s="45" t="s">
        <v>30</v>
      </c>
      <c r="I458" s="37" t="s">
        <v>80</v>
      </c>
      <c r="J458" s="40" t="s">
        <v>365</v>
      </c>
      <c r="K458" s="37">
        <v>8</v>
      </c>
    </row>
    <row r="459" spans="1:11" ht="26" hidden="1" thickBot="1">
      <c r="A459" s="83">
        <v>953474</v>
      </c>
      <c r="B459" s="38">
        <v>45439</v>
      </c>
      <c r="C459" s="39">
        <v>0.63680555555555551</v>
      </c>
      <c r="D459" s="37">
        <v>114027</v>
      </c>
      <c r="E459" s="37">
        <v>18390</v>
      </c>
      <c r="F459" s="38">
        <v>45440</v>
      </c>
      <c r="G459" s="39">
        <v>0.39305555555555555</v>
      </c>
      <c r="H459" s="45" t="s">
        <v>30</v>
      </c>
      <c r="I459" s="37" t="s">
        <v>80</v>
      </c>
      <c r="J459" s="40" t="s">
        <v>113</v>
      </c>
      <c r="K459" s="47">
        <v>6</v>
      </c>
    </row>
  </sheetData>
  <autoFilter ref="A1:K459" xr:uid="{00000000-0009-0000-0000-000004000000}">
    <filterColumn colId="0">
      <filters blank="1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82"/>
  <sheetViews>
    <sheetView topLeftCell="A161" workbookViewId="0">
      <selection activeCell="A4" sqref="A4:A181"/>
    </sheetView>
  </sheetViews>
  <sheetFormatPr baseColWidth="10" defaultRowHeight="13"/>
  <cols>
    <col min="1" max="1" width="16.69921875" bestFit="1" customWidth="1"/>
    <col min="2" max="2" width="13.59765625" bestFit="1" customWidth="1"/>
  </cols>
  <sheetData>
    <row r="3" spans="1:2">
      <c r="A3" s="73" t="s">
        <v>0</v>
      </c>
      <c r="B3" t="s">
        <v>2</v>
      </c>
    </row>
    <row r="4" spans="1:2">
      <c r="A4" s="36">
        <v>104</v>
      </c>
      <c r="B4">
        <v>227766</v>
      </c>
    </row>
    <row r="5" spans="1:2">
      <c r="A5" s="36">
        <v>105</v>
      </c>
      <c r="B5">
        <v>113917</v>
      </c>
    </row>
    <row r="6" spans="1:2">
      <c r="A6" s="36">
        <v>106</v>
      </c>
      <c r="B6">
        <v>113948</v>
      </c>
    </row>
    <row r="7" spans="1:2">
      <c r="A7" s="36">
        <v>107</v>
      </c>
      <c r="B7">
        <v>227912</v>
      </c>
    </row>
    <row r="8" spans="1:2">
      <c r="A8" s="36">
        <v>135</v>
      </c>
      <c r="B8">
        <v>341667</v>
      </c>
    </row>
    <row r="9" spans="1:2">
      <c r="A9" s="36">
        <v>320</v>
      </c>
      <c r="B9">
        <v>569330</v>
      </c>
    </row>
    <row r="10" spans="1:2">
      <c r="A10" s="36">
        <v>521</v>
      </c>
      <c r="B10">
        <v>113783</v>
      </c>
    </row>
    <row r="11" spans="1:2">
      <c r="A11" s="36">
        <v>523</v>
      </c>
      <c r="B11">
        <v>227578</v>
      </c>
    </row>
    <row r="12" spans="1:2">
      <c r="A12" s="36">
        <v>538</v>
      </c>
      <c r="B12">
        <v>341484</v>
      </c>
    </row>
    <row r="13" spans="1:2">
      <c r="A13" s="36">
        <v>549</v>
      </c>
      <c r="B13">
        <v>227686</v>
      </c>
    </row>
    <row r="14" spans="1:2">
      <c r="A14" s="36">
        <v>570</v>
      </c>
      <c r="B14">
        <v>227744</v>
      </c>
    </row>
    <row r="15" spans="1:2">
      <c r="A15" s="36">
        <v>607</v>
      </c>
      <c r="B15">
        <v>113922</v>
      </c>
    </row>
    <row r="16" spans="1:2">
      <c r="A16" s="36">
        <v>631</v>
      </c>
      <c r="B16">
        <v>113947</v>
      </c>
    </row>
    <row r="17" spans="1:2">
      <c r="A17" s="36">
        <v>633</v>
      </c>
      <c r="B17">
        <v>455804</v>
      </c>
    </row>
    <row r="18" spans="1:2">
      <c r="A18" s="36">
        <v>662</v>
      </c>
      <c r="B18">
        <v>113839</v>
      </c>
    </row>
    <row r="19" spans="1:2">
      <c r="A19" s="36">
        <v>21217</v>
      </c>
      <c r="B19">
        <v>113952</v>
      </c>
    </row>
    <row r="20" spans="1:2">
      <c r="A20" s="36">
        <v>41083</v>
      </c>
      <c r="B20">
        <v>341364</v>
      </c>
    </row>
    <row r="21" spans="1:2">
      <c r="A21" s="36">
        <v>49287</v>
      </c>
      <c r="B21">
        <v>113806</v>
      </c>
    </row>
    <row r="22" spans="1:2">
      <c r="A22" s="36">
        <v>68000</v>
      </c>
      <c r="B22">
        <v>682974</v>
      </c>
    </row>
    <row r="23" spans="1:2">
      <c r="A23" s="36">
        <v>68013</v>
      </c>
      <c r="B23">
        <v>113830</v>
      </c>
    </row>
    <row r="24" spans="1:2">
      <c r="A24" s="36">
        <v>68551</v>
      </c>
      <c r="B24">
        <v>113897</v>
      </c>
    </row>
    <row r="25" spans="1:2">
      <c r="A25" s="36">
        <v>317249</v>
      </c>
      <c r="B25">
        <v>227691</v>
      </c>
    </row>
    <row r="26" spans="1:2">
      <c r="A26" s="36">
        <v>933060</v>
      </c>
      <c r="B26">
        <v>113775</v>
      </c>
    </row>
    <row r="27" spans="1:2">
      <c r="A27" s="36">
        <v>934396</v>
      </c>
      <c r="B27">
        <v>113795</v>
      </c>
    </row>
    <row r="28" spans="1:2">
      <c r="A28" s="36">
        <v>935007</v>
      </c>
      <c r="B28">
        <v>227601</v>
      </c>
    </row>
    <row r="29" spans="1:2">
      <c r="A29" s="36">
        <v>935018</v>
      </c>
      <c r="B29">
        <v>113796</v>
      </c>
    </row>
    <row r="30" spans="1:2">
      <c r="A30" s="36">
        <v>935170</v>
      </c>
      <c r="B30">
        <v>113794</v>
      </c>
    </row>
    <row r="31" spans="1:2">
      <c r="A31" s="36">
        <v>935360</v>
      </c>
      <c r="B31">
        <v>113798</v>
      </c>
    </row>
    <row r="32" spans="1:2">
      <c r="A32" s="36">
        <v>935595</v>
      </c>
      <c r="B32">
        <v>113791</v>
      </c>
    </row>
    <row r="33" spans="1:2">
      <c r="A33" s="36">
        <v>936620</v>
      </c>
      <c r="B33">
        <v>113820</v>
      </c>
    </row>
    <row r="34" spans="1:2">
      <c r="A34" s="36">
        <v>937355</v>
      </c>
      <c r="B34">
        <v>113818</v>
      </c>
    </row>
    <row r="35" spans="1:2">
      <c r="A35" s="36">
        <v>937410</v>
      </c>
      <c r="B35">
        <v>113826</v>
      </c>
    </row>
    <row r="36" spans="1:2">
      <c r="A36" s="36">
        <v>937460</v>
      </c>
      <c r="B36">
        <v>113821</v>
      </c>
    </row>
    <row r="37" spans="1:2">
      <c r="A37" s="36">
        <v>937478</v>
      </c>
      <c r="B37">
        <v>113822</v>
      </c>
    </row>
    <row r="38" spans="1:2">
      <c r="A38" s="36">
        <v>937556</v>
      </c>
      <c r="B38">
        <v>113823</v>
      </c>
    </row>
    <row r="39" spans="1:2">
      <c r="A39" s="36">
        <v>937669</v>
      </c>
      <c r="B39">
        <v>113831</v>
      </c>
    </row>
    <row r="40" spans="1:2">
      <c r="A40" s="36">
        <v>937723</v>
      </c>
      <c r="B40">
        <v>227664</v>
      </c>
    </row>
    <row r="41" spans="1:2">
      <c r="A41" s="36">
        <v>939058</v>
      </c>
      <c r="B41">
        <v>227694</v>
      </c>
    </row>
    <row r="42" spans="1:2">
      <c r="A42" s="36">
        <v>939107</v>
      </c>
      <c r="B42">
        <v>113848</v>
      </c>
    </row>
    <row r="43" spans="1:2">
      <c r="A43" s="36">
        <v>940071</v>
      </c>
      <c r="B43">
        <v>113865</v>
      </c>
    </row>
    <row r="44" spans="1:2">
      <c r="A44" s="36">
        <v>940903</v>
      </c>
      <c r="B44">
        <v>113876</v>
      </c>
    </row>
    <row r="45" spans="1:2">
      <c r="A45" s="36">
        <v>940954</v>
      </c>
      <c r="B45">
        <v>113874</v>
      </c>
    </row>
    <row r="46" spans="1:2">
      <c r="A46" s="36">
        <v>941055</v>
      </c>
      <c r="B46">
        <v>113873</v>
      </c>
    </row>
    <row r="47" spans="1:2">
      <c r="A47" s="36">
        <v>941150</v>
      </c>
      <c r="B47">
        <v>113871</v>
      </c>
    </row>
    <row r="48" spans="1:2">
      <c r="A48" s="36">
        <v>941151</v>
      </c>
      <c r="B48">
        <v>113870</v>
      </c>
    </row>
    <row r="49" spans="1:2">
      <c r="A49" s="36">
        <v>941584</v>
      </c>
      <c r="B49">
        <v>113879</v>
      </c>
    </row>
    <row r="50" spans="1:2">
      <c r="A50" s="36">
        <v>941974</v>
      </c>
      <c r="B50">
        <v>113881</v>
      </c>
    </row>
    <row r="51" spans="1:2">
      <c r="A51" s="36">
        <v>942360</v>
      </c>
      <c r="B51">
        <v>113887</v>
      </c>
    </row>
    <row r="52" spans="1:2">
      <c r="A52" s="36">
        <v>943326</v>
      </c>
      <c r="B52">
        <v>113900</v>
      </c>
    </row>
    <row r="53" spans="1:2">
      <c r="A53" s="36">
        <v>944280</v>
      </c>
      <c r="B53">
        <v>227845</v>
      </c>
    </row>
    <row r="54" spans="1:2">
      <c r="A54" s="36">
        <v>944590</v>
      </c>
      <c r="B54">
        <v>113923</v>
      </c>
    </row>
    <row r="55" spans="1:2">
      <c r="A55" s="36">
        <v>944666</v>
      </c>
      <c r="B55">
        <v>227842</v>
      </c>
    </row>
    <row r="56" spans="1:2">
      <c r="A56" s="36">
        <v>944673</v>
      </c>
      <c r="B56">
        <v>113920</v>
      </c>
    </row>
    <row r="57" spans="1:2">
      <c r="A57" s="36">
        <v>944930</v>
      </c>
      <c r="B57">
        <v>113918</v>
      </c>
    </row>
    <row r="58" spans="1:2">
      <c r="A58" s="36">
        <v>945661</v>
      </c>
      <c r="B58">
        <v>113935</v>
      </c>
    </row>
    <row r="59" spans="1:2">
      <c r="A59" s="36">
        <v>945779</v>
      </c>
      <c r="B59">
        <v>113939</v>
      </c>
    </row>
    <row r="60" spans="1:2">
      <c r="A60" s="36">
        <v>945796</v>
      </c>
      <c r="B60">
        <v>113936</v>
      </c>
    </row>
    <row r="61" spans="1:2">
      <c r="A61" s="36">
        <v>945880</v>
      </c>
      <c r="B61">
        <v>227880</v>
      </c>
    </row>
    <row r="62" spans="1:2">
      <c r="A62" s="36">
        <v>946469</v>
      </c>
      <c r="B62">
        <v>113946</v>
      </c>
    </row>
    <row r="63" spans="1:2">
      <c r="A63" s="36">
        <v>946629</v>
      </c>
      <c r="B63">
        <v>113950</v>
      </c>
    </row>
    <row r="64" spans="1:2">
      <c r="A64" s="36">
        <v>947055</v>
      </c>
      <c r="B64">
        <v>113958</v>
      </c>
    </row>
    <row r="65" spans="1:2">
      <c r="A65" s="36">
        <v>947933</v>
      </c>
    </row>
    <row r="66" spans="1:2">
      <c r="A66" s="36">
        <v>1001451962</v>
      </c>
      <c r="B66">
        <v>113773</v>
      </c>
    </row>
    <row r="67" spans="1:2">
      <c r="A67" s="36">
        <v>1001459262</v>
      </c>
      <c r="B67">
        <v>113812</v>
      </c>
    </row>
    <row r="68" spans="1:2">
      <c r="A68" s="36">
        <v>4500064740</v>
      </c>
      <c r="B68">
        <v>113841</v>
      </c>
    </row>
    <row r="69" spans="1:2">
      <c r="A69" s="36">
        <v>4500067176</v>
      </c>
      <c r="B69">
        <v>113954</v>
      </c>
    </row>
    <row r="70" spans="1:2">
      <c r="A70" s="36">
        <v>4500069104</v>
      </c>
      <c r="B70">
        <v>227445</v>
      </c>
    </row>
    <row r="71" spans="1:2">
      <c r="A71" s="36">
        <v>4500069406</v>
      </c>
      <c r="B71">
        <v>1251910</v>
      </c>
    </row>
    <row r="72" spans="1:2">
      <c r="A72" s="36">
        <v>4500069407</v>
      </c>
      <c r="B72">
        <v>910512</v>
      </c>
    </row>
    <row r="73" spans="1:2">
      <c r="A73" s="36">
        <v>4500069408</v>
      </c>
      <c r="B73">
        <v>569065</v>
      </c>
    </row>
    <row r="74" spans="1:2">
      <c r="A74" s="36">
        <v>4500069455</v>
      </c>
      <c r="B74">
        <v>227672</v>
      </c>
    </row>
    <row r="75" spans="1:2">
      <c r="A75" s="36">
        <v>4500069546</v>
      </c>
      <c r="B75">
        <v>227718</v>
      </c>
    </row>
    <row r="76" spans="1:2">
      <c r="A76" s="36">
        <v>4500069587</v>
      </c>
      <c r="B76">
        <v>1480375</v>
      </c>
    </row>
    <row r="77" spans="1:2">
      <c r="A77" s="36">
        <v>4500069616</v>
      </c>
      <c r="B77">
        <v>341634</v>
      </c>
    </row>
    <row r="78" spans="1:2">
      <c r="A78" s="36">
        <v>4500069720</v>
      </c>
      <c r="B78">
        <v>911352</v>
      </c>
    </row>
    <row r="79" spans="1:2">
      <c r="A79" s="36">
        <v>4500069748</v>
      </c>
      <c r="B79">
        <v>1025343</v>
      </c>
    </row>
    <row r="80" spans="1:2">
      <c r="A80" s="36">
        <v>4500069750</v>
      </c>
      <c r="B80">
        <v>1025361</v>
      </c>
    </row>
    <row r="81" spans="1:2">
      <c r="A81" s="36">
        <v>4500069752</v>
      </c>
      <c r="B81">
        <v>113930</v>
      </c>
    </row>
    <row r="82" spans="1:2">
      <c r="A82" s="36">
        <v>4500069801</v>
      </c>
      <c r="B82">
        <v>113941</v>
      </c>
    </row>
    <row r="83" spans="1:2">
      <c r="A83" s="36">
        <v>4500119651</v>
      </c>
      <c r="B83">
        <v>113797</v>
      </c>
    </row>
    <row r="84" spans="1:2">
      <c r="A84" s="36">
        <v>4500119910</v>
      </c>
      <c r="B84">
        <v>227684</v>
      </c>
    </row>
    <row r="85" spans="1:2">
      <c r="A85" s="36">
        <v>4500120228</v>
      </c>
      <c r="B85">
        <v>113890</v>
      </c>
    </row>
    <row r="86" spans="1:2">
      <c r="A86" s="36">
        <v>4500306477</v>
      </c>
      <c r="B86">
        <v>113635</v>
      </c>
    </row>
    <row r="87" spans="1:2">
      <c r="A87" s="36">
        <v>4500309792</v>
      </c>
      <c r="B87">
        <v>113894</v>
      </c>
    </row>
    <row r="88" spans="1:2">
      <c r="A88" s="36">
        <v>4500309919</v>
      </c>
      <c r="B88">
        <v>113910</v>
      </c>
    </row>
    <row r="89" spans="1:2">
      <c r="A89" s="36">
        <v>4503305140</v>
      </c>
      <c r="B89">
        <v>113799</v>
      </c>
    </row>
    <row r="90" spans="1:2">
      <c r="A90" s="36">
        <v>5502137871</v>
      </c>
      <c r="B90">
        <v>113403</v>
      </c>
    </row>
    <row r="91" spans="1:2">
      <c r="A91" s="36">
        <v>5502282955</v>
      </c>
      <c r="B91">
        <v>113774</v>
      </c>
    </row>
    <row r="92" spans="1:2">
      <c r="A92" s="36">
        <v>5502346404</v>
      </c>
      <c r="B92">
        <v>113957</v>
      </c>
    </row>
    <row r="93" spans="1:2">
      <c r="A93" s="36">
        <v>7000371676</v>
      </c>
      <c r="B93">
        <v>113780</v>
      </c>
    </row>
    <row r="94" spans="1:2">
      <c r="A94" s="36" t="s">
        <v>257</v>
      </c>
      <c r="B94">
        <v>227736</v>
      </c>
    </row>
    <row r="95" spans="1:2">
      <c r="A95" s="36" t="s">
        <v>201</v>
      </c>
      <c r="B95">
        <v>113782</v>
      </c>
    </row>
    <row r="96" spans="1:2">
      <c r="A96" s="36" t="s">
        <v>204</v>
      </c>
      <c r="B96">
        <v>113786</v>
      </c>
    </row>
    <row r="97" spans="1:2">
      <c r="A97" s="36" t="s">
        <v>251</v>
      </c>
      <c r="B97">
        <v>113850</v>
      </c>
    </row>
    <row r="98" spans="1:2">
      <c r="A98" s="36" t="s">
        <v>273</v>
      </c>
      <c r="B98">
        <v>227830</v>
      </c>
    </row>
    <row r="99" spans="1:2">
      <c r="A99" s="36" t="s">
        <v>275</v>
      </c>
      <c r="B99">
        <v>113916</v>
      </c>
    </row>
    <row r="100" spans="1:2">
      <c r="A100" s="36" t="s">
        <v>289</v>
      </c>
      <c r="B100">
        <v>341847</v>
      </c>
    </row>
    <row r="101" spans="1:2">
      <c r="A101" s="36" t="s">
        <v>292</v>
      </c>
      <c r="B101">
        <v>455836</v>
      </c>
    </row>
    <row r="102" spans="1:2">
      <c r="A102" s="36" t="s">
        <v>298</v>
      </c>
    </row>
    <row r="103" spans="1:2">
      <c r="A103" s="36" t="s">
        <v>203</v>
      </c>
      <c r="B103">
        <v>113785</v>
      </c>
    </row>
    <row r="104" spans="1:2">
      <c r="A104" s="36" t="s">
        <v>228</v>
      </c>
      <c r="B104">
        <v>227654</v>
      </c>
    </row>
    <row r="105" spans="1:2">
      <c r="A105" s="36" t="s">
        <v>244</v>
      </c>
      <c r="B105">
        <v>113845</v>
      </c>
    </row>
    <row r="106" spans="1:2">
      <c r="A106" s="36" t="s">
        <v>266</v>
      </c>
      <c r="B106">
        <v>455584</v>
      </c>
    </row>
    <row r="107" spans="1:2">
      <c r="A107" s="36" t="s">
        <v>270</v>
      </c>
      <c r="B107">
        <v>113905</v>
      </c>
    </row>
    <row r="108" spans="1:2">
      <c r="A108" s="36" t="s">
        <v>291</v>
      </c>
      <c r="B108">
        <v>455840</v>
      </c>
    </row>
    <row r="109" spans="1:2">
      <c r="A109" s="36" t="s">
        <v>200</v>
      </c>
      <c r="B109">
        <v>113766</v>
      </c>
    </row>
    <row r="110" spans="1:2">
      <c r="A110" s="36" t="s">
        <v>198</v>
      </c>
      <c r="B110">
        <v>113768</v>
      </c>
    </row>
    <row r="111" spans="1:2">
      <c r="A111" s="36" t="s">
        <v>199</v>
      </c>
      <c r="B111">
        <v>113767</v>
      </c>
    </row>
    <row r="112" spans="1:2">
      <c r="A112" s="36" t="s">
        <v>224</v>
      </c>
      <c r="B112">
        <v>113817</v>
      </c>
    </row>
    <row r="113" spans="1:2">
      <c r="A113" s="36" t="s">
        <v>222</v>
      </c>
      <c r="B113">
        <v>113815</v>
      </c>
    </row>
    <row r="114" spans="1:2">
      <c r="A114" s="36" t="s">
        <v>223</v>
      </c>
      <c r="B114">
        <v>113816</v>
      </c>
    </row>
    <row r="115" spans="1:2">
      <c r="A115" s="36" t="s">
        <v>249</v>
      </c>
      <c r="B115">
        <v>227712</v>
      </c>
    </row>
    <row r="116" spans="1:2">
      <c r="A116" s="36" t="s">
        <v>277</v>
      </c>
      <c r="B116">
        <v>113924</v>
      </c>
    </row>
    <row r="117" spans="1:2">
      <c r="A117" s="36" t="s">
        <v>290</v>
      </c>
      <c r="B117">
        <v>113961</v>
      </c>
    </row>
    <row r="118" spans="1:2">
      <c r="A118" s="36" t="s">
        <v>192</v>
      </c>
      <c r="B118">
        <v>113744</v>
      </c>
    </row>
    <row r="119" spans="1:2">
      <c r="A119" s="36" t="s">
        <v>248</v>
      </c>
      <c r="B119">
        <v>227710</v>
      </c>
    </row>
    <row r="120" spans="1:2">
      <c r="A120" s="36" t="s">
        <v>259</v>
      </c>
      <c r="B120">
        <v>341664</v>
      </c>
    </row>
    <row r="121" spans="1:2">
      <c r="A121" s="36" t="s">
        <v>272</v>
      </c>
      <c r="B121">
        <v>113907</v>
      </c>
    </row>
    <row r="122" spans="1:2">
      <c r="A122" s="36" t="s">
        <v>241</v>
      </c>
    </row>
    <row r="123" spans="1:2">
      <c r="A123" s="36" t="s">
        <v>196</v>
      </c>
      <c r="B123">
        <v>341267</v>
      </c>
    </row>
    <row r="124" spans="1:2">
      <c r="A124" s="36" t="s">
        <v>260</v>
      </c>
      <c r="B124">
        <v>227768</v>
      </c>
    </row>
    <row r="125" spans="1:2">
      <c r="A125" s="36" t="s">
        <v>267</v>
      </c>
      <c r="B125">
        <v>227790</v>
      </c>
    </row>
    <row r="126" spans="1:2">
      <c r="A126" s="36" t="s">
        <v>216</v>
      </c>
      <c r="B126">
        <v>113805</v>
      </c>
    </row>
    <row r="127" spans="1:2">
      <c r="A127" s="36" t="s">
        <v>297</v>
      </c>
      <c r="B127">
        <v>113964</v>
      </c>
    </row>
    <row r="128" spans="1:2">
      <c r="A128" s="36" t="s">
        <v>233</v>
      </c>
      <c r="B128">
        <v>113825</v>
      </c>
    </row>
    <row r="129" spans="1:2">
      <c r="A129" s="36" t="s">
        <v>264</v>
      </c>
      <c r="B129">
        <v>113892</v>
      </c>
    </row>
    <row r="130" spans="1:2">
      <c r="A130" s="36" t="s">
        <v>229</v>
      </c>
      <c r="B130">
        <v>227648</v>
      </c>
    </row>
    <row r="131" spans="1:2">
      <c r="A131" s="36" t="s">
        <v>243</v>
      </c>
      <c r="B131">
        <v>113840</v>
      </c>
    </row>
    <row r="132" spans="1:2">
      <c r="A132" s="36" t="s">
        <v>254</v>
      </c>
      <c r="B132">
        <v>113862</v>
      </c>
    </row>
    <row r="133" spans="1:2">
      <c r="A133" s="36" t="s">
        <v>265</v>
      </c>
      <c r="B133">
        <v>113891</v>
      </c>
    </row>
    <row r="134" spans="1:2">
      <c r="A134" s="36" t="s">
        <v>286</v>
      </c>
      <c r="B134">
        <v>227890</v>
      </c>
    </row>
    <row r="135" spans="1:2">
      <c r="A135" s="36" t="s">
        <v>227</v>
      </c>
      <c r="B135">
        <v>113710</v>
      </c>
    </row>
    <row r="136" spans="1:2">
      <c r="A136" s="36" t="s">
        <v>208</v>
      </c>
      <c r="B136">
        <v>113790</v>
      </c>
    </row>
    <row r="137" spans="1:2">
      <c r="A137" s="36" t="s">
        <v>262</v>
      </c>
      <c r="B137">
        <v>569430</v>
      </c>
    </row>
    <row r="138" spans="1:2">
      <c r="A138" s="36" t="s">
        <v>274</v>
      </c>
      <c r="B138">
        <v>113911</v>
      </c>
    </row>
    <row r="139" spans="1:2">
      <c r="A139" s="36" t="s">
        <v>239</v>
      </c>
      <c r="B139">
        <v>113837</v>
      </c>
    </row>
    <row r="140" spans="1:2">
      <c r="A140" s="36" t="s">
        <v>280</v>
      </c>
      <c r="B140">
        <v>227866</v>
      </c>
    </row>
    <row r="141" spans="1:2">
      <c r="A141" s="36" t="s">
        <v>236</v>
      </c>
      <c r="B141">
        <v>113834</v>
      </c>
    </row>
    <row r="142" spans="1:2">
      <c r="A142" s="36" t="s">
        <v>238</v>
      </c>
      <c r="B142">
        <v>227670</v>
      </c>
    </row>
    <row r="143" spans="1:2">
      <c r="A143" s="36" t="s">
        <v>123</v>
      </c>
      <c r="B143">
        <v>797269</v>
      </c>
    </row>
    <row r="144" spans="1:2">
      <c r="A144" s="36" t="s">
        <v>217</v>
      </c>
      <c r="B144">
        <v>227616</v>
      </c>
    </row>
    <row r="145" spans="1:2">
      <c r="A145" s="36" t="s">
        <v>276</v>
      </c>
      <c r="B145">
        <v>113912</v>
      </c>
    </row>
    <row r="146" spans="1:2">
      <c r="A146" s="36" t="s">
        <v>247</v>
      </c>
      <c r="B146">
        <v>113851</v>
      </c>
    </row>
    <row r="147" spans="1:2">
      <c r="A147" s="36" t="s">
        <v>284</v>
      </c>
      <c r="B147">
        <v>455752</v>
      </c>
    </row>
    <row r="148" spans="1:2">
      <c r="A148" s="36" t="s">
        <v>213</v>
      </c>
      <c r="B148">
        <v>341409</v>
      </c>
    </row>
    <row r="149" spans="1:2">
      <c r="A149" s="36" t="s">
        <v>253</v>
      </c>
      <c r="B149">
        <v>455440</v>
      </c>
    </row>
    <row r="150" spans="1:2">
      <c r="A150" s="36" t="s">
        <v>269</v>
      </c>
      <c r="B150">
        <v>455608</v>
      </c>
    </row>
    <row r="151" spans="1:2">
      <c r="A151" s="36" t="s">
        <v>211</v>
      </c>
      <c r="B151">
        <v>113793</v>
      </c>
    </row>
    <row r="152" spans="1:2">
      <c r="A152" s="36" t="s">
        <v>278</v>
      </c>
      <c r="B152">
        <v>113913</v>
      </c>
    </row>
    <row r="153" spans="1:2">
      <c r="A153" s="36" t="s">
        <v>282</v>
      </c>
      <c r="B153">
        <v>113934</v>
      </c>
    </row>
    <row r="154" spans="1:2">
      <c r="A154" s="36" t="s">
        <v>245</v>
      </c>
      <c r="B154">
        <v>113846</v>
      </c>
    </row>
    <row r="155" spans="1:2">
      <c r="A155" s="36" t="s">
        <v>283</v>
      </c>
      <c r="B155">
        <v>113937</v>
      </c>
    </row>
    <row r="156" spans="1:2">
      <c r="A156" s="36" t="s">
        <v>299</v>
      </c>
    </row>
    <row r="157" spans="1:2">
      <c r="A157" s="36" t="s">
        <v>300</v>
      </c>
      <c r="B157">
        <v>113792</v>
      </c>
    </row>
    <row r="158" spans="1:2">
      <c r="A158" s="36" t="s">
        <v>122</v>
      </c>
      <c r="B158">
        <v>113807</v>
      </c>
    </row>
    <row r="159" spans="1:2">
      <c r="A159" s="36" t="s">
        <v>301</v>
      </c>
      <c r="B159">
        <v>113819</v>
      </c>
    </row>
    <row r="160" spans="1:2">
      <c r="A160" s="36" t="s">
        <v>128</v>
      </c>
      <c r="B160">
        <v>113819</v>
      </c>
    </row>
    <row r="161" spans="1:2">
      <c r="A161" s="36" t="s">
        <v>302</v>
      </c>
      <c r="B161">
        <v>113857</v>
      </c>
    </row>
    <row r="162" spans="1:2">
      <c r="A162" s="36" t="s">
        <v>124</v>
      </c>
      <c r="B162">
        <v>113849</v>
      </c>
    </row>
    <row r="163" spans="1:2">
      <c r="A163" s="36" t="s">
        <v>125</v>
      </c>
      <c r="B163">
        <v>113852</v>
      </c>
    </row>
    <row r="164" spans="1:2">
      <c r="A164" s="36" t="s">
        <v>126</v>
      </c>
      <c r="B164">
        <v>341559</v>
      </c>
    </row>
    <row r="165" spans="1:2">
      <c r="A165" s="36" t="s">
        <v>303</v>
      </c>
      <c r="B165">
        <v>113864</v>
      </c>
    </row>
    <row r="166" spans="1:2">
      <c r="A166" s="36" t="s">
        <v>127</v>
      </c>
      <c r="B166">
        <v>113861</v>
      </c>
    </row>
    <row r="167" spans="1:2">
      <c r="A167" s="36" t="s">
        <v>304</v>
      </c>
      <c r="B167">
        <v>341605</v>
      </c>
    </row>
    <row r="168" spans="1:2">
      <c r="A168" s="36" t="s">
        <v>87</v>
      </c>
      <c r="B168">
        <v>113877</v>
      </c>
    </row>
    <row r="169" spans="1:2">
      <c r="A169" s="36" t="s">
        <v>305</v>
      </c>
      <c r="B169">
        <v>113880</v>
      </c>
    </row>
    <row r="170" spans="1:2">
      <c r="A170" s="36" t="s">
        <v>306</v>
      </c>
      <c r="B170">
        <v>227764</v>
      </c>
    </row>
    <row r="171" spans="1:2">
      <c r="A171" s="36" t="s">
        <v>129</v>
      </c>
      <c r="B171">
        <v>113899</v>
      </c>
    </row>
    <row r="172" spans="1:2">
      <c r="A172" s="36" t="s">
        <v>307</v>
      </c>
      <c r="B172">
        <v>227816</v>
      </c>
    </row>
    <row r="173" spans="1:2">
      <c r="A173" s="36" t="s">
        <v>308</v>
      </c>
      <c r="B173">
        <v>113904</v>
      </c>
    </row>
    <row r="174" spans="1:2">
      <c r="A174" s="36" t="s">
        <v>309</v>
      </c>
      <c r="B174">
        <v>113906</v>
      </c>
    </row>
    <row r="175" spans="1:2">
      <c r="A175" s="36" t="s">
        <v>311</v>
      </c>
      <c r="B175">
        <v>455723</v>
      </c>
    </row>
    <row r="176" spans="1:2">
      <c r="A176" s="36" t="s">
        <v>310</v>
      </c>
      <c r="B176">
        <v>113926</v>
      </c>
    </row>
    <row r="177" spans="1:2">
      <c r="A177" s="36" t="s">
        <v>313</v>
      </c>
      <c r="B177">
        <v>113925</v>
      </c>
    </row>
    <row r="178" spans="1:2">
      <c r="A178" s="36" t="s">
        <v>316</v>
      </c>
      <c r="B178">
        <v>113942</v>
      </c>
    </row>
    <row r="179" spans="1:2">
      <c r="A179" s="36" t="s">
        <v>312</v>
      </c>
      <c r="B179">
        <v>113944</v>
      </c>
    </row>
    <row r="180" spans="1:2">
      <c r="A180" s="36" t="s">
        <v>314</v>
      </c>
      <c r="B180">
        <v>113944</v>
      </c>
    </row>
    <row r="181" spans="1:2">
      <c r="A181" s="36" t="s">
        <v>315</v>
      </c>
    </row>
    <row r="182" spans="1:2">
      <c r="A182" s="36" t="s">
        <v>67</v>
      </c>
      <c r="B182">
        <v>36665558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Hoja3</vt:lpstr>
      <vt:lpstr>Resumén Marzo 2026</vt:lpstr>
      <vt:lpstr>Base</vt:lpstr>
      <vt:lpstr>Pedidos1</vt:lpstr>
      <vt:lpstr>Novedades</vt:lpstr>
      <vt:lpstr>Entregas a tiempo</vt:lpstr>
      <vt:lpstr>Hoja1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Catherin Castro Andrade</dc:creator>
  <cp:lastModifiedBy>lina castro</cp:lastModifiedBy>
  <dcterms:created xsi:type="dcterms:W3CDTF">2024-01-30T13:37:00Z</dcterms:created>
  <dcterms:modified xsi:type="dcterms:W3CDTF">2026-04-08T13:26:46Z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286E78D7EA28445CA09D2E92B725E85E_12</vt:lpwstr>
  </property>
  <property fmtid="{D5CDD505-2E9C-101B-9397-08002B2CF9AE}" pid="3" name="KSOProductBuildVer">
    <vt:lpwstr>1033-12.2.0.16909</vt:lpwstr>
  </property>
</Properties>
</file>